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6dff7d9fc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ized summary" sheetId="1" r:id="Rd6058845b8eb48f6"/>
    <x:sheet xmlns:r="http://schemas.openxmlformats.org/officeDocument/2006/relationships" name="Summary" sheetId="2" r:id="Rbd971632986b47b9"/>
    <x:sheet xmlns:r="http://schemas.openxmlformats.org/officeDocument/2006/relationships" name="Validation" sheetId="3" r:id="Rbb7b1c85ff3146c5"/>
    <x:sheet xmlns:r="http://schemas.openxmlformats.org/officeDocument/2006/relationships" name="TL Coverage" sheetId="4" r:id="R46c5bbc74f274c83"/>
    <x:sheet xmlns:r="http://schemas.openxmlformats.org/officeDocument/2006/relationships" name="Ingestion Audit" sheetId="5" r:id="R49f8d23a5da64cd5"/>
    <x:sheet xmlns:r="http://schemas.openxmlformats.org/officeDocument/2006/relationships" name="Configuration" sheetId="6" r:id="Rf60d5a1350064ac1"/>
    <x:sheet xmlns:r="http://schemas.openxmlformats.org/officeDocument/2006/relationships" name="Sources" sheetId="7" r:id="Reb92e17560a7407c"/>
    <x:sheet xmlns:r="http://schemas.openxmlformats.org/officeDocument/2006/relationships" name="EEZ Selection Flags" sheetId="8" r:id="Rda61f847fe604148"/>
    <x:sheet xmlns:r="http://schemas.openxmlformats.org/officeDocument/2006/relationships" name="EEZ LME Pairs" sheetId="9" r:id="R341445ce7cdc43f8"/>
    <x:sheet xmlns:r="http://schemas.openxmlformats.org/officeDocument/2006/relationships" name="All Areas Data" sheetId="10" r:id="R8131225c7a734acc"/>
    <x:sheet xmlns:r="http://schemas.openxmlformats.org/officeDocument/2006/relationships" name="All Areas Summary" sheetId="11" r:id="Rd8e8796216ec47b0"/>
    <x:sheet xmlns:r="http://schemas.openxmlformats.org/officeDocument/2006/relationships" name="Selection Rules" sheetId="12" r:id="Rafbe532ef915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"/>
    <x:numFmt numFmtId="202" formatCode="#,##0.00"/>
    <x:numFmt numFmtId="203" formatCode="0.0000"/>
    <x:numFmt numFmtId="204" formatCode="0.00%"/>
    <x:numFmt numFmtId="205" formatCode="#,##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0" borderId="5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84445951c4bac" /><Relationship Type="http://schemas.openxmlformats.org/officeDocument/2006/relationships/theme" Target="/xl/theme/theme1.xml" Id="R58307dfa01fe4cab" /><Relationship Type="http://schemas.microsoft.com/office/2022/11/relationships/FeaturePropertyBag" Target="/xl/featurePropertyBag/featurePropertyBag.xml" Id="R41e69e72fce64d87" /><Relationship Type="http://schemas.openxmlformats.org/officeDocument/2006/relationships/sharedStrings" Target="/xl/sharedStrings.xml" Id="Rb2fa510ad3384673" /><Relationship Type="http://schemas.openxmlformats.org/officeDocument/2006/relationships/worksheet" Target="/xl/worksheets/sheet1.xml" Id="Rd6058845b8eb48f6" /><Relationship Type="http://schemas.openxmlformats.org/officeDocument/2006/relationships/worksheet" Target="/xl/worksheets/sheet2.xml" Id="Rbd971632986b47b9" /><Relationship Type="http://schemas.openxmlformats.org/officeDocument/2006/relationships/worksheet" Target="/xl/worksheets/sheet3.xml" Id="Rbb7b1c85ff3146c5" /><Relationship Type="http://schemas.openxmlformats.org/officeDocument/2006/relationships/worksheet" Target="/xl/worksheets/sheet4.xml" Id="R46c5bbc74f274c83" /><Relationship Type="http://schemas.openxmlformats.org/officeDocument/2006/relationships/worksheet" Target="/xl/worksheets/sheet5.xml" Id="R49f8d23a5da64cd5" /><Relationship Type="http://schemas.openxmlformats.org/officeDocument/2006/relationships/worksheet" Target="/xl/worksheets/sheet6.xml" Id="Rf60d5a1350064ac1" /><Relationship Type="http://schemas.openxmlformats.org/officeDocument/2006/relationships/worksheet" Target="/xl/worksheets/sheet7.xml" Id="Reb92e17560a7407c" /><Relationship Type="http://schemas.openxmlformats.org/officeDocument/2006/relationships/worksheet" Target="/xl/worksheets/sheet8.xml" Id="Rda61f847fe604148" /><Relationship Type="http://schemas.openxmlformats.org/officeDocument/2006/relationships/worksheet" Target="/xl/worksheets/sheet9.xml" Id="R341445ce7cdc43f8" /><Relationship Type="http://schemas.openxmlformats.org/officeDocument/2006/relationships/worksheet" Target="/xl/worksheets/sheet10.xml" Id="R8131225c7a734acc" /><Relationship Type="http://schemas.openxmlformats.org/officeDocument/2006/relationships/worksheet" Target="/xl/worksheets/sheet11.xml" Id="Rd8e8796216ec47b0" /><Relationship Type="http://schemas.openxmlformats.org/officeDocument/2006/relationships/worksheet" Target="/xl/worksheets/sheet12.xml" Id="Rafbe532ef91546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3d6b4034e44b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25 EEZ PPR ranking (tonnes primary-production equivalent)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Species PPR</c:v>
          </c:tx>
          <c:cat>
            <c:strRef>
              <c:f>'Summary'!$S$25:$S$49</c:f>
              <c:strCache>
                <c:ptCount val="0"/>
              </c:strCache>
            </c:strRef>
          </c:cat>
          <c:val>
            <c:numRef>
              <c:f>'Summary'!$T$25:$T$49</c:f>
              <c:numCache>
                <c:formatCode>0.00E+00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E+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3d6b4034e44b7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9" name="EEZCompactTable" displayName="EEZCompactTable" ref="A1:K283" headerRowCount="1" totalsRowCount="0" totalsRowShown="0">
  <x:autoFilter ref="A1:K283"/>
  <x:tableColumns count="11">
    <x:tableColumn id="1" name="unit_id"/>
    <x:tableColumn id="2" name="region_name"/>
    <x:tableColumn id="3" name="region_type"/>
    <x:tableColumn id="4" name="total_catch_tonnes"/>
    <x:tableColumn id="5" name="ppr_species"/>
    <x:tableColumn id="6" name="fraction_eez_ppr"/>
    <x:tableColumn id="7" name="rank_eez_ppr"/>
    <x:tableColumn id="8" name="accumulated fraction"/>
    <x:tableColumn id="9" name="flag_add_low_lme_overlap"/>
    <x:tableColumn id="10" name="flag_prefer_eez_candidate"/>
    <x:tableColumn id="11" name="flag_review_110_12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ilotSummaryTable" displayName="PilotSummaryTable" ref="A1:O283" headerRowCount="1" totalsRowCount="0" totalsRowShown="0">
  <x:autoFilter ref="A1:O283"/>
  <x:tableColumns count="15">
    <x:tableColumn id="1" name="unit_id"/>
    <x:tableColumn id="2" name="region_name"/>
    <x:tableColumn id="3" name="region_type"/>
    <x:tableColumn id="4" name="year"/>
    <x:tableColumn id="5" name="total_catch_tonnes"/>
    <x:tableColumn id="6" name="matched_catch_tonnes"/>
    <x:tableColumn id="7" name="missing_tl_catch_tonnes"/>
    <x:tableColumn id="8" name="catch_tl_coverage_fraction"/>
    <x:tableColumn id="9" name="taxa_count"/>
    <x:tableColumn id="10" name="matched_taxa_count"/>
    <x:tableColumn id="11" name="ppr_species"/>
    <x:tableColumn id="12" name="ppr_commercial"/>
    <x:tableColumn id="13" name="ppr_functional"/>
    <x:tableColumn id="14" name="fraction_eez_ppr"/>
    <x:tableColumn id="15" name="rank_eez_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ValidationTable" displayName="PilotValidationTable" ref="A1:D4513" headerRowCount="1" totalsRowCount="0" totalsRowShown="0">
  <x:autoFilter ref="A1:D4513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ilotTLCoverageTable" displayName="PilotTLCoverageTable" ref="A1:J559" headerRowCount="1" totalsRowCount="0" totalsRowShown="0">
  <x:autoFilter ref="A1:J559"/>
  <x:tableColumns count="10">
    <x:tableColumn id="1" name="unit_id"/>
    <x:tableColumn id="2" name="match_method"/>
    <x:tableColumn id="3" name="tl_source"/>
    <x:tableColumn id="4" name="match_confidence"/>
    <x:tableColumn id="5" name="taxa_count"/>
    <x:tableColumn id="6" name="catch_tonnes"/>
    <x:tableColumn id="7" name="unit_catch_tonnes"/>
    <x:tableColumn id="8" name="unit_taxa"/>
    <x:tableColumn id="9" name="taxa_fraction"/>
    <x:tableColumn id="10" name="catch_fr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ilotIngestionTable" displayName="PilotIngestionTable" ref="A1:K283" headerRowCount="1" totalsRowCount="0" totalsRowShown="0">
  <x:autoFilter ref="A1:K283"/>
  <x:tableColumns count="11">
    <x:tableColumn id="1" name="unit_id"/>
    <x:tableColumn id="2" name="area_name"/>
    <x:tableColumn id="3" name="area_type"/>
    <x:tableColumn id="4" name="year"/>
    <x:tableColumn id="5" name="raw_rows_selected"/>
    <x:tableColumn id="6" name="taxon_rows_standardized"/>
    <x:tableColumn id="7" name="raw_filtered_tonnes"/>
    <x:tableColumn id="8" name="standardized_tonnes"/>
    <x:tableColumn id="9" name="difference_tonnes"/>
    <x:tableColumn id="10" name="reconciled"/>
    <x:tableColumn id="11" name="source_data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EEZSelectionFlagsTable" displayName="EEZSelectionFlagsTable" ref="A1:U283" headerRowCount="1" totalsRowCount="0" totalsRowShown="0">
  <x:autoFilter ref="A1:U283"/>
  <x:tableColumns count="21">
    <x:tableColumn id="1" name="unit_id"/>
    <x:tableColumn id="2" name="eez_unit_id"/>
    <x:tableColumn id="3" name="eez_name"/>
    <x:tableColumn id="4" name="sau_region_id"/>
    <x:tableColumn id="5" name="area_km2"/>
    <x:tableColumn id="6" name="lme_union_intersection_km2"/>
    <x:tableColumn id="7" name="lme_overlap_fraction_of_eez"/>
    <x:tableColumn id="8" name="hs_union_intersection_km2"/>
    <x:tableColumn id="9" name="hs_overlap_fraction_of_eez"/>
    <x:tableColumn id="10" name="uncovered_by_lme_or_hs_km2"/>
    <x:tableColumn id="11" name="geometry_repaired"/>
    <x:tableColumn id="12" name="flag_add_low_lme_overlap"/>
    <x:tableColumn id="13" name="flag_prefer_eez_candidate"/>
    <x:tableColumn id="14" name="flag_review_110_120"/>
    <x:tableColumn id="15" name="prefer_eez_lme_ids"/>
    <x:tableColumn id="16" name="review_110_120_lme_ids"/>
    <x:tableColumn id="17" name="mostly_contained_lme_ids"/>
    <x:tableColumn id="18" name="mostly_contained_lme_count"/>
    <x:tableColumn id="19" name="max_lme_containment_fraction"/>
    <x:tableColumn id="20" name="max_eez_to_lme_area_ratio"/>
    <x:tableColumn id="21" name="max_eez_to_mostly_contained_lme_area_rati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EEZLMEPairsTable" displayName="EEZLMEPairsTable" ref="A1:M351" headerRowCount="1" totalsRowCount="0" totalsRowShown="0">
  <x:autoFilter ref="A1:M351"/>
  <x:tableColumns count="13">
    <x:tableColumn id="1" name="eez_unit_id"/>
    <x:tableColumn id="2" name="eez_name"/>
    <x:tableColumn id="3" name="lme_unit_id"/>
    <x:tableColumn id="4" name="lme_name"/>
    <x:tableColumn id="5" name="eez_area_km2"/>
    <x:tableColumn id="6" name="lme_area_km2"/>
    <x:tableColumn id="7" name="intersection_km2"/>
    <x:tableColumn id="8" name="intersection_fraction_of_eez"/>
    <x:tableColumn id="9" name="intersection_fraction_of_lme"/>
    <x:tableColumn id="10" name="eez_to_lme_area_ratio"/>
    <x:tableColumn id="11" name="lme_mostly_contained"/>
    <x:tableColumn id="12" name="flag_prefer_eez_candidate"/>
    <x:tableColumn id="13" name="flag_review_110_12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AllAreasDataTable" displayName="AllAreasDataTable" ref="A1:P367" headerRowCount="1" totalsRowCount="0" totalsRowShown="0">
  <x:autoFilter ref="A1:P367"/>
  <x:tableColumns count="16">
    <x:tableColumn id="1" name="unit_id"/>
    <x:tableColumn id="2" name="region_name"/>
    <x:tableColumn id="3" name="region_type"/>
    <x:tableColumn id="4" name="year"/>
    <x:tableColumn id="5" name="total_catch_tonnes"/>
    <x:tableColumn id="6" name="matched_catch_tonnes"/>
    <x:tableColumn id="7" name="missing_tl_catch_tonnes"/>
    <x:tableColumn id="8" name="catch_tl_coverage_fraction"/>
    <x:tableColumn id="9" name="taxa_count"/>
    <x:tableColumn id="10" name="matched_taxa_count"/>
    <x:tableColumn id="11" name="ppr_species"/>
    <x:tableColumn id="12" name="ppr_commercial"/>
    <x:tableColumn id="13" name="ppr_functional"/>
    <x:tableColumn id="14" name="fraction_type_ppr"/>
    <x:tableColumn id="15" name="rank_type_ppr"/>
    <x:tableColumn id="16" name="accumulated_fraction_ty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AllAreasSummaryTable" displayName="AllAreasSummaryTable" ref="A1:H367" headerRowCount="1" totalsRowCount="0" totalsRowShown="0">
  <x:autoFilter ref="A1:H367"/>
  <x:tableColumns count="8">
    <x:tableColumn id="1" name="unit_id"/>
    <x:tableColumn id="2" name="region_name"/>
    <x:tableColumn id="3" name="region_type"/>
    <x:tableColumn id="4" name="total_catch_tonnes"/>
    <x:tableColumn id="5" name="ppr_species"/>
    <x:tableColumn id="6" name="fraction_type_ppr"/>
    <x:tableColumn id="7" name="rank_type_ppr"/>
    <x:tableColumn id="8" name="accumulated fr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3a3f7c812346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147cda6d2f94d5f" /><Relationship Type="http://schemas.openxmlformats.org/officeDocument/2006/relationships/table" Target="/xl/tables/table2.xml" Id="R169107c3975f45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e89e3fd77547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54fb224b1643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cb57bcd969749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3edb80867dd45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a563bcc15df4a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9c2cf45fe4342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a6682f399742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total_catch_tonnes</x:v>
      </x:c>
      <x:c r="E1" s="30" t="str">
        <x:v>ppr_species</x:v>
      </x:c>
      <x:c r="F1" s="30" t="str">
        <x:v>fraction_eez_ppr</x:v>
      </x:c>
      <x:c r="G1" s="30" t="str">
        <x:v>rank_eez_ppr</x:v>
      </x:c>
      <x:c r="H1" s="30" t="str">
        <x:v>accumulated fraction</x:v>
      </x:c>
      <x:c r="I1" s="38" t="str">
        <x:v>flag_add_low_lme_overlap</x:v>
      </x:c>
      <x:c r="J1" s="38" t="str">
        <x:v>flag_prefer_eez_candidate</x:v>
      </x:c>
      <x:c r="K1" s="38" t="str">
        <x:v>flag_review_110_120</x:v>
      </x:c>
    </x:row>
    <x:row r="2" ht="18" customHeight="1">
      <x:c r="A2" s="25" t="str">
        <x:f>'Summary'!A2</x:f>
        <x:v>EEZ_156</x:v>
      </x:c>
      <x:c r="B2" s="25" t="str">
        <x:f>'Summary'!B2</x:f>
        <x:v>China</x:v>
      </x:c>
      <x:c r="C2" s="25" t="str">
        <x:f>'Summary'!C2</x:f>
        <x:v>EEZ</x:v>
      </x:c>
      <x:c r="D2" s="32" t="n">
        <x:f>'Summary'!E2</x:f>
        <x:v>9568140.59773029</x:v>
      </x:c>
      <x:c r="E2" s="32" t="n">
        <x:f>'Summary'!K2</x:f>
        <x:v>6165828606.948386</x:v>
      </x:c>
      <x:c r="F2" s="34" t="n">
        <x:f>IF(SUM($E$2:$E$283)=0,"",E2/SUM($E$2:$E$283))</x:f>
        <x:v>0.0927999203958866</x:v>
      </x:c>
      <x:c r="G2" s="35" t="n">
        <x:f>RANK(E2,$E$2:$E$283,0)+COUNTIF($E$2:E2,E2)-1</x:f>
        <x:v>1</x:v>
      </x:c>
      <x:c r="H2" s="34" t="n">
        <x:f>IF(SUM($E$2:$E$283)=0,"",SUM($F$2:F2))</x:f>
        <x:v>0.0927999203958866</x:v>
      </x:c>
      <x:c r="I2" s="25" t="b">
        <x:f>INDEX('EEZ Selection Flags'!$L$2:$L$283,MATCH(A2,'EEZ Selection Flags'!$A$2:$A$283,0))</x:f>
        <x:v>0</x:v>
      </x:c>
      <x:c r="J2" s="25" t="b">
        <x:f>INDEX('EEZ Selection Flags'!$M$2:$M$283,MATCH(A2,'EEZ Selection Flags'!$A$2:$A$283,0))</x:f>
        <x:v>0</x:v>
      </x:c>
      <x:c r="K2" s="25" t="b">
        <x:f>INDEX('EEZ Selection Flags'!$N$2:$N$283,MATCH(A2,'EEZ Selection Flags'!$A$2:$A$283,0))</x:f>
        <x:v>0</x:v>
      </x:c>
    </x:row>
    <x:row r="3" ht="18" customHeight="1">
      <x:c r="A3" s="25" t="str">
        <x:f>'Summary'!A3</x:f>
        <x:v>EEZ_649</x:v>
      </x:c>
      <x:c r="B3" s="25" t="str">
        <x:f>'Summary'!B3</x:f>
        <x:v>Russia (Far East)</x:v>
      </x:c>
      <x:c r="C3" s="25" t="str">
        <x:f>'Summary'!C3</x:f>
        <x:v>EEZ</x:v>
      </x:c>
      <x:c r="D3" s="32" t="n">
        <x:f>'Summary'!E3</x:f>
        <x:v>7341976.862507814</x:v>
      </x:c>
      <x:c r="E3" s="32" t="n">
        <x:f>'Summary'!K3</x:f>
        <x:v>4411197893.890587</x:v>
      </x:c>
      <x:c r="F3" s="34" t="n">
        <x:f>IF(SUM($E$2:$E$283)=0,"",E3/SUM($E$2:$E$283))</x:f>
        <x:v>0.0663915329956196</x:v>
      </x:c>
      <x:c r="G3" s="35" t="n">
        <x:f>RANK(E3,$E$2:$E$283,0)+COUNTIF($E$2:E3,E3)-1</x:f>
        <x:v>2</x:v>
      </x:c>
      <x:c r="H3" s="34" t="n">
        <x:f>IF(SUM($E$2:$E$283)=0,"",SUM($F$2:F3))</x:f>
        <x:v>0.1591914533915062</x:v>
      </x:c>
      <x:c r="I3" s="25" t="b">
        <x:f>INDEX('EEZ Selection Flags'!$L$2:$L$283,MATCH(A3,'EEZ Selection Flags'!$A$2:$A$283,0))</x:f>
        <x:v>0</x:v>
      </x:c>
      <x:c r="J3" s="25" t="b">
        <x:f>INDEX('EEZ Selection Flags'!$M$2:$M$283,MATCH(A3,'EEZ Selection Flags'!$A$2:$A$283,0))</x:f>
        <x:v>1</x:v>
      </x:c>
      <x:c r="K3" s="25" t="b">
        <x:f>INDEX('EEZ Selection Flags'!$N$2:$N$283,MATCH(A3,'EEZ Selection Flags'!$A$2:$A$283,0))</x:f>
        <x:v>0</x:v>
      </x:c>
    </x:row>
    <x:row r="4" ht="18" customHeight="1">
      <x:c r="A4" s="25" t="str">
        <x:f>'Summary'!A4</x:f>
        <x:v>EEZ_704</x:v>
      </x:c>
      <x:c r="B4" s="25" t="str">
        <x:f>'Summary'!B4</x:f>
        <x:v>Viet Nam</x:v>
      </x:c>
      <x:c r="C4" s="25" t="str">
        <x:f>'Summary'!C4</x:f>
        <x:v>EEZ</x:v>
      </x:c>
      <x:c r="D4" s="32" t="n">
        <x:f>'Summary'!E4</x:f>
        <x:v>5148305.1369901</x:v>
      </x:c>
      <x:c r="E4" s="32" t="n">
        <x:f>'Summary'!K4</x:f>
        <x:v>4395854129.781088</x:v>
      </x:c>
      <x:c r="F4" s="34" t="n">
        <x:f>IF(SUM($E$2:$E$283)=0,"",E4/SUM($E$2:$E$283))</x:f>
        <x:v>0.06616059889434892</x:v>
      </x:c>
      <x:c r="G4" s="35" t="n">
        <x:f>RANK(E4,$E$2:$E$283,0)+COUNTIF($E$2:E4,E4)-1</x:f>
        <x:v>3</x:v>
      </x:c>
      <x:c r="H4" s="34" t="n">
        <x:f>IF(SUM($E$2:$E$283)=0,"",SUM($F$2:F4))</x:f>
        <x:v>0.22535205228585511</x:v>
      </x:c>
      <x:c r="I4" s="25" t="b">
        <x:f>INDEX('EEZ Selection Flags'!$L$2:$L$283,MATCH(A4,'EEZ Selection Flags'!$A$2:$A$283,0))</x:f>
        <x:v>0</x:v>
      </x:c>
      <x:c r="J4" s="25" t="b">
        <x:f>INDEX('EEZ Selection Flags'!$M$2:$M$283,MATCH(A4,'EEZ Selection Flags'!$A$2:$A$283,0))</x:f>
        <x:v>0</x:v>
      </x:c>
      <x:c r="K4" s="25" t="b">
        <x:f>INDEX('EEZ Selection Flags'!$N$2:$N$283,MATCH(A4,'EEZ Selection Flags'!$A$2:$A$283,0))</x:f>
        <x:v>0</x:v>
      </x:c>
    </x:row>
    <x:row r="5" ht="18" customHeight="1">
      <x:c r="A5" s="25" t="str">
        <x:f>'Summary'!A5</x:f>
        <x:v>EEZ_390</x:v>
      </x:c>
      <x:c r="B5" s="25" t="str">
        <x:f>'Summary'!B5</x:f>
        <x:v>Japan (main islands)</x:v>
      </x:c>
      <x:c r="C5" s="25" t="str">
        <x:f>'Summary'!C5</x:f>
        <x:v>EEZ</x:v>
      </x:c>
      <x:c r="D5" s="32" t="n">
        <x:f>'Summary'!E5</x:f>
        <x:v>5962290.328495036</x:v>
      </x:c>
      <x:c r="E5" s="32" t="n">
        <x:f>'Summary'!K5</x:f>
        <x:v>2997127073.3582215</x:v>
      </x:c>
      <x:c r="F5" s="34" t="n">
        <x:f>IF(SUM($E$2:$E$283)=0,"",E5/SUM($E$2:$E$283))</x:f>
        <x:v>0.04510880395062654</x:v>
      </x:c>
      <x:c r="G5" s="35" t="n">
        <x:f>RANK(E5,$E$2:$E$283,0)+COUNTIF($E$2:E5,E5)-1</x:f>
        <x:v>4</x:v>
      </x:c>
      <x:c r="H5" s="34" t="n">
        <x:f>IF(SUM($E$2:$E$283)=0,"",SUM($F$2:F5))</x:f>
        <x:v>0.27046085623648164</x:v>
      </x:c>
      <x:c r="I5" s="25" t="b">
        <x:f>INDEX('EEZ Selection Flags'!$L$2:$L$283,MATCH(A5,'EEZ Selection Flags'!$A$2:$A$283,0))</x:f>
        <x:v>0</x:v>
      </x:c>
      <x:c r="J5" s="25" t="b">
        <x:f>INDEX('EEZ Selection Flags'!$M$2:$M$283,MATCH(A5,'EEZ Selection Flags'!$A$2:$A$283,0))</x:f>
        <x:v>0</x:v>
      </x:c>
      <x:c r="K5" s="25" t="b">
        <x:f>INDEX('EEZ Selection Flags'!$N$2:$N$283,MATCH(A5,'EEZ Selection Flags'!$A$2:$A$283,0))</x:f>
        <x:v>0</x:v>
      </x:c>
    </x:row>
    <x:row r="6" ht="18" customHeight="1">
      <x:c r="A6" s="25" t="str">
        <x:f>'Summary'!A6</x:f>
        <x:v>EEZ_604</x:v>
      </x:c>
      <x:c r="B6" s="25" t="str">
        <x:f>'Summary'!B6</x:f>
        <x:v>Peru</x:v>
      </x:c>
      <x:c r="C6" s="25" t="str">
        <x:f>'Summary'!C6</x:f>
        <x:v>EEZ</x:v>
      </x:c>
      <x:c r="D6" s="32" t="n">
        <x:f>'Summary'!E6</x:f>
        <x:v>6008753.148833272</x:v>
      </x:c>
      <x:c r="E6" s="32" t="n">
        <x:f>'Summary'!K6</x:f>
        <x:v>2417258362.672758</x:v>
      </x:c>
      <x:c r="F6" s="34" t="n">
        <x:f>IF(SUM($E$2:$E$283)=0,"",E6/SUM($E$2:$E$283))</x:f>
        <x:v>0.03638138487656488</x:v>
      </x:c>
      <x:c r="G6" s="35" t="n">
        <x:f>RANK(E6,$E$2:$E$283,0)+COUNTIF($E$2:E6,E6)-1</x:f>
        <x:v>5</x:v>
      </x:c>
      <x:c r="H6" s="34" t="n">
        <x:f>IF(SUM($E$2:$E$283)=0,"",SUM($F$2:F6))</x:f>
        <x:v>0.30684224111304653</x:v>
      </x:c>
      <x:c r="I6" s="25" t="b">
        <x:f>INDEX('EEZ Selection Flags'!$L$2:$L$283,MATCH(A6,'EEZ Selection Flags'!$A$2:$A$283,0))</x:f>
        <x:v>0</x:v>
      </x:c>
      <x:c r="J6" s="25" t="b">
        <x:f>INDEX('EEZ Selection Flags'!$M$2:$M$283,MATCH(A6,'EEZ Selection Flags'!$A$2:$A$283,0))</x:f>
        <x:v>0</x:v>
      </x:c>
      <x:c r="K6" s="25" t="b">
        <x:f>INDEX('EEZ Selection Flags'!$N$2:$N$283,MATCH(A6,'EEZ Selection Flags'!$A$2:$A$283,0))</x:f>
        <x:v>0</x:v>
      </x:c>
    </x:row>
    <x:row r="7" ht="18" customHeight="1">
      <x:c r="A7" s="25" t="str">
        <x:f>'Summary'!A7</x:f>
        <x:v>EEZ_356</x:v>
      </x:c>
      <x:c r="B7" s="25" t="str">
        <x:f>'Summary'!B7</x:f>
        <x:v>India (mainland)</x:v>
      </x:c>
      <x:c r="C7" s="25" t="str">
        <x:f>'Summary'!C7</x:f>
        <x:v>EEZ</x:v>
      </x:c>
      <x:c r="D7" s="32" t="n">
        <x:f>'Summary'!E7</x:f>
        <x:v>4344032.198932858</x:v>
      </x:c>
      <x:c r="E7" s="32" t="n">
        <x:f>'Summary'!K7</x:f>
        <x:v>2254375093.1762247</x:v>
      </x:c>
      <x:c r="F7" s="34" t="n">
        <x:f>IF(SUM($E$2:$E$283)=0,"",E7/SUM($E$2:$E$283))</x:f>
        <x:v>0.03392988072251395</x:v>
      </x:c>
      <x:c r="G7" s="35" t="n">
        <x:f>RANK(E7,$E$2:$E$283,0)+COUNTIF($E$2:E7,E7)-1</x:f>
        <x:v>6</x:v>
      </x:c>
      <x:c r="H7" s="34" t="n">
        <x:f>IF(SUM($E$2:$E$283)=0,"",SUM($F$2:F7))</x:f>
        <x:v>0.3407721218355605</x:v>
      </x:c>
      <x:c r="I7" s="25" t="b">
        <x:f>INDEX('EEZ Selection Flags'!$L$2:$L$283,MATCH(A7,'EEZ Selection Flags'!$A$2:$A$283,0))</x:f>
        <x:v>0</x:v>
      </x:c>
      <x:c r="J7" s="25" t="b">
        <x:f>INDEX('EEZ Selection Flags'!$M$2:$M$283,MATCH(A7,'EEZ Selection Flags'!$A$2:$A$283,0))</x:f>
        <x:v>0</x:v>
      </x:c>
      <x:c r="K7" s="25" t="b">
        <x:f>INDEX('EEZ Selection Flags'!$N$2:$N$283,MATCH(A7,'EEZ Selection Flags'!$A$2:$A$283,0))</x:f>
        <x:v>0</x:v>
      </x:c>
    </x:row>
    <x:row r="8" ht="18" customHeight="1">
      <x:c r="A8" s="25" t="str">
        <x:f>'Summary'!A8</x:f>
        <x:v>EEZ_361</x:v>
      </x:c>
      <x:c r="B8" s="25" t="str">
        <x:f>'Summary'!B8</x:f>
        <x:v>Indonesia (Eastern)</x:v>
      </x:c>
      <x:c r="C8" s="25" t="str">
        <x:f>'Summary'!C8</x:f>
        <x:v>EEZ</x:v>
      </x:c>
      <x:c r="D8" s="32" t="n">
        <x:f>'Summary'!E8</x:f>
        <x:v>3382553.5340884444</x:v>
      </x:c>
      <x:c r="E8" s="32" t="n">
        <x:f>'Summary'!K8</x:f>
        <x:v>2093542875.0827374</x:v>
      </x:c>
      <x:c r="F8" s="34" t="n">
        <x:f>IF(SUM($E$2:$E$283)=0,"",E8/SUM($E$2:$E$283))</x:f>
        <x:v>0.0315092462891549</x:v>
      </x:c>
      <x:c r="G8" s="35" t="n">
        <x:f>RANK(E8,$E$2:$E$283,0)+COUNTIF($E$2:E8,E8)-1</x:f>
        <x:v>7</x:v>
      </x:c>
      <x:c r="H8" s="34" t="n">
        <x:f>IF(SUM($E$2:$E$283)=0,"",SUM($F$2:F8))</x:f>
        <x:v>0.3722813681247154</x:v>
      </x:c>
      <x:c r="I8" s="25" t="b">
        <x:f>INDEX('EEZ Selection Flags'!$L$2:$L$283,MATCH(A8,'EEZ Selection Flags'!$A$2:$A$283,0))</x:f>
        <x:v>0</x:v>
      </x:c>
      <x:c r="J8" s="25" t="b">
        <x:f>INDEX('EEZ Selection Flags'!$M$2:$M$283,MATCH(A8,'EEZ Selection Flags'!$A$2:$A$283,0))</x:f>
        <x:v>0</x:v>
      </x:c>
      <x:c r="K8" s="25" t="b">
        <x:f>INDEX('EEZ Selection Flags'!$N$2:$N$283,MATCH(A8,'EEZ Selection Flags'!$A$2:$A$283,0))</x:f>
        <x:v>0</x:v>
      </x:c>
    </x:row>
    <x:row r="9" ht="18" customHeight="1">
      <x:c r="A9" s="25" t="str">
        <x:f>'Summary'!A9</x:f>
        <x:v>EEZ_959</x:v>
      </x:c>
      <x:c r="B9" s="25" t="str">
        <x:f>'Summary'!B9</x:f>
        <x:v>USA (Alaska, Subarctic)</x:v>
      </x:c>
      <x:c r="C9" s="25" t="str">
        <x:f>'Summary'!C9</x:f>
        <x:v>EEZ</x:v>
      </x:c>
      <x:c r="D9" s="32" t="n">
        <x:f>'Summary'!E9</x:f>
        <x:v>2640185.1931024343</x:v>
      </x:c>
      <x:c r="E9" s="32" t="n">
        <x:f>'Summary'!K9</x:f>
        <x:v>1781327374.0574036</x:v>
      </x:c>
      <x:c r="F9" s="34" t="n">
        <x:f>IF(SUM($E$2:$E$283)=0,"",E9/SUM($E$2:$E$283))</x:f>
        <x:v>0.02681019033277266</x:v>
      </x:c>
      <x:c r="G9" s="35" t="n">
        <x:f>RANK(E9,$E$2:$E$283,0)+COUNTIF($E$2:E9,E9)-1</x:f>
        <x:v>8</x:v>
      </x:c>
      <x:c r="H9" s="34" t="n">
        <x:f>IF(SUM($E$2:$E$283)=0,"",SUM($F$2:F9))</x:f>
        <x:v>0.39909155845748806</x:v>
      </x:c>
      <x:c r="I9" s="25" t="b">
        <x:f>INDEX('EEZ Selection Flags'!$L$2:$L$283,MATCH(A9,'EEZ Selection Flags'!$A$2:$A$283,0))</x:f>
        <x:v>0</x:v>
      </x:c>
      <x:c r="J9" s="25" t="b">
        <x:f>INDEX('EEZ Selection Flags'!$M$2:$M$283,MATCH(A9,'EEZ Selection Flags'!$A$2:$A$283,0))</x:f>
        <x:v>1</x:v>
      </x:c>
      <x:c r="K9" s="25" t="b">
        <x:f>INDEX('EEZ Selection Flags'!$N$2:$N$283,MATCH(A9,'EEZ Selection Flags'!$A$2:$A$283,0))</x:f>
        <x:v>0</x:v>
      </x:c>
    </x:row>
    <x:row r="10" ht="18" customHeight="1">
      <x:c r="A10" s="25" t="str">
        <x:f>'Summary'!A10</x:f>
        <x:v>EEZ_941</x:v>
      </x:c>
      <x:c r="B10" s="25" t="str">
        <x:f>'Summary'!B10</x:f>
        <x:v>Kiribati (Gilbert Islands)</x:v>
      </x:c>
      <x:c r="C10" s="25" t="str">
        <x:f>'Summary'!C10</x:f>
        <x:v>EEZ</x:v>
      </x:c>
      <x:c r="D10" s="32" t="n">
        <x:f>'Summary'!E10</x:f>
        <x:v>599962.7992743407</x:v>
      </x:c>
      <x:c r="E10" s="32" t="n">
        <x:f>'Summary'!K10</x:f>
        <x:v>1552445784.5398905</x:v>
      </x:c>
      <x:c r="F10" s="34" t="n">
        <x:f>IF(SUM($E$2:$E$283)=0,"",E10/SUM($E$2:$E$283))</x:f>
        <x:v>0.023365366507573686</x:v>
      </x:c>
      <x:c r="G10" s="35" t="n">
        <x:f>RANK(E10,$E$2:$E$283,0)+COUNTIF($E$2:E10,E10)-1</x:f>
        <x:v>9</x:v>
      </x:c>
      <x:c r="H10" s="34" t="n">
        <x:f>IF(SUM($E$2:$E$283)=0,"",SUM($F$2:F10))</x:f>
        <x:v>0.42245692496506176</x:v>
      </x:c>
      <x:c r="I10" s="25" t="b">
        <x:f>INDEX('EEZ Selection Flags'!$L$2:$L$283,MATCH(A10,'EEZ Selection Flags'!$A$2:$A$283,0))</x:f>
        <x:v>1</x:v>
      </x:c>
      <x:c r="J10" s="25" t="b">
        <x:f>INDEX('EEZ Selection Flags'!$M$2:$M$283,MATCH(A10,'EEZ Selection Flags'!$A$2:$A$283,0))</x:f>
        <x:v>0</x:v>
      </x:c>
      <x:c r="K10" s="25" t="b">
        <x:f>INDEX('EEZ Selection Flags'!$N$2:$N$283,MATCH(A10,'EEZ Selection Flags'!$A$2:$A$283,0))</x:f>
        <x:v>0</x:v>
      </x:c>
    </x:row>
    <x:row r="11" ht="18" customHeight="1">
      <x:c r="A11" s="25" t="str">
        <x:f>'Summary'!A11</x:f>
        <x:v>EEZ_938</x:v>
      </x:c>
      <x:c r="B11" s="25" t="str">
        <x:f>'Summary'!B11</x:f>
        <x:v>Indonesia (Indian Ocean)</x:v>
      </x:c>
      <x:c r="C11" s="25" t="str">
        <x:f>'Summary'!C11</x:f>
        <x:v>EEZ</x:v>
      </x:c>
      <x:c r="D11" s="32" t="n">
        <x:f>'Summary'!E11</x:f>
        <x:v>2112707.572524511</x:v>
      </x:c>
      <x:c r="E11" s="32" t="n">
        <x:f>'Summary'!K11</x:f>
        <x:v>1549538383.7711182</x:v>
      </x:c>
      <x:c r="F11" s="34" t="n">
        <x:f>IF(SUM($E$2:$E$283)=0,"",E11/SUM($E$2:$E$283))</x:f>
        <x:v>0.023321608145624253</x:v>
      </x:c>
      <x:c r="G11" s="35" t="n">
        <x:f>RANK(E11,$E$2:$E$283,0)+COUNTIF($E$2:E11,E11)-1</x:f>
        <x:v>10</x:v>
      </x:c>
      <x:c r="H11" s="34" t="n">
        <x:f>IF(SUM($E$2:$E$283)=0,"",SUM($F$2:F11))</x:f>
        <x:v>0.445778533110686</x:v>
      </x:c>
      <x:c r="I11" s="25" t="b">
        <x:f>INDEX('EEZ Selection Flags'!$L$2:$L$283,MATCH(A11,'EEZ Selection Flags'!$A$2:$A$283,0))</x:f>
        <x:v>0</x:v>
      </x:c>
      <x:c r="J11" s="25" t="b">
        <x:f>INDEX('EEZ Selection Flags'!$M$2:$M$283,MATCH(A11,'EEZ Selection Flags'!$A$2:$A$283,0))</x:f>
        <x:v>0</x:v>
      </x:c>
      <x:c r="K11" s="25" t="b">
        <x:f>INDEX('EEZ Selection Flags'!$N$2:$N$283,MATCH(A11,'EEZ Selection Flags'!$A$2:$A$283,0))</x:f>
        <x:v>0</x:v>
      </x:c>
    </x:row>
    <x:row r="12" ht="18" customHeight="1">
      <x:c r="A12" s="25" t="str">
        <x:f>'Summary'!A12</x:f>
        <x:v>EEZ_578</x:v>
      </x:c>
      <x:c r="B12" s="25" t="str">
        <x:f>'Summary'!B12</x:f>
        <x:v>Norway</x:v>
      </x:c>
      <x:c r="C12" s="25" t="str">
        <x:f>'Summary'!C12</x:f>
        <x:v>EEZ</x:v>
      </x:c>
      <x:c r="D12" s="32" t="n">
        <x:f>'Summary'!E12</x:f>
        <x:v>1710313.5041625751</x:v>
      </x:c>
      <x:c r="E12" s="32" t="n">
        <x:f>'Summary'!K12</x:f>
        <x:v>1486385233.701386</x:v>
      </x:c>
      <x:c r="F12" s="34" t="n">
        <x:f>IF(SUM($E$2:$E$283)=0,"",E12/SUM($E$2:$E$283))</x:f>
        <x:v>0.022371110220233303</x:v>
      </x:c>
      <x:c r="G12" s="35" t="n">
        <x:f>RANK(E12,$E$2:$E$283,0)+COUNTIF($E$2:E12,E12)-1</x:f>
        <x:v>11</x:v>
      </x:c>
      <x:c r="H12" s="34" t="n">
        <x:f>IF(SUM($E$2:$E$283)=0,"",SUM($F$2:F12))</x:f>
        <x:v>0.4681496433309193</x:v>
      </x:c>
      <x:c r="I12" s="25" t="b">
        <x:f>INDEX('EEZ Selection Flags'!$L$2:$L$283,MATCH(A12,'EEZ Selection Flags'!$A$2:$A$283,0))</x:f>
        <x:v>0</x:v>
      </x:c>
      <x:c r="J12" s="25" t="b">
        <x:f>INDEX('EEZ Selection Flags'!$M$2:$M$283,MATCH(A12,'EEZ Selection Flags'!$A$2:$A$283,0))</x:f>
        <x:v>0</x:v>
      </x:c>
      <x:c r="K12" s="25" t="b">
        <x:f>INDEX('EEZ Selection Flags'!$N$2:$N$283,MATCH(A12,'EEZ Selection Flags'!$A$2:$A$283,0))</x:f>
        <x:v>0</x:v>
      </x:c>
    </x:row>
    <x:row r="13" ht="18" customHeight="1">
      <x:c r="A13" s="25" t="str">
        <x:f>'Summary'!A13</x:f>
        <x:v>EEZ_598</x:v>
      </x:c>
      <x:c r="B13" s="25" t="str">
        <x:f>'Summary'!B13</x:f>
        <x:v>Papua New Guinea</x:v>
      </x:c>
      <x:c r="C13" s="25" t="str">
        <x:f>'Summary'!C13</x:f>
        <x:v>EEZ</x:v>
      </x:c>
      <x:c r="D13" s="32" t="n">
        <x:f>'Summary'!E13</x:f>
        <x:v>536763.5433324721</x:v>
      </x:c>
      <x:c r="E13" s="32" t="n">
        <x:f>'Summary'!K13</x:f>
        <x:v>1304961504.0343719</x:v>
      </x:c>
      <x:c r="F13" s="34" t="n">
        <x:f>IF(SUM($E$2:$E$283)=0,"",E13/SUM($E$2:$E$283))</x:f>
        <x:v>0.019640559511760667</x:v>
      </x:c>
      <x:c r="G13" s="35" t="n">
        <x:f>RANK(E13,$E$2:$E$283,0)+COUNTIF($E$2:E13,E13)-1</x:f>
        <x:v>12</x:v>
      </x:c>
      <x:c r="H13" s="34" t="n">
        <x:f>IF(SUM($E$2:$E$283)=0,"",SUM($F$2:F13))</x:f>
        <x:v>0.48779020284268</x:v>
      </x:c>
      <x:c r="I13" s="25" t="b">
        <x:f>INDEX('EEZ Selection Flags'!$L$2:$L$283,MATCH(A13,'EEZ Selection Flags'!$A$2:$A$283,0))</x:f>
        <x:v>1</x:v>
      </x:c>
      <x:c r="J13" s="25" t="b">
        <x:f>INDEX('EEZ Selection Flags'!$M$2:$M$283,MATCH(A13,'EEZ Selection Flags'!$A$2:$A$283,0))</x:f>
        <x:v>0</x:v>
      </x:c>
      <x:c r="K13" s="25" t="b">
        <x:f>INDEX('EEZ Selection Flags'!$N$2:$N$283,MATCH(A13,'EEZ Selection Flags'!$A$2:$A$283,0))</x:f>
        <x:v>0</x:v>
      </x:c>
    </x:row>
    <x:row r="14" ht="18" customHeight="1">
      <x:c r="A14" s="25" t="str">
        <x:f>'Summary'!A14</x:f>
        <x:v>EEZ_032</x:v>
      </x:c>
      <x:c r="B14" s="25" t="str">
        <x:f>'Summary'!B14</x:f>
        <x:v>Argentina</x:v>
      </x:c>
      <x:c r="C14" s="25" t="str">
        <x:f>'Summary'!C14</x:f>
        <x:v>EEZ</x:v>
      </x:c>
      <x:c r="D14" s="32" t="n">
        <x:f>'Summary'!E14</x:f>
        <x:v>1455579.158848894</x:v>
      </x:c>
      <x:c r="E14" s="32" t="n">
        <x:f>'Summary'!K14</x:f>
        <x:v>1272031530.1874146</x:v>
      </x:c>
      <x:c r="F14" s="34" t="n">
        <x:f>IF(SUM($E$2:$E$283)=0,"",E14/SUM($E$2:$E$283))</x:f>
        <x:v>0.01914494097507405</x:v>
      </x:c>
      <x:c r="G14" s="35" t="n">
        <x:f>RANK(E14,$E$2:$E$283,0)+COUNTIF($E$2:E14,E14)-1</x:f>
        <x:v>13</x:v>
      </x:c>
      <x:c r="H14" s="34" t="n">
        <x:f>IF(SUM($E$2:$E$283)=0,"",SUM($F$2:F14))</x:f>
        <x:v>0.5069351438177541</x:v>
      </x:c>
      <x:c r="I14" s="25" t="b">
        <x:f>INDEX('EEZ Selection Flags'!$L$2:$L$283,MATCH(A14,'EEZ Selection Flags'!$A$2:$A$283,0))</x:f>
        <x:v>0</x:v>
      </x:c>
      <x:c r="J14" s="25" t="b">
        <x:f>INDEX('EEZ Selection Flags'!$M$2:$M$283,MATCH(A14,'EEZ Selection Flags'!$A$2:$A$283,0))</x:f>
        <x:v>0</x:v>
      </x:c>
      <x:c r="K14" s="25" t="b">
        <x:f>INDEX('EEZ Selection Flags'!$N$2:$N$283,MATCH(A14,'EEZ Selection Flags'!$A$2:$A$283,0))</x:f>
        <x:v>0</x:v>
      </x:c>
    </x:row>
    <x:row r="15" ht="18" customHeight="1">
      <x:c r="A15" s="25" t="str">
        <x:f>'Summary'!A15</x:f>
        <x:v>EEZ_608</x:v>
      </x:c>
      <x:c r="B15" s="25" t="str">
        <x:f>'Summary'!B15</x:f>
        <x:v>Philippines</x:v>
      </x:c>
      <x:c r="C15" s="25" t="str">
        <x:f>'Summary'!C15</x:f>
        <x:v>EEZ</x:v>
      </x:c>
      <x:c r="D15" s="32" t="n">
        <x:f>'Summary'!E15</x:f>
        <x:v>2152202.04182738</x:v>
      </x:c>
      <x:c r="E15" s="32" t="n">
        <x:f>'Summary'!K15</x:f>
        <x:v>1117733410.478486</x:v>
      </x:c>
      <x:c r="F15" s="34" t="n">
        <x:f>IF(SUM($E$2:$E$283)=0,"",E15/SUM($E$2:$E$283))</x:f>
        <x:v>0.016822649173111312</x:v>
      </x:c>
      <x:c r="G15" s="35" t="n">
        <x:f>RANK(E15,$E$2:$E$283,0)+COUNTIF($E$2:E15,E15)-1</x:f>
        <x:v>14</x:v>
      </x:c>
      <x:c r="H15" s="34" t="n">
        <x:f>IF(SUM($E$2:$E$283)=0,"",SUM($F$2:F15))</x:f>
        <x:v>0.5237577929908653</x:v>
      </x:c>
      <x:c r="I15" s="25" t="b">
        <x:f>INDEX('EEZ Selection Flags'!$L$2:$L$283,MATCH(A15,'EEZ Selection Flags'!$A$2:$A$283,0))</x:f>
        <x:v>0</x:v>
      </x:c>
      <x:c r="J15" s="25" t="b">
        <x:f>INDEX('EEZ Selection Flags'!$M$2:$M$283,MATCH(A15,'EEZ Selection Flags'!$A$2:$A$283,0))</x:f>
        <x:v>0</x:v>
      </x:c>
      <x:c r="K15" s="25" t="b">
        <x:f>INDEX('EEZ Selection Flags'!$N$2:$N$283,MATCH(A15,'EEZ Selection Flags'!$A$2:$A$283,0))</x:f>
        <x:v>0</x:v>
      </x:c>
    </x:row>
    <x:row r="16" ht="18" customHeight="1">
      <x:c r="A16" s="25" t="str">
        <x:f>'Summary'!A16</x:f>
        <x:v>EEZ_478</x:v>
      </x:c>
      <x:c r="B16" s="25" t="str">
        <x:f>'Summary'!B16</x:f>
        <x:v>Mauritania</x:v>
      </x:c>
      <x:c r="C16" s="25" t="str">
        <x:f>'Summary'!C16</x:f>
        <x:v>EEZ</x:v>
      </x:c>
      <x:c r="D16" s="32" t="n">
        <x:f>'Summary'!E16</x:f>
        <x:v>2210253.937882072</x:v>
      </x:c>
      <x:c r="E16" s="32" t="n">
        <x:f>'Summary'!K16</x:f>
        <x:v>1032601351.4376887</x:v>
      </x:c>
      <x:c r="F16" s="34" t="n">
        <x:f>IF(SUM($E$2:$E$283)=0,"",E16/SUM($E$2:$E$283))</x:f>
        <x:v>0.015541353696746469</x:v>
      </x:c>
      <x:c r="G16" s="35" t="n">
        <x:f>RANK(E16,$E$2:$E$283,0)+COUNTIF($E$2:E16,E16)-1</x:f>
        <x:v>15</x:v>
      </x:c>
      <x:c r="H16" s="34" t="n">
        <x:f>IF(SUM($E$2:$E$283)=0,"",SUM($F$2:F16))</x:f>
        <x:v>0.5392991466876118</x:v>
      </x:c>
      <x:c r="I16" s="25" t="b">
        <x:f>INDEX('EEZ Selection Flags'!$L$2:$L$283,MATCH(A16,'EEZ Selection Flags'!$A$2:$A$283,0))</x:f>
        <x:v>0</x:v>
      </x:c>
      <x:c r="J16" s="25" t="b">
        <x:f>INDEX('EEZ Selection Flags'!$M$2:$M$283,MATCH(A16,'EEZ Selection Flags'!$A$2:$A$283,0))</x:f>
        <x:v>0</x:v>
      </x:c>
      <x:c r="K16" s="25" t="b">
        <x:f>INDEX('EEZ Selection Flags'!$N$2:$N$283,MATCH(A16,'EEZ Selection Flags'!$A$2:$A$283,0))</x:f>
        <x:v>0</x:v>
      </x:c>
    </x:row>
    <x:row r="17" ht="18" customHeight="1">
      <x:c r="A17" s="25" t="str">
        <x:f>'Summary'!A17</x:f>
        <x:v>EEZ_937</x:v>
      </x:c>
      <x:c r="B17" s="25" t="str">
        <x:f>'Summary'!B17</x:f>
        <x:v>Indonesia (Central)</x:v>
      </x:c>
      <x:c r="C17" s="25" t="str">
        <x:f>'Summary'!C17</x:f>
        <x:v>EEZ</x:v>
      </x:c>
      <x:c r="D17" s="32" t="n">
        <x:f>'Summary'!E17</x:f>
        <x:v>1876235.8826732747</x:v>
      </x:c>
      <x:c r="E17" s="32" t="n">
        <x:f>'Summary'!K17</x:f>
        <x:v>1028177964.8470863</x:v>
      </x:c>
      <x:c r="F17" s="34" t="n">
        <x:f>IF(SUM($E$2:$E$283)=0,"",E17/SUM($E$2:$E$283))</x:f>
        <x:v>0.01547477871556299</x:v>
      </x:c>
      <x:c r="G17" s="35" t="n">
        <x:f>RANK(E17,$E$2:$E$283,0)+COUNTIF($E$2:E17,E17)-1</x:f>
        <x:v>16</x:v>
      </x:c>
      <x:c r="H17" s="34" t="n">
        <x:f>IF(SUM($E$2:$E$283)=0,"",SUM($F$2:F17))</x:f>
        <x:v>0.5547739254031748</x:v>
      </x:c>
      <x:c r="I17" s="25" t="b">
        <x:f>INDEX('EEZ Selection Flags'!$L$2:$L$283,MATCH(A17,'EEZ Selection Flags'!$A$2:$A$283,0))</x:f>
        <x:v>0</x:v>
      </x:c>
      <x:c r="J17" s="25" t="b">
        <x:f>INDEX('EEZ Selection Flags'!$M$2:$M$283,MATCH(A17,'EEZ Selection Flags'!$A$2:$A$283,0))</x:f>
        <x:v>0</x:v>
      </x:c>
      <x:c r="K17" s="25" t="b">
        <x:f>INDEX('EEZ Selection Flags'!$N$2:$N$283,MATCH(A17,'EEZ Selection Flags'!$A$2:$A$283,0))</x:f>
        <x:v>0</x:v>
      </x:c>
    </x:row>
    <x:row r="18" ht="18" customHeight="1">
      <x:c r="A18" s="25" t="str">
        <x:f>'Summary'!A18</x:f>
        <x:v>EEZ_410</x:v>
      </x:c>
      <x:c r="B18" s="25" t="str">
        <x:f>'Summary'!B18</x:f>
        <x:v>Korea (South)</x:v>
      </x:c>
      <x:c r="C18" s="25" t="str">
        <x:f>'Summary'!C18</x:f>
        <x:v>EEZ</x:v>
      </x:c>
      <x:c r="D18" s="32" t="n">
        <x:f>'Summary'!E18</x:f>
        <x:v>1692138.9147849004</x:v>
      </x:c>
      <x:c r="E18" s="32" t="n">
        <x:f>'Summary'!K18</x:f>
        <x:v>1001424147.7179294</x:v>
      </x:c>
      <x:c r="F18" s="34" t="n">
        <x:f>IF(SUM($E$2:$E$283)=0,"",E18/SUM($E$2:$E$283))</x:f>
        <x:v>0.015072115544375583</x:v>
      </x:c>
      <x:c r="G18" s="35" t="n">
        <x:f>RANK(E18,$E$2:$E$283,0)+COUNTIF($E$2:E18,E18)-1</x:f>
        <x:v>17</x:v>
      </x:c>
      <x:c r="H18" s="34" t="n">
        <x:f>IF(SUM($E$2:$E$283)=0,"",SUM($F$2:F18))</x:f>
        <x:v>0.5698460409475504</x:v>
      </x:c>
      <x:c r="I18" s="25" t="b">
        <x:f>INDEX('EEZ Selection Flags'!$L$2:$L$283,MATCH(A18,'EEZ Selection Flags'!$A$2:$A$283,0))</x:f>
        <x:v>0</x:v>
      </x:c>
      <x:c r="J18" s="25" t="b">
        <x:f>INDEX('EEZ Selection Flags'!$M$2:$M$283,MATCH(A18,'EEZ Selection Flags'!$A$2:$A$283,0))</x:f>
        <x:v>0</x:v>
      </x:c>
      <x:c r="K18" s="25" t="b">
        <x:f>INDEX('EEZ Selection Flags'!$N$2:$N$283,MATCH(A18,'EEZ Selection Flags'!$A$2:$A$283,0))</x:f>
        <x:v>0</x:v>
      </x:c>
    </x:row>
    <x:row r="19" ht="18" customHeight="1">
      <x:c r="A19" s="25" t="str">
        <x:f>'Summary'!A19</x:f>
        <x:v>EEZ_826</x:v>
      </x:c>
      <x:c r="B19" s="25" t="str">
        <x:f>'Summary'!B19</x:f>
        <x:v>United Kingdom (UK)</x:v>
      </x:c>
      <x:c r="C19" s="25" t="str">
        <x:f>'Summary'!C19</x:f>
        <x:v>EEZ</x:v>
      </x:c>
      <x:c r="D19" s="32" t="n">
        <x:f>'Summary'!E19</x:f>
        <x:v>1714264.7493178481</x:v>
      </x:c>
      <x:c r="E19" s="32" t="n">
        <x:f>'Summary'!K19</x:f>
        <x:v>1000014407.7534399</x:v>
      </x:c>
      <x:c r="F19" s="34" t="n">
        <x:f>IF(SUM($E$2:$E$283)=0,"",E19/SUM($E$2:$E$283))</x:f>
        <x:v>0.015050897997664004</x:v>
      </x:c>
      <x:c r="G19" s="35" t="n">
        <x:f>RANK(E19,$E$2:$E$283,0)+COUNTIF($E$2:E19,E19)-1</x:f>
        <x:v>18</x:v>
      </x:c>
      <x:c r="H19" s="34" t="n">
        <x:f>IF(SUM($E$2:$E$283)=0,"",SUM($F$2:F19))</x:f>
        <x:v>0.5848969389452144</x:v>
      </x:c>
      <x:c r="I19" s="25" t="b">
        <x:f>INDEX('EEZ Selection Flags'!$L$2:$L$283,MATCH(A19,'EEZ Selection Flags'!$A$2:$A$283,0))</x:f>
        <x:v>0</x:v>
      </x:c>
      <x:c r="J19" s="25" t="b">
        <x:f>INDEX('EEZ Selection Flags'!$M$2:$M$283,MATCH(A19,'EEZ Selection Flags'!$A$2:$A$283,0))</x:f>
        <x:v>0</x:v>
      </x:c>
      <x:c r="K19" s="25" t="b">
        <x:f>INDEX('EEZ Selection Flags'!$N$2:$N$283,MATCH(A19,'EEZ Selection Flags'!$A$2:$A$283,0))</x:f>
        <x:v>0</x:v>
      </x:c>
    </x:row>
    <x:row r="20" ht="18" customHeight="1">
      <x:c r="A20" s="25" t="str">
        <x:f>'Summary'!A20</x:f>
        <x:v>EEZ_945</x:v>
      </x:c>
      <x:c r="B20" s="25" t="str">
        <x:f>'Summary'!B20</x:f>
        <x:v>Mexico (Pacific)</x:v>
      </x:c>
      <x:c r="C20" s="25" t="str">
        <x:f>'Summary'!C20</x:f>
        <x:v>EEZ</x:v>
      </x:c>
      <x:c r="D20" s="32" t="n">
        <x:f>'Summary'!E20</x:f>
        <x:v>2162472.018004568</x:v>
      </x:c>
      <x:c r="E20" s="32" t="n">
        <x:f>'Summary'!K20</x:f>
        <x:v>903902972.1574702</x:v>
      </x:c>
      <x:c r="F20" s="34" t="n">
        <x:f>IF(SUM($E$2:$E$283)=0,"",E20/SUM($E$2:$E$283))</x:f>
        <x:v>0.01360435542552873</x:v>
      </x:c>
      <x:c r="G20" s="35" t="n">
        <x:f>RANK(E20,$E$2:$E$283,0)+COUNTIF($E$2:E20,E20)-1</x:f>
        <x:v>19</x:v>
      </x:c>
      <x:c r="H20" s="34" t="n">
        <x:f>IF(SUM($E$2:$E$283)=0,"",SUM($F$2:F20))</x:f>
        <x:v>0.5985012943707432</x:v>
      </x:c>
      <x:c r="I20" s="25" t="b">
        <x:f>INDEX('EEZ Selection Flags'!$L$2:$L$283,MATCH(A20,'EEZ Selection Flags'!$A$2:$A$283,0))</x:f>
        <x:v>0</x:v>
      </x:c>
      <x:c r="J20" s="25" t="b">
        <x:f>INDEX('EEZ Selection Flags'!$M$2:$M$283,MATCH(A20,'EEZ Selection Flags'!$A$2:$A$283,0))</x:f>
        <x:v>1</x:v>
      </x:c>
      <x:c r="K20" s="25" t="b">
        <x:f>INDEX('EEZ Selection Flags'!$N$2:$N$283,MATCH(A20,'EEZ Selection Flags'!$A$2:$A$283,0))</x:f>
        <x:v>0</x:v>
      </x:c>
    </x:row>
    <x:row r="21" ht="18" customHeight="1">
      <x:c r="A21" s="25" t="str">
        <x:f>'Summary'!A21</x:f>
        <x:v>EEZ_848</x:v>
      </x:c>
      <x:c r="B21" s="25" t="str">
        <x:f>'Summary'!B21</x:f>
        <x:v>USA (West Coast)</x:v>
      </x:c>
      <x:c r="C21" s="25" t="str">
        <x:f>'Summary'!C21</x:f>
        <x:v>EEZ</x:v>
      </x:c>
      <x:c r="D21" s="32" t="n">
        <x:f>'Summary'!E21</x:f>
        <x:v>480242.05511345976</x:v>
      </x:c>
      <x:c r="E21" s="32" t="n">
        <x:f>'Summary'!K21</x:f>
        <x:v>855756640.2092203</x:v>
      </x:c>
      <x:c r="F21" s="34" t="n">
        <x:f>IF(SUM($E$2:$E$283)=0,"",E21/SUM($E$2:$E$283))</x:f>
        <x:v>0.01287972033477767</x:v>
      </x:c>
      <x:c r="G21" s="35" t="n">
        <x:f>RANK(E21,$E$2:$E$283,0)+COUNTIF($E$2:E21,E21)-1</x:f>
        <x:v>20</x:v>
      </x:c>
      <x:c r="H21" s="34" t="n">
        <x:f>IF(SUM($E$2:$E$283)=0,"",SUM($F$2:F21))</x:f>
        <x:v>0.6113810147055209</x:v>
      </x:c>
      <x:c r="I21" s="25" t="b">
        <x:f>INDEX('EEZ Selection Flags'!$L$2:$L$283,MATCH(A21,'EEZ Selection Flags'!$A$2:$A$283,0))</x:f>
        <x:v>0</x:v>
      </x:c>
      <x:c r="J21" s="25" t="b">
        <x:f>INDEX('EEZ Selection Flags'!$M$2:$M$283,MATCH(A21,'EEZ Selection Flags'!$A$2:$A$283,0))</x:f>
        <x:v>0</x:v>
      </x:c>
      <x:c r="K21" s="25" t="b">
        <x:f>INDEX('EEZ Selection Flags'!$N$2:$N$283,MATCH(A21,'EEZ Selection Flags'!$A$2:$A$283,0))</x:f>
        <x:v>0</x:v>
      </x:c>
    </x:row>
    <x:row r="22" ht="18" customHeight="1">
      <x:c r="A22" s="25" t="str">
        <x:f>'Summary'!A22</x:f>
        <x:v>EEZ_554</x:v>
      </x:c>
      <x:c r="B22" s="25" t="str">
        <x:f>'Summary'!B22</x:f>
        <x:v>New Zealand</x:v>
      </x:c>
      <x:c r="C22" s="25" t="str">
        <x:f>'Summary'!C22</x:f>
        <x:v>EEZ</x:v>
      </x:c>
      <x:c r="D22" s="32" t="n">
        <x:f>'Summary'!E22</x:f>
        <x:v>536634.0092869516</x:v>
      </x:c>
      <x:c r="E22" s="32" t="n">
        <x:f>'Summary'!K22</x:f>
        <x:v>844346453.6499316</x:v>
      </x:c>
      <x:c r="F22" s="34" t="n">
        <x:f>IF(SUM($E$2:$E$283)=0,"",E22/SUM($E$2:$E$283))</x:f>
        <x:v>0.012707989254998555</x:v>
      </x:c>
      <x:c r="G22" s="35" t="n">
        <x:f>RANK(E22,$E$2:$E$283,0)+COUNTIF($E$2:E22,E22)-1</x:f>
        <x:v>21</x:v>
      </x:c>
      <x:c r="H22" s="34" t="n">
        <x:f>IF(SUM($E$2:$E$283)=0,"",SUM($F$2:F22))</x:f>
        <x:v>0.6240890039605195</x:v>
      </x:c>
      <x:c r="I22" s="25" t="b">
        <x:f>INDEX('EEZ Selection Flags'!$L$2:$L$283,MATCH(A22,'EEZ Selection Flags'!$A$2:$A$283,0))</x:f>
        <x:v>0</x:v>
      </x:c>
      <x:c r="J22" s="25" t="b">
        <x:f>INDEX('EEZ Selection Flags'!$M$2:$M$283,MATCH(A22,'EEZ Selection Flags'!$A$2:$A$283,0))</x:f>
        <x:v>0</x:v>
      </x:c>
      <x:c r="K22" s="25" t="b">
        <x:f>INDEX('EEZ Selection Flags'!$N$2:$N$283,MATCH(A22,'EEZ Selection Flags'!$A$2:$A$283,0))</x:f>
        <x:v>0</x:v>
      </x:c>
    </x:row>
    <x:row r="23" ht="18" customHeight="1">
      <x:c r="A23" s="25" t="str">
        <x:f>'Summary'!A23</x:f>
        <x:v>EEZ_586</x:v>
      </x:c>
      <x:c r="B23" s="25" t="str">
        <x:f>'Summary'!B23</x:f>
        <x:v>Pakistan</x:v>
      </x:c>
      <x:c r="C23" s="25" t="str">
        <x:f>'Summary'!C23</x:f>
        <x:v>EEZ</x:v>
      </x:c>
      <x:c r="D23" s="32" t="n">
        <x:f>'Summary'!E23</x:f>
        <x:v>930340.2931580818</x:v>
      </x:c>
      <x:c r="E23" s="32" t="n">
        <x:f>'Summary'!K23</x:f>
        <x:v>790261291.1785368</x:v>
      </x:c>
      <x:c r="F23" s="34" t="n">
        <x:f>IF(SUM($E$2:$E$283)=0,"",E23/SUM($E$2:$E$283))</x:f>
        <x:v>0.011893970719632859</x:v>
      </x:c>
      <x:c r="G23" s="35" t="n">
        <x:f>RANK(E23,$E$2:$E$283,0)+COUNTIF($E$2:E23,E23)-1</x:f>
        <x:v>22</x:v>
      </x:c>
      <x:c r="H23" s="34" t="n">
        <x:f>IF(SUM($E$2:$E$283)=0,"",SUM($F$2:F23))</x:f>
        <x:v>0.6359829746801523</x:v>
      </x:c>
      <x:c r="I23" s="25" t="b">
        <x:f>INDEX('EEZ Selection Flags'!$L$2:$L$283,MATCH(A23,'EEZ Selection Flags'!$A$2:$A$283,0))</x:f>
        <x:v>0</x:v>
      </x:c>
      <x:c r="J23" s="25" t="b">
        <x:f>INDEX('EEZ Selection Flags'!$M$2:$M$283,MATCH(A23,'EEZ Selection Flags'!$A$2:$A$283,0))</x:f>
        <x:v>0</x:v>
      </x:c>
      <x:c r="K23" s="25" t="b">
        <x:f>INDEX('EEZ Selection Flags'!$N$2:$N$283,MATCH(A23,'EEZ Selection Flags'!$A$2:$A$283,0))</x:f>
        <x:v>0</x:v>
      </x:c>
    </x:row>
    <x:row r="24" ht="18" customHeight="1">
      <x:c r="A24" s="25" t="str">
        <x:f>'Summary'!A24</x:f>
        <x:v>EEZ_352</x:v>
      </x:c>
      <x:c r="B24" s="25" t="str">
        <x:f>'Summary'!B24</x:f>
        <x:v>Iceland</x:v>
      </x:c>
      <x:c r="C24" s="25" t="str">
        <x:f>'Summary'!C24</x:f>
        <x:v>EEZ</x:v>
      </x:c>
      <x:c r="D24" s="32" t="n">
        <x:f>'Summary'!E24</x:f>
        <x:v>755890.0550702651</x:v>
      </x:c>
      <x:c r="E24" s="32" t="n">
        <x:f>'Summary'!K24</x:f>
        <x:v>746373735.3016173</x:v>
      </x:c>
      <x:c r="F24" s="34" t="n">
        <x:f>IF(SUM($E$2:$E$283)=0,"",E24/SUM($E$2:$E$283))</x:f>
        <x:v>0.011233433109625587</x:v>
      </x:c>
      <x:c r="G24" s="35" t="n">
        <x:f>RANK(E24,$E$2:$E$283,0)+COUNTIF($E$2:E24,E24)-1</x:f>
        <x:v>23</x:v>
      </x:c>
      <x:c r="H24" s="34" t="n">
        <x:f>IF(SUM($E$2:$E$283)=0,"",SUM($F$2:F24))</x:f>
        <x:v>0.6472164077897778</x:v>
      </x:c>
      <x:c r="I24" s="25" t="b">
        <x:f>INDEX('EEZ Selection Flags'!$L$2:$L$283,MATCH(A24,'EEZ Selection Flags'!$A$2:$A$283,0))</x:f>
        <x:v>0</x:v>
      </x:c>
      <x:c r="J24" s="25" t="b">
        <x:f>INDEX('EEZ Selection Flags'!$M$2:$M$283,MATCH(A24,'EEZ Selection Flags'!$A$2:$A$283,0))</x:f>
        <x:v>0</x:v>
      </x:c>
      <x:c r="K24" s="25" t="b">
        <x:f>INDEX('EEZ Selection Flags'!$N$2:$N$283,MATCH(A24,'EEZ Selection Flags'!$A$2:$A$283,0))</x:f>
        <x:v>0</x:v>
      </x:c>
    </x:row>
    <x:row r="25" ht="18" customHeight="1">
      <x:c r="A25" s="25" t="str">
        <x:f>'Summary'!A25</x:f>
        <x:v>EEZ_957</x:v>
      </x:c>
      <x:c r="B25" s="25" t="str">
        <x:f>'Summary'!B25</x:f>
        <x:v>Thailand (Gulf of Thailand)</x:v>
      </x:c>
      <x:c r="C25" s="25" t="str">
        <x:f>'Summary'!C25</x:f>
        <x:v>EEZ</x:v>
      </x:c>
      <x:c r="D25" s="32" t="n">
        <x:f>'Summary'!E25</x:f>
        <x:v>1326966.3114427112</x:v>
      </x:c>
      <x:c r="E25" s="32" t="n">
        <x:f>'Summary'!K25</x:f>
        <x:v>739082508.1879923</x:v>
      </x:c>
      <x:c r="F25" s="34" t="n">
        <x:f>IF(SUM($E$2:$E$283)=0,"",E25/SUM($E$2:$E$283))</x:f>
        <x:v>0.01112369517513772</x:v>
      </x:c>
      <x:c r="G25" s="35" t="n">
        <x:f>RANK(E25,$E$2:$E$283,0)+COUNTIF($E$2:E25,E25)-1</x:f>
        <x:v>24</x:v>
      </x:c>
      <x:c r="H25" s="34" t="n">
        <x:f>IF(SUM($E$2:$E$283)=0,"",SUM($F$2:F25))</x:f>
        <x:v>0.6583401029649155</x:v>
      </x:c>
      <x:c r="I25" s="25" t="b">
        <x:f>INDEX('EEZ Selection Flags'!$L$2:$L$283,MATCH(A25,'EEZ Selection Flags'!$A$2:$A$283,0))</x:f>
        <x:v>0</x:v>
      </x:c>
      <x:c r="J25" s="25" t="b">
        <x:f>INDEX('EEZ Selection Flags'!$M$2:$M$283,MATCH(A25,'EEZ Selection Flags'!$A$2:$A$283,0))</x:f>
        <x:v>0</x:v>
      </x:c>
      <x:c r="K25" s="25" t="b">
        <x:f>INDEX('EEZ Selection Flags'!$N$2:$N$283,MATCH(A25,'EEZ Selection Flags'!$A$2:$A$283,0))</x:f>
        <x:v>0</x:v>
      </x:c>
    </x:row>
    <x:row r="26" ht="18" customHeight="1">
      <x:c r="A26" s="25" t="str">
        <x:f>'Summary'!A26</x:f>
        <x:v>EEZ_104</x:v>
      </x:c>
      <x:c r="B26" s="25" t="str">
        <x:f>'Summary'!B26</x:f>
        <x:v>Myanmar</x:v>
      </x:c>
      <x:c r="C26" s="25" t="str">
        <x:f>'Summary'!C26</x:f>
        <x:v>EEZ</x:v>
      </x:c>
      <x:c r="D26" s="32" t="n">
        <x:f>'Summary'!E26</x:f>
        <x:v>1333934.8992368777</x:v>
      </x:c>
      <x:c r="E26" s="32" t="n">
        <x:f>'Summary'!K26</x:f>
        <x:v>719846370.2034029</x:v>
      </x:c>
      <x:c r="F26" s="34" t="n">
        <x:f>IF(SUM($E$2:$E$283)=0,"",E26/SUM($E$2:$E$283))</x:f>
        <x:v>0.010834178195751928</x:v>
      </x:c>
      <x:c r="G26" s="35" t="n">
        <x:f>RANK(E26,$E$2:$E$283,0)+COUNTIF($E$2:E26,E26)-1</x:f>
        <x:v>25</x:v>
      </x:c>
      <x:c r="H26" s="34" t="n">
        <x:f>IF(SUM($E$2:$E$283)=0,"",SUM($F$2:F26))</x:f>
        <x:v>0.6691742811606675</x:v>
      </x:c>
      <x:c r="I26" s="25" t="b">
        <x:f>INDEX('EEZ Selection Flags'!$L$2:$L$283,MATCH(A26,'EEZ Selection Flags'!$A$2:$A$283,0))</x:f>
        <x:v>0</x:v>
      </x:c>
      <x:c r="J26" s="25" t="b">
        <x:f>INDEX('EEZ Selection Flags'!$M$2:$M$283,MATCH(A26,'EEZ Selection Flags'!$A$2:$A$283,0))</x:f>
        <x:v>0</x:v>
      </x:c>
      <x:c r="K26" s="25" t="b">
        <x:f>INDEX('EEZ Selection Flags'!$N$2:$N$283,MATCH(A26,'EEZ Selection Flags'!$A$2:$A$283,0))</x:f>
        <x:v>0</x:v>
      </x:c>
    </x:row>
    <x:row r="27" ht="18" customHeight="1">
      <x:c r="A27" s="25" t="str">
        <x:f>'Summary'!A27</x:f>
        <x:v>EEZ_157</x:v>
      </x:c>
      <x:c r="B27" s="25" t="str">
        <x:f>'Summary'!B27</x:f>
        <x:v>Taiwan</x:v>
      </x:c>
      <x:c r="C27" s="25" t="str">
        <x:f>'Summary'!C27</x:f>
        <x:v>EEZ</x:v>
      </x:c>
      <x:c r="D27" s="32" t="n">
        <x:f>'Summary'!E27</x:f>
        <x:v>974842.5837373973</x:v>
      </x:c>
      <x:c r="E27" s="32" t="n">
        <x:f>'Summary'!K27</x:f>
        <x:v>651770218.0518247</x:v>
      </x:c>
      <x:c r="F27" s="34" t="n">
        <x:f>IF(SUM($E$2:$E$283)=0,"",E27/SUM($E$2:$E$283))</x:f>
        <x:v>0.009809585735720612</x:v>
      </x:c>
      <x:c r="G27" s="35" t="n">
        <x:f>RANK(E27,$E$2:$E$283,0)+COUNTIF($E$2:E27,E27)-1</x:f>
        <x:v>26</x:v>
      </x:c>
      <x:c r="H27" s="34" t="n">
        <x:f>IF(SUM($E$2:$E$283)=0,"",SUM($F$2:F27))</x:f>
        <x:v>0.6789838668963881</x:v>
      </x:c>
      <x:c r="I27" s="25" t="b">
        <x:f>INDEX('EEZ Selection Flags'!$L$2:$L$283,MATCH(A27,'EEZ Selection Flags'!$A$2:$A$283,0))</x:f>
        <x:v>0</x:v>
      </x:c>
      <x:c r="J27" s="25" t="b">
        <x:f>INDEX('EEZ Selection Flags'!$M$2:$M$283,MATCH(A27,'EEZ Selection Flags'!$A$2:$A$283,0))</x:f>
        <x:v>0</x:v>
      </x:c>
      <x:c r="K27" s="25" t="b">
        <x:f>INDEX('EEZ Selection Flags'!$N$2:$N$283,MATCH(A27,'EEZ Selection Flags'!$A$2:$A$283,0))</x:f>
        <x:v>0</x:v>
      </x:c>
    </x:row>
    <x:row r="28" ht="18" customHeight="1">
      <x:c r="A28" s="25" t="str">
        <x:f>'Summary'!A28</x:f>
        <x:v>EEZ_076</x:v>
      </x:c>
      <x:c r="B28" s="25" t="str">
        <x:f>'Summary'!B28</x:f>
        <x:v>Brazil (mainland)</x:v>
      </x:c>
      <x:c r="C28" s="25" t="str">
        <x:f>'Summary'!C28</x:f>
        <x:v>EEZ</x:v>
      </x:c>
      <x:c r="D28" s="32" t="n">
        <x:f>'Summary'!E28</x:f>
        <x:v>904109.1796290667</x:v>
      </x:c>
      <x:c r="E28" s="32" t="n">
        <x:f>'Summary'!K28</x:f>
        <x:v>632611601.862448</x:v>
      </x:c>
      <x:c r="F28" s="34" t="n">
        <x:f>IF(SUM($E$2:$E$283)=0,"",E28/SUM($E$2:$E$283))</x:f>
        <x:v>0.009521235512156834</x:v>
      </x:c>
      <x:c r="G28" s="35" t="n">
        <x:f>RANK(E28,$E$2:$E$283,0)+COUNTIF($E$2:E28,E28)-1</x:f>
        <x:v>27</x:v>
      </x:c>
      <x:c r="H28" s="34" t="n">
        <x:f>IF(SUM($E$2:$E$283)=0,"",SUM($F$2:F28))</x:f>
        <x:v>0.6885051024085449</x:v>
      </x:c>
      <x:c r="I28" s="25" t="b">
        <x:f>INDEX('EEZ Selection Flags'!$L$2:$L$283,MATCH(A28,'EEZ Selection Flags'!$A$2:$A$283,0))</x:f>
        <x:v>0</x:v>
      </x:c>
      <x:c r="J28" s="25" t="b">
        <x:f>INDEX('EEZ Selection Flags'!$M$2:$M$283,MATCH(A28,'EEZ Selection Flags'!$A$2:$A$283,0))</x:f>
        <x:v>1</x:v>
      </x:c>
      <x:c r="K28" s="25" t="b">
        <x:f>INDEX('EEZ Selection Flags'!$N$2:$N$283,MATCH(A28,'EEZ Selection Flags'!$A$2:$A$283,0))</x:f>
        <x:v>0</x:v>
      </x:c>
    </x:row>
    <x:row r="29" ht="18" customHeight="1">
      <x:c r="A29" s="25" t="str">
        <x:f>'Summary'!A29</x:f>
        <x:v>EEZ_851</x:v>
      </x:c>
      <x:c r="B29" s="25" t="str">
        <x:f>'Summary'!B29</x:f>
        <x:v>USA (East Coast)</x:v>
      </x:c>
      <x:c r="C29" s="25" t="str">
        <x:f>'Summary'!C29</x:f>
        <x:v>EEZ</x:v>
      </x:c>
      <x:c r="D29" s="32" t="n">
        <x:f>'Summary'!E29</x:f>
        <x:v>1002996.0875079746</x:v>
      </x:c>
      <x:c r="E29" s="32" t="n">
        <x:f>'Summary'!K29</x:f>
        <x:v>625895294.1062337</x:v>
      </x:c>
      <x:c r="F29" s="34" t="n">
        <x:f>IF(SUM($E$2:$E$283)=0,"",E29/SUM($E$2:$E$283))</x:f>
        <x:v>0.009420150505604984</x:v>
      </x:c>
      <x:c r="G29" s="35" t="n">
        <x:f>RANK(E29,$E$2:$E$283,0)+COUNTIF($E$2:E29,E29)-1</x:f>
        <x:v>28</x:v>
      </x:c>
      <x:c r="H29" s="34" t="n">
        <x:f>IF(SUM($E$2:$E$283)=0,"",SUM($F$2:F29))</x:f>
        <x:v>0.6979252529141499</x:v>
      </x:c>
      <x:c r="I29" s="25" t="b">
        <x:f>INDEX('EEZ Selection Flags'!$L$2:$L$283,MATCH(A29,'EEZ Selection Flags'!$A$2:$A$283,0))</x:f>
        <x:v>0</x:v>
      </x:c>
      <x:c r="J29" s="25" t="b">
        <x:f>INDEX('EEZ Selection Flags'!$M$2:$M$283,MATCH(A29,'EEZ Selection Flags'!$A$2:$A$283,0))</x:f>
        <x:v>0</x:v>
      </x:c>
      <x:c r="K29" s="25" t="b">
        <x:f>INDEX('EEZ Selection Flags'!$N$2:$N$283,MATCH(A29,'EEZ Selection Flags'!$A$2:$A$283,0))</x:f>
        <x:v>0</x:v>
      </x:c>
    </x:row>
    <x:row r="30" ht="18" customHeight="1">
      <x:c r="A30" s="25" t="str">
        <x:f>'Summary'!A30</x:f>
        <x:v>EEZ_624</x:v>
      </x:c>
      <x:c r="B30" s="25" t="str">
        <x:f>'Summary'!B30</x:f>
        <x:v>Guinea-Bissau</x:v>
      </x:c>
      <x:c r="C30" s="25" t="str">
        <x:f>'Summary'!C30</x:f>
        <x:v>EEZ</x:v>
      </x:c>
      <x:c r="D30" s="32" t="n">
        <x:f>'Summary'!E30</x:f>
        <x:v>1133937.8605595871</x:v>
      </x:c>
      <x:c r="E30" s="32" t="n">
        <x:f>'Summary'!K30</x:f>
        <x:v>583910166.0894275</x:v>
      </x:c>
      <x:c r="F30" s="34" t="n">
        <x:f>IF(SUM($E$2:$E$283)=0,"",E30/SUM($E$2:$E$283))</x:f>
        <x:v>0.008788245730733361</x:v>
      </x:c>
      <x:c r="G30" s="35" t="n">
        <x:f>RANK(E30,$E$2:$E$283,0)+COUNTIF($E$2:E30,E30)-1</x:f>
        <x:v>29</x:v>
      </x:c>
      <x:c r="H30" s="34" t="n">
        <x:f>IF(SUM($E$2:$E$283)=0,"",SUM($F$2:F30))</x:f>
        <x:v>0.7067134986448832</x:v>
      </x:c>
      <x:c r="I30" s="25" t="b">
        <x:f>INDEX('EEZ Selection Flags'!$L$2:$L$283,MATCH(A30,'EEZ Selection Flags'!$A$2:$A$283,0))</x:f>
        <x:v>0</x:v>
      </x:c>
      <x:c r="J30" s="25" t="b">
        <x:f>INDEX('EEZ Selection Flags'!$M$2:$M$283,MATCH(A30,'EEZ Selection Flags'!$A$2:$A$283,0))</x:f>
        <x:v>0</x:v>
      </x:c>
      <x:c r="K30" s="25" t="b">
        <x:f>INDEX('EEZ Selection Flags'!$N$2:$N$283,MATCH(A30,'EEZ Selection Flags'!$A$2:$A$283,0))</x:f>
        <x:v>0</x:v>
      </x:c>
    </x:row>
    <x:row r="31" ht="18" customHeight="1">
      <x:c r="A31" s="25" t="str">
        <x:f>'Summary'!A31</x:f>
        <x:v>EEZ_583</x:v>
      </x:c>
      <x:c r="B31" s="25" t="str">
        <x:f>'Summary'!B31</x:f>
        <x:v>Micronesia (Federated States of)</x:v>
      </x:c>
      <x:c r="C31" s="25" t="str">
        <x:f>'Summary'!C31</x:f>
        <x:v>EEZ</x:v>
      </x:c>
      <x:c r="D31" s="32" t="n">
        <x:f>'Summary'!E31</x:f>
        <x:v>227502.48946383104</x:v>
      </x:c>
      <x:c r="E31" s="32" t="n">
        <x:f>'Summary'!K31</x:f>
        <x:v>577443311.7451106</x:v>
      </x:c>
      <x:c r="F31" s="34" t="n">
        <x:f>IF(SUM($E$2:$E$283)=0,"",E31/SUM($E$2:$E$283))</x:f>
        <x:v>0.00869091516794605</x:v>
      </x:c>
      <x:c r="G31" s="35" t="n">
        <x:f>RANK(E31,$E$2:$E$283,0)+COUNTIF($E$2:E31,E31)-1</x:f>
        <x:v>30</x:v>
      </x:c>
      <x:c r="H31" s="34" t="n">
        <x:f>IF(SUM($E$2:$E$283)=0,"",SUM($F$2:F31))</x:f>
        <x:v>0.7154044138128293</x:v>
      </x:c>
      <x:c r="I31" s="25" t="b">
        <x:f>INDEX('EEZ Selection Flags'!$L$2:$L$283,MATCH(A31,'EEZ Selection Flags'!$A$2:$A$283,0))</x:f>
        <x:v>1</x:v>
      </x:c>
      <x:c r="J31" s="25" t="b">
        <x:f>INDEX('EEZ Selection Flags'!$M$2:$M$283,MATCH(A31,'EEZ Selection Flags'!$A$2:$A$283,0))</x:f>
        <x:v>0</x:v>
      </x:c>
      <x:c r="K31" s="25" t="b">
        <x:f>INDEX('EEZ Selection Flags'!$N$2:$N$283,MATCH(A31,'EEZ Selection Flags'!$A$2:$A$283,0))</x:f>
        <x:v>0</x:v>
      </x:c>
    </x:row>
    <x:row r="32" ht="18" customHeight="1">
      <x:c r="A32" s="25" t="str">
        <x:f>'Summary'!A32</x:f>
        <x:v>EEZ_234</x:v>
      </x:c>
      <x:c r="B32" s="25" t="str">
        <x:f>'Summary'!B32</x:f>
        <x:v>Faeroe Isl. (Denmark)</x:v>
      </x:c>
      <x:c r="C32" s="25" t="str">
        <x:f>'Summary'!C32</x:f>
        <x:v>EEZ</x:v>
      </x:c>
      <x:c r="D32" s="32" t="n">
        <x:f>'Summary'!E32</x:f>
        <x:v>573325.9947069994</x:v>
      </x:c>
      <x:c r="E32" s="32" t="n">
        <x:f>'Summary'!K32</x:f>
        <x:v>566189494.4616262</x:v>
      </x:c>
      <x:c r="F32" s="34" t="n">
        <x:f>IF(SUM($E$2:$E$283)=0,"",E32/SUM($E$2:$E$283))</x:f>
        <x:v>0.008521537552278902</x:v>
      </x:c>
      <x:c r="G32" s="35" t="n">
        <x:f>RANK(E32,$E$2:$E$283,0)+COUNTIF($E$2:E32,E32)-1</x:f>
        <x:v>31</x:v>
      </x:c>
      <x:c r="H32" s="34" t="n">
        <x:f>IF(SUM($E$2:$E$283)=0,"",SUM($F$2:F32))</x:f>
        <x:v>0.7239259513651082</x:v>
      </x:c>
      <x:c r="I32" s="25" t="b">
        <x:f>INDEX('EEZ Selection Flags'!$L$2:$L$283,MATCH(A32,'EEZ Selection Flags'!$A$2:$A$283,0))</x:f>
        <x:v>0</x:v>
      </x:c>
      <x:c r="J32" s="25" t="b">
        <x:f>INDEX('EEZ Selection Flags'!$M$2:$M$283,MATCH(A32,'EEZ Selection Flags'!$A$2:$A$283,0))</x:f>
        <x:v>1</x:v>
      </x:c>
      <x:c r="K32" s="25" t="b">
        <x:f>INDEX('EEZ Selection Flags'!$N$2:$N$283,MATCH(A32,'EEZ Selection Flags'!$A$2:$A$283,0))</x:f>
        <x:v>0</x:v>
      </x:c>
    </x:row>
    <x:row r="33" ht="18" customHeight="1">
      <x:c r="A33" s="25" t="str">
        <x:f>'Summary'!A33</x:f>
        <x:v>EEZ_459</x:v>
      </x:c>
      <x:c r="B33" s="25" t="str">
        <x:f>'Summary'!B33</x:f>
        <x:v>Malaysia (Peninsula West)</x:v>
      </x:c>
      <x:c r="C33" s="25" t="str">
        <x:f>'Summary'!C33</x:f>
        <x:v>EEZ</x:v>
      </x:c>
      <x:c r="D33" s="32" t="n">
        <x:f>'Summary'!E33</x:f>
        <x:v>1109839.2864373184</x:v>
      </x:c>
      <x:c r="E33" s="32" t="n">
        <x:f>'Summary'!K33</x:f>
        <x:v>545876685.8837115</x:v>
      </x:c>
      <x:c r="F33" s="34" t="n">
        <x:f>IF(SUM($E$2:$E$283)=0,"",E33/SUM($E$2:$E$283))</x:f>
        <x:v>0.008215815947088142</x:v>
      </x:c>
      <x:c r="G33" s="35" t="n">
        <x:f>RANK(E33,$E$2:$E$283,0)+COUNTIF($E$2:E33,E33)-1</x:f>
        <x:v>32</x:v>
      </x:c>
      <x:c r="H33" s="34" t="n">
        <x:f>IF(SUM($E$2:$E$283)=0,"",SUM($F$2:F33))</x:f>
        <x:v>0.7321417673121963</x:v>
      </x:c>
      <x:c r="I33" s="25" t="b">
        <x:f>INDEX('EEZ Selection Flags'!$L$2:$L$283,MATCH(A33,'EEZ Selection Flags'!$A$2:$A$283,0))</x:f>
        <x:v>0</x:v>
      </x:c>
      <x:c r="J33" s="25" t="b">
        <x:f>INDEX('EEZ Selection Flags'!$M$2:$M$283,MATCH(A33,'EEZ Selection Flags'!$A$2:$A$283,0))</x:f>
        <x:v>0</x:v>
      </x:c>
      <x:c r="K33" s="25" t="b">
        <x:f>INDEX('EEZ Selection Flags'!$N$2:$N$283,MATCH(A33,'EEZ Selection Flags'!$A$2:$A$283,0))</x:f>
        <x:v>0</x:v>
      </x:c>
    </x:row>
    <x:row r="34" ht="18" customHeight="1">
      <x:c r="A34" s="25" t="str">
        <x:f>'Summary'!A34</x:f>
        <x:v>EEZ_948</x:v>
      </x:c>
      <x:c r="B34" s="25" t="str">
        <x:f>'Summary'!B34</x:f>
        <x:v>Morocco (South)</x:v>
      </x:c>
      <x:c r="C34" s="25" t="str">
        <x:f>'Summary'!C34</x:f>
        <x:v>EEZ</x:v>
      </x:c>
      <x:c r="D34" s="32" t="n">
        <x:f>'Summary'!E34</x:f>
        <x:v>1708699.3094834066</x:v>
      </x:c>
      <x:c r="E34" s="32" t="n">
        <x:f>'Summary'!K34</x:f>
        <x:v>544607108.7029006</x:v>
      </x:c>
      <x:c r="F34" s="34" t="n">
        <x:f>IF(SUM($E$2:$E$283)=0,"",E34/SUM($E$2:$E$283))</x:f>
        <x:v>0.00819670794574297</x:v>
      </x:c>
      <x:c r="G34" s="35" t="n">
        <x:f>RANK(E34,$E$2:$E$283,0)+COUNTIF($E$2:E34,E34)-1</x:f>
        <x:v>33</x:v>
      </x:c>
      <x:c r="H34" s="34" t="n">
        <x:f>IF(SUM($E$2:$E$283)=0,"",SUM($F$2:F34))</x:f>
        <x:v>0.7403384752579393</x:v>
      </x:c>
      <x:c r="I34" s="25" t="b">
        <x:f>INDEX('EEZ Selection Flags'!$L$2:$L$283,MATCH(A34,'EEZ Selection Flags'!$A$2:$A$283,0))</x:f>
        <x:v>0</x:v>
      </x:c>
      <x:c r="J34" s="25" t="b">
        <x:f>INDEX('EEZ Selection Flags'!$M$2:$M$283,MATCH(A34,'EEZ Selection Flags'!$A$2:$A$283,0))</x:f>
        <x:v>0</x:v>
      </x:c>
      <x:c r="K34" s="25" t="b">
        <x:f>INDEX('EEZ Selection Flags'!$N$2:$N$283,MATCH(A34,'EEZ Selection Flags'!$A$2:$A$283,0))</x:f>
        <x:v>0</x:v>
      </x:c>
    </x:row>
    <x:row r="35" ht="18" customHeight="1">
      <x:c r="A35" s="25" t="str">
        <x:f>'Summary'!A35</x:f>
        <x:v>EEZ_516</x:v>
      </x:c>
      <x:c r="B35" s="25" t="str">
        <x:f>'Summary'!B35</x:f>
        <x:v>Namibia</x:v>
      </x:c>
      <x:c r="C35" s="25" t="str">
        <x:f>'Summary'!C35</x:f>
        <x:v>EEZ</x:v>
      </x:c>
      <x:c r="D35" s="32" t="n">
        <x:f>'Summary'!E35</x:f>
        <x:v>687243.3923951921</x:v>
      </x:c>
      <x:c r="E35" s="32" t="n">
        <x:f>'Summary'!K35</x:f>
        <x:v>508372691.890099</x:v>
      </x:c>
      <x:c r="F35" s="34" t="n">
        <x:f>IF(SUM($E$2:$E$283)=0,"",E35/SUM($E$2:$E$283))</x:f>
        <x:v>0.0076513552915952274</x:v>
      </x:c>
      <x:c r="G35" s="35" t="n">
        <x:f>RANK(E35,$E$2:$E$283,0)+COUNTIF($E$2:E35,E35)-1</x:f>
        <x:v>34</x:v>
      </x:c>
      <x:c r="H35" s="34" t="n">
        <x:f>IF(SUM($E$2:$E$283)=0,"",SUM($F$2:F35))</x:f>
        <x:v>0.7479898305495345</x:v>
      </x:c>
      <x:c r="I35" s="25" t="b">
        <x:f>INDEX('EEZ Selection Flags'!$L$2:$L$283,MATCH(A35,'EEZ Selection Flags'!$A$2:$A$283,0))</x:f>
        <x:v>0</x:v>
      </x:c>
      <x:c r="J35" s="25" t="b">
        <x:f>INDEX('EEZ Selection Flags'!$M$2:$M$283,MATCH(A35,'EEZ Selection Flags'!$A$2:$A$283,0))</x:f>
        <x:v>0</x:v>
      </x:c>
      <x:c r="K35" s="25" t="b">
        <x:f>INDEX('EEZ Selection Flags'!$N$2:$N$283,MATCH(A35,'EEZ Selection Flags'!$A$2:$A$283,0))</x:f>
        <x:v>0</x:v>
      </x:c>
    </x:row>
    <x:row r="36" ht="18" customHeight="1">
      <x:c r="A36" s="25" t="str">
        <x:f>'Summary'!A36</x:f>
        <x:v>EEZ_923</x:v>
      </x:c>
      <x:c r="B36" s="25" t="str">
        <x:f>'Summary'!B36</x:f>
        <x:v>Iran (Sea of Oman)</x:v>
      </x:c>
      <x:c r="C36" s="25" t="str">
        <x:f>'Summary'!C36</x:f>
        <x:v>EEZ</x:v>
      </x:c>
      <x:c r="D36" s="32" t="n">
        <x:f>'Summary'!E36</x:f>
        <x:v>367466.85709092283</x:v>
      </x:c>
      <x:c r="E36" s="32" t="n">
        <x:f>'Summary'!K36</x:f>
        <x:v>498970402.0793729</x:v>
      </x:c>
      <x:c r="F36" s="34" t="n">
        <x:f>IF(SUM($E$2:$E$283)=0,"",E36/SUM($E$2:$E$283))</x:f>
        <x:v>0.00750984442556318</x:v>
      </x:c>
      <x:c r="G36" s="35" t="n">
        <x:f>RANK(E36,$E$2:$E$283,0)+COUNTIF($E$2:E36,E36)-1</x:f>
        <x:v>35</x:v>
      </x:c>
      <x:c r="H36" s="34" t="n">
        <x:f>IF(SUM($E$2:$E$283)=0,"",SUM($F$2:F36))</x:f>
        <x:v>0.7554996749750976</x:v>
      </x:c>
      <x:c r="I36" s="25" t="b">
        <x:f>INDEX('EEZ Selection Flags'!$L$2:$L$283,MATCH(A36,'EEZ Selection Flags'!$A$2:$A$283,0))</x:f>
        <x:v>0</x:v>
      </x:c>
      <x:c r="J36" s="25" t="b">
        <x:f>INDEX('EEZ Selection Flags'!$M$2:$M$283,MATCH(A36,'EEZ Selection Flags'!$A$2:$A$283,0))</x:f>
        <x:v>0</x:v>
      </x:c>
      <x:c r="K36" s="25" t="b">
        <x:f>INDEX('EEZ Selection Flags'!$N$2:$N$283,MATCH(A36,'EEZ Selection Flags'!$A$2:$A$283,0))</x:f>
        <x:v>0</x:v>
      </x:c>
    </x:row>
    <x:row r="37" ht="18" customHeight="1">
      <x:c r="A37" s="25" t="str">
        <x:f>'Summary'!A37</x:f>
        <x:v>EEZ_922</x:v>
      </x:c>
      <x:c r="B37" s="25" t="str">
        <x:f>'Summary'!B37</x:f>
        <x:v>Iran (Persian Gulf)</x:v>
      </x:c>
      <x:c r="C37" s="25" t="str">
        <x:f>'Summary'!C37</x:f>
        <x:v>EEZ</x:v>
      </x:c>
      <x:c r="D37" s="32" t="n">
        <x:f>'Summary'!E37</x:f>
        <x:v>441683.33469723596</x:v>
      </x:c>
      <x:c r="E37" s="32" t="n">
        <x:f>'Summary'!K37</x:f>
        <x:v>497624044.3117129</x:v>
      </x:c>
      <x:c r="F37" s="34" t="n">
        <x:f>IF(SUM($E$2:$E$283)=0,"",E37/SUM($E$2:$E$283))</x:f>
        <x:v>0.007489580824086742</x:v>
      </x:c>
      <x:c r="G37" s="35" t="n">
        <x:f>RANK(E37,$E$2:$E$283,0)+COUNTIF($E$2:E37,E37)-1</x:f>
        <x:v>36</x:v>
      </x:c>
      <x:c r="H37" s="34" t="n">
        <x:f>IF(SUM($E$2:$E$283)=0,"",SUM($F$2:F37))</x:f>
        <x:v>0.7629892557991844</x:v>
      </x:c>
      <x:c r="I37" s="25" t="b">
        <x:f>INDEX('EEZ Selection Flags'!$L$2:$L$283,MATCH(A37,'EEZ Selection Flags'!$A$2:$A$283,0))</x:f>
        <x:v>0</x:v>
      </x:c>
      <x:c r="J37" s="25" t="b">
        <x:f>INDEX('EEZ Selection Flags'!$M$2:$M$283,MATCH(A37,'EEZ Selection Flags'!$A$2:$A$283,0))</x:f>
        <x:v>0</x:v>
      </x:c>
      <x:c r="K37" s="25" t="b">
        <x:f>INDEX('EEZ Selection Flags'!$N$2:$N$283,MATCH(A37,'EEZ Selection Flags'!$A$2:$A$283,0))</x:f>
        <x:v>0</x:v>
      </x:c>
    </x:row>
    <x:row r="38" ht="18" customHeight="1">
      <x:c r="A38" s="25" t="str">
        <x:f>'Summary'!A38</x:f>
        <x:v>EEZ_372</x:v>
      </x:c>
      <x:c r="B38" s="25" t="str">
        <x:f>'Summary'!B38</x:f>
        <x:v>Ireland</x:v>
      </x:c>
      <x:c r="C38" s="25" t="str">
        <x:f>'Summary'!C38</x:f>
        <x:v>EEZ</x:v>
      </x:c>
      <x:c r="D38" s="32" t="n">
        <x:f>'Summary'!E38</x:f>
        <x:v>408364.4619338022</x:v>
      </x:c>
      <x:c r="E38" s="32" t="n">
        <x:f>'Summary'!K38</x:f>
        <x:v>466342206.9327241</x:v>
      </x:c>
      <x:c r="F38" s="34" t="n">
        <x:f>IF(SUM($E$2:$E$283)=0,"",E38/SUM($E$2:$E$283))</x:f>
        <x:v>0.007018767863873115</x:v>
      </x:c>
      <x:c r="G38" s="35" t="n">
        <x:f>RANK(E38,$E$2:$E$283,0)+COUNTIF($E$2:E38,E38)-1</x:f>
        <x:v>37</x:v>
      </x:c>
      <x:c r="H38" s="34" t="n">
        <x:f>IF(SUM($E$2:$E$283)=0,"",SUM($F$2:F38))</x:f>
        <x:v>0.7700080236630575</x:v>
      </x:c>
      <x:c r="I38" s="25" t="b">
        <x:f>INDEX('EEZ Selection Flags'!$L$2:$L$283,MATCH(A38,'EEZ Selection Flags'!$A$2:$A$283,0))</x:f>
        <x:v>0</x:v>
      </x:c>
      <x:c r="J38" s="25" t="b">
        <x:f>INDEX('EEZ Selection Flags'!$M$2:$M$283,MATCH(A38,'EEZ Selection Flags'!$A$2:$A$283,0))</x:f>
        <x:v>0</x:v>
      </x:c>
      <x:c r="K38" s="25" t="b">
        <x:f>INDEX('EEZ Selection Flags'!$N$2:$N$283,MATCH(A38,'EEZ Selection Flags'!$A$2:$A$283,0))</x:f>
        <x:v>0</x:v>
      </x:c>
    </x:row>
    <x:row r="39" ht="18" customHeight="1">
      <x:c r="A39" s="25" t="str">
        <x:f>'Summary'!A39</x:f>
        <x:v>EEZ_461</x:v>
      </x:c>
      <x:c r="B39" s="25" t="str">
        <x:f>'Summary'!B39</x:f>
        <x:v>Malaysia (Sabah)</x:v>
      </x:c>
      <x:c r="C39" s="25" t="str">
        <x:f>'Summary'!C39</x:f>
        <x:v>EEZ</x:v>
      </x:c>
      <x:c r="D39" s="32" t="n">
        <x:f>'Summary'!E39</x:f>
        <x:v>490558.95726488077</x:v>
      </x:c>
      <x:c r="E39" s="32" t="n">
        <x:f>'Summary'!K39</x:f>
        <x:v>463737305.0889255</x:v>
      </x:c>
      <x:c r="F39" s="34" t="n">
        <x:f>IF(SUM($E$2:$E$283)=0,"",E39/SUM($E$2:$E$283))</x:f>
        <x:v>0.006979562316792031</x:v>
      </x:c>
      <x:c r="G39" s="35" t="n">
        <x:f>RANK(E39,$E$2:$E$283,0)+COUNTIF($E$2:E39,E39)-1</x:f>
        <x:v>38</x:v>
      </x:c>
      <x:c r="H39" s="34" t="n">
        <x:f>IF(SUM($E$2:$E$283)=0,"",SUM($F$2:F39))</x:f>
        <x:v>0.7769875859798495</x:v>
      </x:c>
      <x:c r="I39" s="25" t="b">
        <x:f>INDEX('EEZ Selection Flags'!$L$2:$L$283,MATCH(A39,'EEZ Selection Flags'!$A$2:$A$283,0))</x:f>
        <x:v>0</x:v>
      </x:c>
      <x:c r="J39" s="25" t="b">
        <x:f>INDEX('EEZ Selection Flags'!$M$2:$M$283,MATCH(A39,'EEZ Selection Flags'!$A$2:$A$283,0))</x:f>
        <x:v>0</x:v>
      </x:c>
      <x:c r="K39" s="25" t="b">
        <x:f>INDEX('EEZ Selection Flags'!$N$2:$N$283,MATCH(A39,'EEZ Selection Flags'!$A$2:$A$283,0))</x:f>
        <x:v>0</x:v>
      </x:c>
    </x:row>
    <x:row r="40" ht="18" customHeight="1">
      <x:c r="A40" s="25" t="str">
        <x:f>'Summary'!A40</x:f>
        <x:v>EEZ_953</x:v>
      </x:c>
      <x:c r="B40" s="25" t="str">
        <x:f>'Summary'!B40</x:f>
        <x:v>South Africa (Atlantic and Cape)</x:v>
      </x:c>
      <x:c r="C40" s="25" t="str">
        <x:f>'Summary'!C40</x:f>
        <x:v>EEZ</x:v>
      </x:c>
      <x:c r="D40" s="32" t="n">
        <x:f>'Summary'!E40</x:f>
        <x:v>649172.6258836817</x:v>
      </x:c>
      <x:c r="E40" s="32" t="n">
        <x:f>'Summary'!K40</x:f>
        <x:v>448581864.5071265</x:v>
      </x:c>
      <x:c r="F40" s="34" t="n">
        <x:f>IF(SUM($E$2:$E$283)=0,"",E40/SUM($E$2:$E$283))</x:f>
        <x:v>0.00675146261289001</x:v>
      </x:c>
      <x:c r="G40" s="35" t="n">
        <x:f>RANK(E40,$E$2:$E$283,0)+COUNTIF($E$2:E40,E40)-1</x:f>
        <x:v>39</x:v>
      </x:c>
      <x:c r="H40" s="34" t="n">
        <x:f>IF(SUM($E$2:$E$283)=0,"",SUM($F$2:F40))</x:f>
        <x:v>0.7837390485927396</x:v>
      </x:c>
      <x:c r="I40" s="25" t="b">
        <x:f>INDEX('EEZ Selection Flags'!$L$2:$L$283,MATCH(A40,'EEZ Selection Flags'!$A$2:$A$283,0))</x:f>
        <x:v>0</x:v>
      </x:c>
      <x:c r="J40" s="25" t="b">
        <x:f>INDEX('EEZ Selection Flags'!$M$2:$M$283,MATCH(A40,'EEZ Selection Flags'!$A$2:$A$283,0))</x:f>
        <x:v>0</x:v>
      </x:c>
      <x:c r="K40" s="25" t="b">
        <x:f>INDEX('EEZ Selection Flags'!$N$2:$N$283,MATCH(A40,'EEZ Selection Flags'!$A$2:$A$283,0))</x:f>
        <x:v>0</x:v>
      </x:c>
    </x:row>
    <x:row r="41" ht="18" customHeight="1">
      <x:c r="A41" s="25" t="str">
        <x:f>'Summary'!A41</x:f>
        <x:v>EEZ_798</x:v>
      </x:c>
      <x:c r="B41" s="25" t="str">
        <x:f>'Summary'!B41</x:f>
        <x:v>Tuvalu</x:v>
      </x:c>
      <x:c r="C41" s="25" t="str">
        <x:f>'Summary'!C41</x:f>
        <x:v>EEZ</x:v>
      </x:c>
      <x:c r="D41" s="32" t="n">
        <x:f>'Summary'!E41</x:f>
        <x:v>145109.2872791087</x:v>
      </x:c>
      <x:c r="E41" s="32" t="n">
        <x:f>'Summary'!K41</x:f>
        <x:v>371273439.1947608</x:v>
      </x:c>
      <x:c r="F41" s="34" t="n">
        <x:f>IF(SUM($E$2:$E$283)=0,"",E41/SUM($E$2:$E$283))</x:f>
        <x:v>0.00558791815321526</x:v>
      </x:c>
      <x:c r="G41" s="35" t="n">
        <x:f>RANK(E41,$E$2:$E$283,0)+COUNTIF($E$2:E41,E41)-1</x:f>
        <x:v>40</x:v>
      </x:c>
      <x:c r="H41" s="34" t="n">
        <x:f>IF(SUM($E$2:$E$283)=0,"",SUM($F$2:F41))</x:f>
        <x:v>0.7893269667459548</x:v>
      </x:c>
      <x:c r="I41" s="25" t="b">
        <x:f>INDEX('EEZ Selection Flags'!$L$2:$L$283,MATCH(A41,'EEZ Selection Flags'!$A$2:$A$283,0))</x:f>
        <x:v>1</x:v>
      </x:c>
      <x:c r="J41" s="25" t="b">
        <x:f>INDEX('EEZ Selection Flags'!$M$2:$M$283,MATCH(A41,'EEZ Selection Flags'!$A$2:$A$283,0))</x:f>
        <x:v>0</x:v>
      </x:c>
      <x:c r="K41" s="25" t="b">
        <x:f>INDEX('EEZ Selection Flags'!$N$2:$N$283,MATCH(A41,'EEZ Selection Flags'!$A$2:$A$283,0))</x:f>
        <x:v>0</x:v>
      </x:c>
    </x:row>
    <x:row r="42" ht="18" customHeight="1">
      <x:c r="A42" s="25" t="str">
        <x:f>'Summary'!A42</x:f>
        <x:v>EEZ_050</x:v>
      </x:c>
      <x:c r="B42" s="25" t="str">
        <x:f>'Summary'!B42</x:f>
        <x:v>Bangladesh</x:v>
      </x:c>
      <x:c r="C42" s="25" t="str">
        <x:f>'Summary'!C42</x:f>
        <x:v>EEZ</x:v>
      </x:c>
      <x:c r="D42" s="32" t="n">
        <x:f>'Summary'!E42</x:f>
        <x:v>1114582.7199230574</x:v>
      </x:c>
      <x:c r="E42" s="32" t="n">
        <x:f>'Summary'!K42</x:f>
        <x:v>360072715.7005182</x:v>
      </x:c>
      <x:c r="F42" s="34" t="n">
        <x:f>IF(SUM($E$2:$E$283)=0,"",E42/SUM($E$2:$E$283))</x:f>
        <x:v>0.005419339635241097</x:v>
      </x:c>
      <x:c r="G42" s="35" t="n">
        <x:f>RANK(E42,$E$2:$E$283,0)+COUNTIF($E$2:E42,E42)-1</x:f>
        <x:v>41</x:v>
      </x:c>
      <x:c r="H42" s="34" t="n">
        <x:f>IF(SUM($E$2:$E$283)=0,"",SUM($F$2:F42))</x:f>
        <x:v>0.7947463063811959</x:v>
      </x:c>
      <x:c r="I42" s="25" t="b">
        <x:f>INDEX('EEZ Selection Flags'!$L$2:$L$283,MATCH(A42,'EEZ Selection Flags'!$A$2:$A$283,0))</x:f>
        <x:v>0</x:v>
      </x:c>
      <x:c r="J42" s="25" t="b">
        <x:f>INDEX('EEZ Selection Flags'!$M$2:$M$283,MATCH(A42,'EEZ Selection Flags'!$A$2:$A$283,0))</x:f>
        <x:v>0</x:v>
      </x:c>
      <x:c r="K42" s="25" t="b">
        <x:f>INDEX('EEZ Selection Flags'!$N$2:$N$283,MATCH(A42,'EEZ Selection Flags'!$A$2:$A$283,0))</x:f>
        <x:v>0</x:v>
      </x:c>
    </x:row>
    <x:row r="43" ht="18" customHeight="1">
      <x:c r="A43" s="25" t="str">
        <x:f>'Summary'!A43</x:f>
        <x:v>EEZ_926</x:v>
      </x:c>
      <x:c r="B43" s="25" t="str">
        <x:f>'Summary'!B43</x:f>
        <x:v>Canada (East Coast)</x:v>
      </x:c>
      <x:c r="C43" s="25" t="str">
        <x:f>'Summary'!C43</x:f>
        <x:v>EEZ</x:v>
      </x:c>
      <x:c r="D43" s="32" t="n">
        <x:f>'Summary'!E43</x:f>
        <x:v>694924.7188260402</x:v>
      </x:c>
      <x:c r="E43" s="32" t="n">
        <x:f>'Summary'!K43</x:f>
        <x:v>358887702.9263927</x:v>
      </x:c>
      <x:c r="F43" s="34" t="n">
        <x:f>IF(SUM($E$2:$E$283)=0,"",E43/SUM($E$2:$E$283))</x:f>
        <x:v>0.005401504385817682</x:v>
      </x:c>
      <x:c r="G43" s="35" t="n">
        <x:f>RANK(E43,$E$2:$E$283,0)+COUNTIF($E$2:E43,E43)-1</x:f>
        <x:v>42</x:v>
      </x:c>
      <x:c r="H43" s="34" t="n">
        <x:f>IF(SUM($E$2:$E$283)=0,"",SUM($F$2:F43))</x:f>
        <x:v>0.8001478107670136</x:v>
      </x:c>
      <x:c r="I43" s="25" t="b">
        <x:f>INDEX('EEZ Selection Flags'!$L$2:$L$283,MATCH(A43,'EEZ Selection Flags'!$A$2:$A$283,0))</x:f>
        <x:v>0</x:v>
      </x:c>
      <x:c r="J43" s="25" t="b">
        <x:f>INDEX('EEZ Selection Flags'!$M$2:$M$283,MATCH(A43,'EEZ Selection Flags'!$A$2:$A$283,0))</x:f>
        <x:v>1</x:v>
      </x:c>
      <x:c r="K43" s="25" t="b">
        <x:f>INDEX('EEZ Selection Flags'!$N$2:$N$283,MATCH(A43,'EEZ Selection Flags'!$A$2:$A$283,0))</x:f>
        <x:v>0</x:v>
      </x:c>
    </x:row>
    <x:row r="44" ht="18" customHeight="1">
      <x:c r="A44" s="25" t="str">
        <x:f>'Summary'!A44</x:f>
        <x:v>EEZ_152</x:v>
      </x:c>
      <x:c r="B44" s="25" t="str">
        <x:f>'Summary'!B44</x:f>
        <x:v>Chile (mainland)</x:v>
      </x:c>
      <x:c r="C44" s="25" t="str">
        <x:f>'Summary'!C44</x:f>
        <x:v>EEZ</x:v>
      </x:c>
      <x:c r="D44" s="32" t="n">
        <x:f>'Summary'!E44</x:f>
        <x:v>1654215.540126388</x:v>
      </x:c>
      <x:c r="E44" s="32" t="n">
        <x:f>'Summary'!K44</x:f>
        <x:v>345575776.78016967</x:v>
      </x:c>
      <x:c r="F44" s="34" t="n">
        <x:f>IF(SUM($E$2:$E$283)=0,"",E44/SUM($E$2:$E$283))</x:f>
        <x:v>0.005201150829883078</x:v>
      </x:c>
      <x:c r="G44" s="35" t="n">
        <x:f>RANK(E44,$E$2:$E$283,0)+COUNTIF($E$2:E44,E44)-1</x:f>
        <x:v>43</x:v>
      </x:c>
      <x:c r="H44" s="34" t="n">
        <x:f>IF(SUM($E$2:$E$283)=0,"",SUM($F$2:F44))</x:f>
        <x:v>0.8053489615968966</x:v>
      </x:c>
      <x:c r="I44" s="25" t="b">
        <x:f>INDEX('EEZ Selection Flags'!$L$2:$L$283,MATCH(A44,'EEZ Selection Flags'!$A$2:$A$283,0))</x:f>
        <x:v>0</x:v>
      </x:c>
      <x:c r="J44" s="25" t="b">
        <x:f>INDEX('EEZ Selection Flags'!$M$2:$M$283,MATCH(A44,'EEZ Selection Flags'!$A$2:$A$283,0))</x:f>
        <x:v>0</x:v>
      </x:c>
      <x:c r="K44" s="25" t="b">
        <x:f>INDEX('EEZ Selection Flags'!$N$2:$N$283,MATCH(A44,'EEZ Selection Flags'!$A$2:$A$283,0))</x:f>
        <x:v>0</x:v>
      </x:c>
    </x:row>
    <x:row r="45" ht="18" customHeight="1">
      <x:c r="A45" s="25" t="str">
        <x:f>'Summary'!A45</x:f>
        <x:v>EEZ_324</x:v>
      </x:c>
      <x:c r="B45" s="25" t="str">
        <x:f>'Summary'!B45</x:f>
        <x:v>Guinea</x:v>
      </x:c>
      <x:c r="C45" s="25" t="str">
        <x:f>'Summary'!C45</x:f>
        <x:v>EEZ</x:v>
      </x:c>
      <x:c r="D45" s="32" t="n">
        <x:f>'Summary'!E45</x:f>
        <x:v>1012636.6535959236</x:v>
      </x:c>
      <x:c r="E45" s="32" t="n">
        <x:f>'Summary'!K45</x:f>
        <x:v>336296938.66161853</x:v>
      </x:c>
      <x:c r="F45" s="34" t="n">
        <x:f>IF(SUM($E$2:$E$283)=0,"",E45/SUM($E$2:$E$283))</x:f>
        <x:v>0.005061497995907527</x:v>
      </x:c>
      <x:c r="G45" s="35" t="n">
        <x:f>RANK(E45,$E$2:$E$283,0)+COUNTIF($E$2:E45,E45)-1</x:f>
        <x:v>44</x:v>
      </x:c>
      <x:c r="H45" s="34" t="n">
        <x:f>IF(SUM($E$2:$E$283)=0,"",SUM($F$2:F45))</x:f>
        <x:v>0.8104104595928041</x:v>
      </x:c>
      <x:c r="I45" s="25" t="b">
        <x:f>INDEX('EEZ Selection Flags'!$L$2:$L$283,MATCH(A45,'EEZ Selection Flags'!$A$2:$A$283,0))</x:f>
        <x:v>0</x:v>
      </x:c>
      <x:c r="J45" s="25" t="b">
        <x:f>INDEX('EEZ Selection Flags'!$M$2:$M$283,MATCH(A45,'EEZ Selection Flags'!$A$2:$A$283,0))</x:f>
        <x:v>0</x:v>
      </x:c>
      <x:c r="K45" s="25" t="b">
        <x:f>INDEX('EEZ Selection Flags'!$N$2:$N$283,MATCH(A45,'EEZ Selection Flags'!$A$2:$A$283,0))</x:f>
        <x:v>0</x:v>
      </x:c>
    </x:row>
    <x:row r="46" ht="18" customHeight="1">
      <x:c r="A46" s="25" t="str">
        <x:f>'Summary'!A46</x:f>
        <x:v>EEZ_917</x:v>
      </x:c>
      <x:c r="B46" s="25" t="str">
        <x:f>'Summary'!B46</x:f>
        <x:v>Yemen (Arabian Sea)</x:v>
      </x:c>
      <x:c r="C46" s="25" t="str">
        <x:f>'Summary'!C46</x:f>
        <x:v>EEZ</x:v>
      </x:c>
      <x:c r="D46" s="32" t="n">
        <x:f>'Summary'!E46</x:f>
        <x:v>324367.1527000878</x:v>
      </x:c>
      <x:c r="E46" s="32" t="n">
        <x:f>'Summary'!K46</x:f>
        <x:v>331675839.9836948</x:v>
      </x:c>
      <x:c r="F46" s="34" t="n">
        <x:f>IF(SUM($E$2:$E$283)=0,"",E46/SUM($E$2:$E$283))</x:f>
        <x:v>0.004991947313138046</x:v>
      </x:c>
      <x:c r="G46" s="35" t="n">
        <x:f>RANK(E46,$E$2:$E$283,0)+COUNTIF($E$2:E46,E46)-1</x:f>
        <x:v>45</x:v>
      </x:c>
      <x:c r="H46" s="34" t="n">
        <x:f>IF(SUM($E$2:$E$283)=0,"",SUM($F$2:F46))</x:f>
        <x:v>0.8154024069059421</x:v>
      </x:c>
      <x:c r="I46" s="25" t="b">
        <x:f>INDEX('EEZ Selection Flags'!$L$2:$L$283,MATCH(A46,'EEZ Selection Flags'!$A$2:$A$283,0))</x:f>
        <x:v>0</x:v>
      </x:c>
      <x:c r="J46" s="25" t="b">
        <x:f>INDEX('EEZ Selection Flags'!$M$2:$M$283,MATCH(A46,'EEZ Selection Flags'!$A$2:$A$283,0))</x:f>
        <x:v>0</x:v>
      </x:c>
      <x:c r="K46" s="25" t="b">
        <x:f>INDEX('EEZ Selection Flags'!$N$2:$N$283,MATCH(A46,'EEZ Selection Flags'!$A$2:$A$283,0))</x:f>
        <x:v>0</x:v>
      </x:c>
    </x:row>
    <x:row r="47" ht="18" customHeight="1">
      <x:c r="A47" s="25" t="str">
        <x:f>'Summary'!A47</x:f>
        <x:v>EEZ_460</x:v>
      </x:c>
      <x:c r="B47" s="25" t="str">
        <x:f>'Summary'!B47</x:f>
        <x:v>Malaysia (Peninsula East)</x:v>
      </x:c>
      <x:c r="C47" s="25" t="str">
        <x:f>'Summary'!C47</x:f>
        <x:v>EEZ</x:v>
      </x:c>
      <x:c r="D47" s="32" t="n">
        <x:f>'Summary'!E47</x:f>
        <x:v>493489.5345653823</x:v>
      </x:c>
      <x:c r="E47" s="32" t="n">
        <x:f>'Summary'!K47</x:f>
        <x:v>326099085.0836484</x:v>
      </x:c>
      <x:c r="F47" s="34" t="n">
        <x:f>IF(SUM($E$2:$E$283)=0,"",E47/SUM($E$2:$E$283))</x:f>
        <x:v>0.004908013353279273</x:v>
      </x:c>
      <x:c r="G47" s="35" t="n">
        <x:f>RANK(E47,$E$2:$E$283,0)+COUNTIF($E$2:E47,E47)-1</x:f>
        <x:v>46</x:v>
      </x:c>
      <x:c r="H47" s="34" t="n">
        <x:f>IF(SUM($E$2:$E$283)=0,"",SUM($F$2:F47))</x:f>
        <x:v>0.8203104202592214</x:v>
      </x:c>
      <x:c r="I47" s="25" t="b">
        <x:f>INDEX('EEZ Selection Flags'!$L$2:$L$283,MATCH(A47,'EEZ Selection Flags'!$A$2:$A$283,0))</x:f>
        <x:v>0</x:v>
      </x:c>
      <x:c r="J47" s="25" t="b">
        <x:f>INDEX('EEZ Selection Flags'!$M$2:$M$283,MATCH(A47,'EEZ Selection Flags'!$A$2:$A$283,0))</x:f>
        <x:v>0</x:v>
      </x:c>
      <x:c r="K47" s="25" t="b">
        <x:f>INDEX('EEZ Selection Flags'!$N$2:$N$283,MATCH(A47,'EEZ Selection Flags'!$A$2:$A$283,0))</x:f>
        <x:v>0</x:v>
      </x:c>
    </x:row>
    <x:row r="48" ht="18" customHeight="1">
      <x:c r="A48" s="25" t="str">
        <x:f>'Summary'!A48</x:f>
        <x:v>EEZ_288</x:v>
      </x:c>
      <x:c r="B48" s="25" t="str">
        <x:f>'Summary'!B48</x:f>
        <x:v>Ghana</x:v>
      </x:c>
      <x:c r="C48" s="25" t="str">
        <x:f>'Summary'!C48</x:f>
        <x:v>EEZ</x:v>
      </x:c>
      <x:c r="D48" s="32" t="n">
        <x:f>'Summary'!E48</x:f>
        <x:v>476804.00802107295</x:v>
      </x:c>
      <x:c r="E48" s="32" t="n">
        <x:f>'Summary'!K48</x:f>
        <x:v>324126100.9393173</x:v>
      </x:c>
      <x:c r="F48" s="34" t="n">
        <x:f>IF(SUM($E$2:$E$283)=0,"",E48/SUM($E$2:$E$283))</x:f>
        <x:v>0.00487831859800665</x:v>
      </x:c>
      <x:c r="G48" s="35" t="n">
        <x:f>RANK(E48,$E$2:$E$283,0)+COUNTIF($E$2:E48,E48)-1</x:f>
        <x:v>47</x:v>
      </x:c>
      <x:c r="H48" s="34" t="n">
        <x:f>IF(SUM($E$2:$E$283)=0,"",SUM($F$2:F48))</x:f>
        <x:v>0.8251887388572281</x:v>
      </x:c>
      <x:c r="I48" s="25" t="b">
        <x:f>INDEX('EEZ Selection Flags'!$L$2:$L$283,MATCH(A48,'EEZ Selection Flags'!$A$2:$A$283,0))</x:f>
        <x:v>0</x:v>
      </x:c>
      <x:c r="J48" s="25" t="b">
        <x:f>INDEX('EEZ Selection Flags'!$M$2:$M$283,MATCH(A48,'EEZ Selection Flags'!$A$2:$A$283,0))</x:f>
        <x:v>0</x:v>
      </x:c>
      <x:c r="K48" s="25" t="b">
        <x:f>INDEX('EEZ Selection Flags'!$N$2:$N$283,MATCH(A48,'EEZ Selection Flags'!$A$2:$A$283,0))</x:f>
        <x:v>0</x:v>
      </x:c>
    </x:row>
    <x:row r="49" ht="18" customHeight="1">
      <x:c r="A49" s="25" t="str">
        <x:f>'Summary'!A49</x:f>
        <x:v>EEZ_946</x:v>
      </x:c>
      <x:c r="B49" s="25" t="str">
        <x:f>'Summary'!B49</x:f>
        <x:v>Morocco (Central)</x:v>
      </x:c>
      <x:c r="C49" s="25" t="str">
        <x:f>'Summary'!C49</x:f>
        <x:v>EEZ</x:v>
      </x:c>
      <x:c r="D49" s="32" t="n">
        <x:f>'Summary'!E49</x:f>
        <x:v>947648.9249708244</x:v>
      </x:c>
      <x:c r="E49" s="32" t="n">
        <x:f>'Summary'!K49</x:f>
        <x:v>316140800.3054868</x:v>
      </x:c>
      <x:c r="F49" s="34" t="n">
        <x:f>IF(SUM($E$2:$E$283)=0,"",E49/SUM($E$2:$E$283))</x:f>
        <x:v>0.0047581343842707045</x:v>
      </x:c>
      <x:c r="G49" s="35" t="n">
        <x:f>RANK(E49,$E$2:$E$283,0)+COUNTIF($E$2:E49,E49)-1</x:f>
        <x:v>48</x:v>
      </x:c>
      <x:c r="H49" s="34" t="n">
        <x:f>IF(SUM($E$2:$E$283)=0,"",SUM($F$2:F49))</x:f>
        <x:v>0.8299468732414989</x:v>
      </x:c>
      <x:c r="I49" s="25" t="b">
        <x:f>INDEX('EEZ Selection Flags'!$L$2:$L$283,MATCH(A49,'EEZ Selection Flags'!$A$2:$A$283,0))</x:f>
        <x:v>0</x:v>
      </x:c>
      <x:c r="J49" s="25" t="b">
        <x:f>INDEX('EEZ Selection Flags'!$M$2:$M$283,MATCH(A49,'EEZ Selection Flags'!$A$2:$A$283,0))</x:f>
        <x:v>0</x:v>
      </x:c>
      <x:c r="K49" s="25" t="b">
        <x:f>INDEX('EEZ Selection Flags'!$N$2:$N$283,MATCH(A49,'EEZ Selection Flags'!$A$2:$A$283,0))</x:f>
        <x:v>0</x:v>
      </x:c>
    </x:row>
    <x:row r="50" ht="18" customHeight="1">
      <x:c r="A50" s="25" t="str">
        <x:f>'Summary'!A50</x:f>
        <x:v>EEZ_956</x:v>
      </x:c>
      <x:c r="B50" s="25" t="str">
        <x:f>'Summary'!B50</x:f>
        <x:v>Thailand (Andaman Sea)</x:v>
      </x:c>
      <x:c r="C50" s="25" t="str">
        <x:f>'Summary'!C50</x:f>
        <x:v>EEZ</x:v>
      </x:c>
      <x:c r="D50" s="32" t="n">
        <x:f>'Summary'!E50</x:f>
        <x:v>421454.11553944217</x:v>
      </x:c>
      <x:c r="E50" s="32" t="n">
        <x:f>'Summary'!K50</x:f>
        <x:v>313495011.23728895</x:v>
      </x:c>
      <x:c r="F50" s="34" t="n">
        <x:f>IF(SUM($E$2:$E$283)=0,"",E50/SUM($E$2:$E$283))</x:f>
        <x:v>0.004718313456612031</x:v>
      </x:c>
      <x:c r="G50" s="35" t="n">
        <x:f>RANK(E50,$E$2:$E$283,0)+COUNTIF($E$2:E50,E50)-1</x:f>
        <x:v>49</x:v>
      </x:c>
      <x:c r="H50" s="34" t="n">
        <x:f>IF(SUM($E$2:$E$283)=0,"",SUM($F$2:F50))</x:f>
        <x:v>0.8346651866981109</x:v>
      </x:c>
      <x:c r="I50" s="25" t="b">
        <x:f>INDEX('EEZ Selection Flags'!$L$2:$L$283,MATCH(A50,'EEZ Selection Flags'!$A$2:$A$283,0))</x:f>
        <x:v>0</x:v>
      </x:c>
      <x:c r="J50" s="25" t="b">
        <x:f>INDEX('EEZ Selection Flags'!$M$2:$M$283,MATCH(A50,'EEZ Selection Flags'!$A$2:$A$283,0))</x:f>
        <x:v>0</x:v>
      </x:c>
      <x:c r="K50" s="25" t="b">
        <x:f>INDEX('EEZ Selection Flags'!$N$2:$N$283,MATCH(A50,'EEZ Selection Flags'!$A$2:$A$283,0))</x:f>
        <x:v>0</x:v>
      </x:c>
    </x:row>
    <x:row r="51" ht="18" customHeight="1">
      <x:c r="A51" s="25" t="str">
        <x:f>'Summary'!A51</x:f>
        <x:v>EEZ_944</x:v>
      </x:c>
      <x:c r="B51" s="25" t="str">
        <x:f>'Summary'!B51</x:f>
        <x:v>Mexico (Atlantic)</x:v>
      </x:c>
      <x:c r="C51" s="25" t="str">
        <x:f>'Summary'!C51</x:f>
        <x:v>EEZ</x:v>
      </x:c>
      <x:c r="D51" s="32" t="n">
        <x:f>'Summary'!E51</x:f>
        <x:v>513071.273739008</x:v>
      </x:c>
      <x:c r="E51" s="32" t="n">
        <x:f>'Summary'!K51</x:f>
        <x:v>306325336.4678513</x:v>
      </x:c>
      <x:c r="F51" s="34" t="n">
        <x:f>IF(SUM($E$2:$E$283)=0,"",E51/SUM($E$2:$E$283))</x:f>
        <x:v>0.004610404967699702</x:v>
      </x:c>
      <x:c r="G51" s="35" t="n">
        <x:f>RANK(E51,$E$2:$E$283,0)+COUNTIF($E$2:E51,E51)-1</x:f>
        <x:v>50</x:v>
      </x:c>
      <x:c r="H51" s="34" t="n">
        <x:f>IF(SUM($E$2:$E$283)=0,"",SUM($F$2:F51))</x:f>
        <x:v>0.8392755916658106</x:v>
      </x:c>
      <x:c r="I51" s="25" t="b">
        <x:f>INDEX('EEZ Selection Flags'!$L$2:$L$283,MATCH(A51,'EEZ Selection Flags'!$A$2:$A$283,0))</x:f>
        <x:v>0</x:v>
      </x:c>
      <x:c r="J51" s="25" t="b">
        <x:f>INDEX('EEZ Selection Flags'!$M$2:$M$283,MATCH(A51,'EEZ Selection Flags'!$A$2:$A$283,0))</x:f>
        <x:v>0</x:v>
      </x:c>
      <x:c r="K51" s="25" t="b">
        <x:f>INDEX('EEZ Selection Flags'!$N$2:$N$283,MATCH(A51,'EEZ Selection Flags'!$A$2:$A$283,0))</x:f>
        <x:v>0</x:v>
      </x:c>
    </x:row>
    <x:row r="52" ht="18" customHeight="1">
      <x:c r="A52" s="25" t="str">
        <x:f>'Summary'!A52</x:f>
        <x:v>EEZ_090</x:v>
      </x:c>
      <x:c r="B52" s="25" t="str">
        <x:f>'Summary'!B52</x:f>
        <x:v>Solomon Isl.</x:v>
      </x:c>
      <x:c r="C52" s="25" t="str">
        <x:f>'Summary'!C52</x:f>
        <x:v>EEZ</x:v>
      </x:c>
      <x:c r="D52" s="32" t="n">
        <x:f>'Summary'!E52</x:f>
        <x:v>142760.9815038889</x:v>
      </x:c>
      <x:c r="E52" s="32" t="n">
        <x:f>'Summary'!K52</x:f>
        <x:v>304737248.27830005</x:v>
      </x:c>
      <x:c r="F52" s="34" t="n">
        <x:f>IF(SUM($E$2:$E$283)=0,"",E52/SUM($E$2:$E$283))</x:f>
        <x:v>0.004586503158718842</x:v>
      </x:c>
      <x:c r="G52" s="35" t="n">
        <x:f>RANK(E52,$E$2:$E$283,0)+COUNTIF($E$2:E52,E52)-1</x:f>
        <x:v>51</x:v>
      </x:c>
      <x:c r="H52" s="34" t="n">
        <x:f>IF(SUM($E$2:$E$283)=0,"",SUM($F$2:F52))</x:f>
        <x:v>0.8438620948245295</x:v>
      </x:c>
      <x:c r="I52" s="25" t="b">
        <x:f>INDEX('EEZ Selection Flags'!$L$2:$L$283,MATCH(A52,'EEZ Selection Flags'!$A$2:$A$283,0))</x:f>
        <x:v>1</x:v>
      </x:c>
      <x:c r="J52" s="25" t="b">
        <x:f>INDEX('EEZ Selection Flags'!$M$2:$M$283,MATCH(A52,'EEZ Selection Flags'!$A$2:$A$283,0))</x:f>
        <x:v>0</x:v>
      </x:c>
      <x:c r="K52" s="25" t="b">
        <x:f>INDEX('EEZ Selection Flags'!$N$2:$N$283,MATCH(A52,'EEZ Selection Flags'!$A$2:$A$283,0))</x:f>
        <x:v>0</x:v>
      </x:c>
    </x:row>
    <x:row r="53" ht="18" customHeight="1">
      <x:c r="A53" s="25" t="str">
        <x:f>'Summary'!A53</x:f>
        <x:v>EEZ_566</x:v>
      </x:c>
      <x:c r="B53" s="25" t="str">
        <x:f>'Summary'!B53</x:f>
        <x:v>Nigeria</x:v>
      </x:c>
      <x:c r="C53" s="25" t="str">
        <x:f>'Summary'!C53</x:f>
        <x:v>EEZ</x:v>
      </x:c>
      <x:c r="D53" s="32" t="n">
        <x:f>'Summary'!E53</x:f>
        <x:v>532269.8890131604</x:v>
      </x:c>
      <x:c r="E53" s="32" t="n">
        <x:f>'Summary'!K53</x:f>
        <x:v>304675912.1204597</x:v>
      </x:c>
      <x:c r="F53" s="34" t="n">
        <x:f>IF(SUM($E$2:$E$283)=0,"",E53/SUM($E$2:$E$283))</x:f>
        <x:v>0.004585580007764149</x:v>
      </x:c>
      <x:c r="G53" s="35" t="n">
        <x:f>RANK(E53,$E$2:$E$283,0)+COUNTIF($E$2:E53,E53)-1</x:f>
        <x:v>52</x:v>
      </x:c>
      <x:c r="H53" s="34" t="n">
        <x:f>IF(SUM($E$2:$E$283)=0,"",SUM($F$2:F53))</x:f>
        <x:v>0.8484476748322936</x:v>
      </x:c>
      <x:c r="I53" s="25" t="b">
        <x:f>INDEX('EEZ Selection Flags'!$L$2:$L$283,MATCH(A53,'EEZ Selection Flags'!$A$2:$A$283,0))</x:f>
        <x:v>0</x:v>
      </x:c>
      <x:c r="J53" s="25" t="b">
        <x:f>INDEX('EEZ Selection Flags'!$M$2:$M$283,MATCH(A53,'EEZ Selection Flags'!$A$2:$A$283,0))</x:f>
        <x:v>0</x:v>
      </x:c>
      <x:c r="K53" s="25" t="b">
        <x:f>INDEX('EEZ Selection Flags'!$N$2:$N$283,MATCH(A53,'EEZ Selection Flags'!$A$2:$A$283,0))</x:f>
        <x:v>0</x:v>
      </x:c>
    </x:row>
    <x:row r="54" ht="18" customHeight="1">
      <x:c r="A54" s="25" t="str">
        <x:f>'Summary'!A54</x:f>
        <x:v>EEZ_852</x:v>
      </x:c>
      <x:c r="B54" s="25" t="str">
        <x:f>'Summary'!B54</x:f>
        <x:v>USA (Gulf of Mexico)</x:v>
      </x:c>
      <x:c r="C54" s="25" t="str">
        <x:f>'Summary'!C54</x:f>
        <x:v>EEZ</x:v>
      </x:c>
      <x:c r="D54" s="32" t="n">
        <x:f>'Summary'!E54</x:f>
        <x:v>1104194.026503118</x:v>
      </x:c>
      <x:c r="E54" s="32" t="n">
        <x:f>'Summary'!K54</x:f>
        <x:v>288829700.6693002</x:v>
      </x:c>
      <x:c r="F54" s="34" t="n">
        <x:f>IF(SUM($E$2:$E$283)=0,"",E54/SUM($E$2:$E$283))</x:f>
        <x:v>0.004347083731758874</x:v>
      </x:c>
      <x:c r="G54" s="35" t="n">
        <x:f>RANK(E54,$E$2:$E$283,0)+COUNTIF($E$2:E54,E54)-1</x:f>
        <x:v>53</x:v>
      </x:c>
      <x:c r="H54" s="34" t="n">
        <x:f>IF(SUM($E$2:$E$283)=0,"",SUM($F$2:F54))</x:f>
        <x:v>0.8527947585640524</x:v>
      </x:c>
      <x:c r="I54" s="25" t="b">
        <x:f>INDEX('EEZ Selection Flags'!$L$2:$L$283,MATCH(A54,'EEZ Selection Flags'!$A$2:$A$283,0))</x:f>
        <x:v>0</x:v>
      </x:c>
      <x:c r="J54" s="25" t="b">
        <x:f>INDEX('EEZ Selection Flags'!$M$2:$M$283,MATCH(A54,'EEZ Selection Flags'!$A$2:$A$283,0))</x:f>
        <x:v>0</x:v>
      </x:c>
      <x:c r="K54" s="25" t="b">
        <x:f>INDEX('EEZ Selection Flags'!$N$2:$N$283,MATCH(A54,'EEZ Selection Flags'!$A$2:$A$283,0))</x:f>
        <x:v>0</x:v>
      </x:c>
    </x:row>
    <x:row r="55" ht="18" customHeight="1">
      <x:c r="A55" s="25" t="str">
        <x:f>'Summary'!A55</x:f>
        <x:v>EEZ_925</x:v>
      </x:c>
      <x:c r="B55" s="25" t="str">
        <x:f>'Summary'!B55</x:f>
        <x:v>Canada (Pacific)</x:v>
      </x:c>
      <x:c r="C55" s="25" t="str">
        <x:f>'Summary'!C55</x:f>
        <x:v>EEZ</x:v>
      </x:c>
      <x:c r="D55" s="32" t="n">
        <x:f>'Summary'!E55</x:f>
        <x:v>198174.6028298108</x:v>
      </x:c>
      <x:c r="E55" s="32" t="n">
        <x:f>'Summary'!K55</x:f>
        <x:v>276796938.98617065</x:v>
      </x:c>
      <x:c r="F55" s="34" t="n">
        <x:f>IF(SUM($E$2:$E$283)=0,"",E55/SUM($E$2:$E$283))</x:f>
        <x:v>0.004165982472298185</x:v>
      </x:c>
      <x:c r="G55" s="35" t="n">
        <x:f>RANK(E55,$E$2:$E$283,0)+COUNTIF($E$2:E55,E55)-1</x:f>
        <x:v>54</x:v>
      </x:c>
      <x:c r="H55" s="34" t="n">
        <x:f>IF(SUM($E$2:$E$283)=0,"",SUM($F$2:F55))</x:f>
        <x:v>0.8569607410363506</x:v>
      </x:c>
      <x:c r="I55" s="25" t="b">
        <x:f>INDEX('EEZ Selection Flags'!$L$2:$L$283,MATCH(A55,'EEZ Selection Flags'!$A$2:$A$283,0))</x:f>
        <x:v>0</x:v>
      </x:c>
      <x:c r="J55" s="25" t="b">
        <x:f>INDEX('EEZ Selection Flags'!$M$2:$M$283,MATCH(A55,'EEZ Selection Flags'!$A$2:$A$283,0))</x:f>
        <x:v>0</x:v>
      </x:c>
      <x:c r="K55" s="25" t="b">
        <x:f>INDEX('EEZ Selection Flags'!$N$2:$N$283,MATCH(A55,'EEZ Selection Flags'!$A$2:$A$283,0))</x:f>
        <x:v>0</x:v>
      </x:c>
    </x:row>
    <x:row r="56" ht="18" customHeight="1">
      <x:c r="A56" s="25" t="str">
        <x:f>'Summary'!A56</x:f>
        <x:v>EEZ_942</x:v>
      </x:c>
      <x:c r="B56" s="25" t="str">
        <x:f>'Summary'!B56</x:f>
        <x:v>Kiribati (Line Islands)</x:v>
      </x:c>
      <x:c r="C56" s="25" t="str">
        <x:f>'Summary'!C56</x:f>
        <x:v>EEZ</x:v>
      </x:c>
      <x:c r="D56" s="32" t="n">
        <x:f>'Summary'!E56</x:f>
        <x:v>110424.34936910501</x:v>
      </x:c>
      <x:c r="E56" s="32" t="n">
        <x:f>'Summary'!K56</x:f>
        <x:v>275077618.8439184</x:v>
      </x:c>
      <x:c r="F56" s="34" t="n">
        <x:f>IF(SUM($E$2:$E$283)=0,"",E56/SUM($E$2:$E$283))</x:f>
        <x:v>0.004140105533040378</x:v>
      </x:c>
      <x:c r="G56" s="35" t="n">
        <x:f>RANK(E56,$E$2:$E$283,0)+COUNTIF($E$2:E56,E56)-1</x:f>
        <x:v>55</x:v>
      </x:c>
      <x:c r="H56" s="34" t="n">
        <x:f>IF(SUM($E$2:$E$283)=0,"",SUM($F$2:F56))</x:f>
        <x:v>0.8611008465693909</x:v>
      </x:c>
      <x:c r="I56" s="25" t="b">
        <x:f>INDEX('EEZ Selection Flags'!$L$2:$L$283,MATCH(A56,'EEZ Selection Flags'!$A$2:$A$283,0))</x:f>
        <x:v>1</x:v>
      </x:c>
      <x:c r="J56" s="25" t="b">
        <x:f>INDEX('EEZ Selection Flags'!$M$2:$M$283,MATCH(A56,'EEZ Selection Flags'!$A$2:$A$283,0))</x:f>
        <x:v>0</x:v>
      </x:c>
      <x:c r="K56" s="25" t="b">
        <x:f>INDEX('EEZ Selection Flags'!$N$2:$N$283,MATCH(A56,'EEZ Selection Flags'!$A$2:$A$283,0))</x:f>
        <x:v>0</x:v>
      </x:c>
    </x:row>
    <x:row r="57" ht="18" customHeight="1">
      <x:c r="A57" s="25" t="str">
        <x:f>'Summary'!A57</x:f>
        <x:v>EEZ_686</x:v>
      </x:c>
      <x:c r="B57" s="25" t="str">
        <x:f>'Summary'!B57</x:f>
        <x:v>Senegal</x:v>
      </x:c>
      <x:c r="C57" s="25" t="str">
        <x:f>'Summary'!C57</x:f>
        <x:v>EEZ</x:v>
      </x:c>
      <x:c r="D57" s="32" t="n">
        <x:f>'Summary'!E57</x:f>
        <x:v>542145.3642563997</x:v>
      </x:c>
      <x:c r="E57" s="32" t="n">
        <x:f>'Summary'!K57</x:f>
        <x:v>263403378.0497803</x:v>
      </x:c>
      <x:c r="F57" s="34" t="n">
        <x:f>IF(SUM($E$2:$E$283)=0,"",E57/SUM($E$2:$E$283))</x:f>
        <x:v>0.003964400257165931</x:v>
      </x:c>
      <x:c r="G57" s="35" t="n">
        <x:f>RANK(E57,$E$2:$E$283,0)+COUNTIF($E$2:E57,E57)-1</x:f>
        <x:v>56</x:v>
      </x:c>
      <x:c r="H57" s="34" t="n">
        <x:f>IF(SUM($E$2:$E$283)=0,"",SUM($F$2:F57))</x:f>
        <x:v>0.8650652468265568</x:v>
      </x:c>
      <x:c r="I57" s="25" t="b">
        <x:f>INDEX('EEZ Selection Flags'!$L$2:$L$283,MATCH(A57,'EEZ Selection Flags'!$A$2:$A$283,0))</x:f>
        <x:v>0</x:v>
      </x:c>
      <x:c r="J57" s="25" t="b">
        <x:f>INDEX('EEZ Selection Flags'!$M$2:$M$283,MATCH(A57,'EEZ Selection Flags'!$A$2:$A$283,0))</x:f>
        <x:v>0</x:v>
      </x:c>
      <x:c r="K57" s="25" t="b">
        <x:f>INDEX('EEZ Selection Flags'!$N$2:$N$283,MATCH(A57,'EEZ Selection Flags'!$A$2:$A$283,0))</x:f>
        <x:v>0</x:v>
      </x:c>
    </x:row>
    <x:row r="58" ht="18" customHeight="1">
      <x:c r="A58" s="25" t="str">
        <x:f>'Summary'!A58</x:f>
        <x:v>EEZ_645</x:v>
      </x:c>
      <x:c r="B58" s="25" t="str">
        <x:f>'Summary'!B58</x:f>
        <x:v>Russia (Barents Sea)</x:v>
      </x:c>
      <x:c r="C58" s="25" t="str">
        <x:f>'Summary'!C58</x:f>
        <x:v>EEZ</x:v>
      </x:c>
      <x:c r="D58" s="32" t="n">
        <x:f>'Summary'!E58</x:f>
        <x:v>257638.50382026174</x:v>
      </x:c>
      <x:c r="E58" s="32" t="n">
        <x:f>'Summary'!K58</x:f>
        <x:v>256304293.92408934</x:v>
      </x:c>
      <x:c r="F58" s="34" t="n">
        <x:f>IF(SUM($E$2:$E$283)=0,"",E58/SUM($E$2:$E$283))</x:f>
        <x:v>0.0038575542055248884</x:v>
      </x:c>
      <x:c r="G58" s="35" t="n">
        <x:f>RANK(E58,$E$2:$E$283,0)+COUNTIF($E$2:E58,E58)-1</x:f>
        <x:v>57</x:v>
      </x:c>
      <x:c r="H58" s="34" t="n">
        <x:f>IF(SUM($E$2:$E$283)=0,"",SUM($F$2:F58))</x:f>
        <x:v>0.8689228010320817</x:v>
      </x:c>
      <x:c r="I58" s="25" t="b">
        <x:f>INDEX('EEZ Selection Flags'!$L$2:$L$283,MATCH(A58,'EEZ Selection Flags'!$A$2:$A$283,0))</x:f>
        <x:v>0</x:v>
      </x:c>
      <x:c r="J58" s="25" t="b">
        <x:f>INDEX('EEZ Selection Flags'!$M$2:$M$283,MATCH(A58,'EEZ Selection Flags'!$A$2:$A$283,0))</x:f>
        <x:v>0</x:v>
      </x:c>
      <x:c r="K58" s="25" t="b">
        <x:f>INDEX('EEZ Selection Flags'!$N$2:$N$283,MATCH(A58,'EEZ Selection Flags'!$A$2:$A$283,0))</x:f>
        <x:v>0</x:v>
      </x:c>
    </x:row>
    <x:row r="59" ht="18" customHeight="1">
      <x:c r="A59" s="25" t="str">
        <x:f>'Summary'!A59</x:f>
        <x:v>EEZ_304</x:v>
      </x:c>
      <x:c r="B59" s="25" t="str">
        <x:f>'Summary'!B59</x:f>
        <x:v>Greenland (Denmark)</x:v>
      </x:c>
      <x:c r="C59" s="25" t="str">
        <x:f>'Summary'!C59</x:f>
        <x:v>EEZ</x:v>
      </x:c>
      <x:c r="D59" s="32" t="n">
        <x:f>'Summary'!E59</x:f>
        <x:v>262286.0841378048</x:v>
      </x:c>
      <x:c r="E59" s="32" t="n">
        <x:f>'Summary'!K59</x:f>
        <x:v>248197559.24175024</x:v>
      </x:c>
      <x:c r="F59" s="34" t="n">
        <x:f>IF(SUM($E$2:$E$283)=0,"",E59/SUM($E$2:$E$283))</x:f>
        <x:v>0.003735542326643945</x:v>
      </x:c>
      <x:c r="G59" s="35" t="n">
        <x:f>RANK(E59,$E$2:$E$283,0)+COUNTIF($E$2:E59,E59)-1</x:f>
        <x:v>58</x:v>
      </x:c>
      <x:c r="H59" s="34" t="n">
        <x:f>IF(SUM($E$2:$E$283)=0,"",SUM($F$2:F59))</x:f>
        <x:v>0.8726583433587257</x:v>
      </x:c>
      <x:c r="I59" s="25" t="b">
        <x:f>INDEX('EEZ Selection Flags'!$L$2:$L$283,MATCH(A59,'EEZ Selection Flags'!$A$2:$A$283,0))</x:f>
        <x:v>0</x:v>
      </x:c>
      <x:c r="J59" s="25" t="b">
        <x:f>INDEX('EEZ Selection Flags'!$M$2:$M$283,MATCH(A59,'EEZ Selection Flags'!$A$2:$A$283,0))</x:f>
        <x:v>0</x:v>
      </x:c>
      <x:c r="K59" s="25" t="b">
        <x:f>INDEX('EEZ Selection Flags'!$N$2:$N$283,MATCH(A59,'EEZ Selection Flags'!$A$2:$A$283,0))</x:f>
        <x:v>0</x:v>
      </x:c>
    </x:row>
    <x:row r="60" ht="18" customHeight="1">
      <x:c r="A60" s="25" t="str">
        <x:f>'Summary'!A60</x:f>
        <x:v>EEZ_238</x:v>
      </x:c>
      <x:c r="B60" s="25" t="str">
        <x:f>'Summary'!B60</x:f>
        <x:v>Falkland Isl. (UK)</x:v>
      </x:c>
      <x:c r="C60" s="25" t="str">
        <x:f>'Summary'!C60</x:f>
        <x:v>EEZ</x:v>
      </x:c>
      <x:c r="D60" s="32" t="n">
        <x:f>'Summary'!E60</x:f>
        <x:v>278214.9808580502</x:v>
      </x:c>
      <x:c r="E60" s="32" t="n">
        <x:f>'Summary'!K60</x:f>
        <x:v>240475941.02839914</x:v>
      </x:c>
      <x:c r="F60" s="34" t="n">
        <x:f>IF(SUM($E$2:$E$283)=0,"",E60/SUM($E$2:$E$283))</x:f>
        <x:v>0.003619326712943801</x:v>
      </x:c>
      <x:c r="G60" s="35" t="n">
        <x:f>RANK(E60,$E$2:$E$283,0)+COUNTIF($E$2:E60,E60)-1</x:f>
        <x:v>59</x:v>
      </x:c>
      <x:c r="H60" s="34" t="n">
        <x:f>IF(SUM($E$2:$E$283)=0,"",SUM($F$2:F60))</x:f>
        <x:v>0.8762776700716696</x:v>
      </x:c>
      <x:c r="I60" s="25" t="b">
        <x:f>INDEX('EEZ Selection Flags'!$L$2:$L$283,MATCH(A60,'EEZ Selection Flags'!$A$2:$A$283,0))</x:f>
        <x:v>0</x:v>
      </x:c>
      <x:c r="J60" s="25" t="b">
        <x:f>INDEX('EEZ Selection Flags'!$M$2:$M$283,MATCH(A60,'EEZ Selection Flags'!$A$2:$A$283,0))</x:f>
        <x:v>0</x:v>
      </x:c>
      <x:c r="K60" s="25" t="b">
        <x:f>INDEX('EEZ Selection Flags'!$N$2:$N$283,MATCH(A60,'EEZ Selection Flags'!$A$2:$A$283,0))</x:f>
        <x:v>0</x:v>
      </x:c>
    </x:row>
    <x:row r="61" ht="18" customHeight="1">
      <x:c r="A61" s="25" t="str">
        <x:f>'Summary'!A61</x:f>
        <x:v>EEZ_024</x:v>
      </x:c>
      <x:c r="B61" s="25" t="str">
        <x:f>'Summary'!B61</x:f>
        <x:v>Angola</x:v>
      </x:c>
      <x:c r="C61" s="25" t="str">
        <x:f>'Summary'!C61</x:f>
        <x:v>EEZ</x:v>
      </x:c>
      <x:c r="D61" s="32" t="n">
        <x:f>'Summary'!E61</x:f>
        <x:v>619737.0070171056</x:v>
      </x:c>
      <x:c r="E61" s="32" t="n">
        <x:f>'Summary'!K61</x:f>
        <x:v>238291043.5932122</x:v>
      </x:c>
      <x:c r="F61" s="34" t="n">
        <x:f>IF(SUM($E$2:$E$283)=0,"",E61/SUM($E$2:$E$283))</x:f>
        <x:v>0.003586442518298813</x:v>
      </x:c>
      <x:c r="G61" s="35" t="n">
        <x:f>RANK(E61,$E$2:$E$283,0)+COUNTIF($E$2:E61,E61)-1</x:f>
        <x:v>60</x:v>
      </x:c>
      <x:c r="H61" s="34" t="n">
        <x:f>IF(SUM($E$2:$E$283)=0,"",SUM($F$2:F61))</x:f>
        <x:v>0.8798641125899683</x:v>
      </x:c>
      <x:c r="I61" s="25" t="b">
        <x:f>INDEX('EEZ Selection Flags'!$L$2:$L$283,MATCH(A61,'EEZ Selection Flags'!$A$2:$A$283,0))</x:f>
        <x:v>0</x:v>
      </x:c>
      <x:c r="J61" s="25" t="b">
        <x:f>INDEX('EEZ Selection Flags'!$M$2:$M$283,MATCH(A61,'EEZ Selection Flags'!$A$2:$A$283,0))</x:f>
        <x:v>0</x:v>
      </x:c>
      <x:c r="K61" s="25" t="b">
        <x:f>INDEX('EEZ Selection Flags'!$N$2:$N$283,MATCH(A61,'EEZ Selection Flags'!$A$2:$A$283,0))</x:f>
        <x:v>0</x:v>
      </x:c>
    </x:row>
    <x:row r="62" ht="18" customHeight="1">
      <x:c r="A62" s="25" t="str">
        <x:f>'Summary'!A62</x:f>
        <x:v>EEZ_919</x:v>
      </x:c>
      <x:c r="B62" s="25" t="str">
        <x:f>'Summary'!B62</x:f>
        <x:v>France (Atlantic Coast)</x:v>
      </x:c>
      <x:c r="C62" s="25" t="str">
        <x:f>'Summary'!C62</x:f>
        <x:v>EEZ</x:v>
      </x:c>
      <x:c r="D62" s="32" t="n">
        <x:f>'Summary'!E62</x:f>
        <x:v>270826.2519812341</x:v>
      </x:c>
      <x:c r="E62" s="32" t="n">
        <x:f>'Summary'!K62</x:f>
        <x:v>220204619.0813137</x:v>
      </x:c>
      <x:c r="F62" s="34" t="n">
        <x:f>IF(SUM($E$2:$E$283)=0,"",E62/SUM($E$2:$E$283))</x:f>
        <x:v>0.0033142295098056882</x:v>
      </x:c>
      <x:c r="G62" s="35" t="n">
        <x:f>RANK(E62,$E$2:$E$283,0)+COUNTIF($E$2:E62,E62)-1</x:f>
        <x:v>61</x:v>
      </x:c>
      <x:c r="H62" s="34" t="n">
        <x:f>IF(SUM($E$2:$E$283)=0,"",SUM($F$2:F62))</x:f>
        <x:v>0.883178342099774</x:v>
      </x:c>
      <x:c r="I62" s="25" t="b">
        <x:f>INDEX('EEZ Selection Flags'!$L$2:$L$283,MATCH(A62,'EEZ Selection Flags'!$A$2:$A$283,0))</x:f>
        <x:v>0</x:v>
      </x:c>
      <x:c r="J62" s="25" t="b">
        <x:f>INDEX('EEZ Selection Flags'!$M$2:$M$283,MATCH(A62,'EEZ Selection Flags'!$A$2:$A$283,0))</x:f>
        <x:v>0</x:v>
      </x:c>
      <x:c r="K62" s="25" t="b">
        <x:f>INDEX('EEZ Selection Flags'!$N$2:$N$283,MATCH(A62,'EEZ Selection Flags'!$A$2:$A$283,0))</x:f>
        <x:v>0</x:v>
      </x:c>
    </x:row>
    <x:row r="63" ht="18" customHeight="1">
      <x:c r="A63" s="25" t="str">
        <x:f>'Summary'!A63</x:f>
        <x:v>EEZ_744</x:v>
      </x:c>
      <x:c r="B63" s="25" t="str">
        <x:f>'Summary'!B63</x:f>
        <x:v>Svalbard Isl. (Norway)</x:v>
      </x:c>
      <x:c r="C63" s="25" t="str">
        <x:f>'Summary'!C63</x:f>
        <x:v>EEZ</x:v>
      </x:c>
      <x:c r="D63" s="32" t="n">
        <x:f>'Summary'!E63</x:f>
        <x:v>219891.4498277699</x:v>
      </x:c>
      <x:c r="E63" s="32" t="n">
        <x:f>'Summary'!K63</x:f>
        <x:v>218315950.64442787</x:v>
      </x:c>
      <x:c r="F63" s="34" t="n">
        <x:f>IF(SUM($E$2:$E$283)=0,"",E63/SUM($E$2:$E$283))</x:f>
        <x:v>0.0032858037633618584</x:v>
      </x:c>
      <x:c r="G63" s="35" t="n">
        <x:f>RANK(E63,$E$2:$E$283,0)+COUNTIF($E$2:E63,E63)-1</x:f>
        <x:v>62</x:v>
      </x:c>
      <x:c r="H63" s="34" t="n">
        <x:f>IF(SUM($E$2:$E$283)=0,"",SUM($F$2:F63))</x:f>
        <x:v>0.8864641458631358</x:v>
      </x:c>
      <x:c r="I63" s="25" t="b">
        <x:f>INDEX('EEZ Selection Flags'!$L$2:$L$283,MATCH(A63,'EEZ Selection Flags'!$A$2:$A$283,0))</x:f>
        <x:v>0</x:v>
      </x:c>
      <x:c r="J63" s="25" t="b">
        <x:f>INDEX('EEZ Selection Flags'!$M$2:$M$283,MATCH(A63,'EEZ Selection Flags'!$A$2:$A$283,0))</x:f>
        <x:v>0</x:v>
      </x:c>
      <x:c r="K63" s="25" t="b">
        <x:f>INDEX('EEZ Selection Flags'!$N$2:$N$283,MATCH(A63,'EEZ Selection Flags'!$A$2:$A$283,0))</x:f>
        <x:v>0</x:v>
      </x:c>
    </x:row>
    <x:row r="64" ht="18" customHeight="1">
      <x:c r="A64" s="25" t="str">
        <x:f>'Summary'!A64</x:f>
        <x:v>EEZ_963</x:v>
      </x:c>
      <x:c r="B64" s="25" t="str">
        <x:f>'Summary'!B64</x:f>
        <x:v>Spain (Northwest)</x:v>
      </x:c>
      <x:c r="C64" s="25" t="str">
        <x:f>'Summary'!C64</x:f>
        <x:v>EEZ</x:v>
      </x:c>
      <x:c r="D64" s="32" t="n">
        <x:f>'Summary'!E64</x:f>
        <x:v>194491.9853032628</x:v>
      </x:c>
      <x:c r="E64" s="32" t="n">
        <x:f>'Summary'!K64</x:f>
        <x:v>218230163.06143558</x:v>
      </x:c>
      <x:c r="F64" s="34" t="n">
        <x:f>IF(SUM($E$2:$E$283)=0,"",E64/SUM($E$2:$E$283))</x:f>
        <x:v>0.0032845126018035127</x:v>
      </x:c>
      <x:c r="G64" s="35" t="n">
        <x:f>RANK(E64,$E$2:$E$283,0)+COUNTIF($E$2:E64,E64)-1</x:f>
        <x:v>63</x:v>
      </x:c>
      <x:c r="H64" s="34" t="n">
        <x:f>IF(SUM($E$2:$E$283)=0,"",SUM($F$2:F64))</x:f>
        <x:v>0.8897486584649393</x:v>
      </x:c>
      <x:c r="I64" s="25" t="b">
        <x:f>INDEX('EEZ Selection Flags'!$L$2:$L$283,MATCH(A64,'EEZ Selection Flags'!$A$2:$A$283,0))</x:f>
        <x:v>0</x:v>
      </x:c>
      <x:c r="J64" s="25" t="b">
        <x:f>INDEX('EEZ Selection Flags'!$M$2:$M$283,MATCH(A64,'EEZ Selection Flags'!$A$2:$A$283,0))</x:f>
        <x:v>0</x:v>
      </x:c>
      <x:c r="K64" s="25" t="b">
        <x:f>INDEX('EEZ Selection Flags'!$N$2:$N$283,MATCH(A64,'EEZ Selection Flags'!$A$2:$A$283,0))</x:f>
        <x:v>0</x:v>
      </x:c>
    </x:row>
    <x:row r="65" ht="18" customHeight="1">
      <x:c r="A65" s="25" t="str">
        <x:f>'Summary'!A65</x:f>
        <x:v>EEZ_520</x:v>
      </x:c>
      <x:c r="B65" s="25" t="str">
        <x:f>'Summary'!B65</x:f>
        <x:v>Nauru</x:v>
      </x:c>
      <x:c r="C65" s="25" t="str">
        <x:f>'Summary'!C65</x:f>
        <x:v>EEZ</x:v>
      </x:c>
      <x:c r="D65" s="32" t="n">
        <x:f>'Summary'!E65</x:f>
        <x:v>81729.3484479404</x:v>
      </x:c>
      <x:c r="E65" s="32" t="n">
        <x:f>'Summary'!K65</x:f>
        <x:v>211818272.35681504</x:v>
      </x:c>
      <x:c r="F65" s="34" t="n">
        <x:f>IF(SUM($E$2:$E$283)=0,"",E65/SUM($E$2:$E$283))</x:f>
        <x:v>0.0031880092792321768</x:v>
      </x:c>
      <x:c r="G65" s="35" t="n">
        <x:f>RANK(E65,$E$2:$E$283,0)+COUNTIF($E$2:E65,E65)-1</x:f>
        <x:v>64</x:v>
      </x:c>
      <x:c r="H65" s="34" t="n">
        <x:f>IF(SUM($E$2:$E$283)=0,"",SUM($F$2:F65))</x:f>
        <x:v>0.8929366677441715</x:v>
      </x:c>
      <x:c r="I65" s="25" t="b">
        <x:f>INDEX('EEZ Selection Flags'!$L$2:$L$283,MATCH(A65,'EEZ Selection Flags'!$A$2:$A$283,0))</x:f>
        <x:v>1</x:v>
      </x:c>
      <x:c r="J65" s="25" t="b">
        <x:f>INDEX('EEZ Selection Flags'!$M$2:$M$283,MATCH(A65,'EEZ Selection Flags'!$A$2:$A$283,0))</x:f>
        <x:v>0</x:v>
      </x:c>
      <x:c r="K65" s="25" t="b">
        <x:f>INDEX('EEZ Selection Flags'!$N$2:$N$283,MATCH(A65,'EEZ Selection Flags'!$A$2:$A$283,0))</x:f>
        <x:v>0</x:v>
      </x:c>
    </x:row>
    <x:row r="66" ht="18" customHeight="1">
      <x:c r="A66" s="25" t="str">
        <x:f>'Summary'!A66</x:f>
        <x:v>EEZ_943</x:v>
      </x:c>
      <x:c r="B66" s="25" t="str">
        <x:f>'Summary'!B66</x:f>
        <x:v>Kiribati (Phoenix Islands)</x:v>
      </x:c>
      <x:c r="C66" s="25" t="str">
        <x:f>'Summary'!C66</x:f>
        <x:v>EEZ</x:v>
      </x:c>
      <x:c r="D66" s="32" t="n">
        <x:f>'Summary'!E66</x:f>
        <x:v>77760.627954773</x:v>
      </x:c>
      <x:c r="E66" s="32" t="n">
        <x:f>'Summary'!K66</x:f>
        <x:v>197891389.7807206</x:v>
      </x:c>
      <x:c r="F66" s="34" t="n">
        <x:f>IF(SUM($E$2:$E$283)=0,"",E66/SUM($E$2:$E$283))</x:f>
        <x:v>0.0029784002101497214</x:v>
      </x:c>
      <x:c r="G66" s="35" t="n">
        <x:f>RANK(E66,$E$2:$E$283,0)+COUNTIF($E$2:E66,E66)-1</x:f>
        <x:v>65</x:v>
      </x:c>
      <x:c r="H66" s="34" t="n">
        <x:f>IF(SUM($E$2:$E$283)=0,"",SUM($F$2:F66))</x:f>
        <x:v>0.8959150679543212</x:v>
      </x:c>
      <x:c r="I66" s="25" t="b">
        <x:f>INDEX('EEZ Selection Flags'!$L$2:$L$283,MATCH(A66,'EEZ Selection Flags'!$A$2:$A$283,0))</x:f>
        <x:v>1</x:v>
      </x:c>
      <x:c r="J66" s="25" t="b">
        <x:f>INDEX('EEZ Selection Flags'!$M$2:$M$283,MATCH(A66,'EEZ Selection Flags'!$A$2:$A$283,0))</x:f>
        <x:v>0</x:v>
      </x:c>
      <x:c r="K66" s="25" t="b">
        <x:f>INDEX('EEZ Selection Flags'!$N$2:$N$283,MATCH(A66,'EEZ Selection Flags'!$A$2:$A$283,0))</x:f>
        <x:v>0</x:v>
      </x:c>
    </x:row>
    <x:row r="67" ht="18" customHeight="1">
      <x:c r="A67" s="25" t="str">
        <x:f>'Summary'!A67</x:f>
        <x:v>EEZ_694</x:v>
      </x:c>
      <x:c r="B67" s="25" t="str">
        <x:f>'Summary'!B67</x:f>
        <x:v>Sierra Leone</x:v>
      </x:c>
      <x:c r="C67" s="25" t="str">
        <x:f>'Summary'!C67</x:f>
        <x:v>EEZ</x:v>
      </x:c>
      <x:c r="D67" s="32" t="n">
        <x:f>'Summary'!E67</x:f>
        <x:v>442517.00676733244</x:v>
      </x:c>
      <x:c r="E67" s="32" t="n">
        <x:f>'Summary'!K67</x:f>
        <x:v>188913523.83892518</x:v>
      </x:c>
      <x:c r="F67" s="34" t="n">
        <x:f>IF(SUM($E$2:$E$283)=0,"",E67/SUM($E$2:$E$283))</x:f>
        <x:v>0.0028432772124418917</x:v>
      </x:c>
      <x:c r="G67" s="35" t="n">
        <x:f>RANK(E67,$E$2:$E$283,0)+COUNTIF($E$2:E67,E67)-1</x:f>
        <x:v>66</x:v>
      </x:c>
      <x:c r="H67" s="34" t="n">
        <x:f>IF(SUM($E$2:$E$283)=0,"",SUM($F$2:F67))</x:f>
        <x:v>0.8987583451667631</x:v>
      </x:c>
      <x:c r="I67" s="25" t="b">
        <x:f>INDEX('EEZ Selection Flags'!$L$2:$L$283,MATCH(A67,'EEZ Selection Flags'!$A$2:$A$283,0))</x:f>
        <x:v>0</x:v>
      </x:c>
      <x:c r="J67" s="25" t="b">
        <x:f>INDEX('EEZ Selection Flags'!$M$2:$M$283,MATCH(A67,'EEZ Selection Flags'!$A$2:$A$283,0))</x:f>
        <x:v>0</x:v>
      </x:c>
      <x:c r="K67" s="25" t="b">
        <x:f>INDEX('EEZ Selection Flags'!$N$2:$N$283,MATCH(A67,'EEZ Selection Flags'!$A$2:$A$283,0))</x:f>
        <x:v>0</x:v>
      </x:c>
    </x:row>
    <x:row r="68" ht="18" customHeight="1">
      <x:c r="A68" s="25" t="str">
        <x:f>'Summary'!A68</x:f>
        <x:v>EEZ_512</x:v>
      </x:c>
      <x:c r="B68" s="25" t="str">
        <x:f>'Summary'!B68</x:f>
        <x:v>Oman</x:v>
      </x:c>
      <x:c r="C68" s="25" t="str">
        <x:f>'Summary'!C68</x:f>
        <x:v>EEZ</x:v>
      </x:c>
      <x:c r="D68" s="32" t="n">
        <x:f>'Summary'!E68</x:f>
        <x:v>304318.44171610783</x:v>
      </x:c>
      <x:c r="E68" s="32" t="n">
        <x:f>'Summary'!K68</x:f>
        <x:v>187008419.87587023</x:v>
      </x:c>
      <x:c r="F68" s="34" t="n">
        <x:f>IF(SUM($E$2:$E$283)=0,"",E68/SUM($E$2:$E$283))</x:f>
        <x:v>0.002814604100134139</x:v>
      </x:c>
      <x:c r="G68" s="35" t="n">
        <x:f>RANK(E68,$E$2:$E$283,0)+COUNTIF($E$2:E68,E68)-1</x:f>
        <x:v>67</x:v>
      </x:c>
      <x:c r="H68" s="34" t="n">
        <x:f>IF(SUM($E$2:$E$283)=0,"",SUM($F$2:F68))</x:f>
        <x:v>0.9015729492668972</x:v>
      </x:c>
      <x:c r="I68" s="25" t="b">
        <x:f>INDEX('EEZ Selection Flags'!$L$2:$L$283,MATCH(A68,'EEZ Selection Flags'!$A$2:$A$283,0))</x:f>
        <x:v>0</x:v>
      </x:c>
      <x:c r="J68" s="25" t="b">
        <x:f>INDEX('EEZ Selection Flags'!$M$2:$M$283,MATCH(A68,'EEZ Selection Flags'!$A$2:$A$283,0))</x:f>
        <x:v>0</x:v>
      </x:c>
      <x:c r="K68" s="25" t="b">
        <x:f>INDEX('EEZ Selection Flags'!$N$2:$N$283,MATCH(A68,'EEZ Selection Flags'!$A$2:$A$283,0))</x:f>
        <x:v>0</x:v>
      </x:c>
    </x:row>
    <x:row r="69" ht="18" customHeight="1">
      <x:c r="A69" s="25" t="str">
        <x:f>'Summary'!A69</x:f>
        <x:v>EEZ_219</x:v>
      </x:c>
      <x:c r="B69" s="25" t="str">
        <x:f>'Summary'!B69</x:f>
        <x:v>Galapagos Isl. (Ecuador)</x:v>
      </x:c>
      <x:c r="C69" s="25" t="str">
        <x:f>'Summary'!C69</x:f>
        <x:v>EEZ</x:v>
      </x:c>
      <x:c r="D69" s="32" t="n">
        <x:f>'Summary'!E69</x:f>
        <x:v>68947.83335948801</x:v>
      </x:c>
      <x:c r="E69" s="32" t="n">
        <x:f>'Summary'!K69</x:f>
        <x:v>178171427.7951421</x:v>
      </x:c>
      <x:c r="F69" s="34" t="n">
        <x:f>IF(SUM($E$2:$E$283)=0,"",E69/SUM($E$2:$E$283))</x:f>
        <x:v>0.002681601349991766</x:v>
      </x:c>
      <x:c r="G69" s="35" t="n">
        <x:f>RANK(E69,$E$2:$E$283,0)+COUNTIF($E$2:E69,E69)-1</x:f>
        <x:v>68</x:v>
      </x:c>
      <x:c r="H69" s="34" t="n">
        <x:f>IF(SUM($E$2:$E$283)=0,"",SUM($F$2:F69))</x:f>
        <x:v>0.904254550616889</x:v>
      </x:c>
      <x:c r="I69" s="25" t="b">
        <x:f>INDEX('EEZ Selection Flags'!$L$2:$L$283,MATCH(A69,'EEZ Selection Flags'!$A$2:$A$283,0))</x:f>
        <x:v>1</x:v>
      </x:c>
      <x:c r="J69" s="25" t="b">
        <x:f>INDEX('EEZ Selection Flags'!$M$2:$M$283,MATCH(A69,'EEZ Selection Flags'!$A$2:$A$283,0))</x:f>
        <x:v>0</x:v>
      </x:c>
      <x:c r="K69" s="25" t="b">
        <x:f>INDEX('EEZ Selection Flags'!$N$2:$N$283,MATCH(A69,'EEZ Selection Flags'!$A$2:$A$283,0))</x:f>
        <x:v>0</x:v>
      </x:c>
    </x:row>
    <x:row r="70" ht="18" customHeight="1">
      <x:c r="A70" s="25" t="str">
        <x:f>'Summary'!A70</x:f>
        <x:v>EEZ_862</x:v>
      </x:c>
      <x:c r="B70" s="25" t="str">
        <x:f>'Summary'!B70</x:f>
        <x:v>Venezuela</x:v>
      </x:c>
      <x:c r="C70" s="25" t="str">
        <x:f>'Summary'!C70</x:f>
        <x:v>EEZ</x:v>
      </x:c>
      <x:c r="D70" s="32" t="n">
        <x:f>'Summary'!E70</x:f>
        <x:v>306380.438267835</x:v>
      </x:c>
      <x:c r="E70" s="32" t="n">
        <x:f>'Summary'!K70</x:f>
        <x:v>172576491.72799766</x:v>
      </x:c>
      <x:c r="F70" s="34" t="n">
        <x:f>IF(SUM($E$2:$E$283)=0,"",E70/SUM($E$2:$E$283))</x:f>
        <x:v>0.002597393751184045</x:v>
      </x:c>
      <x:c r="G70" s="35" t="n">
        <x:f>RANK(E70,$E$2:$E$283,0)+COUNTIF($E$2:E70,E70)-1</x:f>
        <x:v>69</x:v>
      </x:c>
      <x:c r="H70" s="34" t="n">
        <x:f>IF(SUM($E$2:$E$283)=0,"",SUM($F$2:F70))</x:f>
        <x:v>0.906851944368073</x:v>
      </x:c>
      <x:c r="I70" s="25" t="b">
        <x:f>INDEX('EEZ Selection Flags'!$L$2:$L$283,MATCH(A70,'EEZ Selection Flags'!$A$2:$A$283,0))</x:f>
        <x:v>0</x:v>
      </x:c>
      <x:c r="J70" s="25" t="b">
        <x:f>INDEX('EEZ Selection Flags'!$M$2:$M$283,MATCH(A70,'EEZ Selection Flags'!$A$2:$A$283,0))</x:f>
        <x:v>0</x:v>
      </x:c>
      <x:c r="K70" s="25" t="b">
        <x:f>INDEX('EEZ Selection Flags'!$N$2:$N$283,MATCH(A70,'EEZ Selection Flags'!$A$2:$A$283,0))</x:f>
        <x:v>0</x:v>
      </x:c>
    </x:row>
    <x:row r="71" ht="18" customHeight="1">
      <x:c r="A71" s="25" t="str">
        <x:f>'Summary'!A71</x:f>
        <x:v>EEZ_380</x:v>
      </x:c>
      <x:c r="B71" s="25" t="str">
        <x:f>'Summary'!B71</x:f>
        <x:v>Italy (mainland)</x:v>
      </x:c>
      <x:c r="C71" s="25" t="str">
        <x:f>'Summary'!C71</x:f>
        <x:v>EEZ</x:v>
      </x:c>
      <x:c r="D71" s="32" t="n">
        <x:f>'Summary'!E71</x:f>
        <x:v>234477.5946714614</x:v>
      </x:c>
      <x:c r="E71" s="32" t="n">
        <x:f>'Summary'!K71</x:f>
        <x:v>166295145.49936318</x:v>
      </x:c>
      <x:c r="F71" s="34" t="n">
        <x:f>IF(SUM($E$2:$E$283)=0,"",E71/SUM($E$2:$E$283))</x:f>
        <x:v>0.002502855211896821</x:v>
      </x:c>
      <x:c r="G71" s="35" t="n">
        <x:f>RANK(E71,$E$2:$E$283,0)+COUNTIF($E$2:E71,E71)-1</x:f>
        <x:v>70</x:v>
      </x:c>
      <x:c r="H71" s="34" t="n">
        <x:f>IF(SUM($E$2:$E$283)=0,"",SUM($F$2:F71))</x:f>
        <x:v>0.9093547995799699</x:v>
      </x:c>
      <x:c r="I71" s="25" t="b">
        <x:f>INDEX('EEZ Selection Flags'!$L$2:$L$283,MATCH(A71,'EEZ Selection Flags'!$A$2:$A$283,0))</x:f>
        <x:v>0</x:v>
      </x:c>
      <x:c r="J71" s="25" t="b">
        <x:f>INDEX('EEZ Selection Flags'!$M$2:$M$283,MATCH(A71,'EEZ Selection Flags'!$A$2:$A$283,0))</x:f>
        <x:v>0</x:v>
      </x:c>
      <x:c r="K71" s="25" t="b">
        <x:f>INDEX('EEZ Selection Flags'!$N$2:$N$283,MATCH(A71,'EEZ Selection Flags'!$A$2:$A$283,0))</x:f>
        <x:v>0</x:v>
      </x:c>
    </x:row>
    <x:row r="72" ht="18" customHeight="1">
      <x:c r="A72" s="25" t="str">
        <x:f>'Summary'!A72</x:f>
        <x:v>EEZ_706</x:v>
      </x:c>
      <x:c r="B72" s="25" t="str">
        <x:f>'Summary'!B72</x:f>
        <x:v>Somalia</x:v>
      </x:c>
      <x:c r="C72" s="25" t="str">
        <x:f>'Summary'!C72</x:f>
        <x:v>EEZ</x:v>
      </x:c>
      <x:c r="D72" s="32" t="n">
        <x:f>'Summary'!E72</x:f>
        <x:v>139703.8091832829</x:v>
      </x:c>
      <x:c r="E72" s="32" t="n">
        <x:f>'Summary'!K72</x:f>
        <x:v>166015194.26696122</x:v>
      </x:c>
      <x:c r="F72" s="34" t="n">
        <x:f>IF(SUM($E$2:$E$283)=0,"",E72/SUM($E$2:$E$283))</x:f>
        <x:v>0.002498641755160064</x:v>
      </x:c>
      <x:c r="G72" s="35" t="n">
        <x:f>RANK(E72,$E$2:$E$283,0)+COUNTIF($E$2:E72,E72)-1</x:f>
        <x:v>71</x:v>
      </x:c>
      <x:c r="H72" s="34" t="n">
        <x:f>IF(SUM($E$2:$E$283)=0,"",SUM($F$2:F72))</x:f>
        <x:v>0.9118534413351299</x:v>
      </x:c>
      <x:c r="I72" s="25" t="b">
        <x:f>INDEX('EEZ Selection Flags'!$L$2:$L$283,MATCH(A72,'EEZ Selection Flags'!$A$2:$A$283,0))</x:f>
        <x:v>0</x:v>
      </x:c>
      <x:c r="J72" s="25" t="b">
        <x:f>INDEX('EEZ Selection Flags'!$M$2:$M$283,MATCH(A72,'EEZ Selection Flags'!$A$2:$A$283,0))</x:f>
        <x:v>0</x:v>
      </x:c>
      <x:c r="K72" s="25" t="b">
        <x:f>INDEX('EEZ Selection Flags'!$N$2:$N$283,MATCH(A72,'EEZ Selection Flags'!$A$2:$A$283,0))</x:f>
        <x:v>0</x:v>
      </x:c>
    </x:row>
    <x:row r="73" ht="18" customHeight="1">
      <x:c r="A73" s="25" t="str">
        <x:f>'Summary'!A73</x:f>
        <x:v>EEZ_794</x:v>
      </x:c>
      <x:c r="B73" s="25" t="str">
        <x:f>'Summary'!B73</x:f>
        <x:v>Turkey (Black Sea)</x:v>
      </x:c>
      <x:c r="C73" s="25" t="str">
        <x:f>'Summary'!C73</x:f>
        <x:v>EEZ</x:v>
      </x:c>
      <x:c r="D73" s="32" t="n">
        <x:f>'Summary'!E73</x:f>
        <x:v>557210.7803783925</x:v>
      </x:c>
      <x:c r="E73" s="32" t="n">
        <x:f>'Summary'!K73</x:f>
        <x:v>164051844.8986375</x:v>
      </x:c>
      <x:c r="F73" s="34" t="n">
        <x:f>IF(SUM($E$2:$E$283)=0,"",E73/SUM($E$2:$E$283))</x:f>
        <x:v>0.0024690920098290907</x:v>
      </x:c>
      <x:c r="G73" s="35" t="n">
        <x:f>RANK(E73,$E$2:$E$283,0)+COUNTIF($E$2:E73,E73)-1</x:f>
        <x:v>72</x:v>
      </x:c>
      <x:c r="H73" s="34" t="n">
        <x:f>IF(SUM($E$2:$E$283)=0,"",SUM($F$2:F73))</x:f>
        <x:v>0.914322533344959</x:v>
      </x:c>
      <x:c r="I73" s="25" t="b">
        <x:f>INDEX('EEZ Selection Flags'!$L$2:$L$283,MATCH(A73,'EEZ Selection Flags'!$A$2:$A$283,0))</x:f>
        <x:v>0</x:v>
      </x:c>
      <x:c r="J73" s="25" t="b">
        <x:f>INDEX('EEZ Selection Flags'!$M$2:$M$283,MATCH(A73,'EEZ Selection Flags'!$A$2:$A$283,0))</x:f>
        <x:v>0</x:v>
      </x:c>
      <x:c r="K73" s="25" t="b">
        <x:f>INDEX('EEZ Selection Flags'!$N$2:$N$283,MATCH(A73,'EEZ Selection Flags'!$A$2:$A$283,0))</x:f>
        <x:v>0</x:v>
      </x:c>
    </x:row>
    <x:row r="74" ht="18" customHeight="1">
      <x:c r="A74" s="25" t="str">
        <x:f>'Summary'!A74</x:f>
        <x:v>EEZ_962</x:v>
      </x:c>
      <x:c r="B74" s="25" t="str">
        <x:f>'Summary'!B74</x:f>
        <x:v>Spain (mainland, Med and Gulf of Cadiz)</x:v>
      </x:c>
      <x:c r="C74" s="25" t="str">
        <x:f>'Summary'!C74</x:f>
        <x:v>EEZ</x:v>
      </x:c>
      <x:c r="D74" s="32" t="n">
        <x:f>'Summary'!E74</x:f>
        <x:v>200667.8299873407</x:v>
      </x:c>
      <x:c r="E74" s="32" t="n">
        <x:f>'Summary'!K74</x:f>
        <x:v>161337945.08672658</x:v>
      </x:c>
      <x:c r="F74" s="34" t="n">
        <x:f>IF(SUM($E$2:$E$283)=0,"",E74/SUM($E$2:$E$283))</x:f>
        <x:v>0.002428245969083824</x:v>
      </x:c>
      <x:c r="G74" s="35" t="n">
        <x:f>RANK(E74,$E$2:$E$283,0)+COUNTIF($E$2:E74,E74)-1</x:f>
        <x:v>73</x:v>
      </x:c>
      <x:c r="H74" s="34" t="n">
        <x:f>IF(SUM($E$2:$E$283)=0,"",SUM($F$2:F74))</x:f>
        <x:v>0.9167507793140429</x:v>
      </x:c>
      <x:c r="I74" s="25" t="b">
        <x:f>INDEX('EEZ Selection Flags'!$L$2:$L$283,MATCH(A74,'EEZ Selection Flags'!$A$2:$A$283,0))</x:f>
        <x:v>0</x:v>
      </x:c>
      <x:c r="J74" s="25" t="b">
        <x:f>INDEX('EEZ Selection Flags'!$M$2:$M$283,MATCH(A74,'EEZ Selection Flags'!$A$2:$A$283,0))</x:f>
        <x:v>0</x:v>
      </x:c>
      <x:c r="K74" s="25" t="b">
        <x:f>INDEX('EEZ Selection Flags'!$N$2:$N$283,MATCH(A74,'EEZ Selection Flags'!$A$2:$A$283,0))</x:f>
        <x:v>0</x:v>
      </x:c>
    </x:row>
    <x:row r="75" ht="18" customHeight="1">
      <x:c r="A75" s="25" t="str">
        <x:f>'Summary'!A75</x:f>
        <x:v>EEZ_036</x:v>
      </x:c>
      <x:c r="B75" s="25" t="str">
        <x:f>'Summary'!B75</x:f>
        <x:v>Australia</x:v>
      </x:c>
      <x:c r="C75" s="25" t="str">
        <x:f>'Summary'!C75</x:f>
        <x:v>EEZ</x:v>
      </x:c>
      <x:c r="D75" s="32" t="n">
        <x:f>'Summary'!E75</x:f>
        <x:v>228804.7535442354</x:v>
      </x:c>
      <x:c r="E75" s="32" t="n">
        <x:f>'Summary'!K75</x:f>
        <x:v>159135782.88848543</x:v>
      </x:c>
      <x:c r="F75" s="34" t="n">
        <x:f>IF(SUM($E$2:$E$283)=0,"",E75/SUM($E$2:$E$283))</x:f>
        <x:v>0.002395101927994957</x:v>
      </x:c>
      <x:c r="G75" s="35" t="n">
        <x:f>RANK(E75,$E$2:$E$283,0)+COUNTIF($E$2:E75,E75)-1</x:f>
        <x:v>74</x:v>
      </x:c>
      <x:c r="H75" s="34" t="n">
        <x:f>IF(SUM($E$2:$E$283)=0,"",SUM($F$2:F75))</x:f>
        <x:v>0.9191458812420379</x:v>
      </x:c>
      <x:c r="I75" s="25" t="b">
        <x:f>INDEX('EEZ Selection Flags'!$L$2:$L$283,MATCH(A75,'EEZ Selection Flags'!$A$2:$A$283,0))</x:f>
        <x:v>0</x:v>
      </x:c>
      <x:c r="J75" s="25" t="b">
        <x:f>INDEX('EEZ Selection Flags'!$M$2:$M$283,MATCH(A75,'EEZ Selection Flags'!$A$2:$A$283,0))</x:f>
        <x:v>1</x:v>
      </x:c>
      <x:c r="K75" s="25" t="b">
        <x:f>INDEX('EEZ Selection Flags'!$N$2:$N$283,MATCH(A75,'EEZ Selection Flags'!$A$2:$A$283,0))</x:f>
        <x:v>0</x:v>
      </x:c>
    </x:row>
    <x:row r="76" ht="18" customHeight="1">
      <x:c r="A76" s="25" t="str">
        <x:f>'Summary'!A76</x:f>
        <x:v>EEZ_116</x:v>
      </x:c>
      <x:c r="B76" s="25" t="str">
        <x:f>'Summary'!B76</x:f>
        <x:v>Cambodia</x:v>
      </x:c>
      <x:c r="C76" s="25" t="str">
        <x:f>'Summary'!C76</x:f>
        <x:v>EEZ</x:v>
      </x:c>
      <x:c r="D76" s="32" t="n">
        <x:f>'Summary'!E76</x:f>
        <x:v>211746.984487642</x:v>
      </x:c>
      <x:c r="E76" s="32" t="n">
        <x:f>'Summary'!K76</x:f>
        <x:v>157736807.02534643</x:v>
      </x:c>
      <x:c r="F76" s="34" t="n">
        <x:f>IF(SUM($E$2:$E$283)=0,"",E76/SUM($E$2:$E$283))</x:f>
        <x:v>0.0023740463883406815</x:v>
      </x:c>
      <x:c r="G76" s="35" t="n">
        <x:f>RANK(E76,$E$2:$E$283,0)+COUNTIF($E$2:E76,E76)-1</x:f>
        <x:v>75</x:v>
      </x:c>
      <x:c r="H76" s="34" t="n">
        <x:f>IF(SUM($E$2:$E$283)=0,"",SUM($F$2:F76))</x:f>
        <x:v>0.9215199276303786</x:v>
      </x:c>
      <x:c r="I76" s="25" t="b">
        <x:f>INDEX('EEZ Selection Flags'!$L$2:$L$283,MATCH(A76,'EEZ Selection Flags'!$A$2:$A$283,0))</x:f>
        <x:v>0</x:v>
      </x:c>
      <x:c r="J76" s="25" t="b">
        <x:f>INDEX('EEZ Selection Flags'!$M$2:$M$283,MATCH(A76,'EEZ Selection Flags'!$A$2:$A$283,0))</x:f>
        <x:v>0</x:v>
      </x:c>
      <x:c r="K76" s="25" t="b">
        <x:f>INDEX('EEZ Selection Flags'!$N$2:$N$283,MATCH(A76,'EEZ Selection Flags'!$A$2:$A$283,0))</x:f>
        <x:v>0</x:v>
      </x:c>
    </x:row>
    <x:row r="77" ht="18" customHeight="1">
      <x:c r="A77" s="25" t="str">
        <x:f>'Summary'!A77</x:f>
        <x:v>EEZ_218</x:v>
      </x:c>
      <x:c r="B77" s="25" t="str">
        <x:f>'Summary'!B77</x:f>
        <x:v>Ecuador (mainland)</x:v>
      </x:c>
      <x:c r="C77" s="25" t="str">
        <x:f>'Summary'!C77</x:f>
        <x:v>EEZ</x:v>
      </x:c>
      <x:c r="D77" s="32" t="n">
        <x:f>'Summary'!E77</x:f>
        <x:v>227592.59662859532</x:v>
      </x:c>
      <x:c r="E77" s="32" t="n">
        <x:f>'Summary'!K77</x:f>
        <x:v>156635027.49107185</x:v>
      </x:c>
      <x:c r="F77" s="34" t="n">
        <x:f>IF(SUM($E$2:$E$283)=0,"",E77/SUM($E$2:$E$283))</x:f>
        <x:v>0.0023574638558714407</x:v>
      </x:c>
      <x:c r="G77" s="35" t="n">
        <x:f>RANK(E77,$E$2:$E$283,0)+COUNTIF($E$2:E77,E77)-1</x:f>
        <x:v>76</x:v>
      </x:c>
      <x:c r="H77" s="34" t="n">
        <x:f>IF(SUM($E$2:$E$283)=0,"",SUM($F$2:F77))</x:f>
        <x:v>0.92387739148625</x:v>
      </x:c>
      <x:c r="I77" s="25" t="b">
        <x:f>INDEX('EEZ Selection Flags'!$L$2:$L$283,MATCH(A77,'EEZ Selection Flags'!$A$2:$A$283,0))</x:f>
        <x:v>0</x:v>
      </x:c>
      <x:c r="J77" s="25" t="b">
        <x:f>INDEX('EEZ Selection Flags'!$M$2:$M$283,MATCH(A77,'EEZ Selection Flags'!$A$2:$A$283,0))</x:f>
        <x:v>0</x:v>
      </x:c>
      <x:c r="K77" s="25" t="b">
        <x:f>INDEX('EEZ Selection Flags'!$N$2:$N$283,MATCH(A77,'EEZ Selection Flags'!$A$2:$A$283,0))</x:f>
        <x:v>0</x:v>
      </x:c>
    </x:row>
    <x:row r="78" ht="18" customHeight="1">
      <x:c r="A78" s="25" t="str">
        <x:f>'Summary'!A78</x:f>
        <x:v>EEZ_508</x:v>
      </x:c>
      <x:c r="B78" s="25" t="str">
        <x:f>'Summary'!B78</x:f>
        <x:v>Mozambique</x:v>
      </x:c>
      <x:c r="C78" s="25" t="str">
        <x:f>'Summary'!C78</x:f>
        <x:v>EEZ</x:v>
      </x:c>
      <x:c r="D78" s="32" t="n">
        <x:f>'Summary'!E78</x:f>
        <x:v>296238.55412247276</x:v>
      </x:c>
      <x:c r="E78" s="32" t="n">
        <x:f>'Summary'!K78</x:f>
        <x:v>155171497.13322508</x:v>
      </x:c>
      <x:c r="F78" s="34" t="n">
        <x:f>IF(SUM($E$2:$E$283)=0,"",E78/SUM($E$2:$E$283))</x:f>
        <x:v>0.0023354367271004443</x:v>
      </x:c>
      <x:c r="G78" s="35" t="n">
        <x:f>RANK(E78,$E$2:$E$283,0)+COUNTIF($E$2:E78,E78)-1</x:f>
        <x:v>77</x:v>
      </x:c>
      <x:c r="H78" s="34" t="n">
        <x:f>IF(SUM($E$2:$E$283)=0,"",SUM($F$2:F78))</x:f>
        <x:v>0.9262128282133505</x:v>
      </x:c>
      <x:c r="I78" s="25" t="b">
        <x:f>INDEX('EEZ Selection Flags'!$L$2:$L$283,MATCH(A78,'EEZ Selection Flags'!$A$2:$A$283,0))</x:f>
        <x:v>0</x:v>
      </x:c>
      <x:c r="J78" s="25" t="b">
        <x:f>INDEX('EEZ Selection Flags'!$M$2:$M$283,MATCH(A78,'EEZ Selection Flags'!$A$2:$A$283,0))</x:f>
        <x:v>0</x:v>
      </x:c>
      <x:c r="K78" s="25" t="b">
        <x:f>INDEX('EEZ Selection Flags'!$N$2:$N$283,MATCH(A78,'EEZ Selection Flags'!$A$2:$A$283,0))</x:f>
        <x:v>0</x:v>
      </x:c>
    </x:row>
    <x:row r="79" ht="18" customHeight="1">
      <x:c r="A79" s="25" t="str">
        <x:f>'Summary'!A79</x:f>
        <x:v>EEZ_012</x:v>
      </x:c>
      <x:c r="B79" s="25" t="str">
        <x:f>'Summary'!B79</x:f>
        <x:v>Algeria</x:v>
      </x:c>
      <x:c r="C79" s="25" t="str">
        <x:f>'Summary'!C79</x:f>
        <x:v>EEZ</x:v>
      </x:c>
      <x:c r="D79" s="32" t="n">
        <x:f>'Summary'!E79</x:f>
        <x:v>236644.15639922052</x:v>
      </x:c>
      <x:c r="E79" s="32" t="n">
        <x:f>'Summary'!K79</x:f>
        <x:v>153457037.5384049</x:v>
      </x:c>
      <x:c r="F79" s="34" t="n">
        <x:f>IF(SUM($E$2:$E$283)=0,"",E79/SUM($E$2:$E$283))</x:f>
        <x:v>0.002309632942392258</x:v>
      </x:c>
      <x:c r="G79" s="35" t="n">
        <x:f>RANK(E79,$E$2:$E$283,0)+COUNTIF($E$2:E79,E79)-1</x:f>
        <x:v>78</x:v>
      </x:c>
      <x:c r="H79" s="34" t="n">
        <x:f>IF(SUM($E$2:$E$283)=0,"",SUM($F$2:F79))</x:f>
        <x:v>0.9285224611557428</x:v>
      </x:c>
      <x:c r="I79" s="25" t="b">
        <x:f>INDEX('EEZ Selection Flags'!$L$2:$L$283,MATCH(A79,'EEZ Selection Flags'!$A$2:$A$283,0))</x:f>
        <x:v>0</x:v>
      </x:c>
      <x:c r="J79" s="25" t="b">
        <x:f>INDEX('EEZ Selection Flags'!$M$2:$M$283,MATCH(A79,'EEZ Selection Flags'!$A$2:$A$283,0))</x:f>
        <x:v>0</x:v>
      </x:c>
      <x:c r="K79" s="25" t="b">
        <x:f>INDEX('EEZ Selection Flags'!$N$2:$N$283,MATCH(A79,'EEZ Selection Flags'!$A$2:$A$283,0))</x:f>
        <x:v>0</x:v>
      </x:c>
    </x:row>
    <x:row r="80" ht="18" customHeight="1">
      <x:c r="A80" s="25" t="str">
        <x:f>'Summary'!A80</x:f>
        <x:v>EEZ_463</x:v>
      </x:c>
      <x:c r="B80" s="25" t="str">
        <x:f>'Summary'!B80</x:f>
        <x:v>Malaysia (Sarawak)</x:v>
      </x:c>
      <x:c r="C80" s="25" t="str">
        <x:f>'Summary'!C80</x:f>
        <x:v>EEZ</x:v>
      </x:c>
      <x:c r="D80" s="32" t="n">
        <x:f>'Summary'!E80</x:f>
        <x:v>172418.003123827</x:v>
      </x:c>
      <x:c r="E80" s="32" t="n">
        <x:f>'Summary'!K80</x:f>
        <x:v>142871346.13405973</x:v>
      </x:c>
      <x:c r="F80" s="34" t="n">
        <x:f>IF(SUM($E$2:$E$283)=0,"",E80/SUM($E$2:$E$283))</x:f>
        <x:v>0.002150311076300874</x:v>
      </x:c>
      <x:c r="G80" s="35" t="n">
        <x:f>RANK(E80,$E$2:$E$283,0)+COUNTIF($E$2:E80,E80)-1</x:f>
        <x:v>79</x:v>
      </x:c>
      <x:c r="H80" s="34" t="n">
        <x:f>IF(SUM($E$2:$E$283)=0,"",SUM($F$2:F80))</x:f>
        <x:v>0.9306727722320437</x:v>
      </x:c>
      <x:c r="I80" s="25" t="b">
        <x:f>INDEX('EEZ Selection Flags'!$L$2:$L$283,MATCH(A80,'EEZ Selection Flags'!$A$2:$A$283,0))</x:f>
        <x:v>0</x:v>
      </x:c>
      <x:c r="J80" s="25" t="b">
        <x:f>INDEX('EEZ Selection Flags'!$M$2:$M$283,MATCH(A80,'EEZ Selection Flags'!$A$2:$A$283,0))</x:f>
        <x:v>0</x:v>
      </x:c>
      <x:c r="K80" s="25" t="b">
        <x:f>INDEX('EEZ Selection Flags'!$N$2:$N$283,MATCH(A80,'EEZ Selection Flags'!$A$2:$A$283,0))</x:f>
        <x:v>0</x:v>
      </x:c>
    </x:row>
    <x:row r="81" ht="18" customHeight="1">
      <x:c r="A81" s="25" t="str">
        <x:f>'Summary'!A81</x:f>
        <x:v>EEZ_184</x:v>
      </x:c>
      <x:c r="B81" s="25" t="str">
        <x:f>'Summary'!B81</x:f>
        <x:v>Cook Islands</x:v>
      </x:c>
      <x:c r="C81" s="25" t="str">
        <x:f>'Summary'!C81</x:f>
        <x:v>EEZ</x:v>
      </x:c>
      <x:c r="D81" s="32" t="n">
        <x:f>'Summary'!E81</x:f>
        <x:v>57850.209005275494</x:v>
      </x:c>
      <x:c r="E81" s="32" t="n">
        <x:f>'Summary'!K81</x:f>
        <x:v>137382390.5661584</x:v>
      </x:c>
      <x:c r="F81" s="34" t="n">
        <x:f>IF(SUM($E$2:$E$283)=0,"",E81/SUM($E$2:$E$283))</x:f>
        <x:v>0.002067698556195502</x:v>
      </x:c>
      <x:c r="G81" s="35" t="n">
        <x:f>RANK(E81,$E$2:$E$283,0)+COUNTIF($E$2:E81,E81)-1</x:f>
        <x:v>80</x:v>
      </x:c>
      <x:c r="H81" s="34" t="n">
        <x:f>IF(SUM($E$2:$E$283)=0,"",SUM($F$2:F81))</x:f>
        <x:v>0.9327404707882392</x:v>
      </x:c>
      <x:c r="I81" s="25" t="b">
        <x:f>INDEX('EEZ Selection Flags'!$L$2:$L$283,MATCH(A81,'EEZ Selection Flags'!$A$2:$A$283,0))</x:f>
        <x:v>1</x:v>
      </x:c>
      <x:c r="J81" s="25" t="b">
        <x:f>INDEX('EEZ Selection Flags'!$M$2:$M$283,MATCH(A81,'EEZ Selection Flags'!$A$2:$A$283,0))</x:f>
        <x:v>0</x:v>
      </x:c>
      <x:c r="K81" s="25" t="b">
        <x:f>INDEX('EEZ Selection Flags'!$N$2:$N$283,MATCH(A81,'EEZ Selection Flags'!$A$2:$A$283,0))</x:f>
        <x:v>0</x:v>
      </x:c>
    </x:row>
    <x:row r="82" ht="18" customHeight="1">
      <x:c r="A82" s="25" t="str">
        <x:f>'Summary'!A82</x:f>
        <x:v>EEZ_384</x:v>
      </x:c>
      <x:c r="B82" s="25" t="str">
        <x:f>'Summary'!B82</x:f>
        <x:v>Côte d'Ivoire</x:v>
      </x:c>
      <x:c r="C82" s="25" t="str">
        <x:f>'Summary'!C82</x:f>
        <x:v>EEZ</x:v>
      </x:c>
      <x:c r="D82" s="32" t="n">
        <x:f>'Summary'!E82</x:f>
        <x:v>239562.63863203014</x:v>
      </x:c>
      <x:c r="E82" s="32" t="n">
        <x:f>'Summary'!K82</x:f>
        <x:v>133414622.3409288</x:v>
      </x:c>
      <x:c r="F82" s="34" t="n">
        <x:f>IF(SUM($E$2:$E$283)=0,"",E82/SUM($E$2:$E$283))</x:f>
        <x:v>0.0020079809417558638</x:v>
      </x:c>
      <x:c r="G82" s="35" t="n">
        <x:f>RANK(E82,$E$2:$E$283,0)+COUNTIF($E$2:E82,E82)-1</x:f>
        <x:v>81</x:v>
      </x:c>
      <x:c r="H82" s="34" t="n">
        <x:f>IF(SUM($E$2:$E$283)=0,"",SUM($F$2:F82))</x:f>
        <x:v>0.9347484517299951</x:v>
      </x:c>
      <x:c r="I82" s="25" t="b">
        <x:f>INDEX('EEZ Selection Flags'!$L$2:$L$283,MATCH(A82,'EEZ Selection Flags'!$A$2:$A$283,0))</x:f>
        <x:v>0</x:v>
      </x:c>
      <x:c r="J82" s="25" t="b">
        <x:f>INDEX('EEZ Selection Flags'!$M$2:$M$283,MATCH(A82,'EEZ Selection Flags'!$A$2:$A$283,0))</x:f>
        <x:v>0</x:v>
      </x:c>
      <x:c r="K82" s="25" t="b">
        <x:f>INDEX('EEZ Selection Flags'!$N$2:$N$283,MATCH(A82,'EEZ Selection Flags'!$A$2:$A$283,0))</x:f>
        <x:v>0</x:v>
      </x:c>
    </x:row>
    <x:row r="83" ht="18" customHeight="1">
      <x:c r="A83" s="25" t="str">
        <x:f>'Summary'!A83</x:f>
        <x:v>EEZ_584</x:v>
      </x:c>
      <x:c r="B83" s="25" t="str">
        <x:f>'Summary'!B83</x:f>
        <x:v>Marshall Isl.</x:v>
      </x:c>
      <x:c r="C83" s="25" t="str">
        <x:f>'Summary'!C83</x:f>
        <x:v>EEZ</x:v>
      </x:c>
      <x:c r="D83" s="32" t="n">
        <x:f>'Summary'!E83</x:f>
        <x:v>56340.9448327468</x:v>
      </x:c>
      <x:c r="E83" s="32" t="n">
        <x:f>'Summary'!K83</x:f>
        <x:v>133348178.67679022</x:v>
      </x:c>
      <x:c r="F83" s="34" t="n">
        <x:f>IF(SUM($E$2:$E$283)=0,"",E83/SUM($E$2:$E$283))</x:f>
        <x:v>0.002006980919352399</x:v>
      </x:c>
      <x:c r="G83" s="35" t="n">
        <x:f>RANK(E83,$E$2:$E$283,0)+COUNTIF($E$2:E83,E83)-1</x:f>
        <x:v>82</x:v>
      </x:c>
      <x:c r="H83" s="34" t="n">
        <x:f>IF(SUM($E$2:$E$283)=0,"",SUM($F$2:F83))</x:f>
        <x:v>0.9367554326493475</x:v>
      </x:c>
      <x:c r="I83" s="25" t="b">
        <x:f>INDEX('EEZ Selection Flags'!$L$2:$L$283,MATCH(A83,'EEZ Selection Flags'!$A$2:$A$283,0))</x:f>
        <x:v>1</x:v>
      </x:c>
      <x:c r="J83" s="25" t="b">
        <x:f>INDEX('EEZ Selection Flags'!$M$2:$M$283,MATCH(A83,'EEZ Selection Flags'!$A$2:$A$283,0))</x:f>
        <x:v>0</x:v>
      </x:c>
      <x:c r="K83" s="25" t="b">
        <x:f>INDEX('EEZ Selection Flags'!$N$2:$N$283,MATCH(A83,'EEZ Selection Flags'!$A$2:$A$283,0))</x:f>
        <x:v>0</x:v>
      </x:c>
    </x:row>
    <x:row r="84" ht="18" customHeight="1">
      <x:c r="A84" s="25" t="str">
        <x:f>'Summary'!A84</x:f>
        <x:v>EEZ_144</x:v>
      </x:c>
      <x:c r="B84" s="25" t="str">
        <x:f>'Summary'!B84</x:f>
        <x:v>Sri Lanka</x:v>
      </x:c>
      <x:c r="C84" s="25" t="str">
        <x:f>'Summary'!C84</x:f>
        <x:v>EEZ</x:v>
      </x:c>
      <x:c r="D84" s="32" t="n">
        <x:f>'Summary'!E84</x:f>
        <x:v>312721.78206485976</x:v>
      </x:c>
      <x:c r="E84" s="32" t="n">
        <x:f>'Summary'!K84</x:f>
        <x:v>124000252.48143452</x:v>
      </x:c>
      <x:c r="F84" s="34" t="n">
        <x:f>IF(SUM($E$2:$E$283)=0,"",E84/SUM($E$2:$E$283))</x:f>
        <x:v>0.0018662882627615161</x:v>
      </x:c>
      <x:c r="G84" s="35" t="n">
        <x:f>RANK(E84,$E$2:$E$283,0)+COUNTIF($E$2:E84,E84)-1</x:f>
        <x:v>83</x:v>
      </x:c>
      <x:c r="H84" s="34" t="n">
        <x:f>IF(SUM($E$2:$E$283)=0,"",SUM($F$2:F84))</x:f>
        <x:v>0.9386217209121089</x:v>
      </x:c>
      <x:c r="I84" s="25" t="b">
        <x:f>INDEX('EEZ Selection Flags'!$L$2:$L$283,MATCH(A84,'EEZ Selection Flags'!$A$2:$A$283,0))</x:f>
        <x:v>0</x:v>
      </x:c>
      <x:c r="J84" s="25" t="b">
        <x:f>INDEX('EEZ Selection Flags'!$M$2:$M$283,MATCH(A84,'EEZ Selection Flags'!$A$2:$A$283,0))</x:f>
        <x:v>0</x:v>
      </x:c>
      <x:c r="K84" s="25" t="b">
        <x:f>INDEX('EEZ Selection Flags'!$N$2:$N$283,MATCH(A84,'EEZ Selection Flags'!$A$2:$A$283,0))</x:f>
        <x:v>0</x:v>
      </x:c>
    </x:row>
    <x:row r="85" ht="18" customHeight="1">
      <x:c r="A85" s="25" t="str">
        <x:f>'Summary'!A85</x:f>
        <x:v>EEZ_462</x:v>
      </x:c>
      <x:c r="B85" s="25" t="str">
        <x:f>'Summary'!B85</x:f>
        <x:v>Maldives</x:v>
      </x:c>
      <x:c r="C85" s="25" t="str">
        <x:f>'Summary'!C85</x:f>
        <x:v>EEZ</x:v>
      </x:c>
      <x:c r="D85" s="32" t="n">
        <x:f>'Summary'!E85</x:f>
        <x:v>51028.4249362374</x:v>
      </x:c>
      <x:c r="E85" s="32" t="n">
        <x:f>'Summary'!K85</x:f>
        <x:v>122606801.38745148</x:v>
      </x:c>
      <x:c r="F85" s="34" t="n">
        <x:f>IF(SUM($E$2:$E$283)=0,"",E85/SUM($E$2:$E$283))</x:f>
        <x:v>0.001845315874646241</x:v>
      </x:c>
      <x:c r="G85" s="35" t="n">
        <x:f>RANK(E85,$E$2:$E$283,0)+COUNTIF($E$2:E85,E85)-1</x:f>
        <x:v>84</x:v>
      </x:c>
      <x:c r="H85" s="34" t="n">
        <x:f>IF(SUM($E$2:$E$283)=0,"",SUM($F$2:F85))</x:f>
        <x:v>0.9404670367867551</x:v>
      </x:c>
      <x:c r="I85" s="25" t="b">
        <x:f>INDEX('EEZ Selection Flags'!$L$2:$L$283,MATCH(A85,'EEZ Selection Flags'!$A$2:$A$283,0))</x:f>
        <x:v>1</x:v>
      </x:c>
      <x:c r="J85" s="25" t="b">
        <x:f>INDEX('EEZ Selection Flags'!$M$2:$M$283,MATCH(A85,'EEZ Selection Flags'!$A$2:$A$283,0))</x:f>
        <x:v>0</x:v>
      </x:c>
      <x:c r="K85" s="25" t="b">
        <x:f>INDEX('EEZ Selection Flags'!$N$2:$N$283,MATCH(A85,'EEZ Selection Flags'!$A$2:$A$283,0))</x:f>
        <x:v>0</x:v>
      </x:c>
    </x:row>
    <x:row r="86" ht="18" customHeight="1">
      <x:c r="A86" s="25" t="str">
        <x:f>'Summary'!A86</x:f>
        <x:v>EEZ_620</x:v>
      </x:c>
      <x:c r="B86" s="25" t="str">
        <x:f>'Summary'!B86</x:f>
        <x:v>Portugal (mainland)</x:v>
      </x:c>
      <x:c r="C86" s="25" t="str">
        <x:f>'Summary'!C86</x:f>
        <x:v>EEZ</x:v>
      </x:c>
      <x:c r="D86" s="32" t="n">
        <x:f>'Summary'!E86</x:f>
        <x:v>208342.58846173977</x:v>
      </x:c>
      <x:c r="E86" s="32" t="n">
        <x:f>'Summary'!K86</x:f>
        <x:v>114209964.99740621</x:v>
      </x:c>
      <x:c r="F86" s="34" t="n">
        <x:f>IF(SUM($E$2:$E$283)=0,"",E86/SUM($E$2:$E$283))</x:f>
        <x:v>0.001718937767461205</x:v>
      </x:c>
      <x:c r="G86" s="35" t="n">
        <x:f>RANK(E86,$E$2:$E$283,0)+COUNTIF($E$2:E86,E86)-1</x:f>
        <x:v>85</x:v>
      </x:c>
      <x:c r="H86" s="34" t="n">
        <x:f>IF(SUM($E$2:$E$283)=0,"",SUM($F$2:F86))</x:f>
        <x:v>0.9421859745542164</x:v>
      </x:c>
      <x:c r="I86" s="25" t="b">
        <x:f>INDEX('EEZ Selection Flags'!$L$2:$L$283,MATCH(A86,'EEZ Selection Flags'!$A$2:$A$283,0))</x:f>
        <x:v>0</x:v>
      </x:c>
      <x:c r="J86" s="25" t="b">
        <x:f>INDEX('EEZ Selection Flags'!$M$2:$M$283,MATCH(A86,'EEZ Selection Flags'!$A$2:$A$283,0))</x:f>
        <x:v>0</x:v>
      </x:c>
      <x:c r="K86" s="25" t="b">
        <x:f>INDEX('EEZ Selection Flags'!$N$2:$N$283,MATCH(A86,'EEZ Selection Flags'!$A$2:$A$283,0))</x:f>
        <x:v>0</x:v>
      </x:c>
    </x:row>
    <x:row r="87" ht="18" customHeight="1">
      <x:c r="A87" s="25" t="str">
        <x:f>'Summary'!A87</x:f>
        <x:v>EEZ_266</x:v>
      </x:c>
      <x:c r="B87" s="25" t="str">
        <x:f>'Summary'!B87</x:f>
        <x:v>Gabon</x:v>
      </x:c>
      <x:c r="C87" s="25" t="str">
        <x:f>'Summary'!C87</x:f>
        <x:v>EEZ</x:v>
      </x:c>
      <x:c r="D87" s="32" t="n">
        <x:f>'Summary'!E87</x:f>
        <x:v>158907.53279788652</x:v>
      </x:c>
      <x:c r="E87" s="32" t="n">
        <x:f>'Summary'!K87</x:f>
        <x:v>113127683.75920805</x:v>
      </x:c>
      <x:c r="F87" s="34" t="n">
        <x:f>IF(SUM($E$2:$E$283)=0,"",E87/SUM($E$2:$E$283))</x:f>
        <x:v>0.001702648697629201</x:v>
      </x:c>
      <x:c r="G87" s="35" t="n">
        <x:f>RANK(E87,$E$2:$E$283,0)+COUNTIF($E$2:E87,E87)-1</x:f>
        <x:v>86</x:v>
      </x:c>
      <x:c r="H87" s="34" t="n">
        <x:f>IF(SUM($E$2:$E$283)=0,"",SUM($F$2:F87))</x:f>
        <x:v>0.9438886232518455</x:v>
      </x:c>
      <x:c r="I87" s="25" t="b">
        <x:f>INDEX('EEZ Selection Flags'!$L$2:$L$283,MATCH(A87,'EEZ Selection Flags'!$A$2:$A$283,0))</x:f>
        <x:v>0</x:v>
      </x:c>
      <x:c r="J87" s="25" t="b">
        <x:f>INDEX('EEZ Selection Flags'!$M$2:$M$283,MATCH(A87,'EEZ Selection Flags'!$A$2:$A$283,0))</x:f>
        <x:v>0</x:v>
      </x:c>
      <x:c r="K87" s="25" t="b">
        <x:f>INDEX('EEZ Selection Flags'!$N$2:$N$283,MATCH(A87,'EEZ Selection Flags'!$A$2:$A$283,0))</x:f>
        <x:v>0</x:v>
      </x:c>
    </x:row>
    <x:row r="88" ht="18" customHeight="1">
      <x:c r="A88" s="25" t="str">
        <x:f>'Summary'!A88</x:f>
        <x:v>EEZ_834</x:v>
      </x:c>
      <x:c r="B88" s="25" t="str">
        <x:f>'Summary'!B88</x:f>
        <x:v>Tanzania</x:v>
      </x:c>
      <x:c r="C88" s="25" t="str">
        <x:f>'Summary'!C88</x:f>
        <x:v>EEZ</x:v>
      </x:c>
      <x:c r="D88" s="32" t="n">
        <x:f>'Summary'!E88</x:f>
        <x:v>129515.23121131358</x:v>
      </x:c>
      <x:c r="E88" s="32" t="n">
        <x:f>'Summary'!K88</x:f>
        <x:v>108837946.14807098</x:v>
      </x:c>
      <x:c r="F88" s="34" t="n">
        <x:f>IF(SUM($E$2:$E$283)=0,"",E88/SUM($E$2:$E$283))</x:f>
        <x:v>0.0016380852246218342</x:v>
      </x:c>
      <x:c r="G88" s="35" t="n">
        <x:f>RANK(E88,$E$2:$E$283,0)+COUNTIF($E$2:E88,E88)-1</x:f>
        <x:v>87</x:v>
      </x:c>
      <x:c r="H88" s="34" t="n">
        <x:f>IF(SUM($E$2:$E$283)=0,"",SUM($F$2:F88))</x:f>
        <x:v>0.9455267084764674</x:v>
      </x:c>
      <x:c r="I88" s="25" t="b">
        <x:f>INDEX('EEZ Selection Flags'!$L$2:$L$283,MATCH(A88,'EEZ Selection Flags'!$A$2:$A$283,0))</x:f>
        <x:v>0</x:v>
      </x:c>
      <x:c r="J88" s="25" t="b">
        <x:f>INDEX('EEZ Selection Flags'!$M$2:$M$283,MATCH(A88,'EEZ Selection Flags'!$A$2:$A$283,0))</x:f>
        <x:v>0</x:v>
      </x:c>
      <x:c r="K88" s="25" t="b">
        <x:f>INDEX('EEZ Selection Flags'!$N$2:$N$283,MATCH(A88,'EEZ Selection Flags'!$A$2:$A$283,0))</x:f>
        <x:v>0</x:v>
      </x:c>
    </x:row>
    <x:row r="89" ht="18" customHeight="1">
      <x:c r="A89" s="25" t="str">
        <x:f>'Summary'!A89</x:f>
        <x:v>EEZ_723</x:v>
      </x:c>
      <x:c r="B89" s="25" t="str">
        <x:f>'Summary'!B89</x:f>
        <x:v>Canary Isl. (Spain)</x:v>
      </x:c>
      <x:c r="C89" s="25" t="str">
        <x:f>'Summary'!C89</x:f>
        <x:v>EEZ</x:v>
      </x:c>
      <x:c r="D89" s="32" t="n">
        <x:f>'Summary'!E89</x:f>
        <x:v>92826.4650597252</x:v>
      </x:c>
      <x:c r="E89" s="32" t="n">
        <x:f>'Summary'!K89</x:f>
        <x:v>101920689.58241549</x:v>
      </x:c>
      <x:c r="F89" s="34" t="n">
        <x:f>IF(SUM($E$2:$E$283)=0,"",E89/SUM($E$2:$E$283))</x:f>
        <x:v>0.0015339758016113794</x:v>
      </x:c>
      <x:c r="G89" s="35" t="n">
        <x:f>RANK(E89,$E$2:$E$283,0)+COUNTIF($E$2:E89,E89)-1</x:f>
        <x:v>88</x:v>
      </x:c>
      <x:c r="H89" s="34" t="n">
        <x:f>IF(SUM($E$2:$E$283)=0,"",SUM($F$2:F89))</x:f>
        <x:v>0.9470606842780788</x:v>
      </x:c>
      <x:c r="I89" s="25" t="b">
        <x:f>INDEX('EEZ Selection Flags'!$L$2:$L$283,MATCH(A89,'EEZ Selection Flags'!$A$2:$A$283,0))</x:f>
        <x:v>0</x:v>
      </x:c>
      <x:c r="J89" s="25" t="b">
        <x:f>INDEX('EEZ Selection Flags'!$M$2:$M$283,MATCH(A89,'EEZ Selection Flags'!$A$2:$A$283,0))</x:f>
        <x:v>0</x:v>
      </x:c>
      <x:c r="K89" s="25" t="b">
        <x:f>INDEX('EEZ Selection Flags'!$N$2:$N$283,MATCH(A89,'EEZ Selection Flags'!$A$2:$A$283,0))</x:f>
        <x:v>0</x:v>
      </x:c>
    </x:row>
    <x:row r="90" ht="18" customHeight="1">
      <x:c r="A90" s="25" t="str">
        <x:f>'Summary'!A90</x:f>
        <x:v>EEZ_120</x:v>
      </x:c>
      <x:c r="B90" s="25" t="str">
        <x:f>'Summary'!B90</x:f>
        <x:v>Cameroon</x:v>
      </x:c>
      <x:c r="C90" s="25" t="str">
        <x:f>'Summary'!C90</x:f>
        <x:v>EEZ</x:v>
      </x:c>
      <x:c r="D90" s="32" t="n">
        <x:f>'Summary'!E90</x:f>
        <x:v>280509.9182943578</x:v>
      </x:c>
      <x:c r="E90" s="32" t="n">
        <x:f>'Summary'!K90</x:f>
        <x:v>101123441.33925112</x:v>
      </x:c>
      <x:c r="F90" s="34" t="n">
        <x:f>IF(SUM($E$2:$E$283)=0,"",E90/SUM($E$2:$E$283))</x:f>
        <x:v>0.001521976672505189</x:v>
      </x:c>
      <x:c r="G90" s="35" t="n">
        <x:f>RANK(E90,$E$2:$E$283,0)+COUNTIF($E$2:E90,E90)-1</x:f>
        <x:v>89</x:v>
      </x:c>
      <x:c r="H90" s="34" t="n">
        <x:f>IF(SUM($E$2:$E$283)=0,"",SUM($F$2:F90))</x:f>
        <x:v>0.948582660950584</x:v>
      </x:c>
      <x:c r="I90" s="25" t="b">
        <x:f>INDEX('EEZ Selection Flags'!$L$2:$L$283,MATCH(A90,'EEZ Selection Flags'!$A$2:$A$283,0))</x:f>
        <x:v>0</x:v>
      </x:c>
      <x:c r="J90" s="25" t="b">
        <x:f>INDEX('EEZ Selection Flags'!$M$2:$M$283,MATCH(A90,'EEZ Selection Flags'!$A$2:$A$283,0))</x:f>
        <x:v>0</x:v>
      </x:c>
      <x:c r="K90" s="25" t="b">
        <x:f>INDEX('EEZ Selection Flags'!$N$2:$N$283,MATCH(A90,'EEZ Selection Flags'!$A$2:$A$283,0))</x:f>
        <x:v>0</x:v>
      </x:c>
    </x:row>
    <x:row r="91" ht="18" customHeight="1">
      <x:c r="A91" s="25" t="str">
        <x:f>'Summary'!A91</x:f>
        <x:v>EEZ_430</x:v>
      </x:c>
      <x:c r="B91" s="25" t="str">
        <x:f>'Summary'!B91</x:f>
        <x:v>Liberia</x:v>
      </x:c>
      <x:c r="C91" s="25" t="str">
        <x:f>'Summary'!C91</x:f>
        <x:v>EEZ</x:v>
      </x:c>
      <x:c r="D91" s="32" t="n">
        <x:f>'Summary'!E91</x:f>
        <x:v>179043.09265420676</x:v>
      </x:c>
      <x:c r="E91" s="32" t="n">
        <x:f>'Summary'!K91</x:f>
        <x:v>96290641.00214319</x:v>
      </x:c>
      <x:c r="F91" s="34" t="n">
        <x:f>IF(SUM($E$2:$E$283)=0,"",E91/SUM($E$2:$E$283))</x:f>
        <x:v>0.001449239735564155</x:v>
      </x:c>
      <x:c r="G91" s="35" t="n">
        <x:f>RANK(E91,$E$2:$E$283,0)+COUNTIF($E$2:E91,E91)-1</x:f>
        <x:v>90</x:v>
      </x:c>
      <x:c r="H91" s="34" t="n">
        <x:f>IF(SUM($E$2:$E$283)=0,"",SUM($F$2:F91))</x:f>
        <x:v>0.9500319006861481</x:v>
      </x:c>
      <x:c r="I91" s="25" t="b">
        <x:f>INDEX('EEZ Selection Flags'!$L$2:$L$283,MATCH(A91,'EEZ Selection Flags'!$A$2:$A$283,0))</x:f>
        <x:v>0</x:v>
      </x:c>
      <x:c r="J91" s="25" t="b">
        <x:f>INDEX('EEZ Selection Flags'!$M$2:$M$283,MATCH(A91,'EEZ Selection Flags'!$A$2:$A$283,0))</x:f>
        <x:v>0</x:v>
      </x:c>
      <x:c r="K91" s="25" t="b">
        <x:f>INDEX('EEZ Selection Flags'!$N$2:$N$283,MATCH(A91,'EEZ Selection Flags'!$A$2:$A$283,0))</x:f>
        <x:v>0</x:v>
      </x:c>
    </x:row>
    <x:row r="92" ht="18" customHeight="1">
      <x:c r="A92" s="25" t="str">
        <x:f>'Summary'!A92</x:f>
        <x:v>EEZ_966</x:v>
      </x:c>
      <x:c r="B92" s="25" t="str">
        <x:f>'Summary'!B92</x:f>
        <x:v>Turkey (Marmara Sea)</x:v>
      </x:c>
      <x:c r="C92" s="25" t="str">
        <x:f>'Summary'!C92</x:f>
        <x:v>EEZ</x:v>
      </x:c>
      <x:c r="D92" s="32" t="n">
        <x:f>'Summary'!E92</x:f>
        <x:v>135279.24224138368</x:v>
      </x:c>
      <x:c r="E92" s="32" t="n">
        <x:f>'Summary'!K92</x:f>
        <x:v>93378447.55892137</x:v>
      </x:c>
      <x:c r="F92" s="34" t="n">
        <x:f>IF(SUM($E$2:$E$283)=0,"",E92/SUM($E$2:$E$283))</x:f>
        <x:v>0.001405409240599722</x:v>
      </x:c>
      <x:c r="G92" s="35" t="n">
        <x:f>RANK(E92,$E$2:$E$283,0)+COUNTIF($E$2:E92,E92)-1</x:f>
        <x:v>91</x:v>
      </x:c>
      <x:c r="H92" s="34" t="n">
        <x:f>IF(SUM($E$2:$E$283)=0,"",SUM($F$2:F92))</x:f>
        <x:v>0.9514373099267478</x:v>
      </x:c>
      <x:c r="I92" s="25" t="b">
        <x:f>INDEX('EEZ Selection Flags'!$L$2:$L$283,MATCH(A92,'EEZ Selection Flags'!$A$2:$A$283,0))</x:f>
        <x:v>0</x:v>
      </x:c>
      <x:c r="J92" s="25" t="b">
        <x:f>INDEX('EEZ Selection Flags'!$M$2:$M$283,MATCH(A92,'EEZ Selection Flags'!$A$2:$A$283,0))</x:f>
        <x:v>0</x:v>
      </x:c>
      <x:c r="K92" s="25" t="b">
        <x:f>INDEX('EEZ Selection Flags'!$N$2:$N$283,MATCH(A92,'EEZ Selection Flags'!$A$2:$A$283,0))</x:f>
        <x:v>0</x:v>
      </x:c>
    </x:row>
    <x:row r="93" ht="18" customHeight="1">
      <x:c r="A93" s="25" t="str">
        <x:f>'Summary'!A93</x:f>
        <x:v>EEZ_974</x:v>
      </x:c>
      <x:c r="B93" s="25" t="str">
        <x:f>'Summary'!B93</x:f>
        <x:v>Korea (North, Sea of Japan)</x:v>
      </x:c>
      <x:c r="C93" s="25" t="str">
        <x:f>'Summary'!C93</x:f>
        <x:v>EEZ</x:v>
      </x:c>
      <x:c r="D93" s="32" t="n">
        <x:f>'Summary'!E93</x:f>
        <x:v>177084.68732310578</x:v>
      </x:c>
      <x:c r="E93" s="32" t="n">
        <x:f>'Summary'!K93</x:f>
        <x:v>88730291.34530385</x:v>
      </x:c>
      <x:c r="F93" s="34" t="n">
        <x:f>IF(SUM($E$2:$E$283)=0,"",E93/SUM($E$2:$E$283))</x:f>
        <x:v>0.0013354513234877774</x:v>
      </x:c>
      <x:c r="G93" s="35" t="n">
        <x:f>RANK(E93,$E$2:$E$283,0)+COUNTIF($E$2:E93,E93)-1</x:f>
        <x:v>92</x:v>
      </x:c>
      <x:c r="H93" s="34" t="n">
        <x:f>IF(SUM($E$2:$E$283)=0,"",SUM($F$2:F93))</x:f>
        <x:v>0.9527727612502356</x:v>
      </x:c>
      <x:c r="I93" s="25" t="b">
        <x:f>INDEX('EEZ Selection Flags'!$L$2:$L$283,MATCH(A93,'EEZ Selection Flags'!$A$2:$A$283,0))</x:f>
        <x:v>0</x:v>
      </x:c>
      <x:c r="J93" s="25" t="b">
        <x:f>INDEX('EEZ Selection Flags'!$M$2:$M$283,MATCH(A93,'EEZ Selection Flags'!$A$2:$A$283,0))</x:f>
        <x:v>0</x:v>
      </x:c>
      <x:c r="K93" s="25" t="b">
        <x:f>INDEX('EEZ Selection Flags'!$N$2:$N$283,MATCH(A93,'EEZ Selection Flags'!$A$2:$A$283,0))</x:f>
        <x:v>0</x:v>
      </x:c>
    </x:row>
    <x:row r="94" ht="18" customHeight="1">
      <x:c r="A94" s="25" t="str">
        <x:f>'Summary'!A94</x:f>
        <x:v>EEZ_450</x:v>
      </x:c>
      <x:c r="B94" s="25" t="str">
        <x:f>'Summary'!B94</x:f>
        <x:v>Madagascar</x:v>
      </x:c>
      <x:c r="C94" s="25" t="str">
        <x:f>'Summary'!C94</x:f>
        <x:v>EEZ</x:v>
      </x:c>
      <x:c r="D94" s="32" t="n">
        <x:f>'Summary'!E94</x:f>
        <x:v>159996.68620932242</x:v>
      </x:c>
      <x:c r="E94" s="32" t="n">
        <x:f>'Summary'!K94</x:f>
        <x:v>87751516.13578317</x:v>
      </x:c>
      <x:c r="F94" s="34" t="n">
        <x:f>IF(SUM($E$2:$E$283)=0,"",E94/SUM($E$2:$E$283))</x:f>
        <x:v>0.001320720089890621</x:v>
      </x:c>
      <x:c r="G94" s="35" t="n">
        <x:f>RANK(E94,$E$2:$E$283,0)+COUNTIF($E$2:E94,E94)-1</x:f>
        <x:v>93</x:v>
      </x:c>
      <x:c r="H94" s="34" t="n">
        <x:f>IF(SUM($E$2:$E$283)=0,"",SUM($F$2:F94))</x:f>
        <x:v>0.9540934813401262</x:v>
      </x:c>
      <x:c r="I94" s="25" t="b">
        <x:f>INDEX('EEZ Selection Flags'!$L$2:$L$283,MATCH(A94,'EEZ Selection Flags'!$A$2:$A$283,0))</x:f>
        <x:v>0</x:v>
      </x:c>
      <x:c r="J94" s="25" t="b">
        <x:f>INDEX('EEZ Selection Flags'!$M$2:$M$283,MATCH(A94,'EEZ Selection Flags'!$A$2:$A$283,0))</x:f>
        <x:v>0</x:v>
      </x:c>
      <x:c r="K94" s="25" t="b">
        <x:f>INDEX('EEZ Selection Flags'!$N$2:$N$283,MATCH(A94,'EEZ Selection Flags'!$A$2:$A$283,0))</x:f>
        <x:v>0</x:v>
      </x:c>
    </x:row>
    <x:row r="95" ht="18" customHeight="1">
      <x:c r="A95" s="25" t="str">
        <x:f>'Summary'!A95</x:f>
        <x:v>EEZ_928</x:v>
      </x:c>
      <x:c r="B95" s="25" t="str">
        <x:f>'Summary'!B95</x:f>
        <x:v>Colombia (Pacific)</x:v>
      </x:c>
      <x:c r="C95" s="25" t="str">
        <x:f>'Summary'!C95</x:f>
        <x:v>EEZ</x:v>
      </x:c>
      <x:c r="D95" s="32" t="n">
        <x:f>'Summary'!E95</x:f>
        <x:v>54847.9752029435</x:v>
      </x:c>
      <x:c r="E95" s="32" t="n">
        <x:f>'Summary'!K95</x:f>
        <x:v>82458630.09635389</x:v>
      </x:c>
      <x:c r="F95" s="34" t="n">
        <x:f>IF(SUM($E$2:$E$283)=0,"",E95/SUM($E$2:$E$283))</x:f>
        <x:v>0.0012410585497417404</x:v>
      </x:c>
      <x:c r="G95" s="35" t="n">
        <x:f>RANK(E95,$E$2:$E$283,0)+COUNTIF($E$2:E95,E95)-1</x:f>
        <x:v>94</x:v>
      </x:c>
      <x:c r="H95" s="34" t="n">
        <x:f>IF(SUM($E$2:$E$283)=0,"",SUM($F$2:F95))</x:f>
        <x:v>0.9553345398898679</x:v>
      </x:c>
      <x:c r="I95" s="25" t="b">
        <x:f>INDEX('EEZ Selection Flags'!$L$2:$L$283,MATCH(A95,'EEZ Selection Flags'!$A$2:$A$283,0))</x:f>
        <x:v>0</x:v>
      </x:c>
      <x:c r="J95" s="25" t="b">
        <x:f>INDEX('EEZ Selection Flags'!$M$2:$M$283,MATCH(A95,'EEZ Selection Flags'!$A$2:$A$283,0))</x:f>
        <x:v>0</x:v>
      </x:c>
      <x:c r="K95" s="25" t="b">
        <x:f>INDEX('EEZ Selection Flags'!$N$2:$N$283,MATCH(A95,'EEZ Selection Flags'!$A$2:$A$283,0))</x:f>
        <x:v>0</x:v>
      </x:c>
    </x:row>
    <x:row r="96" ht="18" customHeight="1">
      <x:c r="A96" s="25" t="str">
        <x:f>'Summary'!A96</x:f>
        <x:v>EEZ_930</x:v>
      </x:c>
      <x:c r="B96" s="25" t="str">
        <x:f>'Summary'!B96</x:f>
        <x:v>Costa Rica (Pacific)</x:v>
      </x:c>
      <x:c r="C96" s="25" t="str">
        <x:f>'Summary'!C96</x:f>
        <x:v>EEZ</x:v>
      </x:c>
      <x:c r="D96" s="32" t="n">
        <x:f>'Summary'!E96</x:f>
        <x:v>53716.993195901494</x:v>
      </x:c>
      <x:c r="E96" s="32" t="n">
        <x:f>'Summary'!K96</x:f>
        <x:v>80279567.24893846</x:v>
      </x:c>
      <x:c r="F96" s="34" t="n">
        <x:f>IF(SUM($E$2:$E$283)=0,"",E96/SUM($E$2:$E$283))</x:f>
        <x:v>0.00120826216961695</x:v>
      </x:c>
      <x:c r="G96" s="35" t="n">
        <x:f>RANK(E96,$E$2:$E$283,0)+COUNTIF($E$2:E96,E96)-1</x:f>
        <x:v>95</x:v>
      </x:c>
      <x:c r="H96" s="34" t="n">
        <x:f>IF(SUM($E$2:$E$283)=0,"",SUM($F$2:F96))</x:f>
        <x:v>0.9565428020594849</x:v>
      </x:c>
      <x:c r="I96" s="25" t="b">
        <x:f>INDEX('EEZ Selection Flags'!$L$2:$L$283,MATCH(A96,'EEZ Selection Flags'!$A$2:$A$283,0))</x:f>
        <x:v>0</x:v>
      </x:c>
      <x:c r="J96" s="25" t="b">
        <x:f>INDEX('EEZ Selection Flags'!$M$2:$M$283,MATCH(A96,'EEZ Selection Flags'!$A$2:$A$283,0))</x:f>
        <x:v>0</x:v>
      </x:c>
      <x:c r="K96" s="25" t="b">
        <x:f>INDEX('EEZ Selection Flags'!$N$2:$N$283,MATCH(A96,'EEZ Selection Flags'!$A$2:$A$283,0))</x:f>
        <x:v>0</x:v>
      </x:c>
    </x:row>
    <x:row r="97" ht="18" customHeight="1">
      <x:c r="A97" s="25" t="str">
        <x:f>'Summary'!A97</x:f>
        <x:v>EEZ_242</x:v>
      </x:c>
      <x:c r="B97" s="25" t="str">
        <x:f>'Summary'!B97</x:f>
        <x:v>Fiji</x:v>
      </x:c>
      <x:c r="C97" s="25" t="str">
        <x:f>'Summary'!C97</x:f>
        <x:v>EEZ</x:v>
      </x:c>
      <x:c r="D97" s="32" t="n">
        <x:f>'Summary'!E97</x:f>
        <x:v>57561.8277487637</x:v>
      </x:c>
      <x:c r="E97" s="32" t="n">
        <x:f>'Summary'!K97</x:f>
        <x:v>79413036.45710625</x:v>
      </x:c>
      <x:c r="F97" s="34" t="n">
        <x:f>IF(SUM($E$2:$E$283)=0,"",E97/SUM($E$2:$E$283))</x:f>
        <x:v>0.0011952202909614204</x:v>
      </x:c>
      <x:c r="G97" s="35" t="n">
        <x:f>RANK(E97,$E$2:$E$283,0)+COUNTIF($E$2:E97,E97)-1</x:f>
        <x:v>96</x:v>
      </x:c>
      <x:c r="H97" s="34" t="n">
        <x:f>IF(SUM($E$2:$E$283)=0,"",SUM($F$2:F97))</x:f>
        <x:v>0.9577380223504464</x:v>
      </x:c>
      <x:c r="I97" s="25" t="b">
        <x:f>INDEX('EEZ Selection Flags'!$L$2:$L$283,MATCH(A97,'EEZ Selection Flags'!$A$2:$A$283,0))</x:f>
        <x:v>1</x:v>
      </x:c>
      <x:c r="J97" s="25" t="b">
        <x:f>INDEX('EEZ Selection Flags'!$M$2:$M$283,MATCH(A97,'EEZ Selection Flags'!$A$2:$A$283,0))</x:f>
        <x:v>0</x:v>
      </x:c>
      <x:c r="K97" s="25" t="b">
        <x:f>INDEX('EEZ Selection Flags'!$N$2:$N$283,MATCH(A97,'EEZ Selection Flags'!$A$2:$A$283,0))</x:f>
        <x:v>0</x:v>
      </x:c>
    </x:row>
    <x:row r="98" ht="18" customHeight="1">
      <x:c r="A98" s="25" t="str">
        <x:f>'Summary'!A98</x:f>
        <x:v>EEZ_204</x:v>
      </x:c>
      <x:c r="B98" s="25" t="str">
        <x:f>'Summary'!B98</x:f>
        <x:v>Benin</x:v>
      </x:c>
      <x:c r="C98" s="25" t="str">
        <x:f>'Summary'!C98</x:f>
        <x:v>EEZ</x:v>
      </x:c>
      <x:c r="D98" s="32" t="n">
        <x:f>'Summary'!E98</x:f>
        <x:v>83987.6435485869</x:v>
      </x:c>
      <x:c r="E98" s="32" t="n">
        <x:f>'Summary'!K98</x:f>
        <x:v>78537967.78151909</x:v>
      </x:c>
      <x:c r="F98" s="34" t="n">
        <x:f>IF(SUM($E$2:$E$283)=0,"",E98/SUM($E$2:$E$283))</x:f>
        <x:v>0.0011820499113397893</x:v>
      </x:c>
      <x:c r="G98" s="35" t="n">
        <x:f>RANK(E98,$E$2:$E$283,0)+COUNTIF($E$2:E98,E98)-1</x:f>
        <x:v>97</x:v>
      </x:c>
      <x:c r="H98" s="34" t="n">
        <x:f>IF(SUM($E$2:$E$283)=0,"",SUM($F$2:F98))</x:f>
        <x:v>0.9589200722617861</x:v>
      </x:c>
      <x:c r="I98" s="25" t="b">
        <x:f>INDEX('EEZ Selection Flags'!$L$2:$L$283,MATCH(A98,'EEZ Selection Flags'!$A$2:$A$283,0))</x:f>
        <x:v>0</x:v>
      </x:c>
      <x:c r="J98" s="25" t="b">
        <x:f>INDEX('EEZ Selection Flags'!$M$2:$M$283,MATCH(A98,'EEZ Selection Flags'!$A$2:$A$283,0))</x:f>
        <x:v>0</x:v>
      </x:c>
      <x:c r="K98" s="25" t="b">
        <x:f>INDEX('EEZ Selection Flags'!$N$2:$N$283,MATCH(A98,'EEZ Selection Flags'!$A$2:$A$283,0))</x:f>
        <x:v>0</x:v>
      </x:c>
    </x:row>
    <x:row r="99" ht="18" customHeight="1">
      <x:c r="A99" s="25" t="str">
        <x:f>'Summary'!A99</x:f>
        <x:v>EEZ_784</x:v>
      </x:c>
      <x:c r="B99" s="25" t="str">
        <x:f>'Summary'!B99</x:f>
        <x:v>United Arab Emirates</x:v>
      </x:c>
      <x:c r="C99" s="25" t="str">
        <x:f>'Summary'!C99</x:f>
        <x:v>EEZ</x:v>
      </x:c>
      <x:c r="D99" s="32" t="n">
        <x:f>'Summary'!E99</x:f>
        <x:v>49925.3333488044</x:v>
      </x:c>
      <x:c r="E99" s="32" t="n">
        <x:f>'Summary'!K99</x:f>
        <x:v>78213745.6926087</x:v>
      </x:c>
      <x:c r="F99" s="34" t="n">
        <x:f>IF(SUM($E$2:$E$283)=0,"",E99/SUM($E$2:$E$283))</x:f>
        <x:v>0.0011771701480574358</x:v>
      </x:c>
      <x:c r="G99" s="35" t="n">
        <x:f>RANK(E99,$E$2:$E$283,0)+COUNTIF($E$2:E99,E99)-1</x:f>
        <x:v>98</x:v>
      </x:c>
      <x:c r="H99" s="34" t="n">
        <x:f>IF(SUM($E$2:$E$283)=0,"",SUM($F$2:F99))</x:f>
        <x:v>0.9600972424098435</x:v>
      </x:c>
      <x:c r="I99" s="25" t="b">
        <x:f>INDEX('EEZ Selection Flags'!$L$2:$L$283,MATCH(A99,'EEZ Selection Flags'!$A$2:$A$283,0))</x:f>
        <x:v>0</x:v>
      </x:c>
      <x:c r="J99" s="25" t="b">
        <x:f>INDEX('EEZ Selection Flags'!$M$2:$M$283,MATCH(A99,'EEZ Selection Flags'!$A$2:$A$283,0))</x:f>
        <x:v>0</x:v>
      </x:c>
      <x:c r="K99" s="25" t="b">
        <x:f>INDEX('EEZ Selection Flags'!$N$2:$N$283,MATCH(A99,'EEZ Selection Flags'!$A$2:$A$283,0))</x:f>
        <x:v>0</x:v>
      </x:c>
    </x:row>
    <x:row r="100" ht="18" customHeight="1">
      <x:c r="A100" s="25" t="str">
        <x:f>'Summary'!A100</x:f>
        <x:v>EEZ_788</x:v>
      </x:c>
      <x:c r="B100" s="25" t="str">
        <x:f>'Summary'!B100</x:f>
        <x:v>Tunisia</x:v>
      </x:c>
      <x:c r="C100" s="25" t="str">
        <x:f>'Summary'!C100</x:f>
        <x:v>EEZ</x:v>
      </x:c>
      <x:c r="D100" s="32" t="n">
        <x:f>'Summary'!E100</x:f>
        <x:v>133288.5662711512</x:v>
      </x:c>
      <x:c r="E100" s="32" t="n">
        <x:f>'Summary'!K100</x:f>
        <x:v>74633904.02001323</x:v>
      </x:c>
      <x:c r="F100" s="34" t="n">
        <x:f>IF(SUM($E$2:$E$283)=0,"",E100/SUM($E$2:$E$283))</x:f>
        <x:v>0.001123291092471563</x:v>
      </x:c>
      <x:c r="G100" s="35" t="n">
        <x:f>RANK(E100,$E$2:$E$283,0)+COUNTIF($E$2:E100,E100)-1</x:f>
        <x:v>99</x:v>
      </x:c>
      <x:c r="H100" s="34" t="n">
        <x:f>IF(SUM($E$2:$E$283)=0,"",SUM($F$2:F100))</x:f>
        <x:v>0.9612205335023151</x:v>
      </x:c>
      <x:c r="I100" s="25" t="b">
        <x:f>INDEX('EEZ Selection Flags'!$L$2:$L$283,MATCH(A100,'EEZ Selection Flags'!$A$2:$A$283,0))</x:f>
        <x:v>0</x:v>
      </x:c>
      <x:c r="J100" s="25" t="b">
        <x:f>INDEX('EEZ Selection Flags'!$M$2:$M$283,MATCH(A100,'EEZ Selection Flags'!$A$2:$A$283,0))</x:f>
        <x:v>0</x:v>
      </x:c>
      <x:c r="K100" s="25" t="b">
        <x:f>INDEX('EEZ Selection Flags'!$N$2:$N$283,MATCH(A100,'EEZ Selection Flags'!$A$2:$A$283,0))</x:f>
        <x:v>0</x:v>
      </x:c>
    </x:row>
    <x:row r="101" ht="18" customHeight="1">
      <x:c r="A101" s="25" t="str">
        <x:f>'Summary'!A101</x:f>
        <x:v>EEZ_357</x:v>
      </x:c>
      <x:c r="B101" s="25" t="str">
        <x:f>'Summary'!B101</x:f>
        <x:v>Andaman &amp; Nicobar Isl. (India)</x:v>
      </x:c>
      <x:c r="C101" s="25" t="str">
        <x:f>'Summary'!C101</x:f>
        <x:v>EEZ</x:v>
      </x:c>
      <x:c r="D101" s="32" t="n">
        <x:f>'Summary'!E101</x:f>
        <x:v>61303.310995657</x:v>
      </x:c>
      <x:c r="E101" s="32" t="n">
        <x:f>'Summary'!K101</x:f>
        <x:v>69444286.60999125</x:v>
      </x:c>
      <x:c r="F101" s="34" t="n">
        <x:f>IF(SUM($E$2:$E$283)=0,"",E101/SUM($E$2:$E$283))</x:f>
        <x:v>0.001045183815536809</x:v>
      </x:c>
      <x:c r="G101" s="35" t="n">
        <x:f>RANK(E101,$E$2:$E$283,0)+COUNTIF($E$2:E101,E101)-1</x:f>
        <x:v>100</x:v>
      </x:c>
      <x:c r="H101" s="34" t="n">
        <x:f>IF(SUM($E$2:$E$283)=0,"",SUM($F$2:F101))</x:f>
        <x:v>0.9622657173178518</x:v>
      </x:c>
      <x:c r="I101" s="25" t="b">
        <x:f>INDEX('EEZ Selection Flags'!$L$2:$L$283,MATCH(A101,'EEZ Selection Flags'!$A$2:$A$283,0))</x:f>
        <x:v>0</x:v>
      </x:c>
      <x:c r="J101" s="25" t="b">
        <x:f>INDEX('EEZ Selection Flags'!$M$2:$M$283,MATCH(A101,'EEZ Selection Flags'!$A$2:$A$283,0))</x:f>
        <x:v>0</x:v>
      </x:c>
      <x:c r="K101" s="25" t="b">
        <x:f>INDEX('EEZ Selection Flags'!$N$2:$N$283,MATCH(A101,'EEZ Selection Flags'!$A$2:$A$283,0))</x:f>
        <x:v>0</x:v>
      </x:c>
    </x:row>
    <x:row r="102" ht="18" customHeight="1">
      <x:c r="A102" s="25" t="str">
        <x:f>'Summary'!A102</x:f>
        <x:v>EEZ_132</x:v>
      </x:c>
      <x:c r="B102" s="25" t="str">
        <x:f>'Summary'!B102</x:f>
        <x:v>Cape Verde</x:v>
      </x:c>
      <x:c r="C102" s="25" t="str">
        <x:f>'Summary'!C102</x:f>
        <x:v>EEZ</x:v>
      </x:c>
      <x:c r="D102" s="32" t="n">
        <x:f>'Summary'!E102</x:f>
        <x:v>41113.6989825735</x:v>
      </x:c>
      <x:c r="E102" s="32" t="n">
        <x:f>'Summary'!K102</x:f>
        <x:v>68290801.75380284</x:v>
      </x:c>
      <x:c r="F102" s="34" t="n">
        <x:f>IF(SUM($E$2:$E$283)=0,"",E102/SUM($E$2:$E$283))</x:f>
        <x:v>0.0010278230827536245</x:v>
      </x:c>
      <x:c r="G102" s="35" t="n">
        <x:f>RANK(E102,$E$2:$E$283,0)+COUNTIF($E$2:E102,E102)-1</x:f>
        <x:v>101</x:v>
      </x:c>
      <x:c r="H102" s="34" t="n">
        <x:f>IF(SUM($E$2:$E$283)=0,"",SUM($F$2:F102))</x:f>
        <x:v>0.9632935404006054</x:v>
      </x:c>
      <x:c r="I102" s="25" t="b">
        <x:f>INDEX('EEZ Selection Flags'!$L$2:$L$283,MATCH(A102,'EEZ Selection Flags'!$A$2:$A$283,0))</x:f>
        <x:v>1</x:v>
      </x:c>
      <x:c r="J102" s="25" t="b">
        <x:f>INDEX('EEZ Selection Flags'!$M$2:$M$283,MATCH(A102,'EEZ Selection Flags'!$A$2:$A$283,0))</x:f>
        <x:v>0</x:v>
      </x:c>
      <x:c r="K102" s="25" t="b">
        <x:f>INDEX('EEZ Selection Flags'!$N$2:$N$283,MATCH(A102,'EEZ Selection Flags'!$A$2:$A$283,0))</x:f>
        <x:v>0</x:v>
      </x:c>
    </x:row>
    <x:row r="103" ht="18" customHeight="1">
      <x:c r="A103" s="25" t="str">
        <x:f>'Summary'!A103</x:f>
        <x:v>EEZ_858</x:v>
      </x:c>
      <x:c r="B103" s="25" t="str">
        <x:f>'Summary'!B103</x:f>
        <x:v>Uruguay</x:v>
      </x:c>
      <x:c r="C103" s="25" t="str">
        <x:f>'Summary'!C103</x:f>
        <x:v>EEZ</x:v>
      </x:c>
      <x:c r="D103" s="32" t="n">
        <x:f>'Summary'!E103</x:f>
        <x:v>107838.9938680954</x:v>
      </x:c>
      <x:c r="E103" s="32" t="n">
        <x:f>'Summary'!K103</x:f>
        <x:v>66273884.30512683</x:v>
      </x:c>
      <x:c r="F103" s="34" t="n">
        <x:f>IF(SUM($E$2:$E$283)=0,"",E103/SUM($E$2:$E$283))</x:f>
        <x:v>0.000997467101325389</x:v>
      </x:c>
      <x:c r="G103" s="35" t="n">
        <x:f>RANK(E103,$E$2:$E$283,0)+COUNTIF($E$2:E103,E103)-1</x:f>
        <x:v>102</x:v>
      </x:c>
      <x:c r="H103" s="34" t="n">
        <x:f>IF(SUM($E$2:$E$283)=0,"",SUM($F$2:F103))</x:f>
        <x:v>0.9642910075019309</x:v>
      </x:c>
      <x:c r="I103" s="25" t="b">
        <x:f>INDEX('EEZ Selection Flags'!$L$2:$L$283,MATCH(A103,'EEZ Selection Flags'!$A$2:$A$283,0))</x:f>
        <x:v>0</x:v>
      </x:c>
      <x:c r="J103" s="25" t="b">
        <x:f>INDEX('EEZ Selection Flags'!$M$2:$M$283,MATCH(A103,'EEZ Selection Flags'!$A$2:$A$283,0))</x:f>
        <x:v>0</x:v>
      </x:c>
      <x:c r="K103" s="25" t="b">
        <x:f>INDEX('EEZ Selection Flags'!$N$2:$N$283,MATCH(A103,'EEZ Selection Flags'!$A$2:$A$283,0))</x:f>
        <x:v>0</x:v>
      </x:c>
    </x:row>
    <x:row r="104" ht="18" customHeight="1">
      <x:c r="A104" s="25" t="str">
        <x:f>'Summary'!A104</x:f>
        <x:v>EEZ_914</x:v>
      </x:c>
      <x:c r="B104" s="25" t="str">
        <x:f>'Summary'!B104</x:f>
        <x:v>Sweden (Baltic)</x:v>
      </x:c>
      <x:c r="C104" s="25" t="str">
        <x:f>'Summary'!C104</x:f>
        <x:v>EEZ</x:v>
      </x:c>
      <x:c r="D104" s="32" t="n">
        <x:f>'Summary'!E104</x:f>
        <x:v>258009.42244459942</x:v>
      </x:c>
      <x:c r="E104" s="32" t="n">
        <x:f>'Summary'!K104</x:f>
        <x:v>65614786.95071074</x:v>
      </x:c>
      <x:c r="F104" s="34" t="n">
        <x:f>IF(SUM($E$2:$E$283)=0,"",E104/SUM($E$2:$E$283))</x:f>
        <x:v>0.0009875472371964986</x:v>
      </x:c>
      <x:c r="G104" s="35" t="n">
        <x:f>RANK(E104,$E$2:$E$283,0)+COUNTIF($E$2:E104,E104)-1</x:f>
        <x:v>103</x:v>
      </x:c>
      <x:c r="H104" s="34" t="n">
        <x:f>IF(SUM($E$2:$E$283)=0,"",SUM($F$2:F104))</x:f>
        <x:v>0.9652785547391274</x:v>
      </x:c>
      <x:c r="I104" s="25" t="b">
        <x:f>INDEX('EEZ Selection Flags'!$L$2:$L$283,MATCH(A104,'EEZ Selection Flags'!$A$2:$A$283,0))</x:f>
        <x:v>0</x:v>
      </x:c>
      <x:c r="J104" s="25" t="b">
        <x:f>INDEX('EEZ Selection Flags'!$M$2:$M$283,MATCH(A104,'EEZ Selection Flags'!$A$2:$A$283,0))</x:f>
        <x:v>0</x:v>
      </x:c>
      <x:c r="K104" s="25" t="b">
        <x:f>INDEX('EEZ Selection Flags'!$N$2:$N$283,MATCH(A104,'EEZ Selection Flags'!$A$2:$A$283,0))</x:f>
        <x:v>0</x:v>
      </x:c>
    </x:row>
    <x:row r="105" ht="18" customHeight="1">
      <x:c r="A105" s="25" t="str">
        <x:f>'Summary'!A105</x:f>
        <x:v>EEZ_947</x:v>
      </x:c>
      <x:c r="B105" s="25" t="str">
        <x:f>'Summary'!B105</x:f>
        <x:v>Morocco (Mediterranean)</x:v>
      </x:c>
      <x:c r="C105" s="25" t="str">
        <x:f>'Summary'!C105</x:f>
        <x:v>EEZ</x:v>
      </x:c>
      <x:c r="D105" s="32" t="n">
        <x:f>'Summary'!E105</x:f>
        <x:v>66046.14815490438</x:v>
      </x:c>
      <x:c r="E105" s="32" t="n">
        <x:f>'Summary'!K105</x:f>
        <x:v>64564291.36796549</x:v>
      </x:c>
      <x:c r="F105" s="34" t="n">
        <x:f>IF(SUM($E$2:$E$283)=0,"",E105/SUM($E$2:$E$283))</x:f>
        <x:v>0.0009717365631298969</x:v>
      </x:c>
      <x:c r="G105" s="35" t="n">
        <x:f>RANK(E105,$E$2:$E$283,0)+COUNTIF($E$2:E105,E105)-1</x:f>
        <x:v>104</x:v>
      </x:c>
      <x:c r="H105" s="34" t="n">
        <x:f>IF(SUM($E$2:$E$283)=0,"",SUM($F$2:F105))</x:f>
        <x:v>0.9662502913022573</x:v>
      </x:c>
      <x:c r="I105" s="25" t="b">
        <x:f>INDEX('EEZ Selection Flags'!$L$2:$L$283,MATCH(A105,'EEZ Selection Flags'!$A$2:$A$283,0))</x:f>
        <x:v>0</x:v>
      </x:c>
      <x:c r="J105" s="25" t="b">
        <x:f>INDEX('EEZ Selection Flags'!$M$2:$M$283,MATCH(A105,'EEZ Selection Flags'!$A$2:$A$283,0))</x:f>
        <x:v>0</x:v>
      </x:c>
      <x:c r="K105" s="25" t="b">
        <x:f>INDEX('EEZ Selection Flags'!$N$2:$N$283,MATCH(A105,'EEZ Selection Flags'!$A$2:$A$283,0))</x:f>
        <x:v>0</x:v>
      </x:c>
    </x:row>
    <x:row r="106" ht="18" customHeight="1">
      <x:c r="A106" s="25" t="str">
        <x:f>'Summary'!A106</x:f>
        <x:v>EEZ_268</x:v>
      </x:c>
      <x:c r="B106" s="25" t="str">
        <x:f>'Summary'!B106</x:f>
        <x:v>Georgia</x:v>
      </x:c>
      <x:c r="C106" s="25" t="str">
        <x:f>'Summary'!C106</x:f>
        <x:v>EEZ</x:v>
      </x:c>
      <x:c r="D106" s="32" t="n">
        <x:f>'Summary'!E106</x:f>
        <x:v>350092.2854428537</x:v>
      </x:c>
      <x:c r="E106" s="32" t="n">
        <x:f>'Summary'!K106</x:f>
        <x:v>62582880.30789505</x:v>
      </x:c>
      <x:c r="F106" s="34" t="n">
        <x:f>IF(SUM($E$2:$E$283)=0,"",E106/SUM($E$2:$E$283))</x:f>
        <x:v>0.0009419149770353931</x:v>
      </x:c>
      <x:c r="G106" s="35" t="n">
        <x:f>RANK(E106,$E$2:$E$283,0)+COUNTIF($E$2:E106,E106)-1</x:f>
        <x:v>105</x:v>
      </x:c>
      <x:c r="H106" s="34" t="n">
        <x:f>IF(SUM($E$2:$E$283)=0,"",SUM($F$2:F106))</x:f>
        <x:v>0.9671922062792927</x:v>
      </x:c>
      <x:c r="I106" s="25" t="b">
        <x:f>INDEX('EEZ Selection Flags'!$L$2:$L$283,MATCH(A106,'EEZ Selection Flags'!$A$2:$A$283,0))</x:f>
        <x:v>0</x:v>
      </x:c>
      <x:c r="J106" s="25" t="b">
        <x:f>INDEX('EEZ Selection Flags'!$M$2:$M$283,MATCH(A106,'EEZ Selection Flags'!$A$2:$A$283,0))</x:f>
        <x:v>0</x:v>
      </x:c>
      <x:c r="K106" s="25" t="b">
        <x:f>INDEX('EEZ Selection Flags'!$N$2:$N$283,MATCH(A106,'EEZ Selection Flags'!$A$2:$A$283,0))</x:f>
        <x:v>0</x:v>
      </x:c>
    </x:row>
    <x:row r="107" ht="18" customHeight="1">
      <x:c r="A107" s="25" t="str">
        <x:f>'Summary'!A107</x:f>
        <x:v>EEZ_300</x:v>
      </x:c>
      <x:c r="B107" s="25" t="str">
        <x:f>'Summary'!B107</x:f>
        <x:v>Greece (without Crete)</x:v>
      </x:c>
      <x:c r="C107" s="25" t="str">
        <x:f>'Summary'!C107</x:f>
        <x:v>EEZ</x:v>
      </x:c>
      <x:c r="D107" s="32" t="n">
        <x:f>'Summary'!E107</x:f>
        <x:v>108516.7645129038</x:v>
      </x:c>
      <x:c r="E107" s="32" t="n">
        <x:f>'Summary'!K107</x:f>
        <x:v>60672881.10444955</x:v>
      </x:c>
      <x:c r="F107" s="34" t="n">
        <x:f>IF(SUM($E$2:$E$283)=0,"",E107/SUM($E$2:$E$283))</x:f>
        <x:v>0.0009131681880253636</x:v>
      </x:c>
      <x:c r="G107" s="35" t="n">
        <x:f>RANK(E107,$E$2:$E$283,0)+COUNTIF($E$2:E107,E107)-1</x:f>
        <x:v>106</x:v>
      </x:c>
      <x:c r="H107" s="34" t="n">
        <x:f>IF(SUM($E$2:$E$283)=0,"",SUM($F$2:F107))</x:f>
        <x:v>0.968105374467318</x:v>
      </x:c>
      <x:c r="I107" s="25" t="b">
        <x:f>INDEX('EEZ Selection Flags'!$L$2:$L$283,MATCH(A107,'EEZ Selection Flags'!$A$2:$A$283,0))</x:f>
        <x:v>0</x:v>
      </x:c>
      <x:c r="J107" s="25" t="b">
        <x:f>INDEX('EEZ Selection Flags'!$M$2:$M$283,MATCH(A107,'EEZ Selection Flags'!$A$2:$A$283,0))</x:f>
        <x:v>0</x:v>
      </x:c>
      <x:c r="K107" s="25" t="b">
        <x:f>INDEX('EEZ Selection Flags'!$N$2:$N$283,MATCH(A107,'EEZ Selection Flags'!$A$2:$A$283,0))</x:f>
        <x:v>0</x:v>
      </x:c>
    </x:row>
    <x:row r="108" ht="18" customHeight="1">
      <x:c r="A108" s="25" t="str">
        <x:f>'Summary'!A108</x:f>
        <x:v>EEZ_973</x:v>
      </x:c>
      <x:c r="B108" s="25" t="str">
        <x:f>'Summary'!B108</x:f>
        <x:v>Korea (North, Yellow Sea)</x:v>
      </x:c>
      <x:c r="C108" s="25" t="str">
        <x:f>'Summary'!C108</x:f>
        <x:v>EEZ</x:v>
      </x:c>
      <x:c r="D108" s="32" t="n">
        <x:f>'Summary'!E108</x:f>
        <x:v>89045.48046535479</x:v>
      </x:c>
      <x:c r="E108" s="32" t="n">
        <x:f>'Summary'!K108</x:f>
        <x:v>58964164.09103803</x:v>
      </x:c>
      <x:c r="F108" s="34" t="n">
        <x:f>IF(SUM($E$2:$E$283)=0,"",E108/SUM($E$2:$E$283))</x:f>
        <x:v>0.000887450833078943</x:v>
      </x:c>
      <x:c r="G108" s="35" t="n">
        <x:f>RANK(E108,$E$2:$E$283,0)+COUNTIF($E$2:E108,E108)-1</x:f>
        <x:v>107</x:v>
      </x:c>
      <x:c r="H108" s="34" t="n">
        <x:f>IF(SUM($E$2:$E$283)=0,"",SUM($F$2:F108))</x:f>
        <x:v>0.968992825300397</x:v>
      </x:c>
      <x:c r="I108" s="25" t="b">
        <x:f>INDEX('EEZ Selection Flags'!$L$2:$L$283,MATCH(A108,'EEZ Selection Flags'!$A$2:$A$283,0))</x:f>
        <x:v>0</x:v>
      </x:c>
      <x:c r="J108" s="25" t="b">
        <x:f>INDEX('EEZ Selection Flags'!$M$2:$M$283,MATCH(A108,'EEZ Selection Flags'!$A$2:$A$283,0))</x:f>
        <x:v>0</x:v>
      </x:c>
      <x:c r="K108" s="25" t="b">
        <x:f>INDEX('EEZ Selection Flags'!$N$2:$N$283,MATCH(A108,'EEZ Selection Flags'!$A$2:$A$283,0))</x:f>
        <x:v>0</x:v>
      </x:c>
    </x:row>
    <x:row r="109" ht="18" customHeight="1">
      <x:c r="A109" s="25" t="str">
        <x:f>'Summary'!A109</x:f>
        <x:v>EEZ_270</x:v>
      </x:c>
      <x:c r="B109" s="25" t="str">
        <x:f>'Summary'!B109</x:f>
        <x:v>Gambia</x:v>
      </x:c>
      <x:c r="C109" s="25" t="str">
        <x:f>'Summary'!C109</x:f>
        <x:v>EEZ</x:v>
      </x:c>
      <x:c r="D109" s="32" t="n">
        <x:f>'Summary'!E109</x:f>
        <x:v>168306.30279973362</x:v>
      </x:c>
      <x:c r="E109" s="32" t="n">
        <x:f>'Summary'!K109</x:f>
        <x:v>52717675.19812376</x:v>
      </x:c>
      <x:c r="F109" s="34" t="n">
        <x:f>IF(SUM($E$2:$E$283)=0,"",E109/SUM($E$2:$E$283))</x:f>
        <x:v>0.0007934369204374225</x:v>
      </x:c>
      <x:c r="G109" s="35" t="n">
        <x:f>RANK(E109,$E$2:$E$283,0)+COUNTIF($E$2:E109,E109)-1</x:f>
        <x:v>108</x:v>
      </x:c>
      <x:c r="H109" s="34" t="n">
        <x:f>IF(SUM($E$2:$E$283)=0,"",SUM($F$2:F109))</x:f>
        <x:v>0.9697862622208344</x:v>
      </x:c>
      <x:c r="I109" s="25" t="b">
        <x:f>INDEX('EEZ Selection Flags'!$L$2:$L$283,MATCH(A109,'EEZ Selection Flags'!$A$2:$A$283,0))</x:f>
        <x:v>0</x:v>
      </x:c>
      <x:c r="J109" s="25" t="b">
        <x:f>INDEX('EEZ Selection Flags'!$M$2:$M$283,MATCH(A109,'EEZ Selection Flags'!$A$2:$A$283,0))</x:f>
        <x:v>0</x:v>
      </x:c>
      <x:c r="K109" s="25" t="b">
        <x:f>INDEX('EEZ Selection Flags'!$N$2:$N$283,MATCH(A109,'EEZ Selection Flags'!$A$2:$A$283,0))</x:f>
        <x:v>0</x:v>
      </x:c>
    </x:row>
    <x:row r="110" ht="18" customHeight="1">
      <x:c r="A110" s="25" t="str">
        <x:f>'Summary'!A110</x:f>
        <x:v>EEZ_740</x:v>
      </x:c>
      <x:c r="B110" s="25" t="str">
        <x:f>'Summary'!B110</x:f>
        <x:v>Suriname</x:v>
      </x:c>
      <x:c r="C110" s="25" t="str">
        <x:f>'Summary'!C110</x:f>
        <x:v>EEZ</x:v>
      </x:c>
      <x:c r="D110" s="32" t="n">
        <x:f>'Summary'!E110</x:f>
        <x:v>58397.2558737715</x:v>
      </x:c>
      <x:c r="E110" s="32" t="n">
        <x:f>'Summary'!K110</x:f>
        <x:v>50180471.08869745</x:v>
      </x:c>
      <x:c r="F110" s="34" t="n">
        <x:f>IF(SUM($E$2:$E$283)=0,"",E110/SUM($E$2:$E$283))</x:f>
        <x:v>0.0007552502703710319</x:v>
      </x:c>
      <x:c r="G110" s="35" t="n">
        <x:f>RANK(E110,$E$2:$E$283,0)+COUNTIF($E$2:E110,E110)-1</x:f>
        <x:v>109</x:v>
      </x:c>
      <x:c r="H110" s="34" t="n">
        <x:f>IF(SUM($E$2:$E$283)=0,"",SUM($F$2:F110))</x:f>
        <x:v>0.9705415124912055</x:v>
      </x:c>
      <x:c r="I110" s="25" t="b">
        <x:f>INDEX('EEZ Selection Flags'!$L$2:$L$283,MATCH(A110,'EEZ Selection Flags'!$A$2:$A$283,0))</x:f>
        <x:v>0</x:v>
      </x:c>
      <x:c r="J110" s="25" t="b">
        <x:f>INDEX('EEZ Selection Flags'!$M$2:$M$283,MATCH(A110,'EEZ Selection Flags'!$A$2:$A$283,0))</x:f>
        <x:v>0</x:v>
      </x:c>
      <x:c r="K110" s="25" t="b">
        <x:f>INDEX('EEZ Selection Flags'!$N$2:$N$283,MATCH(A110,'EEZ Selection Flags'!$A$2:$A$283,0))</x:f>
        <x:v>0</x:v>
      </x:c>
    </x:row>
    <x:row r="111" ht="18" customHeight="1">
      <x:c r="A111" s="25" t="str">
        <x:f>'Summary'!A111</x:f>
        <x:v>EEZ_684</x:v>
      </x:c>
      <x:c r="B111" s="25" t="str">
        <x:f>'Summary'!B111</x:f>
        <x:v>Saudi Arabia (Persian Gulf)</x:v>
      </x:c>
      <x:c r="C111" s="25" t="str">
        <x:f>'Summary'!C111</x:f>
        <x:v>EEZ</x:v>
      </x:c>
      <x:c r="D111" s="32" t="n">
        <x:f>'Summary'!E111</x:f>
        <x:v>52003.642323932094</x:v>
      </x:c>
      <x:c r="E111" s="32" t="n">
        <x:f>'Summary'!K111</x:f>
        <x:v>49497257.93937051</x:v>
      </x:c>
      <x:c r="F111" s="34" t="n">
        <x:f>IF(SUM($E$2:$E$283)=0,"",E111/SUM($E$2:$E$283))</x:f>
        <x:v>0.0007449674471022318</x:v>
      </x:c>
      <x:c r="G111" s="35" t="n">
        <x:f>RANK(E111,$E$2:$E$283,0)+COUNTIF($E$2:E111,E111)-1</x:f>
        <x:v>110</x:v>
      </x:c>
      <x:c r="H111" s="34" t="n">
        <x:f>IF(SUM($E$2:$E$283)=0,"",SUM($F$2:F111))</x:f>
        <x:v>0.9712864799383077</x:v>
      </x:c>
      <x:c r="I111" s="25" t="b">
        <x:f>INDEX('EEZ Selection Flags'!$L$2:$L$283,MATCH(A111,'EEZ Selection Flags'!$A$2:$A$283,0))</x:f>
        <x:v>0</x:v>
      </x:c>
      <x:c r="J111" s="25" t="b">
        <x:f>INDEX('EEZ Selection Flags'!$M$2:$M$283,MATCH(A111,'EEZ Selection Flags'!$A$2:$A$283,0))</x:f>
        <x:v>0</x:v>
      </x:c>
      <x:c r="K111" s="25" t="b">
        <x:f>INDEX('EEZ Selection Flags'!$N$2:$N$283,MATCH(A111,'EEZ Selection Flags'!$A$2:$A$283,0))</x:f>
        <x:v>0</x:v>
      </x:c>
    </x:row>
    <x:row r="112" ht="18" customHeight="1">
      <x:c r="A112" s="25" t="str">
        <x:f>'Summary'!A112</x:f>
        <x:v>EEZ_616</x:v>
      </x:c>
      <x:c r="B112" s="25" t="str">
        <x:f>'Summary'!B112</x:f>
        <x:v>Poland</x:v>
      </x:c>
      <x:c r="C112" s="25" t="str">
        <x:f>'Summary'!C112</x:f>
        <x:v>EEZ</x:v>
      </x:c>
      <x:c r="D112" s="32" t="n">
        <x:f>'Summary'!E112</x:f>
        <x:v>155232.70535576172</x:v>
      </x:c>
      <x:c r="E112" s="32" t="n">
        <x:f>'Summary'!K112</x:f>
        <x:v>48709783.74274053</x:v>
      </x:c>
      <x:c r="F112" s="34" t="n">
        <x:f>IF(SUM($E$2:$E$283)=0,"",E112/SUM($E$2:$E$283))</x:f>
        <x:v>0.0007331154240539872</x:v>
      </x:c>
      <x:c r="G112" s="35" t="n">
        <x:f>RANK(E112,$E$2:$E$283,0)+COUNTIF($E$2:E112,E112)-1</x:f>
        <x:v>111</x:v>
      </x:c>
      <x:c r="H112" s="34" t="n">
        <x:f>IF(SUM($E$2:$E$283)=0,"",SUM($F$2:F112))</x:f>
        <x:v>0.9720195953623617</x:v>
      </x:c>
      <x:c r="I112" s="25" t="b">
        <x:f>INDEX('EEZ Selection Flags'!$L$2:$L$283,MATCH(A112,'EEZ Selection Flags'!$A$2:$A$283,0))</x:f>
        <x:v>0</x:v>
      </x:c>
      <x:c r="J112" s="25" t="b">
        <x:f>INDEX('EEZ Selection Flags'!$M$2:$M$283,MATCH(A112,'EEZ Selection Flags'!$A$2:$A$283,0))</x:f>
        <x:v>0</x:v>
      </x:c>
      <x:c r="K112" s="25" t="b">
        <x:f>INDEX('EEZ Selection Flags'!$N$2:$N$283,MATCH(A112,'EEZ Selection Flags'!$A$2:$A$283,0))</x:f>
        <x:v>0</x:v>
      </x:c>
    </x:row>
    <x:row r="113" ht="18" customHeight="1">
      <x:c r="A113" s="25" t="str">
        <x:f>'Summary'!A113</x:f>
        <x:v>EEZ_258</x:v>
      </x:c>
      <x:c r="B113" s="25" t="str">
        <x:f>'Summary'!B113</x:f>
        <x:v>French Polynesia</x:v>
      </x:c>
      <x:c r="C113" s="25" t="str">
        <x:f>'Summary'!C113</x:f>
        <x:v>EEZ</x:v>
      </x:c>
      <x:c r="D113" s="32" t="n">
        <x:f>'Summary'!E113</x:f>
        <x:v>30503.7776851117</x:v>
      </x:c>
      <x:c r="E113" s="32" t="n">
        <x:f>'Summary'!K113</x:f>
        <x:v>47721884.851591855</x:v>
      </x:c>
      <x:c r="F113" s="34" t="n">
        <x:f>IF(SUM($E$2:$E$283)=0,"",E113/SUM($E$2:$E$283))</x:f>
        <x:v>0.0007182468728337232</x:v>
      </x:c>
      <x:c r="G113" s="35" t="n">
        <x:f>RANK(E113,$E$2:$E$283,0)+COUNTIF($E$2:E113,E113)-1</x:f>
        <x:v>112</x:v>
      </x:c>
      <x:c r="H113" s="34" t="n">
        <x:f>IF(SUM($E$2:$E$283)=0,"",SUM($F$2:F113))</x:f>
        <x:v>0.9727378422351954</x:v>
      </x:c>
      <x:c r="I113" s="25" t="b">
        <x:f>INDEX('EEZ Selection Flags'!$L$2:$L$283,MATCH(A113,'EEZ Selection Flags'!$A$2:$A$283,0))</x:f>
        <x:v>1</x:v>
      </x:c>
      <x:c r="J113" s="25" t="b">
        <x:f>INDEX('EEZ Selection Flags'!$M$2:$M$283,MATCH(A113,'EEZ Selection Flags'!$A$2:$A$283,0))</x:f>
        <x:v>0</x:v>
      </x:c>
      <x:c r="K113" s="25" t="b">
        <x:f>INDEX('EEZ Selection Flags'!$N$2:$N$283,MATCH(A113,'EEZ Selection Flags'!$A$2:$A$283,0))</x:f>
        <x:v>0</x:v>
      </x:c>
    </x:row>
    <x:row r="114" ht="18" customHeight="1">
      <x:c r="A114" s="25" t="str">
        <x:f>'Summary'!A114</x:f>
        <x:v>EEZ_842</x:v>
      </x:c>
      <x:c r="B114" s="25" t="str">
        <x:f>'Summary'!B114</x:f>
        <x:v>Hawaii Main Islands (USA)</x:v>
      </x:c>
      <x:c r="C114" s="25" t="str">
        <x:f>'Summary'!C114</x:f>
        <x:v>EEZ</x:v>
      </x:c>
      <x:c r="D114" s="32" t="n">
        <x:f>'Summary'!E114</x:f>
        <x:v>22486.1865752072</x:v>
      </x:c>
      <x:c r="E114" s="32" t="n">
        <x:f>'Summary'!K114</x:f>
        <x:v>47556032.822993144</x:v>
      </x:c>
      <x:c r="F114" s="34" t="n">
        <x:f>IF(SUM($E$2:$E$283)=0,"",E114/SUM($E$2:$E$283))</x:f>
        <x:v>0.0007157506868330108</x:v>
      </x:c>
      <x:c r="G114" s="35" t="n">
        <x:f>RANK(E114,$E$2:$E$283,0)+COUNTIF($E$2:E114,E114)-1</x:f>
        <x:v>113</x:v>
      </x:c>
      <x:c r="H114" s="34" t="n">
        <x:f>IF(SUM($E$2:$E$283)=0,"",SUM($F$2:F114))</x:f>
        <x:v>0.9734535929220285</x:v>
      </x:c>
      <x:c r="I114" s="25" t="b">
        <x:f>INDEX('EEZ Selection Flags'!$L$2:$L$283,MATCH(A114,'EEZ Selection Flags'!$A$2:$A$283,0))</x:f>
        <x:v>0</x:v>
      </x:c>
      <x:c r="J114" s="25" t="b">
        <x:f>INDEX('EEZ Selection Flags'!$M$2:$M$283,MATCH(A114,'EEZ Selection Flags'!$A$2:$A$283,0))</x:f>
        <x:v>0</x:v>
      </x:c>
      <x:c r="K114" s="25" t="b">
        <x:f>INDEX('EEZ Selection Flags'!$N$2:$N$283,MATCH(A114,'EEZ Selection Flags'!$A$2:$A$283,0))</x:f>
        <x:v>0</x:v>
      </x:c>
    </x:row>
    <x:row r="115" ht="18" customHeight="1">
      <x:c r="A115" s="25" t="str">
        <x:f>'Summary'!A115</x:f>
        <x:v>EEZ_968</x:v>
      </x:c>
      <x:c r="B115" s="25" t="str">
        <x:f>'Summary'!B115</x:f>
        <x:v>United Arab Emirates (Fujairah)</x:v>
      </x:c>
      <x:c r="C115" s="25" t="str">
        <x:f>'Summary'!C115</x:f>
        <x:v>EEZ</x:v>
      </x:c>
      <x:c r="D115" s="32" t="n">
        <x:f>'Summary'!E115</x:f>
        <x:v>34815.7976770108</x:v>
      </x:c>
      <x:c r="E115" s="32" t="n">
        <x:f>'Summary'!K115</x:f>
        <x:v>46252931.13406608</x:v>
      </x:c>
      <x:c r="F115" s="34" t="n">
        <x:f>IF(SUM($E$2:$E$283)=0,"",E115/SUM($E$2:$E$283))</x:f>
        <x:v>0.0006961381188054303</x:v>
      </x:c>
      <x:c r="G115" s="35" t="n">
        <x:f>RANK(E115,$E$2:$E$283,0)+COUNTIF($E$2:E115,E115)-1</x:f>
        <x:v>114</x:v>
      </x:c>
      <x:c r="H115" s="34" t="n">
        <x:f>IF(SUM($E$2:$E$283)=0,"",SUM($F$2:F115))</x:f>
        <x:v>0.9741497310408339</x:v>
      </x:c>
      <x:c r="I115" s="25" t="b">
        <x:f>INDEX('EEZ Selection Flags'!$L$2:$L$283,MATCH(A115,'EEZ Selection Flags'!$A$2:$A$283,0))</x:f>
        <x:v>0</x:v>
      </x:c>
      <x:c r="J115" s="25" t="b">
        <x:f>INDEX('EEZ Selection Flags'!$M$2:$M$283,MATCH(A115,'EEZ Selection Flags'!$A$2:$A$283,0))</x:f>
        <x:v>0</x:v>
      </x:c>
      <x:c r="K115" s="25" t="b">
        <x:f>INDEX('EEZ Selection Flags'!$N$2:$N$283,MATCH(A115,'EEZ Selection Flags'!$A$2:$A$283,0))</x:f>
        <x:v>0</x:v>
      </x:c>
    </x:row>
    <x:row r="116" ht="18" customHeight="1">
      <x:c r="A116" s="25" t="str">
        <x:f>'Summary'!A116</x:f>
        <x:v>EEZ_174</x:v>
      </x:c>
      <x:c r="B116" s="25" t="str">
        <x:f>'Summary'!B116</x:f>
        <x:v>Comoros Isl.</x:v>
      </x:c>
      <x:c r="C116" s="25" t="str">
        <x:f>'Summary'!C116</x:f>
        <x:v>EEZ</x:v>
      </x:c>
      <x:c r="D116" s="32" t="n">
        <x:f>'Summary'!E116</x:f>
        <x:v>20265.440293107604</x:v>
      </x:c>
      <x:c r="E116" s="32" t="n">
        <x:f>'Summary'!K116</x:f>
        <x:v>42645896.13210497</x:v>
      </x:c>
      <x:c r="F116" s="34" t="n">
        <x:f>IF(SUM($E$2:$E$283)=0,"",E116/SUM($E$2:$E$283))</x:f>
        <x:v>0.0006418497850898368</x:v>
      </x:c>
      <x:c r="G116" s="35" t="n">
        <x:f>RANK(E116,$E$2:$E$283,0)+COUNTIF($E$2:E116,E116)-1</x:f>
        <x:v>115</x:v>
      </x:c>
      <x:c r="H116" s="34" t="n">
        <x:f>IF(SUM($E$2:$E$283)=0,"",SUM($F$2:F116))</x:f>
        <x:v>0.9747915808259238</x:v>
      </x:c>
      <x:c r="I116" s="25" t="b">
        <x:f>INDEX('EEZ Selection Flags'!$L$2:$L$283,MATCH(A116,'EEZ Selection Flags'!$A$2:$A$283,0))</x:f>
        <x:v>0</x:v>
      </x:c>
      <x:c r="J116" s="25" t="b">
        <x:f>INDEX('EEZ Selection Flags'!$M$2:$M$283,MATCH(A116,'EEZ Selection Flags'!$A$2:$A$283,0))</x:f>
        <x:v>0</x:v>
      </x:c>
      <x:c r="K116" s="25" t="b">
        <x:f>INDEX('EEZ Selection Flags'!$N$2:$N$283,MATCH(A116,'EEZ Selection Flags'!$A$2:$A$283,0))</x:f>
        <x:v>0</x:v>
      </x:c>
    </x:row>
    <x:row r="117" ht="18" customHeight="1">
      <x:c r="A117" s="25" t="str">
        <x:f>'Summary'!A117</x:f>
        <x:v>EEZ_932</x:v>
      </x:c>
      <x:c r="B117" s="25" t="str">
        <x:f>'Summary'!B117</x:f>
        <x:v>Denmark (North Sea)</x:v>
      </x:c>
      <x:c r="C117" s="25" t="str">
        <x:f>'Summary'!C117</x:f>
        <x:v>EEZ</x:v>
      </x:c>
      <x:c r="D117" s="32" t="n">
        <x:f>'Summary'!E117</x:f>
        <x:v>136822.7965781429</x:v>
      </x:c>
      <x:c r="E117" s="32" t="n">
        <x:f>'Summary'!K117</x:f>
        <x:v>41397655.05769295</x:v>
      </x:c>
      <x:c r="F117" s="34" t="n">
        <x:f>IF(SUM($E$2:$E$283)=0,"",E117/SUM($E$2:$E$283))</x:f>
        <x:v>0.000623062906679079</x:v>
      </x:c>
      <x:c r="G117" s="35" t="n">
        <x:f>RANK(E117,$E$2:$E$283,0)+COUNTIF($E$2:E117,E117)-1</x:f>
        <x:v>116</x:v>
      </x:c>
      <x:c r="H117" s="34" t="n">
        <x:f>IF(SUM($E$2:$E$283)=0,"",SUM($F$2:F117))</x:f>
        <x:v>0.9754146437326029</x:v>
      </x:c>
      <x:c r="I117" s="25" t="b">
        <x:f>INDEX('EEZ Selection Flags'!$L$2:$L$283,MATCH(A117,'EEZ Selection Flags'!$A$2:$A$283,0))</x:f>
        <x:v>0</x:v>
      </x:c>
      <x:c r="J117" s="25" t="b">
        <x:f>INDEX('EEZ Selection Flags'!$M$2:$M$283,MATCH(A117,'EEZ Selection Flags'!$A$2:$A$283,0))</x:f>
        <x:v>0</x:v>
      </x:c>
      <x:c r="K117" s="25" t="b">
        <x:f>INDEX('EEZ Selection Flags'!$N$2:$N$283,MATCH(A117,'EEZ Selection Flags'!$A$2:$A$283,0))</x:f>
        <x:v>0</x:v>
      </x:c>
    </x:row>
    <x:row r="118" ht="18" customHeight="1">
      <x:c r="A118" s="25" t="str">
        <x:f>'Summary'!A118</x:f>
        <x:v>EEZ_683</x:v>
      </x:c>
      <x:c r="B118" s="25" t="str">
        <x:f>'Summary'!B118</x:f>
        <x:v>Saudi Arabia (Red Sea)</x:v>
      </x:c>
      <x:c r="C118" s="25" t="str">
        <x:f>'Summary'!C118</x:f>
        <x:v>EEZ</x:v>
      </x:c>
      <x:c r="D118" s="32" t="n">
        <x:f>'Summary'!E118</x:f>
        <x:v>39296.800791863905</x:v>
      </x:c>
      <x:c r="E118" s="32" t="n">
        <x:f>'Summary'!K118</x:f>
        <x:v>38075252.287188336</x:v>
      </x:c>
      <x:c r="F118" s="34" t="n">
        <x:f>IF(SUM($E$2:$E$283)=0,"",E118/SUM($E$2:$E$283))</x:f>
        <x:v>0.0005730584819244805</x:v>
      </x:c>
      <x:c r="G118" s="35" t="n">
        <x:f>RANK(E118,$E$2:$E$283,0)+COUNTIF($E$2:E118,E118)-1</x:f>
        <x:v>117</x:v>
      </x:c>
      <x:c r="H118" s="34" t="n">
        <x:f>IF(SUM($E$2:$E$283)=0,"",SUM($F$2:F118))</x:f>
        <x:v>0.9759877022145274</x:v>
      </x:c>
      <x:c r="I118" s="25" t="b">
        <x:f>INDEX('EEZ Selection Flags'!$L$2:$L$283,MATCH(A118,'EEZ Selection Flags'!$A$2:$A$283,0))</x:f>
        <x:v>0</x:v>
      </x:c>
      <x:c r="J118" s="25" t="b">
        <x:f>INDEX('EEZ Selection Flags'!$M$2:$M$283,MATCH(A118,'EEZ Selection Flags'!$A$2:$A$283,0))</x:f>
        <x:v>0</x:v>
      </x:c>
      <x:c r="K118" s="25" t="b">
        <x:f>INDEX('EEZ Selection Flags'!$N$2:$N$283,MATCH(A118,'EEZ Selection Flags'!$A$2:$A$283,0))</x:f>
        <x:v>0</x:v>
      </x:c>
    </x:row>
    <x:row r="119" ht="18" customHeight="1">
      <x:c r="A119" s="25" t="str">
        <x:f>'Summary'!A119</x:f>
        <x:v>EEZ_918</x:v>
      </x:c>
      <x:c r="B119" s="25" t="str">
        <x:f>'Summary'!B119</x:f>
        <x:v>France (Mediterranean)</x:v>
      </x:c>
      <x:c r="C119" s="25" t="str">
        <x:f>'Summary'!C119</x:f>
        <x:v>EEZ</x:v>
      </x:c>
      <x:c r="D119" s="32" t="n">
        <x:f>'Summary'!E119</x:f>
        <x:v>49423.4057756733</x:v>
      </x:c>
      <x:c r="E119" s="32" t="n">
        <x:f>'Summary'!K119</x:f>
        <x:v>38061004.150797874</x:v>
      </x:c>
      <x:c r="F119" s="34" t="n">
        <x:f>IF(SUM($E$2:$E$283)=0,"",E119/SUM($E$2:$E$283))</x:f>
        <x:v>0.0005728440377666693</x:v>
      </x:c>
      <x:c r="G119" s="35" t="n">
        <x:f>RANK(E119,$E$2:$E$283,0)+COUNTIF($E$2:E119,E119)-1</x:f>
        <x:v>118</x:v>
      </x:c>
      <x:c r="H119" s="34" t="n">
        <x:f>IF(SUM($E$2:$E$283)=0,"",SUM($F$2:F119))</x:f>
        <x:v>0.976560546252294</x:v>
      </x:c>
      <x:c r="I119" s="25" t="b">
        <x:f>INDEX('EEZ Selection Flags'!$L$2:$L$283,MATCH(A119,'EEZ Selection Flags'!$A$2:$A$283,0))</x:f>
        <x:v>0</x:v>
      </x:c>
      <x:c r="J119" s="25" t="b">
        <x:f>INDEX('EEZ Selection Flags'!$M$2:$M$283,MATCH(A119,'EEZ Selection Flags'!$A$2:$A$283,0))</x:f>
        <x:v>0</x:v>
      </x:c>
      <x:c r="K119" s="25" t="b">
        <x:f>INDEX('EEZ Selection Flags'!$N$2:$N$283,MATCH(A119,'EEZ Selection Flags'!$A$2:$A$283,0))</x:f>
        <x:v>0</x:v>
      </x:c>
    </x:row>
    <x:row r="120" ht="18" customHeight="1">
      <x:c r="A120" s="25" t="str">
        <x:f>'Summary'!A120</x:f>
        <x:v>EEZ_793</x:v>
      </x:c>
      <x:c r="B120" s="25" t="str">
        <x:f>'Summary'!B120</x:f>
        <x:v>Turkey (Mediterranean Sea)</x:v>
      </x:c>
      <x:c r="C120" s="25" t="str">
        <x:f>'Summary'!C120</x:f>
        <x:v>EEZ</x:v>
      </x:c>
      <x:c r="D120" s="32" t="n">
        <x:f>'Summary'!E120</x:f>
        <x:v>87055.4164278193</x:v>
      </x:c>
      <x:c r="E120" s="32" t="n">
        <x:f>'Summary'!K120</x:f>
        <x:v>37682483.74893091</x:v>
      </x:c>
      <x:c r="F120" s="34" t="n">
        <x:f>IF(SUM($E$2:$E$283)=0,"",E120/SUM($E$2:$E$283))</x:f>
        <x:v>0.0005671470478889604</x:v>
      </x:c>
      <x:c r="G120" s="35" t="n">
        <x:f>RANK(E120,$E$2:$E$283,0)+COUNTIF($E$2:E120,E120)-1</x:f>
        <x:v>119</x:v>
      </x:c>
      <x:c r="H120" s="34" t="n">
        <x:f>IF(SUM($E$2:$E$283)=0,"",SUM($F$2:F120))</x:f>
        <x:v>0.977127693300183</x:v>
      </x:c>
      <x:c r="I120" s="25" t="b">
        <x:f>INDEX('EEZ Selection Flags'!$L$2:$L$283,MATCH(A120,'EEZ Selection Flags'!$A$2:$A$283,0))</x:f>
        <x:v>0</x:v>
      </x:c>
      <x:c r="J120" s="25" t="b">
        <x:f>INDEX('EEZ Selection Flags'!$M$2:$M$283,MATCH(A120,'EEZ Selection Flags'!$A$2:$A$283,0))</x:f>
        <x:v>0</x:v>
      </x:c>
      <x:c r="K120" s="25" t="b">
        <x:f>INDEX('EEZ Selection Flags'!$N$2:$N$283,MATCH(A120,'EEZ Selection Flags'!$A$2:$A$283,0))</x:f>
        <x:v>0</x:v>
      </x:c>
    </x:row>
    <x:row r="121" ht="18" customHeight="1">
      <x:c r="A121" s="25" t="str">
        <x:f>'Summary'!A121</x:f>
        <x:v>EEZ_214</x:v>
      </x:c>
      <x:c r="B121" s="25" t="str">
        <x:f>'Summary'!B121</x:f>
        <x:v>Dominican Republic</x:v>
      </x:c>
      <x:c r="C121" s="25" t="str">
        <x:f>'Summary'!C121</x:f>
        <x:v>EEZ</x:v>
      </x:c>
      <x:c r="D121" s="32" t="n">
        <x:f>'Summary'!E121</x:f>
        <x:v>54410.016272012</x:v>
      </x:c>
      <x:c r="E121" s="32" t="n">
        <x:f>'Summary'!K121</x:f>
        <x:v>37213224.13606851</x:v>
      </x:c>
      <x:c r="F121" s="34" t="n">
        <x:f>IF(SUM($E$2:$E$283)=0,"",E121/SUM($E$2:$E$283))</x:f>
        <x:v>0.0005600843710786512</x:v>
      </x:c>
      <x:c r="G121" s="35" t="n">
        <x:f>RANK(E121,$E$2:$E$283,0)+COUNTIF($E$2:E121,E121)-1</x:f>
        <x:v>120</x:v>
      </x:c>
      <x:c r="H121" s="34" t="n">
        <x:f>IF(SUM($E$2:$E$283)=0,"",SUM($F$2:F121))</x:f>
        <x:v>0.9776877776712617</x:v>
      </x:c>
      <x:c r="I121" s="25" t="b">
        <x:f>INDEX('EEZ Selection Flags'!$L$2:$L$283,MATCH(A121,'EEZ Selection Flags'!$A$2:$A$283,0))</x:f>
        <x:v>0</x:v>
      </x:c>
      <x:c r="J121" s="25" t="b">
        <x:f>INDEX('EEZ Selection Flags'!$M$2:$M$283,MATCH(A121,'EEZ Selection Flags'!$A$2:$A$283,0))</x:f>
        <x:v>0</x:v>
      </x:c>
      <x:c r="K121" s="25" t="b">
        <x:f>INDEX('EEZ Selection Flags'!$N$2:$N$283,MATCH(A121,'EEZ Selection Flags'!$A$2:$A$283,0))</x:f>
        <x:v>0</x:v>
      </x:c>
    </x:row>
    <x:row r="122" ht="18" customHeight="1">
      <x:c r="A122" s="25" t="str">
        <x:f>'Summary'!A122</x:f>
        <x:v>EEZ_934</x:v>
      </x:c>
      <x:c r="B122" s="25" t="str">
        <x:f>'Summary'!B122</x:f>
        <x:v>Egypt (Red Sea)</x:v>
      </x:c>
      <x:c r="C122" s="25" t="str">
        <x:f>'Summary'!C122</x:f>
        <x:v>EEZ</x:v>
      </x:c>
      <x:c r="D122" s="32" t="n">
        <x:f>'Summary'!E122</x:f>
        <x:v>65184.46302450699</x:v>
      </x:c>
      <x:c r="E122" s="32" t="n">
        <x:f>'Summary'!K122</x:f>
        <x:v>36870962.78596789</x:v>
      </x:c>
      <x:c r="F122" s="34" t="n">
        <x:f>IF(SUM($E$2:$E$283)=0,"",E122/SUM($E$2:$E$283))</x:f>
        <x:v>0.0005549331046279209</x:v>
      </x:c>
      <x:c r="G122" s="35" t="n">
        <x:f>RANK(E122,$E$2:$E$283,0)+COUNTIF($E$2:E122,E122)-1</x:f>
        <x:v>121</x:v>
      </x:c>
      <x:c r="H122" s="34" t="n">
        <x:f>IF(SUM($E$2:$E$283)=0,"",SUM($F$2:F122))</x:f>
        <x:v>0.9782427107758896</x:v>
      </x:c>
      <x:c r="I122" s="25" t="b">
        <x:f>INDEX('EEZ Selection Flags'!$L$2:$L$283,MATCH(A122,'EEZ Selection Flags'!$A$2:$A$283,0))</x:f>
        <x:v>0</x:v>
      </x:c>
      <x:c r="J122" s="25" t="b">
        <x:f>INDEX('EEZ Selection Flags'!$M$2:$M$283,MATCH(A122,'EEZ Selection Flags'!$A$2:$A$283,0))</x:f>
        <x:v>0</x:v>
      </x:c>
      <x:c r="K122" s="25" t="b">
        <x:f>INDEX('EEZ Selection Flags'!$N$2:$N$283,MATCH(A122,'EEZ Selection Flags'!$A$2:$A$283,0))</x:f>
        <x:v>0</x:v>
      </x:c>
    </x:row>
    <x:row r="123" ht="18" customHeight="1">
      <x:c r="A123" s="25" t="str">
        <x:f>'Summary'!A123</x:f>
        <x:v>EEZ_621</x:v>
      </x:c>
      <x:c r="B123" s="25" t="str">
        <x:f>'Summary'!B123</x:f>
        <x:v>Madeira Isl. (Portugal)</x:v>
      </x:c>
      <x:c r="C123" s="25" t="str">
        <x:f>'Summary'!C123</x:f>
        <x:v>EEZ</x:v>
      </x:c>
      <x:c r="D123" s="32" t="n">
        <x:f>'Summary'!E123</x:f>
        <x:v>14928.145180905802</x:v>
      </x:c>
      <x:c r="E123" s="32" t="n">
        <x:f>'Summary'!K123</x:f>
        <x:v>34811066.00645102</x:v>
      </x:c>
      <x:c r="F123" s="34" t="n">
        <x:f>IF(SUM($E$2:$E$283)=0,"",E123/SUM($E$2:$E$283))</x:f>
        <x:v>0.0005239302549951094</x:v>
      </x:c>
      <x:c r="G123" s="35" t="n">
        <x:f>RANK(E123,$E$2:$E$283,0)+COUNTIF($E$2:E123,E123)-1</x:f>
        <x:v>122</x:v>
      </x:c>
      <x:c r="H123" s="34" t="n">
        <x:f>IF(SUM($E$2:$E$283)=0,"",SUM($F$2:F123))</x:f>
        <x:v>0.9787666410308847</x:v>
      </x:c>
      <x:c r="I123" s="25" t="b">
        <x:f>INDEX('EEZ Selection Flags'!$L$2:$L$283,MATCH(A123,'EEZ Selection Flags'!$A$2:$A$283,0))</x:f>
        <x:v>1</x:v>
      </x:c>
      <x:c r="J123" s="25" t="b">
        <x:f>INDEX('EEZ Selection Flags'!$M$2:$M$283,MATCH(A123,'EEZ Selection Flags'!$A$2:$A$283,0))</x:f>
        <x:v>0</x:v>
      </x:c>
      <x:c r="K123" s="25" t="b">
        <x:f>INDEX('EEZ Selection Flags'!$N$2:$N$283,MATCH(A123,'EEZ Selection Flags'!$A$2:$A$283,0))</x:f>
        <x:v>0</x:v>
      </x:c>
    </x:row>
    <x:row r="124" ht="18" customHeight="1">
      <x:c r="A124" s="25" t="str">
        <x:f>'Summary'!A124</x:f>
        <x:v>EEZ_246</x:v>
      </x:c>
      <x:c r="B124" s="25" t="str">
        <x:f>'Summary'!B124</x:f>
        <x:v>Finland</x:v>
      </x:c>
      <x:c r="C124" s="25" t="str">
        <x:f>'Summary'!C124</x:f>
        <x:v>EEZ</x:v>
      </x:c>
      <x:c r="D124" s="32" t="n">
        <x:f>'Summary'!E124</x:f>
        <x:v>122751.58946063148</x:v>
      </x:c>
      <x:c r="E124" s="32" t="n">
        <x:f>'Summary'!K124</x:f>
        <x:v>33509013.98870027</x:v>
      </x:c>
      <x:c r="F124" s="34" t="n">
        <x:f>IF(SUM($E$2:$E$283)=0,"",E124/SUM($E$2:$E$283))</x:f>
        <x:v>0.0005043334852337173</x:v>
      </x:c>
      <x:c r="G124" s="35" t="n">
        <x:f>RANK(E124,$E$2:$E$283,0)+COUNTIF($E$2:E124,E124)-1</x:f>
        <x:v>123</x:v>
      </x:c>
      <x:c r="H124" s="34" t="n">
        <x:f>IF(SUM($E$2:$E$283)=0,"",SUM($F$2:F124))</x:f>
        <x:v>0.9792709745161184</x:v>
      </x:c>
      <x:c r="I124" s="25" t="b">
        <x:f>INDEX('EEZ Selection Flags'!$L$2:$L$283,MATCH(A124,'EEZ Selection Flags'!$A$2:$A$283,0))</x:f>
        <x:v>0</x:v>
      </x:c>
      <x:c r="J124" s="25" t="b">
        <x:f>INDEX('EEZ Selection Flags'!$M$2:$M$283,MATCH(A124,'EEZ Selection Flags'!$A$2:$A$283,0))</x:f>
        <x:v>0</x:v>
      </x:c>
      <x:c r="K124" s="25" t="b">
        <x:f>INDEX('EEZ Selection Flags'!$N$2:$N$283,MATCH(A124,'EEZ Selection Flags'!$A$2:$A$283,0))</x:f>
        <x:v>0</x:v>
      </x:c>
    </x:row>
    <x:row r="125" ht="18" customHeight="1">
      <x:c r="A125" s="25" t="str">
        <x:f>'Summary'!A125</x:f>
        <x:v>EEZ_690</x:v>
      </x:c>
      <x:c r="B125" s="25" t="str">
        <x:f>'Summary'!B125</x:f>
        <x:v>Seychelles</x:v>
      </x:c>
      <x:c r="C125" s="25" t="str">
        <x:f>'Summary'!C125</x:f>
        <x:v>EEZ</x:v>
      </x:c>
      <x:c r="D125" s="32" t="n">
        <x:f>'Summary'!E125</x:f>
        <x:v>18710.237207483602</x:v>
      </x:c>
      <x:c r="E125" s="32" t="n">
        <x:f>'Summary'!K125</x:f>
        <x:v>32871376.210854456</x:v>
      </x:c>
      <x:c r="F125" s="34" t="n">
        <x:f>IF(SUM($E$2:$E$283)=0,"",E125/SUM($E$2:$E$283))</x:f>
        <x:v>0.0004947366023494252</x:v>
      </x:c>
      <x:c r="G125" s="35" t="n">
        <x:f>RANK(E125,$E$2:$E$283,0)+COUNTIF($E$2:E125,E125)-1</x:f>
        <x:v>124</x:v>
      </x:c>
      <x:c r="H125" s="34" t="n">
        <x:f>IF(SUM($E$2:$E$283)=0,"",SUM($F$2:F125))</x:f>
        <x:v>0.9797657111184679</x:v>
      </x:c>
      <x:c r="I125" s="25" t="b">
        <x:f>INDEX('EEZ Selection Flags'!$L$2:$L$283,MATCH(A125,'EEZ Selection Flags'!$A$2:$A$283,0))</x:f>
        <x:v>1</x:v>
      </x:c>
      <x:c r="J125" s="25" t="b">
        <x:f>INDEX('EEZ Selection Flags'!$M$2:$M$283,MATCH(A125,'EEZ Selection Flags'!$A$2:$A$283,0))</x:f>
        <x:v>0</x:v>
      </x:c>
      <x:c r="K125" s="25" t="b">
        <x:f>INDEX('EEZ Selection Flags'!$N$2:$N$283,MATCH(A125,'EEZ Selection Flags'!$A$2:$A$283,0))</x:f>
        <x:v>0</x:v>
      </x:c>
    </x:row>
    <x:row r="126" ht="18" customHeight="1">
      <x:c r="A126" s="25" t="str">
        <x:f>'Summary'!A126</x:f>
        <x:v>EEZ_548</x:v>
      </x:c>
      <x:c r="B126" s="25" t="str">
        <x:f>'Summary'!B126</x:f>
        <x:v>Vanuatu</x:v>
      </x:c>
      <x:c r="C126" s="25" t="str">
        <x:f>'Summary'!C126</x:f>
        <x:v>EEZ</x:v>
      </x:c>
      <x:c r="D126" s="32" t="n">
        <x:f>'Summary'!E126</x:f>
        <x:v>19630.861294589602</x:v>
      </x:c>
      <x:c r="E126" s="32" t="n">
        <x:f>'Summary'!K126</x:f>
        <x:v>32659015.20720978</x:v>
      </x:c>
      <x:c r="F126" s="34" t="n">
        <x:f>IF(SUM($E$2:$E$283)=0,"",E126/SUM($E$2:$E$283))</x:f>
        <x:v>0.0004915404245946286</x:v>
      </x:c>
      <x:c r="G126" s="35" t="n">
        <x:f>RANK(E126,$E$2:$E$283,0)+COUNTIF($E$2:E126,E126)-1</x:f>
        <x:v>125</x:v>
      </x:c>
      <x:c r="H126" s="34" t="n">
        <x:f>IF(SUM($E$2:$E$283)=0,"",SUM($F$2:F126))</x:f>
        <x:v>0.9802572515430625</x:v>
      </x:c>
      <x:c r="I126" s="25" t="b">
        <x:f>INDEX('EEZ Selection Flags'!$L$2:$L$283,MATCH(A126,'EEZ Selection Flags'!$A$2:$A$283,0))</x:f>
        <x:v>1</x:v>
      </x:c>
      <x:c r="J126" s="25" t="b">
        <x:f>INDEX('EEZ Selection Flags'!$M$2:$M$283,MATCH(A126,'EEZ Selection Flags'!$A$2:$A$283,0))</x:f>
        <x:v>0</x:v>
      </x:c>
      <x:c r="K126" s="25" t="b">
        <x:f>INDEX('EEZ Selection Flags'!$N$2:$N$283,MATCH(A126,'EEZ Selection Flags'!$A$2:$A$283,0))</x:f>
        <x:v>0</x:v>
      </x:c>
    </x:row>
    <x:row r="127" ht="18" customHeight="1">
      <x:c r="A127" s="25" t="str">
        <x:f>'Summary'!A127</x:f>
        <x:v>EEZ_434</x:v>
      </x:c>
      <x:c r="B127" s="25" t="str">
        <x:f>'Summary'!B127</x:f>
        <x:v>Libya</x:v>
      </x:c>
      <x:c r="C127" s="25" t="str">
        <x:f>'Summary'!C127</x:f>
        <x:v>EEZ</x:v>
      </x:c>
      <x:c r="D127" s="32" t="n">
        <x:f>'Summary'!E127</x:f>
        <x:v>46065.4690766525</x:v>
      </x:c>
      <x:c r="E127" s="32" t="n">
        <x:f>'Summary'!K127</x:f>
        <x:v>32589026.701867957</x:v>
      </x:c>
      <x:c r="F127" s="34" t="n">
        <x:f>IF(SUM($E$2:$E$283)=0,"",E127/SUM($E$2:$E$283))</x:f>
        <x:v>0.0004904870499164825</x:v>
      </x:c>
      <x:c r="G127" s="35" t="n">
        <x:f>RANK(E127,$E$2:$E$283,0)+COUNTIF($E$2:E127,E127)-1</x:f>
        <x:v>126</x:v>
      </x:c>
      <x:c r="H127" s="34" t="n">
        <x:f>IF(SUM($E$2:$E$283)=0,"",SUM($F$2:F127))</x:f>
        <x:v>0.980747738592979</x:v>
      </x:c>
      <x:c r="I127" s="25" t="b">
        <x:f>INDEX('EEZ Selection Flags'!$L$2:$L$283,MATCH(A127,'EEZ Selection Flags'!$A$2:$A$283,0))</x:f>
        <x:v>0</x:v>
      </x:c>
      <x:c r="J127" s="25" t="b">
        <x:f>INDEX('EEZ Selection Flags'!$M$2:$M$283,MATCH(A127,'EEZ Selection Flags'!$A$2:$A$283,0))</x:f>
        <x:v>0</x:v>
      </x:c>
      <x:c r="K127" s="25" t="b">
        <x:f>INDEX('EEZ Selection Flags'!$N$2:$N$283,MATCH(A127,'EEZ Selection Flags'!$A$2:$A$283,0))</x:f>
        <x:v>0</x:v>
      </x:c>
    </x:row>
    <x:row r="128" ht="18" customHeight="1">
      <x:c r="A128" s="25" t="str">
        <x:f>'Summary'!A128</x:f>
        <x:v>EEZ_528</x:v>
      </x:c>
      <x:c r="B128" s="25" t="str">
        <x:f>'Summary'!B128</x:f>
        <x:v>Netherlands</x:v>
      </x:c>
      <x:c r="C128" s="25" t="str">
        <x:f>'Summary'!C128</x:f>
        <x:v>EEZ</x:v>
      </x:c>
      <x:c r="D128" s="32" t="n">
        <x:f>'Summary'!E128</x:f>
        <x:v>101104.7566313979</x:v>
      </x:c>
      <x:c r="E128" s="32" t="n">
        <x:f>'Summary'!K128</x:f>
        <x:v>32412118.312102888</x:v>
      </x:c>
      <x:c r="F128" s="34" t="n">
        <x:f>IF(SUM($E$2:$E$283)=0,"",E128/SUM($E$2:$E$283))</x:f>
        <x:v>0.0004878244581491632</x:v>
      </x:c>
      <x:c r="G128" s="35" t="n">
        <x:f>RANK(E128,$E$2:$E$283,0)+COUNTIF($E$2:E128,E128)-1</x:f>
        <x:v>127</x:v>
      </x:c>
      <x:c r="H128" s="34" t="n">
        <x:f>IF(SUM($E$2:$E$283)=0,"",SUM($F$2:F128))</x:f>
        <x:v>0.9812355630511282</x:v>
      </x:c>
      <x:c r="I128" s="25" t="b">
        <x:f>INDEX('EEZ Selection Flags'!$L$2:$L$283,MATCH(A128,'EEZ Selection Flags'!$A$2:$A$283,0))</x:f>
        <x:v>0</x:v>
      </x:c>
      <x:c r="J128" s="25" t="b">
        <x:f>INDEX('EEZ Selection Flags'!$M$2:$M$283,MATCH(A128,'EEZ Selection Flags'!$A$2:$A$283,0))</x:f>
        <x:v>0</x:v>
      </x:c>
      <x:c r="K128" s="25" t="b">
        <x:f>INDEX('EEZ Selection Flags'!$N$2:$N$283,MATCH(A128,'EEZ Selection Flags'!$A$2:$A$283,0))</x:f>
        <x:v>0</x:v>
      </x:c>
    </x:row>
    <x:row r="129" ht="18" customHeight="1">
      <x:c r="A129" s="25" t="str">
        <x:f>'Summary'!A129</x:f>
        <x:v>EEZ_933</x:v>
      </x:c>
      <x:c r="B129" s="25" t="str">
        <x:f>'Summary'!B129</x:f>
        <x:v>Egypt (Mediterranean)</x:v>
      </x:c>
      <x:c r="C129" s="25" t="str">
        <x:f>'Summary'!C129</x:f>
        <x:v>EEZ</x:v>
      </x:c>
      <x:c r="D129" s="32" t="n">
        <x:f>'Summary'!E129</x:f>
        <x:v>55812.690645263196</x:v>
      </x:c>
      <x:c r="E129" s="32" t="n">
        <x:f>'Summary'!K129</x:f>
        <x:v>31057514.964360286</x:v>
      </x:c>
      <x:c r="F129" s="34" t="n">
        <x:f>IF(SUM($E$2:$E$283)=0,"",E129/SUM($E$2:$E$283))</x:f>
        <x:v>0.00046743675507599414</x:v>
      </x:c>
      <x:c r="G129" s="35" t="n">
        <x:f>RANK(E129,$E$2:$E$283,0)+COUNTIF($E$2:E129,E129)-1</x:f>
        <x:v>128</x:v>
      </x:c>
      <x:c r="H129" s="34" t="n">
        <x:f>IF(SUM($E$2:$E$283)=0,"",SUM($F$2:F129))</x:f>
        <x:v>0.9817029998062042</x:v>
      </x:c>
      <x:c r="I129" s="25" t="b">
        <x:f>INDEX('EEZ Selection Flags'!$L$2:$L$283,MATCH(A129,'EEZ Selection Flags'!$A$2:$A$283,0))</x:f>
        <x:v>0</x:v>
      </x:c>
      <x:c r="J129" s="25" t="b">
        <x:f>INDEX('EEZ Selection Flags'!$M$2:$M$283,MATCH(A129,'EEZ Selection Flags'!$A$2:$A$283,0))</x:f>
        <x:v>0</x:v>
      </x:c>
      <x:c r="K129" s="25" t="b">
        <x:f>INDEX('EEZ Selection Flags'!$N$2:$N$283,MATCH(A129,'EEZ Selection Flags'!$A$2:$A$283,0))</x:f>
        <x:v>0</x:v>
      </x:c>
    </x:row>
    <x:row r="130" ht="18" customHeight="1">
      <x:c r="A130" s="25" t="str">
        <x:f>'Summary'!A130</x:f>
        <x:v>EEZ_647</x:v>
      </x:c>
      <x:c r="B130" s="25" t="str">
        <x:f>'Summary'!B130</x:f>
        <x:v>Russia (Black Sea)</x:v>
      </x:c>
      <x:c r="C130" s="25" t="str">
        <x:f>'Summary'!C130</x:f>
        <x:v>EEZ</x:v>
      </x:c>
      <x:c r="D130" s="32" t="n">
        <x:f>'Summary'!E130</x:f>
        <x:v>151771.4553513236</x:v>
      </x:c>
      <x:c r="E130" s="32" t="n">
        <x:f>'Summary'!K130</x:f>
        <x:v>30470880.239130165</x:v>
      </x:c>
      <x:c r="F130" s="34" t="n">
        <x:f>IF(SUM($E$2:$E$283)=0,"",E130/SUM($E$2:$E$283))</x:f>
        <x:v>0.0004586075028743568</x:v>
      </x:c>
      <x:c r="G130" s="35" t="n">
        <x:f>RANK(E130,$E$2:$E$283,0)+COUNTIF($E$2:E130,E130)-1</x:f>
        <x:v>129</x:v>
      </x:c>
      <x:c r="H130" s="34" t="n">
        <x:f>IF(SUM($E$2:$E$283)=0,"",SUM($F$2:F130))</x:f>
        <x:v>0.9821616073090786</x:v>
      </x:c>
      <x:c r="I130" s="25" t="b">
        <x:f>INDEX('EEZ Selection Flags'!$L$2:$L$283,MATCH(A130,'EEZ Selection Flags'!$A$2:$A$283,0))</x:f>
        <x:v>0</x:v>
      </x:c>
      <x:c r="J130" s="25" t="b">
        <x:f>INDEX('EEZ Selection Flags'!$M$2:$M$283,MATCH(A130,'EEZ Selection Flags'!$A$2:$A$283,0))</x:f>
        <x:v>0</x:v>
      </x:c>
      <x:c r="K130" s="25" t="b">
        <x:f>INDEX('EEZ Selection Flags'!$N$2:$N$283,MATCH(A130,'EEZ Selection Flags'!$A$2:$A$283,0))</x:f>
        <x:v>0</x:v>
      </x:c>
    </x:row>
    <x:row r="131" ht="18" customHeight="1">
      <x:c r="A131" s="25" t="str">
        <x:f>'Summary'!A131</x:f>
        <x:v>EEZ_393</x:v>
      </x:c>
      <x:c r="B131" s="25" t="str">
        <x:f>'Summary'!B131</x:f>
        <x:v>Japan (Daito Islands)</x:v>
      </x:c>
      <x:c r="C131" s="25" t="str">
        <x:f>'Summary'!C131</x:f>
        <x:v>EEZ</x:v>
      </x:c>
      <x:c r="D131" s="32" t="n">
        <x:f>'Summary'!E131</x:f>
        <x:v>17808.098251388197</x:v>
      </x:c>
      <x:c r="E131" s="32" t="n">
        <x:f>'Summary'!K131</x:f>
        <x:v>29495755.19813662</x:v>
      </x:c>
      <x:c r="F131" s="34" t="n">
        <x:f>IF(SUM($E$2:$E$283)=0,"",E131/SUM($E$2:$E$283))</x:f>
        <x:v>0.00044393120679985025</x:v>
      </x:c>
      <x:c r="G131" s="35" t="n">
        <x:f>RANK(E131,$E$2:$E$283,0)+COUNTIF($E$2:E131,E131)-1</x:f>
        <x:v>130</x:v>
      </x:c>
      <x:c r="H131" s="34" t="n">
        <x:f>IF(SUM($E$2:$E$283)=0,"",SUM($F$2:F131))</x:f>
        <x:v>0.9826055385158785</x:v>
      </x:c>
      <x:c r="I131" s="25" t="b">
        <x:f>INDEX('EEZ Selection Flags'!$L$2:$L$283,MATCH(A131,'EEZ Selection Flags'!$A$2:$A$283,0))</x:f>
        <x:v>0</x:v>
      </x:c>
      <x:c r="J131" s="25" t="b">
        <x:f>INDEX('EEZ Selection Flags'!$M$2:$M$283,MATCH(A131,'EEZ Selection Flags'!$A$2:$A$283,0))</x:f>
        <x:v>0</x:v>
      </x:c>
      <x:c r="K131" s="25" t="b">
        <x:f>INDEX('EEZ Selection Flags'!$N$2:$N$283,MATCH(A131,'EEZ Selection Flags'!$A$2:$A$283,0))</x:f>
        <x:v>0</x:v>
      </x:c>
    </x:row>
    <x:row r="132" ht="18" customHeight="1">
      <x:c r="A132" s="25" t="str">
        <x:f>'Summary'!A132</x:f>
        <x:v>EEZ_952</x:v>
      </x:c>
      <x:c r="B132" s="25" t="str">
        <x:f>'Summary'!B132</x:f>
        <x:v>Panama (Pacific)</x:v>
      </x:c>
      <x:c r="C132" s="25" t="str">
        <x:f>'Summary'!C132</x:f>
        <x:v>EEZ</x:v>
      </x:c>
      <x:c r="D132" s="32" t="n">
        <x:f>'Summary'!E132</x:f>
        <x:v>303382.62349392334</x:v>
      </x:c>
      <x:c r="E132" s="32" t="n">
        <x:f>'Summary'!K132</x:f>
        <x:v>28957741.549752913</x:v>
      </x:c>
      <x:c r="F132" s="34" t="n">
        <x:f>IF(SUM($E$2:$E$283)=0,"",E132/SUM($E$2:$E$283))</x:f>
        <x:v>0.00043583373492305427</x:v>
      </x:c>
      <x:c r="G132" s="35" t="n">
        <x:f>RANK(E132,$E$2:$E$283,0)+COUNTIF($E$2:E132,E132)-1</x:f>
        <x:v>131</x:v>
      </x:c>
      <x:c r="H132" s="34" t="n">
        <x:f>IF(SUM($E$2:$E$283)=0,"",SUM($F$2:F132))</x:f>
        <x:v>0.9830413722508016</x:v>
      </x:c>
      <x:c r="I132" s="25" t="b">
        <x:f>INDEX('EEZ Selection Flags'!$L$2:$L$283,MATCH(A132,'EEZ Selection Flags'!$A$2:$A$283,0))</x:f>
        <x:v>0</x:v>
      </x:c>
      <x:c r="J132" s="25" t="b">
        <x:f>INDEX('EEZ Selection Flags'!$M$2:$M$283,MATCH(A132,'EEZ Selection Flags'!$A$2:$A$283,0))</x:f>
        <x:v>0</x:v>
      </x:c>
      <x:c r="K132" s="25" t="b">
        <x:f>INDEX('EEZ Selection Flags'!$N$2:$N$283,MATCH(A132,'EEZ Selection Flags'!$A$2:$A$283,0))</x:f>
        <x:v>0</x:v>
      </x:c>
    </x:row>
    <x:row r="133" ht="18" customHeight="1">
      <x:c r="A133" s="25" t="str">
        <x:f>'Summary'!A133</x:f>
        <x:v>EEZ_903</x:v>
      </x:c>
      <x:c r="B133" s="25" t="str">
        <x:f>'Summary'!B133</x:f>
        <x:v>Balearic Islands (Spain)</x:v>
      </x:c>
      <x:c r="C133" s="25" t="str">
        <x:f>'Summary'!C133</x:f>
        <x:v>EEZ</x:v>
      </x:c>
      <x:c r="D133" s="32" t="n">
        <x:f>'Summary'!E133</x:f>
        <x:v>15335.9862376629</x:v>
      </x:c>
      <x:c r="E133" s="32" t="n">
        <x:f>'Summary'!K133</x:f>
        <x:v>28287148.88364155</x:v>
      </x:c>
      <x:c r="F133" s="34" t="n">
        <x:f>IF(SUM($E$2:$E$283)=0,"",E133/SUM($E$2:$E$283))</x:f>
        <x:v>0.00042574085852310523</x:v>
      </x:c>
      <x:c r="G133" s="35" t="n">
        <x:f>RANK(E133,$E$2:$E$283,0)+COUNTIF($E$2:E133,E133)-1</x:f>
        <x:v>132</x:v>
      </x:c>
      <x:c r="H133" s="34" t="n">
        <x:f>IF(SUM($E$2:$E$283)=0,"",SUM($F$2:F133))</x:f>
        <x:v>0.9834671131093247</x:v>
      </x:c>
      <x:c r="I133" s="25" t="b">
        <x:f>INDEX('EEZ Selection Flags'!$L$2:$L$283,MATCH(A133,'EEZ Selection Flags'!$A$2:$A$283,0))</x:f>
        <x:v>0</x:v>
      </x:c>
      <x:c r="J133" s="25" t="b">
        <x:f>INDEX('EEZ Selection Flags'!$M$2:$M$283,MATCH(A133,'EEZ Selection Flags'!$A$2:$A$283,0))</x:f>
        <x:v>0</x:v>
      </x:c>
      <x:c r="K133" s="25" t="b">
        <x:f>INDEX('EEZ Selection Flags'!$N$2:$N$283,MATCH(A133,'EEZ Selection Flags'!$A$2:$A$283,0))</x:f>
        <x:v>0</x:v>
      </x:c>
    </x:row>
    <x:row r="134" ht="18" customHeight="1">
      <x:c r="A134" s="25" t="str">
        <x:f>'Summary'!A134</x:f>
        <x:v>EEZ_950</x:v>
      </x:c>
      <x:c r="B134" s="25" t="str">
        <x:f>'Summary'!B134</x:f>
        <x:v>Nicaragua (Pacific)</x:v>
      </x:c>
      <x:c r="C134" s="25" t="str">
        <x:f>'Summary'!C134</x:f>
        <x:v>EEZ</x:v>
      </x:c>
      <x:c r="D134" s="32" t="n">
        <x:f>'Summary'!E134</x:f>
        <x:v>24556.3459940686</x:v>
      </x:c>
      <x:c r="E134" s="32" t="n">
        <x:f>'Summary'!K134</x:f>
        <x:v>28085727.266922668</x:v>
      </x:c>
      <x:c r="F134" s="34" t="n">
        <x:f>IF(SUM($E$2:$E$283)=0,"",E134/SUM($E$2:$E$283))</x:f>
        <x:v>0.00042270932599291805</x:v>
      </x:c>
      <x:c r="G134" s="35" t="n">
        <x:f>RANK(E134,$E$2:$E$283,0)+COUNTIF($E$2:E134,E134)-1</x:f>
        <x:v>133</x:v>
      </x:c>
      <x:c r="H134" s="34" t="n">
        <x:f>IF(SUM($E$2:$E$283)=0,"",SUM($F$2:F134))</x:f>
        <x:v>0.9838898224353175</x:v>
      </x:c>
      <x:c r="I134" s="25" t="b">
        <x:f>INDEX('EEZ Selection Flags'!$L$2:$L$283,MATCH(A134,'EEZ Selection Flags'!$A$2:$A$283,0))</x:f>
        <x:v>0</x:v>
      </x:c>
      <x:c r="J134" s="25" t="b">
        <x:f>INDEX('EEZ Selection Flags'!$M$2:$M$283,MATCH(A134,'EEZ Selection Flags'!$A$2:$A$283,0))</x:f>
        <x:v>0</x:v>
      </x:c>
      <x:c r="K134" s="25" t="b">
        <x:f>INDEX('EEZ Selection Flags'!$N$2:$N$283,MATCH(A134,'EEZ Selection Flags'!$A$2:$A$283,0))</x:f>
        <x:v>0</x:v>
      </x:c>
    </x:row>
    <x:row r="135" ht="18" customHeight="1">
      <x:c r="A135" s="25" t="str">
        <x:f>'Summary'!A135</x:f>
        <x:v>EEZ_622</x:v>
      </x:c>
      <x:c r="B135" s="25" t="str">
        <x:f>'Summary'!B135</x:f>
        <x:v>Azores Isl. (Portugal)</x:v>
      </x:c>
      <x:c r="C135" s="25" t="str">
        <x:f>'Summary'!C135</x:f>
        <x:v>EEZ</x:v>
      </x:c>
      <x:c r="D135" s="32" t="n">
        <x:f>'Summary'!E135</x:f>
        <x:v>21195.0352962868</x:v>
      </x:c>
      <x:c r="E135" s="32" t="n">
        <x:f>'Summary'!K135</x:f>
        <x:v>27576431.66877207</x:v>
      </x:c>
      <x:c r="F135" s="34" t="n">
        <x:f>IF(SUM($E$2:$E$283)=0,"",E135/SUM($E$2:$E$283))</x:f>
        <x:v>0.00041504408033346367</x:v>
      </x:c>
      <x:c r="G135" s="35" t="n">
        <x:f>RANK(E135,$E$2:$E$283,0)+COUNTIF($E$2:E135,E135)-1</x:f>
        <x:v>134</x:v>
      </x:c>
      <x:c r="H135" s="34" t="n">
        <x:f>IF(SUM($E$2:$E$283)=0,"",SUM($F$2:F135))</x:f>
        <x:v>0.984304866515651</x:v>
      </x:c>
      <x:c r="I135" s="25" t="b">
        <x:f>INDEX('EEZ Selection Flags'!$L$2:$L$283,MATCH(A135,'EEZ Selection Flags'!$A$2:$A$283,0))</x:f>
        <x:v>1</x:v>
      </x:c>
      <x:c r="J135" s="25" t="b">
        <x:f>INDEX('EEZ Selection Flags'!$M$2:$M$283,MATCH(A135,'EEZ Selection Flags'!$A$2:$A$283,0))</x:f>
        <x:v>0</x:v>
      </x:c>
      <x:c r="K135" s="25" t="b">
        <x:f>INDEX('EEZ Selection Flags'!$N$2:$N$283,MATCH(A135,'EEZ Selection Flags'!$A$2:$A$283,0))</x:f>
        <x:v>0</x:v>
      </x:c>
    </x:row>
    <x:row r="136" ht="18" customHeight="1">
      <x:c r="A136" s="25" t="str">
        <x:f>'Summary'!A136</x:f>
        <x:v>EEZ_328</x:v>
      </x:c>
      <x:c r="B136" s="25" t="str">
        <x:f>'Summary'!B136</x:f>
        <x:v>Guyana</x:v>
      </x:c>
      <x:c r="C136" s="25" t="str">
        <x:f>'Summary'!C136</x:f>
        <x:v>EEZ</x:v>
      </x:c>
      <x:c r="D136" s="32" t="n">
        <x:f>'Summary'!E136</x:f>
        <x:v>57488.00087232851</x:v>
      </x:c>
      <x:c r="E136" s="32" t="n">
        <x:f>'Summary'!K136</x:f>
        <x:v>27398478.76825124</x:v>
      </x:c>
      <x:c r="F136" s="34" t="n">
        <x:f>IF(SUM($E$2:$E$283)=0,"",E136/SUM($E$2:$E$283))</x:f>
        <x:v>0.00041236576796780034</x:v>
      </x:c>
      <x:c r="G136" s="35" t="n">
        <x:f>RANK(E136,$E$2:$E$283,0)+COUNTIF($E$2:E136,E136)-1</x:f>
        <x:v>135</x:v>
      </x:c>
      <x:c r="H136" s="34" t="n">
        <x:f>IF(SUM($E$2:$E$283)=0,"",SUM($F$2:F136))</x:f>
        <x:v>0.9847172322836187</x:v>
      </x:c>
      <x:c r="I136" s="25" t="b">
        <x:f>INDEX('EEZ Selection Flags'!$L$2:$L$283,MATCH(A136,'EEZ Selection Flags'!$A$2:$A$283,0))</x:f>
        <x:v>0</x:v>
      </x:c>
      <x:c r="J136" s="25" t="b">
        <x:f>INDEX('EEZ Selection Flags'!$M$2:$M$283,MATCH(A136,'EEZ Selection Flags'!$A$2:$A$283,0))</x:f>
        <x:v>0</x:v>
      </x:c>
      <x:c r="K136" s="25" t="b">
        <x:f>INDEX('EEZ Selection Flags'!$N$2:$N$283,MATCH(A136,'EEZ Selection Flags'!$A$2:$A$283,0))</x:f>
        <x:v>0</x:v>
      </x:c>
    </x:row>
    <x:row r="137" ht="18" customHeight="1">
      <x:c r="A137" s="25" t="str">
        <x:f>'Summary'!A137</x:f>
        <x:v>EEZ_901</x:v>
      </x:c>
      <x:c r="B137" s="25" t="str">
        <x:f>'Summary'!B137</x:f>
        <x:v>Sicily (Italy)</x:v>
      </x:c>
      <x:c r="C137" s="25" t="str">
        <x:f>'Summary'!C137</x:f>
        <x:v>EEZ</x:v>
      </x:c>
      <x:c r="D137" s="32" t="n">
        <x:f>'Summary'!E137</x:f>
        <x:v>39568.555548646895</x:v>
      </x:c>
      <x:c r="E137" s="32" t="n">
        <x:f>'Summary'!K137</x:f>
        <x:v>27016327.359729037</x:v>
      </x:c>
      <x:c r="F137" s="34" t="n">
        <x:f>IF(SUM($E$2:$E$283)=0,"",E137/SUM($E$2:$E$283))</x:f>
        <x:v>0.00040661412896666566</x:v>
      </x:c>
      <x:c r="G137" s="35" t="n">
        <x:f>RANK(E137,$E$2:$E$283,0)+COUNTIF($E$2:E137,E137)-1</x:f>
        <x:v>136</x:v>
      </x:c>
      <x:c r="H137" s="34" t="n">
        <x:f>IF(SUM($E$2:$E$283)=0,"",SUM($F$2:F137))</x:f>
        <x:v>0.9851238464125854</x:v>
      </x:c>
      <x:c r="I137" s="25" t="b">
        <x:f>INDEX('EEZ Selection Flags'!$L$2:$L$283,MATCH(A137,'EEZ Selection Flags'!$A$2:$A$283,0))</x:f>
        <x:v>0</x:v>
      </x:c>
      <x:c r="J137" s="25" t="b">
        <x:f>INDEX('EEZ Selection Flags'!$M$2:$M$283,MATCH(A137,'EEZ Selection Flags'!$A$2:$A$283,0))</x:f>
        <x:v>0</x:v>
      </x:c>
      <x:c r="K137" s="25" t="b">
        <x:f>INDEX('EEZ Selection Flags'!$N$2:$N$283,MATCH(A137,'EEZ Selection Flags'!$A$2:$A$283,0))</x:f>
        <x:v>0</x:v>
      </x:c>
    </x:row>
    <x:row r="138" ht="18" customHeight="1">
      <x:c r="A138" s="25" t="str">
        <x:f>'Summary'!A138</x:f>
        <x:v>EEZ_648</x:v>
      </x:c>
      <x:c r="B138" s="25" t="str">
        <x:f>'Summary'!B138</x:f>
        <x:v>Russia (Baltic Sea)</x:v>
      </x:c>
      <x:c r="C138" s="25" t="str">
        <x:f>'Summary'!C138</x:f>
        <x:v>EEZ</x:v>
      </x:c>
      <x:c r="D138" s="32" t="n">
        <x:f>'Summary'!E138</x:f>
        <x:v>111294.2692790642</x:v>
      </x:c>
      <x:c r="E138" s="32" t="n">
        <x:f>'Summary'!K138</x:f>
        <x:v>25778605.82277208</x:v>
      </x:c>
      <x:c r="F138" s="34" t="n">
        <x:f>IF(SUM($E$2:$E$283)=0,"",E138/SUM($E$2:$E$283))</x:f>
        <x:v>0.0003879855767600017</x:v>
      </x:c>
      <x:c r="G138" s="35" t="n">
        <x:f>RANK(E138,$E$2:$E$283,0)+COUNTIF($E$2:E138,E138)-1</x:f>
        <x:v>137</x:v>
      </x:c>
      <x:c r="H138" s="34" t="n">
        <x:f>IF(SUM($E$2:$E$283)=0,"",SUM($F$2:F138))</x:f>
        <x:v>0.9855118319893454</x:v>
      </x:c>
      <x:c r="I138" s="25" t="b">
        <x:f>INDEX('EEZ Selection Flags'!$L$2:$L$283,MATCH(A138,'EEZ Selection Flags'!$A$2:$A$283,0))</x:f>
        <x:v>0</x:v>
      </x:c>
      <x:c r="J138" s="25" t="b">
        <x:f>INDEX('EEZ Selection Flags'!$M$2:$M$283,MATCH(A138,'EEZ Selection Flags'!$A$2:$A$283,0))</x:f>
        <x:v>0</x:v>
      </x:c>
      <x:c r="K138" s="25" t="b">
        <x:f>INDEX('EEZ Selection Flags'!$N$2:$N$283,MATCH(A138,'EEZ Selection Flags'!$A$2:$A$283,0))</x:f>
        <x:v>0</x:v>
      </x:c>
    </x:row>
    <x:row r="139" ht="18" customHeight="1">
      <x:c r="A139" s="25" t="str">
        <x:f>'Summary'!A139</x:f>
        <x:v>EEZ_916</x:v>
      </x:c>
      <x:c r="B139" s="25" t="str">
        <x:f>'Summary'!B139</x:f>
        <x:v>Yemen (Red Sea)</x:v>
      </x:c>
      <x:c r="C139" s="25" t="str">
        <x:f>'Summary'!C139</x:f>
        <x:v>EEZ</x:v>
      </x:c>
      <x:c r="D139" s="32" t="n">
        <x:f>'Summary'!E139</x:f>
        <x:v>27521.2468767345</x:v>
      </x:c>
      <x:c r="E139" s="32" t="n">
        <x:f>'Summary'!K139</x:f>
        <x:v>24990523.481711373</x:v>
      </x:c>
      <x:c r="F139" s="34" t="n">
        <x:f>IF(SUM($E$2:$E$283)=0,"",E139/SUM($E$2:$E$283))</x:f>
        <x:v>0.0003761244007238366</x:v>
      </x:c>
      <x:c r="G139" s="35" t="n">
        <x:f>RANK(E139,$E$2:$E$283,0)+COUNTIF($E$2:E139,E139)-1</x:f>
        <x:v>138</x:v>
      </x:c>
      <x:c r="H139" s="34" t="n">
        <x:f>IF(SUM($E$2:$E$283)=0,"",SUM($F$2:F139))</x:f>
        <x:v>0.9858879563900693</x:v>
      </x:c>
      <x:c r="I139" s="25" t="b">
        <x:f>INDEX('EEZ Selection Flags'!$L$2:$L$283,MATCH(A139,'EEZ Selection Flags'!$A$2:$A$283,0))</x:f>
        <x:v>0</x:v>
      </x:c>
      <x:c r="J139" s="25" t="b">
        <x:f>INDEX('EEZ Selection Flags'!$M$2:$M$283,MATCH(A139,'EEZ Selection Flags'!$A$2:$A$283,0))</x:f>
        <x:v>0</x:v>
      </x:c>
      <x:c r="K139" s="25" t="b">
        <x:f>INDEX('EEZ Selection Flags'!$N$2:$N$283,MATCH(A139,'EEZ Selection Flags'!$A$2:$A$283,0))</x:f>
        <x:v>0</x:v>
      </x:c>
    </x:row>
    <x:row r="140" ht="18" customHeight="1">
      <x:c r="A140" s="25" t="str">
        <x:f>'Summary'!A140</x:f>
        <x:v>EEZ_804</x:v>
      </x:c>
      <x:c r="B140" s="25" t="str">
        <x:f>'Summary'!B140</x:f>
        <x:v>Ukraine</x:v>
      </x:c>
      <x:c r="C140" s="25" t="str">
        <x:f>'Summary'!C140</x:f>
        <x:v>EEZ</x:v>
      </x:c>
      <x:c r="D140" s="32" t="n">
        <x:f>'Summary'!E140</x:f>
        <x:v>65903.72402365689</x:v>
      </x:c>
      <x:c r="E140" s="32" t="n">
        <x:f>'Summary'!K140</x:f>
        <x:v>24463611.249558166</x:v>
      </x:c>
      <x:c r="F140" s="34" t="n">
        <x:f>IF(SUM($E$2:$E$283)=0,"",E140/SUM($E$2:$E$283))</x:f>
        <x:v>0.00036819401272305223</x:v>
      </x:c>
      <x:c r="G140" s="35" t="n">
        <x:f>RANK(E140,$E$2:$E$283,0)+COUNTIF($E$2:E140,E140)-1</x:f>
        <x:v>139</x:v>
      </x:c>
      <x:c r="H140" s="34" t="n">
        <x:f>IF(SUM($E$2:$E$283)=0,"",SUM($F$2:F140))</x:f>
        <x:v>0.9862561504027924</x:v>
      </x:c>
      <x:c r="I140" s="25" t="b">
        <x:f>INDEX('EEZ Selection Flags'!$L$2:$L$283,MATCH(A140,'EEZ Selection Flags'!$A$2:$A$283,0))</x:f>
        <x:v>0</x:v>
      </x:c>
      <x:c r="J140" s="25" t="b">
        <x:f>INDEX('EEZ Selection Flags'!$M$2:$M$283,MATCH(A140,'EEZ Selection Flags'!$A$2:$A$283,0))</x:f>
        <x:v>0</x:v>
      </x:c>
      <x:c r="K140" s="25" t="b">
        <x:f>INDEX('EEZ Selection Flags'!$N$2:$N$283,MATCH(A140,'EEZ Selection Flags'!$A$2:$A$283,0))</x:f>
        <x:v>0</x:v>
      </x:c>
    </x:row>
    <x:row r="141" ht="18" customHeight="1">
      <x:c r="A141" s="25" t="str">
        <x:f>'Summary'!A141</x:f>
        <x:v>EEZ_936</x:v>
      </x:c>
      <x:c r="B141" s="25" t="str">
        <x:f>'Summary'!B141</x:f>
        <x:v>Guatemala (Pacific)</x:v>
      </x:c>
      <x:c r="C141" s="25" t="str">
        <x:f>'Summary'!C141</x:f>
        <x:v>EEZ</x:v>
      </x:c>
      <x:c r="D141" s="32" t="n">
        <x:f>'Summary'!E141</x:f>
        <x:v>32146.82570390479</x:v>
      </x:c>
      <x:c r="E141" s="32" t="n">
        <x:f>'Summary'!K141</x:f>
        <x:v>23984917.380311072</x:v>
      </x:c>
      <x:c r="F141" s="34" t="n">
        <x:f>IF(SUM($E$2:$E$283)=0,"",E141/SUM($E$2:$E$283))</x:f>
        <x:v>0.0003609893439279987</x:v>
      </x:c>
      <x:c r="G141" s="35" t="n">
        <x:f>RANK(E141,$E$2:$E$283,0)+COUNTIF($E$2:E141,E141)-1</x:f>
        <x:v>140</x:v>
      </x:c>
      <x:c r="H141" s="34" t="n">
        <x:f>IF(SUM($E$2:$E$283)=0,"",SUM($F$2:F141))</x:f>
        <x:v>0.9866171397467204</x:v>
      </x:c>
      <x:c r="I141" s="25" t="b">
        <x:f>INDEX('EEZ Selection Flags'!$L$2:$L$283,MATCH(A141,'EEZ Selection Flags'!$A$2:$A$283,0))</x:f>
        <x:v>0</x:v>
      </x:c>
      <x:c r="J141" s="25" t="b">
        <x:f>INDEX('EEZ Selection Flags'!$M$2:$M$283,MATCH(A141,'EEZ Selection Flags'!$A$2:$A$283,0))</x:f>
        <x:v>0</x:v>
      </x:c>
      <x:c r="K141" s="25" t="b">
        <x:f>INDEX('EEZ Selection Flags'!$N$2:$N$283,MATCH(A141,'EEZ Selection Flags'!$A$2:$A$283,0))</x:f>
        <x:v>0</x:v>
      </x:c>
    </x:row>
    <x:row r="142" ht="18" customHeight="1">
      <x:c r="A142" s="25" t="str">
        <x:f>'Summary'!A142</x:f>
        <x:v>EEZ_332</x:v>
      </x:c>
      <x:c r="B142" s="25" t="str">
        <x:f>'Summary'!B142</x:f>
        <x:v>Haiti</x:v>
      </x:c>
      <x:c r="C142" s="25" t="str">
        <x:f>'Summary'!C142</x:f>
        <x:v>EEZ</x:v>
      </x:c>
      <x:c r="D142" s="32" t="n">
        <x:f>'Summary'!E142</x:f>
        <x:v>25123.6699543932</x:v>
      </x:c>
      <x:c r="E142" s="32" t="n">
        <x:f>'Summary'!K142</x:f>
        <x:v>23832130.00848978</x:v>
      </x:c>
      <x:c r="F142" s="34" t="n">
        <x:f>IF(SUM($E$2:$E$283)=0,"",E142/SUM($E$2:$E$283))</x:f>
        <x:v>0.00035868978991079257</x:v>
      </x:c>
      <x:c r="G142" s="35" t="n">
        <x:f>RANK(E142,$E$2:$E$283,0)+COUNTIF($E$2:E142,E142)-1</x:f>
        <x:v>141</x:v>
      </x:c>
      <x:c r="H142" s="34" t="n">
        <x:f>IF(SUM($E$2:$E$283)=0,"",SUM($F$2:F142))</x:f>
        <x:v>0.9869758295366312</x:v>
      </x:c>
      <x:c r="I142" s="25" t="b">
        <x:f>INDEX('EEZ Selection Flags'!$L$2:$L$283,MATCH(A142,'EEZ Selection Flags'!$A$2:$A$283,0))</x:f>
        <x:v>0</x:v>
      </x:c>
      <x:c r="J142" s="25" t="b">
        <x:f>INDEX('EEZ Selection Flags'!$M$2:$M$283,MATCH(A142,'EEZ Selection Flags'!$A$2:$A$283,0))</x:f>
        <x:v>0</x:v>
      </x:c>
      <x:c r="K142" s="25" t="b">
        <x:f>INDEX('EEZ Selection Flags'!$N$2:$N$283,MATCH(A142,'EEZ Selection Flags'!$A$2:$A$283,0))</x:f>
        <x:v>0</x:v>
      </x:c>
    </x:row>
    <x:row r="143" ht="18" customHeight="1">
      <x:c r="A143" s="25" t="str">
        <x:f>'Summary'!A143</x:f>
        <x:v>EEZ_772</x:v>
      </x:c>
      <x:c r="B143" s="25" t="str">
        <x:f>'Summary'!B143</x:f>
        <x:v>Tokelau (New Zealand)</x:v>
      </x:c>
      <x:c r="C143" s="25" t="str">
        <x:f>'Summary'!C143</x:f>
        <x:v>EEZ</x:v>
      </x:c>
      <x:c r="D143" s="32" t="n">
        <x:f>'Summary'!E143</x:f>
        <x:v>9835.363687701802</x:v>
      </x:c>
      <x:c r="E143" s="32" t="n">
        <x:f>'Summary'!K143</x:f>
        <x:v>23763562.20958886</x:v>
      </x:c>
      <x:c r="F143" s="34" t="n">
        <x:f>IF(SUM($E$2:$E$283)=0,"",E143/SUM($E$2:$E$283))</x:f>
        <x:v>0.0003576577978322979</x:v>
      </x:c>
      <x:c r="G143" s="35" t="n">
        <x:f>RANK(E143,$E$2:$E$283,0)+COUNTIF($E$2:E143,E143)-1</x:f>
        <x:v>142</x:v>
      </x:c>
      <x:c r="H143" s="34" t="n">
        <x:f>IF(SUM($E$2:$E$283)=0,"",SUM($F$2:F143))</x:f>
        <x:v>0.9873334873344635</x:v>
      </x:c>
      <x:c r="I143" s="25" t="b">
        <x:f>INDEX('EEZ Selection Flags'!$L$2:$L$283,MATCH(A143,'EEZ Selection Flags'!$A$2:$A$283,0))</x:f>
        <x:v>1</x:v>
      </x:c>
      <x:c r="J143" s="25" t="b">
        <x:f>INDEX('EEZ Selection Flags'!$M$2:$M$283,MATCH(A143,'EEZ Selection Flags'!$A$2:$A$283,0))</x:f>
        <x:v>0</x:v>
      </x:c>
      <x:c r="K143" s="25" t="b">
        <x:f>INDEX('EEZ Selection Flags'!$N$2:$N$283,MATCH(A143,'EEZ Selection Flags'!$A$2:$A$283,0))</x:f>
        <x:v>0</x:v>
      </x:c>
    </x:row>
    <x:row r="144" ht="18" customHeight="1">
      <x:c r="A144" s="25" t="str">
        <x:f>'Summary'!A144</x:f>
        <x:v>EEZ_277</x:v>
      </x:c>
      <x:c r="B144" s="25" t="str">
        <x:f>'Summary'!B144</x:f>
        <x:v>Germany (North Sea)</x:v>
      </x:c>
      <x:c r="C144" s="25" t="str">
        <x:f>'Summary'!C144</x:f>
        <x:v>EEZ</x:v>
      </x:c>
      <x:c r="D144" s="32" t="n">
        <x:f>'Summary'!E144</x:f>
        <x:v>93934.39639776108</x:v>
      </x:c>
      <x:c r="E144" s="32" t="n">
        <x:f>'Summary'!K144</x:f>
        <x:v>22262518.47000501</x:v>
      </x:c>
      <x:c r="F144" s="34" t="n">
        <x:f>IF(SUM($E$2:$E$283)=0,"",E144/SUM($E$2:$E$283))</x:f>
        <x:v>0.00033506606711387524</x:v>
      </x:c>
      <x:c r="G144" s="35" t="n">
        <x:f>RANK(E144,$E$2:$E$283,0)+COUNTIF($E$2:E144,E144)-1</x:f>
        <x:v>143</x:v>
      </x:c>
      <x:c r="H144" s="34" t="n">
        <x:f>IF(SUM($E$2:$E$283)=0,"",SUM($F$2:F144))</x:f>
        <x:v>0.9876685534015773</x:v>
      </x:c>
      <x:c r="I144" s="25" t="b">
        <x:f>INDEX('EEZ Selection Flags'!$L$2:$L$283,MATCH(A144,'EEZ Selection Flags'!$A$2:$A$283,0))</x:f>
        <x:v>0</x:v>
      </x:c>
      <x:c r="J144" s="25" t="b">
        <x:f>INDEX('EEZ Selection Flags'!$M$2:$M$283,MATCH(A144,'EEZ Selection Flags'!$A$2:$A$283,0))</x:f>
        <x:v>0</x:v>
      </x:c>
      <x:c r="K144" s="25" t="b">
        <x:f>INDEX('EEZ Selection Flags'!$N$2:$N$283,MATCH(A144,'EEZ Selection Flags'!$A$2:$A$283,0))</x:f>
        <x:v>0</x:v>
      </x:c>
    </x:row>
    <x:row r="145" ht="18" customHeight="1">
      <x:c r="A145" s="25" t="str">
        <x:f>'Summary'!A145</x:f>
        <x:v>EEZ_768</x:v>
      </x:c>
      <x:c r="B145" s="25" t="str">
        <x:f>'Summary'!B145</x:f>
        <x:v>Togo</x:v>
      </x:c>
      <x:c r="C145" s="25" t="str">
        <x:f>'Summary'!C145</x:f>
        <x:v>EEZ</x:v>
      </x:c>
      <x:c r="D145" s="32" t="n">
        <x:f>'Summary'!E145</x:f>
        <x:v>51334.51177780791</x:v>
      </x:c>
      <x:c r="E145" s="32" t="n">
        <x:f>'Summary'!K145</x:f>
        <x:v>22085853.6318601</x:v>
      </x:c>
      <x:c r="F145" s="34" t="n">
        <x:f>IF(SUM($E$2:$E$283)=0,"",E145/SUM($E$2:$E$283))</x:f>
        <x:v>0.00033240714096433477</x:v>
      </x:c>
      <x:c r="G145" s="35" t="n">
        <x:f>RANK(E145,$E$2:$E$283,0)+COUNTIF($E$2:E145,E145)-1</x:f>
        <x:v>144</x:v>
      </x:c>
      <x:c r="H145" s="34" t="n">
        <x:f>IF(SUM($E$2:$E$283)=0,"",SUM($F$2:F145))</x:f>
        <x:v>0.9880009605425417</x:v>
      </x:c>
      <x:c r="I145" s="25" t="b">
        <x:f>INDEX('EEZ Selection Flags'!$L$2:$L$283,MATCH(A145,'EEZ Selection Flags'!$A$2:$A$283,0))</x:f>
        <x:v>0</x:v>
      </x:c>
      <x:c r="J145" s="25" t="b">
        <x:f>INDEX('EEZ Selection Flags'!$M$2:$M$283,MATCH(A145,'EEZ Selection Flags'!$A$2:$A$283,0))</x:f>
        <x:v>0</x:v>
      </x:c>
      <x:c r="K145" s="25" t="b">
        <x:f>INDEX('EEZ Selection Flags'!$N$2:$N$283,MATCH(A145,'EEZ Selection Flags'!$A$2:$A$283,0))</x:f>
        <x:v>0</x:v>
      </x:c>
    </x:row>
    <x:row r="146" ht="18" customHeight="1">
      <x:c r="A146" s="25" t="str">
        <x:f>'Summary'!A146</x:f>
        <x:v>EEZ_931</x:v>
      </x:c>
      <x:c r="B146" s="25" t="str">
        <x:f>'Summary'!B146</x:f>
        <x:v>Denmark (Baltic Sea)</x:v>
      </x:c>
      <x:c r="C146" s="25" t="str">
        <x:f>'Summary'!C146</x:f>
        <x:v>EEZ</x:v>
      </x:c>
      <x:c r="D146" s="32" t="n">
        <x:f>'Summary'!E146</x:f>
        <x:v>66565.8646210142</x:v>
      </x:c>
      <x:c r="E146" s="32" t="n">
        <x:f>'Summary'!K146</x:f>
        <x:v>22017567.609833583</x:v>
      </x:c>
      <x:c r="F146" s="34" t="n">
        <x:f>IF(SUM($E$2:$E$283)=0,"",E146/SUM($E$2:$E$283))</x:f>
        <x:v>0.0003313793898197325</x:v>
      </x:c>
      <x:c r="G146" s="35" t="n">
        <x:f>RANK(E146,$E$2:$E$283,0)+COUNTIF($E$2:E146,E146)-1</x:f>
        <x:v>145</x:v>
      </x:c>
      <x:c r="H146" s="34" t="n">
        <x:f>IF(SUM($E$2:$E$283)=0,"",SUM($F$2:F146))</x:f>
        <x:v>0.9883323399323615</x:v>
      </x:c>
      <x:c r="I146" s="25" t="b">
        <x:f>INDEX('EEZ Selection Flags'!$L$2:$L$283,MATCH(A146,'EEZ Selection Flags'!$A$2:$A$283,0))</x:f>
        <x:v>0</x:v>
      </x:c>
      <x:c r="J146" s="25" t="b">
        <x:f>INDEX('EEZ Selection Flags'!$M$2:$M$283,MATCH(A146,'EEZ Selection Flags'!$A$2:$A$283,0))</x:f>
        <x:v>0</x:v>
      </x:c>
      <x:c r="K146" s="25" t="b">
        <x:f>INDEX('EEZ Selection Flags'!$N$2:$N$283,MATCH(A146,'EEZ Selection Flags'!$A$2:$A$283,0))</x:f>
        <x:v>0</x:v>
      </x:c>
    </x:row>
    <x:row r="147" ht="18" customHeight="1">
      <x:c r="A147" s="25" t="str">
        <x:f>'Summary'!A147</x:f>
        <x:v>EEZ_585</x:v>
      </x:c>
      <x:c r="B147" s="25" t="str">
        <x:f>'Summary'!B147</x:f>
        <x:v>Palau</x:v>
      </x:c>
      <x:c r="C147" s="25" t="str">
        <x:f>'Summary'!C147</x:f>
        <x:v>EEZ</x:v>
      </x:c>
      <x:c r="D147" s="32" t="n">
        <x:f>'Summary'!E147</x:f>
        <x:v>10527.122073695098</x:v>
      </x:c>
      <x:c r="E147" s="32" t="n">
        <x:f>'Summary'!K147</x:f>
        <x:v>21756489.01330104</x:v>
      </x:c>
      <x:c r="F147" s="34" t="n">
        <x:f>IF(SUM($E$2:$E$283)=0,"",E147/SUM($E$2:$E$283))</x:f>
        <x:v>0.00032744997910792863</x:v>
      </x:c>
      <x:c r="G147" s="35" t="n">
        <x:f>RANK(E147,$E$2:$E$283,0)+COUNTIF($E$2:E147,E147)-1</x:f>
        <x:v>146</x:v>
      </x:c>
      <x:c r="H147" s="34" t="n">
        <x:f>IF(SUM($E$2:$E$283)=0,"",SUM($F$2:F147))</x:f>
        <x:v>0.9886597899114694</x:v>
      </x:c>
      <x:c r="I147" s="25" t="b">
        <x:f>INDEX('EEZ Selection Flags'!$L$2:$L$283,MATCH(A147,'EEZ Selection Flags'!$A$2:$A$283,0))</x:f>
        <x:v>1</x:v>
      </x:c>
      <x:c r="J147" s="25" t="b">
        <x:f>INDEX('EEZ Selection Flags'!$M$2:$M$283,MATCH(A147,'EEZ Selection Flags'!$A$2:$A$283,0))</x:f>
        <x:v>0</x:v>
      </x:c>
      <x:c r="K147" s="25" t="b">
        <x:f>INDEX('EEZ Selection Flags'!$N$2:$N$283,MATCH(A147,'EEZ Selection Flags'!$A$2:$A$283,0))</x:f>
        <x:v>0</x:v>
      </x:c>
    </x:row>
    <x:row r="148" ht="18" customHeight="1">
      <x:c r="A148" s="25" t="str">
        <x:f>'Summary'!A148</x:f>
        <x:v>EEZ_404</x:v>
      </x:c>
      <x:c r="B148" s="25" t="str">
        <x:f>'Summary'!B148</x:f>
        <x:v>Kenya</x:v>
      </x:c>
      <x:c r="C148" s="25" t="str">
        <x:f>'Summary'!C148</x:f>
        <x:v>EEZ</x:v>
      </x:c>
      <x:c r="D148" s="32" t="n">
        <x:f>'Summary'!E148</x:f>
        <x:v>30334.335852588403</x:v>
      </x:c>
      <x:c r="E148" s="32" t="n">
        <x:f>'Summary'!K148</x:f>
        <x:v>21699341.79872701</x:v>
      </x:c>
      <x:c r="F148" s="34" t="n">
        <x:f>IF(SUM($E$2:$E$283)=0,"",E148/SUM($E$2:$E$283))</x:f>
        <x:v>0.0003265898746026979</x:v>
      </x:c>
      <x:c r="G148" s="35" t="n">
        <x:f>RANK(E148,$E$2:$E$283,0)+COUNTIF($E$2:E148,E148)-1</x:f>
        <x:v>147</x:v>
      </x:c>
      <x:c r="H148" s="34" t="n">
        <x:f>IF(SUM($E$2:$E$283)=0,"",SUM($F$2:F148))</x:f>
        <x:v>0.9889863797860721</x:v>
      </x:c>
      <x:c r="I148" s="25" t="b">
        <x:f>INDEX('EEZ Selection Flags'!$L$2:$L$283,MATCH(A148,'EEZ Selection Flags'!$A$2:$A$283,0))</x:f>
        <x:v>0</x:v>
      </x:c>
      <x:c r="J148" s="25" t="b">
        <x:f>INDEX('EEZ Selection Flags'!$M$2:$M$283,MATCH(A148,'EEZ Selection Flags'!$A$2:$A$283,0))</x:f>
        <x:v>0</x:v>
      </x:c>
      <x:c r="K148" s="25" t="b">
        <x:f>INDEX('EEZ Selection Flags'!$N$2:$N$283,MATCH(A148,'EEZ Selection Flags'!$A$2:$A$283,0))</x:f>
        <x:v>0</x:v>
      </x:c>
    </x:row>
    <x:row r="149" ht="18" customHeight="1">
      <x:c r="A149" s="25" t="str">
        <x:f>'Summary'!A149</x:f>
        <x:v>EEZ_428</x:v>
      </x:c>
      <x:c r="B149" s="25" t="str">
        <x:f>'Summary'!B149</x:f>
        <x:v>Latvia</x:v>
      </x:c>
      <x:c r="C149" s="25" t="str">
        <x:f>'Summary'!C149</x:f>
        <x:v>EEZ</x:v>
      </x:c>
      <x:c r="D149" s="32" t="n">
        <x:f>'Summary'!E149</x:f>
        <x:v>100360.1351648573</x:v>
      </x:c>
      <x:c r="E149" s="32" t="n">
        <x:f>'Summary'!K149</x:f>
        <x:v>21329723.262881607</x:v>
      </x:c>
      <x:c r="F149" s="34" t="n">
        <x:f>IF(SUM($E$2:$E$283)=0,"",E149/SUM($E$2:$E$283))</x:f>
        <x:v>0.00032102686387212984</x:v>
      </x:c>
      <x:c r="G149" s="35" t="n">
        <x:f>RANK(E149,$E$2:$E$283,0)+COUNTIF($E$2:E149,E149)-1</x:f>
        <x:v>148</x:v>
      </x:c>
      <x:c r="H149" s="34" t="n">
        <x:f>IF(SUM($E$2:$E$283)=0,"",SUM($F$2:F149))</x:f>
        <x:v>0.9893074066499442</x:v>
      </x:c>
      <x:c r="I149" s="25" t="b">
        <x:f>INDEX('EEZ Selection Flags'!$L$2:$L$283,MATCH(A149,'EEZ Selection Flags'!$A$2:$A$283,0))</x:f>
        <x:v>0</x:v>
      </x:c>
      <x:c r="J149" s="25" t="b">
        <x:f>INDEX('EEZ Selection Flags'!$M$2:$M$283,MATCH(A149,'EEZ Selection Flags'!$A$2:$A$283,0))</x:f>
        <x:v>0</x:v>
      </x:c>
      <x:c r="K149" s="25" t="b">
        <x:f>INDEX('EEZ Selection Flags'!$N$2:$N$283,MATCH(A149,'EEZ Selection Flags'!$A$2:$A$283,0))</x:f>
        <x:v>0</x:v>
      </x:c>
    </x:row>
    <x:row r="150" ht="18" customHeight="1">
      <x:c r="A150" s="25" t="str">
        <x:f>'Summary'!A150</x:f>
        <x:v>EEZ_191</x:v>
      </x:c>
      <x:c r="B150" s="25" t="str">
        <x:f>'Summary'!B150</x:f>
        <x:v>Croatia</x:v>
      </x:c>
      <x:c r="C150" s="25" t="str">
        <x:f>'Summary'!C150</x:f>
        <x:v>EEZ</x:v>
      </x:c>
      <x:c r="D150" s="32" t="n">
        <x:f>'Summary'!E150</x:f>
        <x:v>77072.9733877067</x:v>
      </x:c>
      <x:c r="E150" s="32" t="n">
        <x:f>'Summary'!K150</x:f>
        <x:v>21110760.218235113</x:v>
      </x:c>
      <x:c r="F150" s="34" t="n">
        <x:f>IF(SUM($E$2:$E$283)=0,"",E150/SUM($E$2:$E$283))</x:f>
        <x:v>0.00031773132090326807</x:v>
      </x:c>
      <x:c r="G150" s="35" t="n">
        <x:f>RANK(E150,$E$2:$E$283,0)+COUNTIF($E$2:E150,E150)-1</x:f>
        <x:v>149</x:v>
      </x:c>
      <x:c r="H150" s="34" t="n">
        <x:f>IF(SUM($E$2:$E$283)=0,"",SUM($F$2:F150))</x:f>
        <x:v>0.9896251379708475</x:v>
      </x:c>
      <x:c r="I150" s="25" t="b">
        <x:f>INDEX('EEZ Selection Flags'!$L$2:$L$283,MATCH(A150,'EEZ Selection Flags'!$A$2:$A$283,0))</x:f>
        <x:v>0</x:v>
      </x:c>
      <x:c r="J150" s="25" t="b">
        <x:f>INDEX('EEZ Selection Flags'!$M$2:$M$283,MATCH(A150,'EEZ Selection Flags'!$A$2:$A$283,0))</x:f>
        <x:v>0</x:v>
      </x:c>
      <x:c r="K150" s="25" t="b">
        <x:f>INDEX('EEZ Selection Flags'!$N$2:$N$283,MATCH(A150,'EEZ Selection Flags'!$A$2:$A$283,0))</x:f>
        <x:v>0</x:v>
      </x:c>
    </x:row>
    <x:row r="151" ht="18" customHeight="1">
      <x:c r="A151" s="25" t="str">
        <x:f>'Summary'!A151</x:f>
        <x:v>EEZ_911</x:v>
      </x:c>
      <x:c r="B151" s="25" t="str">
        <x:f>'Summary'!B151</x:f>
        <x:v>Musandam (Oman)</x:v>
      </x:c>
      <x:c r="C151" s="25" t="str">
        <x:f>'Summary'!C151</x:f>
        <x:v>EEZ</x:v>
      </x:c>
      <x:c r="D151" s="32" t="n">
        <x:f>'Summary'!E151</x:f>
        <x:v>22403.744509357803</x:v>
      </x:c>
      <x:c r="E151" s="32" t="n">
        <x:f>'Summary'!K151</x:f>
        <x:v>20905875.58165651</x:v>
      </x:c>
      <x:c r="F151" s="34" t="n">
        <x:f>IF(SUM($E$2:$E$283)=0,"",E151/SUM($E$2:$E$283))</x:f>
        <x:v>0.000314647667565352</x:v>
      </x:c>
      <x:c r="G151" s="35" t="n">
        <x:f>RANK(E151,$E$2:$E$283,0)+COUNTIF($E$2:E151,E151)-1</x:f>
        <x:v>150</x:v>
      </x:c>
      <x:c r="H151" s="34" t="n">
        <x:f>IF(SUM($E$2:$E$283)=0,"",SUM($F$2:F151))</x:f>
        <x:v>0.9899397856384129</x:v>
      </x:c>
      <x:c r="I151" s="25" t="b">
        <x:f>INDEX('EEZ Selection Flags'!$L$2:$L$283,MATCH(A151,'EEZ Selection Flags'!$A$2:$A$283,0))</x:f>
        <x:v>0</x:v>
      </x:c>
      <x:c r="J151" s="25" t="b">
        <x:f>INDEX('EEZ Selection Flags'!$M$2:$M$283,MATCH(A151,'EEZ Selection Flags'!$A$2:$A$283,0))</x:f>
        <x:v>0</x:v>
      </x:c>
      <x:c r="K151" s="25" t="b">
        <x:f>INDEX('EEZ Selection Flags'!$N$2:$N$283,MATCH(A151,'EEZ Selection Flags'!$A$2:$A$283,0))</x:f>
        <x:v>0</x:v>
      </x:c>
    </x:row>
    <x:row r="152" ht="18" customHeight="1">
      <x:c r="A152" s="25" t="str">
        <x:f>'Summary'!A152</x:f>
        <x:v>EEZ_780</x:v>
      </x:c>
      <x:c r="B152" s="25" t="str">
        <x:f>'Summary'!B152</x:f>
        <x:v>Trinidad &amp; Tobago</x:v>
      </x:c>
      <x:c r="C152" s="25" t="str">
        <x:f>'Summary'!C152</x:f>
        <x:v>EEZ</x:v>
      </x:c>
      <x:c r="D152" s="32" t="n">
        <x:f>'Summary'!E152</x:f>
        <x:v>19523.2185592658</x:v>
      </x:c>
      <x:c r="E152" s="32" t="n">
        <x:f>'Summary'!K152</x:f>
        <x:v>20381932.081780106</x:v>
      </x:c>
      <x:c r="F152" s="34" t="n">
        <x:f>IF(SUM($E$2:$E$283)=0,"",E152/SUM($E$2:$E$283))</x:f>
        <x:v>0.000306761961007489</x:v>
      </x:c>
      <x:c r="G152" s="35" t="n">
        <x:f>RANK(E152,$E$2:$E$283,0)+COUNTIF($E$2:E152,E152)-1</x:f>
        <x:v>151</x:v>
      </x:c>
      <x:c r="H152" s="34" t="n">
        <x:f>IF(SUM($E$2:$E$283)=0,"",SUM($F$2:F152))</x:f>
        <x:v>0.9902465475994204</x:v>
      </x:c>
      <x:c r="I152" s="25" t="b">
        <x:f>INDEX('EEZ Selection Flags'!$L$2:$L$283,MATCH(A152,'EEZ Selection Flags'!$A$2:$A$283,0))</x:f>
        <x:v>0</x:v>
      </x:c>
      <x:c r="J152" s="25" t="b">
        <x:f>INDEX('EEZ Selection Flags'!$M$2:$M$283,MATCH(A152,'EEZ Selection Flags'!$A$2:$A$283,0))</x:f>
        <x:v>0</x:v>
      </x:c>
      <x:c r="K152" s="25" t="b">
        <x:f>INDEX('EEZ Selection Flags'!$N$2:$N$283,MATCH(A152,'EEZ Selection Flags'!$A$2:$A$283,0))</x:f>
        <x:v>0</x:v>
      </x:c>
    </x:row>
    <x:row r="153" ht="18" customHeight="1">
      <x:c r="A153" s="25" t="str">
        <x:f>'Summary'!A153</x:f>
        <x:v>EEZ_178</x:v>
      </x:c>
      <x:c r="B153" s="25" t="str">
        <x:f>'Summary'!B153</x:f>
        <x:v>Congo, R. of</x:v>
      </x:c>
      <x:c r="C153" s="25" t="str">
        <x:f>'Summary'!C153</x:f>
        <x:v>EEZ</x:v>
      </x:c>
      <x:c r="D153" s="32" t="n">
        <x:f>'Summary'!E153</x:f>
        <x:v>43444.3810041495</x:v>
      </x:c>
      <x:c r="E153" s="32" t="n">
        <x:f>'Summary'!K153</x:f>
        <x:v>19991660.548274387</x:v>
      </x:c>
      <x:c r="F153" s="34" t="n">
        <x:f>IF(SUM($E$2:$E$283)=0,"",E153/SUM($E$2:$E$283))</x:f>
        <x:v>0.0003008881085943198</x:v>
      </x:c>
      <x:c r="G153" s="35" t="n">
        <x:f>RANK(E153,$E$2:$E$283,0)+COUNTIF($E$2:E153,E153)-1</x:f>
        <x:v>152</x:v>
      </x:c>
      <x:c r="H153" s="34" t="n">
        <x:f>IF(SUM($E$2:$E$283)=0,"",SUM($F$2:F153))</x:f>
        <x:v>0.9905474357080147</x:v>
      </x:c>
      <x:c r="I153" s="25" t="b">
        <x:f>INDEX('EEZ Selection Flags'!$L$2:$L$283,MATCH(A153,'EEZ Selection Flags'!$A$2:$A$283,0))</x:f>
        <x:v>0</x:v>
      </x:c>
      <x:c r="J153" s="25" t="b">
        <x:f>INDEX('EEZ Selection Flags'!$M$2:$M$283,MATCH(A153,'EEZ Selection Flags'!$A$2:$A$283,0))</x:f>
        <x:v>0</x:v>
      </x:c>
      <x:c r="K153" s="25" t="b">
        <x:f>INDEX('EEZ Selection Flags'!$N$2:$N$283,MATCH(A153,'EEZ Selection Flags'!$A$2:$A$283,0))</x:f>
        <x:v>0</x:v>
      </x:c>
    </x:row>
    <x:row r="154" ht="18" customHeight="1">
      <x:c r="A154" s="25" t="str">
        <x:f>'Summary'!A154</x:f>
        <x:v>EEZ_388</x:v>
      </x:c>
      <x:c r="B154" s="25" t="str">
        <x:f>'Summary'!B154</x:f>
        <x:v>Jamaica</x:v>
      </x:c>
      <x:c r="C154" s="25" t="str">
        <x:f>'Summary'!C154</x:f>
        <x:v>EEZ</x:v>
      </x:c>
      <x:c r="D154" s="32" t="n">
        <x:f>'Summary'!E154</x:f>
        <x:v>24803.119502512</x:v>
      </x:c>
      <x:c r="E154" s="32" t="n">
        <x:f>'Summary'!K154</x:f>
        <x:v>19358996.526972868</x:v>
      </x:c>
      <x:c r="F154" s="34" t="n">
        <x:f>IF(SUM($E$2:$E$283)=0,"",E154/SUM($E$2:$E$283))</x:f>
        <x:v>0.0002913660841338994</x:v>
      </x:c>
      <x:c r="G154" s="35" t="n">
        <x:f>RANK(E154,$E$2:$E$283,0)+COUNTIF($E$2:E154,E154)-1</x:f>
        <x:v>153</x:v>
      </x:c>
      <x:c r="H154" s="34" t="n">
        <x:f>IF(SUM($E$2:$E$283)=0,"",SUM($F$2:F154))</x:f>
        <x:v>0.9908388017921487</x:v>
      </x:c>
      <x:c r="I154" s="25" t="b">
        <x:f>INDEX('EEZ Selection Flags'!$L$2:$L$283,MATCH(A154,'EEZ Selection Flags'!$A$2:$A$283,0))</x:f>
        <x:v>0</x:v>
      </x:c>
      <x:c r="J154" s="25" t="b">
        <x:f>INDEX('EEZ Selection Flags'!$M$2:$M$283,MATCH(A154,'EEZ Selection Flags'!$A$2:$A$283,0))</x:f>
        <x:v>0</x:v>
      </x:c>
      <x:c r="K154" s="25" t="b">
        <x:f>INDEX('EEZ Selection Flags'!$N$2:$N$283,MATCH(A154,'EEZ Selection Flags'!$A$2:$A$283,0))</x:f>
        <x:v>0</x:v>
      </x:c>
    </x:row>
    <x:row r="155" ht="18" customHeight="1">
      <x:c r="A155" s="25" t="str">
        <x:f>'Summary'!A155</x:f>
        <x:v>EEZ_971</x:v>
      </x:c>
      <x:c r="B155" s="25" t="str">
        <x:f>'Summary'!B155</x:f>
        <x:v>Japan (Ogasawara Islands)</x:v>
      </x:c>
      <x:c r="C155" s="25" t="str">
        <x:f>'Summary'!C155</x:f>
        <x:v>EEZ</x:v>
      </x:c>
      <x:c r="D155" s="32" t="n">
        <x:f>'Summary'!E155</x:f>
        <x:v>18442.8655651381</x:v>
      </x:c>
      <x:c r="E155" s="32" t="n">
        <x:f>'Summary'!K155</x:f>
        <x:v>19260173.04848056</x:v>
      </x:c>
      <x:c r="F155" s="34" t="n">
        <x:f>IF(SUM($E$2:$E$283)=0,"",E155/SUM($E$2:$E$283))</x:f>
        <x:v>0.00028987872346886303</x:v>
      </x:c>
      <x:c r="G155" s="35" t="n">
        <x:f>RANK(E155,$E$2:$E$283,0)+COUNTIF($E$2:E155,E155)-1</x:f>
        <x:v>154</x:v>
      </x:c>
      <x:c r="H155" s="34" t="n">
        <x:f>IF(SUM($E$2:$E$283)=0,"",SUM($F$2:F155))</x:f>
        <x:v>0.9911286805156175</x:v>
      </x:c>
      <x:c r="I155" s="25" t="b">
        <x:f>INDEX('EEZ Selection Flags'!$L$2:$L$283,MATCH(A155,'EEZ Selection Flags'!$A$2:$A$283,0))</x:f>
        <x:v>1</x:v>
      </x:c>
      <x:c r="J155" s="25" t="b">
        <x:f>INDEX('EEZ Selection Flags'!$M$2:$M$283,MATCH(A155,'EEZ Selection Flags'!$A$2:$A$283,0))</x:f>
        <x:v>0</x:v>
      </x:c>
      <x:c r="K155" s="25" t="b">
        <x:f>INDEX('EEZ Selection Flags'!$N$2:$N$283,MATCH(A155,'EEZ Selection Flags'!$A$2:$A$283,0))</x:f>
        <x:v>0</x:v>
      </x:c>
    </x:row>
    <x:row r="156" ht="18" customHeight="1">
      <x:c r="A156" s="25" t="str">
        <x:f>'Summary'!A156</x:f>
        <x:v>EEZ_882</x:v>
      </x:c>
      <x:c r="B156" s="25" t="str">
        <x:f>'Summary'!B156</x:f>
        <x:v>Samoa</x:v>
      </x:c>
      <x:c r="C156" s="25" t="str">
        <x:f>'Summary'!C156</x:f>
        <x:v>EEZ</x:v>
      </x:c>
      <x:c r="D156" s="32" t="n">
        <x:f>'Summary'!E156</x:f>
        <x:v>13979.020508821603</x:v>
      </x:c>
      <x:c r="E156" s="32" t="n">
        <x:f>'Summary'!K156</x:f>
        <x:v>18932962.27433015</x:v>
      </x:c>
      <x:c r="F156" s="34" t="n">
        <x:f>IF(SUM($E$2:$E$283)=0,"",E156/SUM($E$2:$E$283))</x:f>
        <x:v>0.00028495397843790075</x:v>
      </x:c>
      <x:c r="G156" s="35" t="n">
        <x:f>RANK(E156,$E$2:$E$283,0)+COUNTIF($E$2:E156,E156)-1</x:f>
        <x:v>155</x:v>
      </x:c>
      <x:c r="H156" s="34" t="n">
        <x:f>IF(SUM($E$2:$E$283)=0,"",SUM($F$2:F156))</x:f>
        <x:v>0.9914136344940554</x:v>
      </x:c>
      <x:c r="I156" s="25" t="b">
        <x:f>INDEX('EEZ Selection Flags'!$L$2:$L$283,MATCH(A156,'EEZ Selection Flags'!$A$2:$A$283,0))</x:f>
        <x:v>1</x:v>
      </x:c>
      <x:c r="J156" s="25" t="b">
        <x:f>INDEX('EEZ Selection Flags'!$M$2:$M$283,MATCH(A156,'EEZ Selection Flags'!$A$2:$A$283,0))</x:f>
        <x:v>0</x:v>
      </x:c>
      <x:c r="K156" s="25" t="b">
        <x:f>INDEX('EEZ Selection Flags'!$N$2:$N$283,MATCH(A156,'EEZ Selection Flags'!$A$2:$A$283,0))</x:f>
        <x:v>0</x:v>
      </x:c>
    </x:row>
    <x:row r="157" ht="18" customHeight="1">
      <x:c r="A157" s="25" t="str">
        <x:f>'Summary'!A157</x:f>
        <x:v>EEZ_634</x:v>
      </x:c>
      <x:c r="B157" s="25" t="str">
        <x:f>'Summary'!B157</x:f>
        <x:v>Qatar</x:v>
      </x:c>
      <x:c r="C157" s="25" t="str">
        <x:f>'Summary'!C157</x:f>
        <x:v>EEZ</x:v>
      </x:c>
      <x:c r="D157" s="32" t="n">
        <x:f>'Summary'!E157</x:f>
        <x:v>18300.125898307102</x:v>
      </x:c>
      <x:c r="E157" s="32" t="n">
        <x:f>'Summary'!K157</x:f>
        <x:v>17533760.271710783</x:v>
      </x:c>
      <x:c r="F157" s="34" t="n">
        <x:f>IF(SUM($E$2:$E$283)=0,"",E157/SUM($E$2:$E$283))</x:f>
        <x:v>0.00026389503523041087</x:v>
      </x:c>
      <x:c r="G157" s="35" t="n">
        <x:f>RANK(E157,$E$2:$E$283,0)+COUNTIF($E$2:E157,E157)-1</x:f>
        <x:v>156</x:v>
      </x:c>
      <x:c r="H157" s="34" t="n">
        <x:f>IF(SUM($E$2:$E$283)=0,"",SUM($F$2:F157))</x:f>
        <x:v>0.9916775295292858</x:v>
      </x:c>
      <x:c r="I157" s="25" t="b">
        <x:f>INDEX('EEZ Selection Flags'!$L$2:$L$283,MATCH(A157,'EEZ Selection Flags'!$A$2:$A$283,0))</x:f>
        <x:v>0</x:v>
      </x:c>
      <x:c r="J157" s="25" t="b">
        <x:f>INDEX('EEZ Selection Flags'!$M$2:$M$283,MATCH(A157,'EEZ Selection Flags'!$A$2:$A$283,0))</x:f>
        <x:v>0</x:v>
      </x:c>
      <x:c r="K157" s="25" t="b">
        <x:f>INDEX('EEZ Selection Flags'!$N$2:$N$283,MATCH(A157,'EEZ Selection Flags'!$A$2:$A$283,0))</x:f>
        <x:v>0</x:v>
      </x:c>
    </x:row>
    <x:row r="158" ht="18" customHeight="1">
      <x:c r="A158" s="25" t="str">
        <x:f>'Summary'!A158</x:f>
        <x:v>EEZ_776</x:v>
      </x:c>
      <x:c r="B158" s="25" t="str">
        <x:f>'Summary'!B158</x:f>
        <x:v>Tonga</x:v>
      </x:c>
      <x:c r="C158" s="25" t="str">
        <x:f>'Summary'!C158</x:f>
        <x:v>EEZ</x:v>
      </x:c>
      <x:c r="D158" s="32" t="n">
        <x:f>'Summary'!E158</x:f>
        <x:v>14542.412200733399</x:v>
      </x:c>
      <x:c r="E158" s="32" t="n">
        <x:f>'Summary'!K158</x:f>
        <x:v>17016818.719265178</x:v>
      </x:c>
      <x:c r="F158" s="34" t="n">
        <x:f>IF(SUM($E$2:$E$283)=0,"",E158/SUM($E$2:$E$283))</x:f>
        <x:v>0.00025611471275076595</x:v>
      </x:c>
      <x:c r="G158" s="35" t="n">
        <x:f>RANK(E158,$E$2:$E$283,0)+COUNTIF($E$2:E158,E158)-1</x:f>
        <x:v>157</x:v>
      </x:c>
      <x:c r="H158" s="34" t="n">
        <x:f>IF(SUM($E$2:$E$283)=0,"",SUM($F$2:F158))</x:f>
        <x:v>0.9919336442420366</x:v>
      </x:c>
      <x:c r="I158" s="25" t="b">
        <x:f>INDEX('EEZ Selection Flags'!$L$2:$L$283,MATCH(A158,'EEZ Selection Flags'!$A$2:$A$283,0))</x:f>
        <x:v>1</x:v>
      </x:c>
      <x:c r="J158" s="25" t="b">
        <x:f>INDEX('EEZ Selection Flags'!$M$2:$M$283,MATCH(A158,'EEZ Selection Flags'!$A$2:$A$283,0))</x:f>
        <x:v>0</x:v>
      </x:c>
      <x:c r="K158" s="25" t="b">
        <x:f>INDEX('EEZ Selection Flags'!$N$2:$N$283,MATCH(A158,'EEZ Selection Flags'!$A$2:$A$283,0))</x:f>
        <x:v>0</x:v>
      </x:c>
    </x:row>
    <x:row r="159" ht="18" customHeight="1">
      <x:c r="A159" s="25" t="str">
        <x:f>'Summary'!A159</x:f>
        <x:v>EEZ_480</x:v>
      </x:c>
      <x:c r="B159" s="25" t="str">
        <x:f>'Summary'!B159</x:f>
        <x:v>Mauritius</x:v>
      </x:c>
      <x:c r="C159" s="25" t="str">
        <x:f>'Summary'!C159</x:f>
        <x:v>EEZ</x:v>
      </x:c>
      <x:c r="D159" s="32" t="n">
        <x:f>'Summary'!E159</x:f>
        <x:v>15255.362035387398</x:v>
      </x:c>
      <x:c r="E159" s="32" t="n">
        <x:f>'Summary'!K159</x:f>
        <x:v>16709126.407168973</x:v>
      </x:c>
      <x:c r="F159" s="34" t="n">
        <x:f>IF(SUM($E$2:$E$283)=0,"",E159/SUM($E$2:$E$283))</x:f>
        <x:v>0.0002514837338687425</x:v>
      </x:c>
      <x:c r="G159" s="35" t="n">
        <x:f>RANK(E159,$E$2:$E$283,0)+COUNTIF($E$2:E159,E159)-1</x:f>
        <x:v>158</x:v>
      </x:c>
      <x:c r="H159" s="34" t="n">
        <x:f>IF(SUM($E$2:$E$283)=0,"",SUM($F$2:F159))</x:f>
        <x:v>0.9921851279759053</x:v>
      </x:c>
      <x:c r="I159" s="25" t="b">
        <x:f>INDEX('EEZ Selection Flags'!$L$2:$L$283,MATCH(A159,'EEZ Selection Flags'!$A$2:$A$283,0))</x:f>
        <x:v>1</x:v>
      </x:c>
      <x:c r="J159" s="25" t="b">
        <x:f>INDEX('EEZ Selection Flags'!$M$2:$M$283,MATCH(A159,'EEZ Selection Flags'!$A$2:$A$283,0))</x:f>
        <x:v>0</x:v>
      </x:c>
      <x:c r="K159" s="25" t="b">
        <x:f>INDEX('EEZ Selection Flags'!$N$2:$N$283,MATCH(A159,'EEZ Selection Flags'!$A$2:$A$283,0))</x:f>
        <x:v>0</x:v>
      </x:c>
    </x:row>
    <x:row r="160" ht="18" customHeight="1">
      <x:c r="A160" s="25" t="str">
        <x:f>'Summary'!A160</x:f>
        <x:v>EEZ_470</x:v>
      </x:c>
      <x:c r="B160" s="25" t="str">
        <x:f>'Summary'!B160</x:f>
        <x:v>Malta</x:v>
      </x:c>
      <x:c r="C160" s="25" t="str">
        <x:f>'Summary'!C160</x:f>
        <x:v>EEZ</x:v>
      </x:c>
      <x:c r="D160" s="32" t="n">
        <x:f>'Summary'!E160</x:f>
        <x:v>7732.9980884831</x:v>
      </x:c>
      <x:c r="E160" s="32" t="n">
        <x:f>'Summary'!K160</x:f>
        <x:v>16447013.960324993</x:v>
      </x:c>
      <x:c r="F160" s="34" t="n">
        <x:f>IF(SUM($E$2:$E$283)=0,"",E160/SUM($E$2:$E$283))</x:f>
        <x:v>0.00024753876300554313</x:v>
      </x:c>
      <x:c r="G160" s="35" t="n">
        <x:f>RANK(E160,$E$2:$E$283,0)+COUNTIF($E$2:E160,E160)-1</x:f>
        <x:v>159</x:v>
      </x:c>
      <x:c r="H160" s="34" t="n">
        <x:f>IF(SUM($E$2:$E$283)=0,"",SUM($F$2:F160))</x:f>
        <x:v>0.9924326667389108</x:v>
      </x:c>
      <x:c r="I160" s="25" t="b">
        <x:f>INDEX('EEZ Selection Flags'!$L$2:$L$283,MATCH(A160,'EEZ Selection Flags'!$A$2:$A$283,0))</x:f>
        <x:v>0</x:v>
      </x:c>
      <x:c r="J160" s="25" t="b">
        <x:f>INDEX('EEZ Selection Flags'!$M$2:$M$283,MATCH(A160,'EEZ Selection Flags'!$A$2:$A$283,0))</x:f>
        <x:v>0</x:v>
      </x:c>
      <x:c r="K160" s="25" t="b">
        <x:f>INDEX('EEZ Selection Flags'!$N$2:$N$283,MATCH(A160,'EEZ Selection Flags'!$A$2:$A$283,0))</x:f>
        <x:v>0</x:v>
      </x:c>
    </x:row>
    <x:row r="161" ht="18" customHeight="1">
      <x:c r="A161" s="25" t="str">
        <x:f>'Summary'!A161</x:f>
        <x:v>EEZ_927</x:v>
      </x:c>
      <x:c r="B161" s="25" t="str">
        <x:f>'Summary'!B161</x:f>
        <x:v>Colombia (Caribbean)</x:v>
      </x:c>
      <x:c r="C161" s="25" t="str">
        <x:f>'Summary'!C161</x:f>
        <x:v>EEZ</x:v>
      </x:c>
      <x:c r="D161" s="32" t="n">
        <x:f>'Summary'!E161</x:f>
        <x:v>20344.1120639465</x:v>
      </x:c>
      <x:c r="E161" s="32" t="n">
        <x:f>'Summary'!K161</x:f>
        <x:v>16307477.884539278</x:v>
      </x:c>
      <x:c r="F161" s="34" t="n">
        <x:f>IF(SUM($E$2:$E$283)=0,"",E161/SUM($E$2:$E$283))</x:f>
        <x:v>0.0002454386500198081</x:v>
      </x:c>
      <x:c r="G161" s="35" t="n">
        <x:f>RANK(E161,$E$2:$E$283,0)+COUNTIF($E$2:E161,E161)-1</x:f>
        <x:v>160</x:v>
      </x:c>
      <x:c r="H161" s="34" t="n">
        <x:f>IF(SUM($E$2:$E$283)=0,"",SUM($F$2:F161))</x:f>
        <x:v>0.9926781053889306</x:v>
      </x:c>
      <x:c r="I161" s="25" t="b">
        <x:f>INDEX('EEZ Selection Flags'!$L$2:$L$283,MATCH(A161,'EEZ Selection Flags'!$A$2:$A$283,0))</x:f>
        <x:v>0</x:v>
      </x:c>
      <x:c r="J161" s="25" t="b">
        <x:f>INDEX('EEZ Selection Flags'!$M$2:$M$283,MATCH(A161,'EEZ Selection Flags'!$A$2:$A$283,0))</x:f>
        <x:v>0</x:v>
      </x:c>
      <x:c r="K161" s="25" t="b">
        <x:f>INDEX('EEZ Selection Flags'!$N$2:$N$283,MATCH(A161,'EEZ Selection Flags'!$A$2:$A$283,0))</x:f>
        <x:v>0</x:v>
      </x:c>
    </x:row>
    <x:row r="162" ht="18" customHeight="1">
      <x:c r="A162" s="25" t="str">
        <x:f>'Summary'!A162</x:f>
        <x:v>EEZ_233</x:v>
      </x:c>
      <x:c r="B162" s="25" t="str">
        <x:f>'Summary'!B162</x:f>
        <x:v>Estonia</x:v>
      </x:c>
      <x:c r="C162" s="25" t="str">
        <x:f>'Summary'!C162</x:f>
        <x:v>EEZ</x:v>
      </x:c>
      <x:c r="D162" s="32" t="n">
        <x:f>'Summary'!E162</x:f>
        <x:v>79757.30638750728</x:v>
      </x:c>
      <x:c r="E162" s="32" t="n">
        <x:f>'Summary'!K162</x:f>
        <x:v>16197878.05939343</x:v>
      </x:c>
      <x:c r="F162" s="34" t="n">
        <x:f>IF(SUM($E$2:$E$283)=0,"",E162/SUM($E$2:$E$283))</x:f>
        <x:v>0.000243789097997315</x:v>
      </x:c>
      <x:c r="G162" s="35" t="n">
        <x:f>RANK(E162,$E$2:$E$283,0)+COUNTIF($E$2:E162,E162)-1</x:f>
        <x:v>161</x:v>
      </x:c>
      <x:c r="H162" s="34" t="n">
        <x:f>IF(SUM($E$2:$E$283)=0,"",SUM($F$2:F162))</x:f>
        <x:v>0.9929218944869279</x:v>
      </x:c>
      <x:c r="I162" s="25" t="b">
        <x:f>INDEX('EEZ Selection Flags'!$L$2:$L$283,MATCH(A162,'EEZ Selection Flags'!$A$2:$A$283,0))</x:f>
        <x:v>0</x:v>
      </x:c>
      <x:c r="J162" s="25" t="b">
        <x:f>INDEX('EEZ Selection Flags'!$M$2:$M$283,MATCH(A162,'EEZ Selection Flags'!$A$2:$A$283,0))</x:f>
        <x:v>0</x:v>
      </x:c>
      <x:c r="K162" s="25" t="b">
        <x:f>INDEX('EEZ Selection Flags'!$N$2:$N$283,MATCH(A162,'EEZ Selection Flags'!$A$2:$A$283,0))</x:f>
        <x:v>0</x:v>
      </x:c>
    </x:row>
    <x:row r="163" ht="18" customHeight="1">
      <x:c r="A163" s="25" t="str">
        <x:f>'Summary'!A163</x:f>
        <x:v>EEZ_898</x:v>
      </x:c>
      <x:c r="B163" s="25" t="str">
        <x:f>'Summary'!B163</x:f>
        <x:v>Clipperton Isl. (France)</x:v>
      </x:c>
      <x:c r="C163" s="25" t="str">
        <x:f>'Summary'!C163</x:f>
        <x:v>EEZ</x:v>
      </x:c>
      <x:c r="D163" s="32" t="n">
        <x:f>'Summary'!E163</x:f>
        <x:v>5821.5688911778</x:v>
      </x:c>
      <x:c r="E163" s="32" t="n">
        <x:f>'Summary'!K163</x:f>
        <x:v>14841352.716606868</x:v>
      </x:c>
      <x:c r="F163" s="34" t="n">
        <x:f>IF(SUM($E$2:$E$283)=0,"",E163/SUM($E$2:$E$283))</x:f>
        <x:v>0.00022337246758956524</x:v>
      </x:c>
      <x:c r="G163" s="35" t="n">
        <x:f>RANK(E163,$E$2:$E$283,0)+COUNTIF($E$2:E163,E163)-1</x:f>
        <x:v>162</x:v>
      </x:c>
      <x:c r="H163" s="34" t="n">
        <x:f>IF(SUM($E$2:$E$283)=0,"",SUM($F$2:F163))</x:f>
        <x:v>0.9931452669545174</x:v>
      </x:c>
      <x:c r="I163" s="25" t="b">
        <x:f>INDEX('EEZ Selection Flags'!$L$2:$L$283,MATCH(A163,'EEZ Selection Flags'!$A$2:$A$283,0))</x:f>
        <x:v>1</x:v>
      </x:c>
      <x:c r="J163" s="25" t="b">
        <x:f>INDEX('EEZ Selection Flags'!$M$2:$M$283,MATCH(A163,'EEZ Selection Flags'!$A$2:$A$283,0))</x:f>
        <x:v>0</x:v>
      </x:c>
      <x:c r="K163" s="25" t="b">
        <x:f>INDEX('EEZ Selection Flags'!$N$2:$N$283,MATCH(A163,'EEZ Selection Flags'!$A$2:$A$283,0))</x:f>
        <x:v>0</x:v>
      </x:c>
    </x:row>
    <x:row r="164" ht="18" customHeight="1">
      <x:c r="A164" s="25" t="str">
        <x:f>'Summary'!A164</x:f>
        <x:v>EEZ_540</x:v>
      </x:c>
      <x:c r="B164" s="25" t="str">
        <x:f>'Summary'!B164</x:f>
        <x:v>New Caledonia (France)</x:v>
      </x:c>
      <x:c r="C164" s="25" t="str">
        <x:f>'Summary'!C164</x:f>
        <x:v>EEZ</x:v>
      </x:c>
      <x:c r="D164" s="32" t="n">
        <x:f>'Summary'!E164</x:f>
        <x:v>11907.664433573698</x:v>
      </x:c>
      <x:c r="E164" s="32" t="n">
        <x:f>'Summary'!K164</x:f>
        <x:v>14486808.543640152</x:v>
      </x:c>
      <x:c r="F164" s="34" t="n">
        <x:f>IF(SUM($E$2:$E$283)=0,"",E164/SUM($E$2:$E$283))</x:f>
        <x:v>0.00021803633628824116</x:v>
      </x:c>
      <x:c r="G164" s="35" t="n">
        <x:f>RANK(E164,$E$2:$E$283,0)+COUNTIF($E$2:E164,E164)-1</x:f>
        <x:v>163</x:v>
      </x:c>
      <x:c r="H164" s="34" t="n">
        <x:f>IF(SUM($E$2:$E$283)=0,"",SUM($F$2:F164))</x:f>
        <x:v>0.9933633032908057</x:v>
      </x:c>
      <x:c r="I164" s="25" t="b">
        <x:f>INDEX('EEZ Selection Flags'!$L$2:$L$283,MATCH(A164,'EEZ Selection Flags'!$A$2:$A$283,0))</x:f>
        <x:v>1</x:v>
      </x:c>
      <x:c r="J164" s="25" t="b">
        <x:f>INDEX('EEZ Selection Flags'!$M$2:$M$283,MATCH(A164,'EEZ Selection Flags'!$A$2:$A$283,0))</x:f>
        <x:v>0</x:v>
      </x:c>
      <x:c r="K164" s="25" t="b">
        <x:f>INDEX('EEZ Selection Flags'!$N$2:$N$283,MATCH(A164,'EEZ Selection Flags'!$A$2:$A$283,0))</x:f>
        <x:v>0</x:v>
      </x:c>
    </x:row>
    <x:row r="165" ht="18" customHeight="1">
      <x:c r="A165" s="25" t="str">
        <x:f>'Summary'!A165</x:f>
        <x:v>EEZ_044</x:v>
      </x:c>
      <x:c r="B165" s="25" t="str">
        <x:f>'Summary'!B165</x:f>
        <x:v>Bahamas</x:v>
      </x:c>
      <x:c r="C165" s="25" t="str">
        <x:f>'Summary'!C165</x:f>
        <x:v>EEZ</x:v>
      </x:c>
      <x:c r="D165" s="32" t="n">
        <x:f>'Summary'!E165</x:f>
        <x:v>18392.7135678369</x:v>
      </x:c>
      <x:c r="E165" s="32" t="n">
        <x:f>'Summary'!K165</x:f>
        <x:v>14068447.015522763</x:v>
      </x:c>
      <x:c r="F165" s="34" t="n">
        <x:f>IF(SUM($E$2:$E$283)=0,"",E165/SUM($E$2:$E$283))</x:f>
        <x:v>0.00021173971032263392</x:v>
      </x:c>
      <x:c r="G165" s="35" t="n">
        <x:f>RANK(E165,$E$2:$E$283,0)+COUNTIF($E$2:E165,E165)-1</x:f>
        <x:v>164</x:v>
      </x:c>
      <x:c r="H165" s="34" t="n">
        <x:f>IF(SUM($E$2:$E$283)=0,"",SUM($F$2:F165))</x:f>
        <x:v>0.9935750430011283</x:v>
      </x:c>
      <x:c r="I165" s="25" t="b">
        <x:f>INDEX('EEZ Selection Flags'!$L$2:$L$283,MATCH(A165,'EEZ Selection Flags'!$A$2:$A$283,0))</x:f>
        <x:v>0</x:v>
      </x:c>
      <x:c r="J165" s="25" t="b">
        <x:f>INDEX('EEZ Selection Flags'!$M$2:$M$283,MATCH(A165,'EEZ Selection Flags'!$A$2:$A$283,0))</x:f>
        <x:v>0</x:v>
      </x:c>
      <x:c r="K165" s="25" t="b">
        <x:f>INDEX('EEZ Selection Flags'!$N$2:$N$283,MATCH(A165,'EEZ Selection Flags'!$A$2:$A$283,0))</x:f>
        <x:v>0</x:v>
      </x:c>
    </x:row>
    <x:row r="166" ht="18" customHeight="1">
      <x:c r="A166" s="25" t="str">
        <x:f>'Summary'!A166</x:f>
        <x:v>EEZ_226</x:v>
      </x:c>
      <x:c r="B166" s="25" t="str">
        <x:f>'Summary'!B166</x:f>
        <x:v>Equatorial Guinea</x:v>
      </x:c>
      <x:c r="C166" s="25" t="str">
        <x:f>'Summary'!C166</x:f>
        <x:v>EEZ</x:v>
      </x:c>
      <x:c r="D166" s="32" t="n">
        <x:f>'Summary'!E166</x:f>
        <x:v>23094.1925275575</x:v>
      </x:c>
      <x:c r="E166" s="32" t="n">
        <x:f>'Summary'!K166</x:f>
        <x:v>13733577.498158086</x:v>
      </x:c>
      <x:c r="F166" s="34" t="n">
        <x:f>IF(SUM($E$2:$E$283)=0,"",E166/SUM($E$2:$E$283))</x:f>
        <x:v>0.00020669969598953504</x:v>
      </x:c>
      <x:c r="G166" s="35" t="n">
        <x:f>RANK(E166,$E$2:$E$283,0)+COUNTIF($E$2:E166,E166)-1</x:f>
        <x:v>165</x:v>
      </x:c>
      <x:c r="H166" s="34" t="n">
        <x:f>IF(SUM($E$2:$E$283)=0,"",SUM($F$2:F166))</x:f>
        <x:v>0.9937817426971178</x:v>
      </x:c>
      <x:c r="I166" s="25" t="b">
        <x:f>INDEX('EEZ Selection Flags'!$L$2:$L$283,MATCH(A166,'EEZ Selection Flags'!$A$2:$A$283,0))</x:f>
        <x:v>0</x:v>
      </x:c>
      <x:c r="J166" s="25" t="b">
        <x:f>INDEX('EEZ Selection Flags'!$M$2:$M$283,MATCH(A166,'EEZ Selection Flags'!$A$2:$A$283,0))</x:f>
        <x:v>0</x:v>
      </x:c>
      <x:c r="K166" s="25" t="b">
        <x:f>INDEX('EEZ Selection Flags'!$N$2:$N$283,MATCH(A166,'EEZ Selection Flags'!$A$2:$A$283,0))</x:f>
        <x:v>0</x:v>
      </x:c>
    </x:row>
    <x:row r="167" ht="18" customHeight="1">
      <x:c r="A167" s="25" t="str">
        <x:f>'Summary'!A167</x:f>
        <x:v>EEZ_180</x:v>
      </x:c>
      <x:c r="B167" s="25" t="str">
        <x:f>'Summary'!B167</x:f>
        <x:v>Congo (ex-Zaire)</x:v>
      </x:c>
      <x:c r="C167" s="25" t="str">
        <x:f>'Summary'!C167</x:f>
        <x:v>EEZ</x:v>
      </x:c>
      <x:c r="D167" s="32" t="n">
        <x:f>'Summary'!E167</x:f>
        <x:v>23378.3558839915</x:v>
      </x:c>
      <x:c r="E167" s="32" t="n">
        <x:f>'Summary'!K167</x:f>
        <x:v>13711656.088833181</x:v>
      </x:c>
      <x:c r="F167" s="34" t="n">
        <x:f>IF(SUM($E$2:$E$283)=0,"",E167/SUM($E$2:$E$283))</x:f>
        <x:v>0.0002063697638474018</x:v>
      </x:c>
      <x:c r="G167" s="35" t="n">
        <x:f>RANK(E167,$E$2:$E$283,0)+COUNTIF($E$2:E167,E167)-1</x:f>
        <x:v>166</x:v>
      </x:c>
      <x:c r="H167" s="34" t="n">
        <x:f>IF(SUM($E$2:$E$283)=0,"",SUM($F$2:F167))</x:f>
        <x:v>0.9939881124609652</x:v>
      </x:c>
      <x:c r="I167" s="25" t="b">
        <x:f>INDEX('EEZ Selection Flags'!$L$2:$L$283,MATCH(A167,'EEZ Selection Flags'!$A$2:$A$283,0))</x:f>
        <x:v>0</x:v>
      </x:c>
      <x:c r="J167" s="25" t="b">
        <x:f>INDEX('EEZ Selection Flags'!$M$2:$M$283,MATCH(A167,'EEZ Selection Flags'!$A$2:$A$283,0))</x:f>
        <x:v>0</x:v>
      </x:c>
      <x:c r="K167" s="25" t="b">
        <x:f>INDEX('EEZ Selection Flags'!$N$2:$N$283,MATCH(A167,'EEZ Selection Flags'!$A$2:$A$283,0))</x:f>
        <x:v>0</x:v>
      </x:c>
    </x:row>
    <x:row r="168" ht="18" customHeight="1">
      <x:c r="A168" s="25" t="str">
        <x:f>'Summary'!A168</x:f>
        <x:v>EEZ_954</x:v>
      </x:c>
      <x:c r="B168" s="25" t="str">
        <x:f>'Summary'!B168</x:f>
        <x:v>South Africa (Indian Ocean Coast)</x:v>
      </x:c>
      <x:c r="C168" s="25" t="str">
        <x:f>'Summary'!C168</x:f>
        <x:v>EEZ</x:v>
      </x:c>
      <x:c r="D168" s="32" t="n">
        <x:f>'Summary'!E168</x:f>
        <x:v>11740.798835807702</x:v>
      </x:c>
      <x:c r="E168" s="32" t="n">
        <x:f>'Summary'!K168</x:f>
        <x:v>13513947.448119681</x:v>
      </x:c>
      <x:c r="F168" s="34" t="n">
        <x:f>IF(SUM($E$2:$E$283)=0,"",E168/SUM($E$2:$E$283))</x:f>
        <x:v>0.00020339411413519348</x:v>
      </x:c>
      <x:c r="G168" s="35" t="n">
        <x:f>RANK(E168,$E$2:$E$283,0)+COUNTIF($E$2:E168,E168)-1</x:f>
        <x:v>167</x:v>
      </x:c>
      <x:c r="H168" s="34" t="n">
        <x:f>IF(SUM($E$2:$E$283)=0,"",SUM($F$2:F168))</x:f>
        <x:v>0.9941915065751004</x:v>
      </x:c>
      <x:c r="I168" s="25" t="b">
        <x:f>INDEX('EEZ Selection Flags'!$L$2:$L$283,MATCH(A168,'EEZ Selection Flags'!$A$2:$A$283,0))</x:f>
        <x:v>0</x:v>
      </x:c>
      <x:c r="J168" s="25" t="b">
        <x:f>INDEX('EEZ Selection Flags'!$M$2:$M$283,MATCH(A168,'EEZ Selection Flags'!$A$2:$A$283,0))</x:f>
        <x:v>0</x:v>
      </x:c>
      <x:c r="K168" s="25" t="b">
        <x:f>INDEX('EEZ Selection Flags'!$N$2:$N$283,MATCH(A168,'EEZ Selection Flags'!$A$2:$A$283,0))</x:f>
        <x:v>0</x:v>
      </x:c>
    </x:row>
    <x:row r="169" ht="18" customHeight="1">
      <x:c r="A169" s="25" t="str">
        <x:f>'Summary'!A169</x:f>
        <x:v>EEZ_902</x:v>
      </x:c>
      <x:c r="B169" s="25" t="str">
        <x:f>'Summary'!B169</x:f>
        <x:v>Sardinia (Italy)</x:v>
      </x:c>
      <x:c r="C169" s="25" t="str">
        <x:f>'Summary'!C169</x:f>
        <x:v>EEZ</x:v>
      </x:c>
      <x:c r="D169" s="32" t="n">
        <x:f>'Summary'!E169</x:f>
        <x:v>15737.091301901197</x:v>
      </x:c>
      <x:c r="E169" s="32" t="n">
        <x:f>'Summary'!K169</x:f>
        <x:v>13470007.001124758</x:v>
      </x:c>
      <x:c r="F169" s="34" t="n">
        <x:f>IF(SUM($E$2:$E$283)=0,"",E169/SUM($E$2:$E$283))</x:f>
        <x:v>0.0002027327804778334</x:v>
      </x:c>
      <x:c r="G169" s="35" t="n">
        <x:f>RANK(E169,$E$2:$E$283,0)+COUNTIF($E$2:E169,E169)-1</x:f>
        <x:v>168</x:v>
      </x:c>
      <x:c r="H169" s="34" t="n">
        <x:f>IF(SUM($E$2:$E$283)=0,"",SUM($F$2:F169))</x:f>
        <x:v>0.9943942393555782</x:v>
      </x:c>
      <x:c r="I169" s="25" t="b">
        <x:f>INDEX('EEZ Selection Flags'!$L$2:$L$283,MATCH(A169,'EEZ Selection Flags'!$A$2:$A$283,0))</x:f>
        <x:v>0</x:v>
      </x:c>
      <x:c r="J169" s="25" t="b">
        <x:f>INDEX('EEZ Selection Flags'!$M$2:$M$283,MATCH(A169,'EEZ Selection Flags'!$A$2:$A$283,0))</x:f>
        <x:v>0</x:v>
      </x:c>
      <x:c r="K169" s="25" t="b">
        <x:f>INDEX('EEZ Selection Flags'!$N$2:$N$283,MATCH(A169,'EEZ Selection Flags'!$A$2:$A$283,0))</x:f>
        <x:v>0</x:v>
      </x:c>
    </x:row>
    <x:row r="170" ht="18" customHeight="1">
      <x:c r="A170" s="25" t="str">
        <x:f>'Summary'!A170</x:f>
        <x:v>EEZ_678</x:v>
      </x:c>
      <x:c r="B170" s="25" t="str">
        <x:f>'Summary'!B170</x:f>
        <x:v>Sao Tome &amp; Principe</x:v>
      </x:c>
      <x:c r="C170" s="25" t="str">
        <x:f>'Summary'!C170</x:f>
        <x:v>EEZ</x:v>
      </x:c>
      <x:c r="D170" s="32" t="n">
        <x:f>'Summary'!E170</x:f>
        <x:v>11530.348500865499</x:v>
      </x:c>
      <x:c r="E170" s="32" t="n">
        <x:f>'Summary'!K170</x:f>
        <x:v>13253757.621874493</x:v>
      </x:c>
      <x:c r="F170" s="34" t="n">
        <x:f>IF(SUM($E$2:$E$283)=0,"",E170/SUM($E$2:$E$283))</x:f>
        <x:v>0.00019947808002160122</x:v>
      </x:c>
      <x:c r="G170" s="35" t="n">
        <x:f>RANK(E170,$E$2:$E$283,0)+COUNTIF($E$2:E170,E170)-1</x:f>
        <x:v>169</x:v>
      </x:c>
      <x:c r="H170" s="34" t="n">
        <x:f>IF(SUM($E$2:$E$283)=0,"",SUM($F$2:F170))</x:f>
        <x:v>0.9945937174355999</x:v>
      </x:c>
      <x:c r="I170" s="25" t="b">
        <x:f>INDEX('EEZ Selection Flags'!$L$2:$L$283,MATCH(A170,'EEZ Selection Flags'!$A$2:$A$283,0))</x:f>
        <x:v>0</x:v>
      </x:c>
      <x:c r="J170" s="25" t="b">
        <x:f>INDEX('EEZ Selection Flags'!$M$2:$M$283,MATCH(A170,'EEZ Selection Flags'!$A$2:$A$283,0))</x:f>
        <x:v>0</x:v>
      </x:c>
      <x:c r="K170" s="25" t="b">
        <x:f>INDEX('EEZ Selection Flags'!$N$2:$N$283,MATCH(A170,'EEZ Selection Flags'!$A$2:$A$283,0))</x:f>
        <x:v>0</x:v>
      </x:c>
    </x:row>
    <x:row r="171" ht="18" customHeight="1">
      <x:c r="A171" s="25" t="str">
        <x:f>'Summary'!A171</x:f>
        <x:v>EEZ_222</x:v>
      </x:c>
      <x:c r="B171" s="25" t="str">
        <x:f>'Summary'!B171</x:f>
        <x:v>El Salvador</x:v>
      </x:c>
      <x:c r="C171" s="25" t="str">
        <x:f>'Summary'!C171</x:f>
        <x:v>EEZ</x:v>
      </x:c>
      <x:c r="D171" s="32" t="n">
        <x:f>'Summary'!E171</x:f>
        <x:v>19144.466243662904</x:v>
      </x:c>
      <x:c r="E171" s="32" t="n">
        <x:f>'Summary'!K171</x:f>
        <x:v>12763185.689767089</x:v>
      </x:c>
      <x:c r="F171" s="34" t="n">
        <x:f>IF(SUM($E$2:$E$283)=0,"",E171/SUM($E$2:$E$283))</x:f>
        <x:v>0.00019209463828974373</x:v>
      </x:c>
      <x:c r="G171" s="35" t="n">
        <x:f>RANK(E171,$E$2:$E$283,0)+COUNTIF($E$2:E171,E171)-1</x:f>
        <x:v>170</x:v>
      </x:c>
      <x:c r="H171" s="34" t="n">
        <x:f>IF(SUM($E$2:$E$283)=0,"",SUM($F$2:F171))</x:f>
        <x:v>0.9947858120738896</x:v>
      </x:c>
      <x:c r="I171" s="25" t="b">
        <x:f>INDEX('EEZ Selection Flags'!$L$2:$L$283,MATCH(A171,'EEZ Selection Flags'!$A$2:$A$283,0))</x:f>
        <x:v>0</x:v>
      </x:c>
      <x:c r="J171" s="25" t="b">
        <x:f>INDEX('EEZ Selection Flags'!$M$2:$M$283,MATCH(A171,'EEZ Selection Flags'!$A$2:$A$283,0))</x:f>
        <x:v>0</x:v>
      </x:c>
      <x:c r="K171" s="25" t="b">
        <x:f>INDEX('EEZ Selection Flags'!$N$2:$N$283,MATCH(A171,'EEZ Selection Flags'!$A$2:$A$283,0))</x:f>
        <x:v>0</x:v>
      </x:c>
    </x:row>
    <x:row r="172" ht="18" customHeight="1">
      <x:c r="A172" s="25" t="str">
        <x:f>'Summary'!A172</x:f>
        <x:v>EEZ_192</x:v>
      </x:c>
      <x:c r="B172" s="25" t="str">
        <x:f>'Summary'!B172</x:f>
        <x:v>Cuba</x:v>
      </x:c>
      <x:c r="C172" s="25" t="str">
        <x:f>'Summary'!C172</x:f>
        <x:v>EEZ</x:v>
      </x:c>
      <x:c r="D172" s="32" t="n">
        <x:f>'Summary'!E172</x:f>
        <x:v>24306.8393757785</x:v>
      </x:c>
      <x:c r="E172" s="32" t="n">
        <x:f>'Summary'!K172</x:f>
        <x:v>12737892.20413025</x:v>
      </x:c>
      <x:c r="F172" s="34" t="n">
        <x:f>IF(SUM($E$2:$E$283)=0,"",E172/SUM($E$2:$E$283))</x:f>
        <x:v>0.00019171395410222218</x:v>
      </x:c>
      <x:c r="G172" s="35" t="n">
        <x:f>RANK(E172,$E$2:$E$283,0)+COUNTIF($E$2:E172,E172)-1</x:f>
        <x:v>171</x:v>
      </x:c>
      <x:c r="H172" s="34" t="n">
        <x:f>IF(SUM($E$2:$E$283)=0,"",SUM($F$2:F172))</x:f>
        <x:v>0.9949775260279918</x:v>
      </x:c>
      <x:c r="I172" s="25" t="b">
        <x:f>INDEX('EEZ Selection Flags'!$L$2:$L$283,MATCH(A172,'EEZ Selection Flags'!$A$2:$A$283,0))</x:f>
        <x:v>0</x:v>
      </x:c>
      <x:c r="J172" s="25" t="b">
        <x:f>INDEX('EEZ Selection Flags'!$M$2:$M$283,MATCH(A172,'EEZ Selection Flags'!$A$2:$A$283,0))</x:f>
        <x:v>0</x:v>
      </x:c>
      <x:c r="K172" s="25" t="b">
        <x:f>INDEX('EEZ Selection Flags'!$N$2:$N$283,MATCH(A172,'EEZ Selection Flags'!$A$2:$A$283,0))</x:f>
        <x:v>0</x:v>
      </x:c>
    </x:row>
    <x:row r="173" ht="18" customHeight="1">
      <x:c r="A173" s="25" t="str">
        <x:f>'Summary'!A173</x:f>
        <x:v>EEZ_278</x:v>
      </x:c>
      <x:c r="B173" s="25" t="str">
        <x:f>'Summary'!B173</x:f>
        <x:v>Germany (Baltic Sea)</x:v>
      </x:c>
      <x:c r="C173" s="25" t="str">
        <x:f>'Summary'!C173</x:f>
        <x:v>EEZ</x:v>
      </x:c>
      <x:c r="D173" s="32" t="n">
        <x:f>'Summary'!E173</x:f>
        <x:v>26188.5128491544</x:v>
      </x:c>
      <x:c r="E173" s="32" t="n">
        <x:f>'Summary'!K173</x:f>
        <x:v>12082330.078822175</x:v>
      </x:c>
      <x:c r="F173" s="34" t="n">
        <x:f>IF(SUM($E$2:$E$283)=0,"",E173/SUM($E$2:$E$283))</x:f>
        <x:v>0.000181847297579433</x:v>
      </x:c>
      <x:c r="G173" s="35" t="n">
        <x:f>RANK(E173,$E$2:$E$283,0)+COUNTIF($E$2:E173,E173)-1</x:f>
        <x:v>172</x:v>
      </x:c>
      <x:c r="H173" s="34" t="n">
        <x:f>IF(SUM($E$2:$E$283)=0,"",SUM($F$2:F173))</x:f>
        <x:v>0.9951593733255713</x:v>
      </x:c>
      <x:c r="I173" s="25" t="b">
        <x:f>INDEX('EEZ Selection Flags'!$L$2:$L$283,MATCH(A173,'EEZ Selection Flags'!$A$2:$A$283,0))</x:f>
        <x:v>0</x:v>
      </x:c>
      <x:c r="J173" s="25" t="b">
        <x:f>INDEX('EEZ Selection Flags'!$M$2:$M$283,MATCH(A173,'EEZ Selection Flags'!$A$2:$A$283,0))</x:f>
        <x:v>0</x:v>
      </x:c>
      <x:c r="K173" s="25" t="b">
        <x:f>INDEX('EEZ Selection Flags'!$N$2:$N$283,MATCH(A173,'EEZ Selection Flags'!$A$2:$A$283,0))</x:f>
        <x:v>0</x:v>
      </x:c>
    </x:row>
    <x:row r="174" ht="18" customHeight="1">
      <x:c r="A174" s="25" t="str">
        <x:f>'Summary'!A174</x:f>
        <x:v>EEZ_016</x:v>
      </x:c>
      <x:c r="B174" s="25" t="str">
        <x:f>'Summary'!B174</x:f>
        <x:v>American Samoa</x:v>
      </x:c>
      <x:c r="C174" s="25" t="str">
        <x:f>'Summary'!C174</x:f>
        <x:v>EEZ</x:v>
      </x:c>
      <x:c r="D174" s="32" t="n">
        <x:f>'Summary'!E174</x:f>
        <x:v>5598.672346021601</x:v>
      </x:c>
      <x:c r="E174" s="32" t="n">
        <x:f>'Summary'!K174</x:f>
        <x:v>11609368.971725864</x:v>
      </x:c>
      <x:c r="F174" s="34" t="n">
        <x:f>IF(SUM($E$2:$E$283)=0,"",E174/SUM($E$2:$E$283))</x:f>
        <x:v>0.00017472891075962638</x:v>
      </x:c>
      <x:c r="G174" s="35" t="n">
        <x:f>RANK(E174,$E$2:$E$283,0)+COUNTIF($E$2:E174,E174)-1</x:f>
        <x:v>173</x:v>
      </x:c>
      <x:c r="H174" s="34" t="n">
        <x:f>IF(SUM($E$2:$E$283)=0,"",SUM($F$2:F174))</x:f>
        <x:v>0.9953341022363309</x:v>
      </x:c>
      <x:c r="I174" s="25" t="b">
        <x:f>INDEX('EEZ Selection Flags'!$L$2:$L$283,MATCH(A174,'EEZ Selection Flags'!$A$2:$A$283,0))</x:f>
        <x:v>1</x:v>
      </x:c>
      <x:c r="J174" s="25" t="b">
        <x:f>INDEX('EEZ Selection Flags'!$M$2:$M$283,MATCH(A174,'EEZ Selection Flags'!$A$2:$A$283,0))</x:f>
        <x:v>0</x:v>
      </x:c>
      <x:c r="K174" s="25" t="b">
        <x:f>INDEX('EEZ Selection Flags'!$N$2:$N$283,MATCH(A174,'EEZ Selection Flags'!$A$2:$A$283,0))</x:f>
        <x:v>0</x:v>
      </x:c>
    </x:row>
    <x:row r="175" ht="18" customHeight="1">
      <x:c r="A175" s="25" t="str">
        <x:f>'Summary'!A175</x:f>
        <x:v>EEZ_197</x:v>
      </x:c>
      <x:c r="B175" s="25" t="str">
        <x:f>'Summary'!B175</x:f>
        <x:v>Cyprus (North)</x:v>
      </x:c>
      <x:c r="C175" s="25" t="str">
        <x:f>'Summary'!C175</x:f>
        <x:v>EEZ</x:v>
      </x:c>
      <x:c r="D175" s="32" t="n">
        <x:f>'Summary'!E175</x:f>
        <x:v>4715.927611698601</x:v>
      </x:c>
      <x:c r="E175" s="32" t="n">
        <x:f>'Summary'!K175</x:f>
        <x:v>11569295.26355968</x:v>
      </x:c>
      <x:c r="F175" s="34" t="n">
        <x:f>IF(SUM($E$2:$E$283)=0,"",E175/SUM($E$2:$E$283))</x:f>
        <x:v>0.00017412577415547247</x:v>
      </x:c>
      <x:c r="G175" s="35" t="n">
        <x:f>RANK(E175,$E$2:$E$283,0)+COUNTIF($E$2:E175,E175)-1</x:f>
        <x:v>174</x:v>
      </x:c>
      <x:c r="H175" s="34" t="n">
        <x:f>IF(SUM($E$2:$E$283)=0,"",SUM($F$2:F175))</x:f>
        <x:v>0.9955082280104863</x:v>
      </x:c>
      <x:c r="I175" s="25" t="b">
        <x:f>INDEX('EEZ Selection Flags'!$L$2:$L$283,MATCH(A175,'EEZ Selection Flags'!$A$2:$A$283,0))</x:f>
        <x:v>0</x:v>
      </x:c>
      <x:c r="J175" s="25" t="b">
        <x:f>INDEX('EEZ Selection Flags'!$M$2:$M$283,MATCH(A175,'EEZ Selection Flags'!$A$2:$A$283,0))</x:f>
        <x:v>0</x:v>
      </x:c>
      <x:c r="K175" s="25" t="b">
        <x:f>INDEX('EEZ Selection Flags'!$N$2:$N$283,MATCH(A175,'EEZ Selection Flags'!$A$2:$A$283,0))</x:f>
        <x:v>0</x:v>
      </x:c>
    </x:row>
    <x:row r="176" ht="18" customHeight="1">
      <x:c r="A176" s="25" t="str">
        <x:f>'Summary'!A176</x:f>
        <x:v>EEZ_155</x:v>
      </x:c>
      <x:c r="B176" s="25" t="str">
        <x:f>'Summary'!B176</x:f>
        <x:v>Juan Fernandez Islands (Chile)</x:v>
      </x:c>
      <x:c r="C176" s="25" t="str">
        <x:f>'Summary'!C176</x:f>
        <x:v>EEZ</x:v>
      </x:c>
      <x:c r="D176" s="32" t="n">
        <x:f>'Summary'!E176</x:f>
        <x:v>42555.52794494491</x:v>
      </x:c>
      <x:c r="E176" s="32" t="n">
        <x:f>'Summary'!K176</x:f>
        <x:v>10134000.51502535</x:v>
      </x:c>
      <x:c r="F176" s="34" t="n">
        <x:f>IF(SUM($E$2:$E$283)=0,"",E176/SUM($E$2:$E$283))</x:f>
        <x:v>0.00015252361053734662</x:v>
      </x:c>
      <x:c r="G176" s="35" t="n">
        <x:f>RANK(E176,$E$2:$E$283,0)+COUNTIF($E$2:E176,E176)-1</x:f>
        <x:v>175</x:v>
      </x:c>
      <x:c r="H176" s="34" t="n">
        <x:f>IF(SUM($E$2:$E$283)=0,"",SUM($F$2:F176))</x:f>
        <x:v>0.9956607516210236</x:v>
      </x:c>
      <x:c r="I176" s="25" t="b">
        <x:f>INDEX('EEZ Selection Flags'!$L$2:$L$283,MATCH(A176,'EEZ Selection Flags'!$A$2:$A$283,0))</x:f>
        <x:v>1</x:v>
      </x:c>
      <x:c r="J176" s="25" t="b">
        <x:f>INDEX('EEZ Selection Flags'!$M$2:$M$283,MATCH(A176,'EEZ Selection Flags'!$A$2:$A$283,0))</x:f>
        <x:v>0</x:v>
      </x:c>
      <x:c r="K176" s="25" t="b">
        <x:f>INDEX('EEZ Selection Flags'!$N$2:$N$283,MATCH(A176,'EEZ Selection Flags'!$A$2:$A$283,0))</x:f>
        <x:v>0</x:v>
      </x:c>
    </x:row>
    <x:row r="177" ht="18" customHeight="1">
      <x:c r="A177" s="25" t="str">
        <x:f>'Summary'!A177</x:f>
        <x:v>EEZ_949</x:v>
      </x:c>
      <x:c r="B177" s="25" t="str">
        <x:f>'Summary'!B177</x:f>
        <x:v>Nicaragua (Caribbean)</x:v>
      </x:c>
      <x:c r="C177" s="25" t="str">
        <x:f>'Summary'!C177</x:f>
        <x:v>EEZ</x:v>
      </x:c>
      <x:c r="D177" s="32" t="n">
        <x:f>'Summary'!E177</x:f>
        <x:v>34605.779645753995</x:v>
      </x:c>
      <x:c r="E177" s="32" t="n">
        <x:f>'Summary'!K177</x:f>
        <x:v>10055225.175638834</x:v>
      </x:c>
      <x:c r="F177" s="34" t="n">
        <x:f>IF(SUM($E$2:$E$283)=0,"",E177/SUM($E$2:$E$283))</x:f>
        <x:v>0.0001513379880216657</x:v>
      </x:c>
      <x:c r="G177" s="35" t="n">
        <x:f>RANK(E177,$E$2:$E$283,0)+COUNTIF($E$2:E177,E177)-1</x:f>
        <x:v>176</x:v>
      </x:c>
      <x:c r="H177" s="34" t="n">
        <x:f>IF(SUM($E$2:$E$283)=0,"",SUM($F$2:F177))</x:f>
        <x:v>0.9958120896090453</x:v>
      </x:c>
      <x:c r="I177" s="25" t="b">
        <x:f>INDEX('EEZ Selection Flags'!$L$2:$L$283,MATCH(A177,'EEZ Selection Flags'!$A$2:$A$283,0))</x:f>
        <x:v>0</x:v>
      </x:c>
      <x:c r="J177" s="25" t="b">
        <x:f>INDEX('EEZ Selection Flags'!$M$2:$M$283,MATCH(A177,'EEZ Selection Flags'!$A$2:$A$283,0))</x:f>
        <x:v>0</x:v>
      </x:c>
      <x:c r="K177" s="25" t="b">
        <x:f>INDEX('EEZ Selection Flags'!$N$2:$N$283,MATCH(A177,'EEZ Selection Flags'!$A$2:$A$283,0))</x:f>
        <x:v>0</x:v>
      </x:c>
    </x:row>
    <x:row r="178" ht="18" customHeight="1">
      <x:c r="A178" s="25" t="str">
        <x:f>'Summary'!A178</x:f>
        <x:v>EEZ_440</x:v>
      </x:c>
      <x:c r="B178" s="25" t="str">
        <x:f>'Summary'!B178</x:f>
        <x:v>Lithuania</x:v>
      </x:c>
      <x:c r="C178" s="25" t="str">
        <x:f>'Summary'!C178</x:f>
        <x:v>EEZ</x:v>
      </x:c>
      <x:c r="D178" s="32" t="n">
        <x:f>'Summary'!E178</x:f>
        <x:v>34707.5616911521</x:v>
      </x:c>
      <x:c r="E178" s="32" t="n">
        <x:f>'Summary'!K178</x:f>
        <x:v>9837795.65518664</x:v>
      </x:c>
      <x:c r="F178" s="34" t="n">
        <x:f>IF(SUM($E$2:$E$283)=0,"",E178/SUM($E$2:$E$283))</x:f>
        <x:v>0.00014806552563648991</x:v>
      </x:c>
      <x:c r="G178" s="35" t="n">
        <x:f>RANK(E178,$E$2:$E$283,0)+COUNTIF($E$2:E178,E178)-1</x:f>
        <x:v>177</x:v>
      </x:c>
      <x:c r="H178" s="34" t="n">
        <x:f>IF(SUM($E$2:$E$283)=0,"",SUM($F$2:F178))</x:f>
        <x:v>0.9959601551346818</x:v>
      </x:c>
      <x:c r="I178" s="25" t="b">
        <x:f>INDEX('EEZ Selection Flags'!$L$2:$L$283,MATCH(A178,'EEZ Selection Flags'!$A$2:$A$283,0))</x:f>
        <x:v>0</x:v>
      </x:c>
      <x:c r="J178" s="25" t="b">
        <x:f>INDEX('EEZ Selection Flags'!$M$2:$M$283,MATCH(A178,'EEZ Selection Flags'!$A$2:$A$283,0))</x:f>
        <x:v>0</x:v>
      </x:c>
      <x:c r="K178" s="25" t="b">
        <x:f>INDEX('EEZ Selection Flags'!$N$2:$N$283,MATCH(A178,'EEZ Selection Flags'!$A$2:$A$283,0))</x:f>
        <x:v>0</x:v>
      </x:c>
    </x:row>
    <x:row r="179" ht="18" customHeight="1">
      <x:c r="A179" s="25" t="str">
        <x:f>'Summary'!A179</x:f>
        <x:v>EEZ_846</x:v>
      </x:c>
      <x:c r="B179" s="25" t="str">
        <x:f>'Summary'!B179</x:f>
        <x:v>Howland &amp; Baker Isl. (USA)</x:v>
      </x:c>
      <x:c r="C179" s="25" t="str">
        <x:f>'Summary'!C179</x:f>
        <x:v>EEZ</x:v>
      </x:c>
      <x:c r="D179" s="32" t="n">
        <x:f>'Summary'!E179</x:f>
        <x:v>4352.1546382121005</x:v>
      </x:c>
      <x:c r="E179" s="32" t="n">
        <x:f>'Summary'!K179</x:f>
        <x:v>9583004.046822514</x:v>
      </x:c>
      <x:c r="F179" s="34" t="n">
        <x:f>IF(SUM($E$2:$E$283)=0,"",E179/SUM($E$2:$E$283))</x:f>
        <x:v>0.00014423073837901</x:v>
      </x:c>
      <x:c r="G179" s="35" t="n">
        <x:f>RANK(E179,$E$2:$E$283,0)+COUNTIF($E$2:E179,E179)-1</x:f>
        <x:v>178</x:v>
      </x:c>
      <x:c r="H179" s="34" t="n">
        <x:f>IF(SUM($E$2:$E$283)=0,"",SUM($F$2:F179))</x:f>
        <x:v>0.9961043858730608</x:v>
      </x:c>
      <x:c r="I179" s="25" t="b">
        <x:f>INDEX('EEZ Selection Flags'!$L$2:$L$283,MATCH(A179,'EEZ Selection Flags'!$A$2:$A$283,0))</x:f>
        <x:v>1</x:v>
      </x:c>
      <x:c r="J179" s="25" t="b">
        <x:f>INDEX('EEZ Selection Flags'!$M$2:$M$283,MATCH(A179,'EEZ Selection Flags'!$A$2:$A$283,0))</x:f>
        <x:v>0</x:v>
      </x:c>
      <x:c r="K179" s="25" t="b">
        <x:f>INDEX('EEZ Selection Flags'!$N$2:$N$283,MATCH(A179,'EEZ Selection Flags'!$A$2:$A$283,0))</x:f>
        <x:v>0</x:v>
      </x:c>
    </x:row>
    <x:row r="180" ht="18" customHeight="1">
      <x:c r="A180" s="25" t="str">
        <x:f>'Summary'!A180</x:f>
        <x:v>EEZ_096</x:v>
      </x:c>
      <x:c r="B180" s="25" t="str">
        <x:f>'Summary'!B180</x:f>
        <x:v>Brunei Darussalam</x:v>
      </x:c>
      <x:c r="C180" s="25" t="str">
        <x:f>'Summary'!C180</x:f>
        <x:v>EEZ</x:v>
      </x:c>
      <x:c r="D180" s="32" t="n">
        <x:f>'Summary'!E180</x:f>
        <x:v>16692.4609859602</x:v>
      </x:c>
      <x:c r="E180" s="32" t="n">
        <x:f>'Summary'!K180</x:f>
        <x:v>9457192.928452253</x:v>
      </x:c>
      <x:c r="F180" s="34" t="n">
        <x:f>IF(SUM($E$2:$E$283)=0,"",E180/SUM($E$2:$E$283))</x:f>
        <x:v>0.00014233719535114824</x:v>
      </x:c>
      <x:c r="G180" s="35" t="n">
        <x:f>RANK(E180,$E$2:$E$283,0)+COUNTIF($E$2:E180,E180)-1</x:f>
        <x:v>179</x:v>
      </x:c>
      <x:c r="H180" s="34" t="n">
        <x:f>IF(SUM($E$2:$E$283)=0,"",SUM($F$2:F180))</x:f>
        <x:v>0.996246723068412</x:v>
      </x:c>
      <x:c r="I180" s="25" t="b">
        <x:f>INDEX('EEZ Selection Flags'!$L$2:$L$283,MATCH(A180,'EEZ Selection Flags'!$A$2:$A$283,0))</x:f>
        <x:v>0</x:v>
      </x:c>
      <x:c r="J180" s="25" t="b">
        <x:f>INDEX('EEZ Selection Flags'!$M$2:$M$283,MATCH(A180,'EEZ Selection Flags'!$A$2:$A$283,0))</x:f>
        <x:v>0</x:v>
      </x:c>
      <x:c r="K180" s="25" t="b">
        <x:f>INDEX('EEZ Selection Flags'!$N$2:$N$283,MATCH(A180,'EEZ Selection Flags'!$A$2:$A$283,0))</x:f>
        <x:v>0</x:v>
      </x:c>
    </x:row>
    <x:row r="181" ht="18" customHeight="1">
      <x:c r="A181" s="25" t="str">
        <x:f>'Summary'!A181</x:f>
        <x:v>EEZ_251</x:v>
      </x:c>
      <x:c r="B181" s="25" t="str">
        <x:f>'Summary'!B181</x:f>
        <x:v>Mozambique Channel Isl. (France)</x:v>
      </x:c>
      <x:c r="C181" s="25" t="str">
        <x:f>'Summary'!C181</x:f>
        <x:v>EEZ</x:v>
      </x:c>
      <x:c r="D181" s="32" t="n">
        <x:f>'Summary'!E181</x:f>
        <x:v>3801.8421879604</x:v>
      </x:c>
      <x:c r="E181" s="32" t="n">
        <x:f>'Summary'!K181</x:f>
        <x:v>9217280.300397815</x:v>
      </x:c>
      <x:c r="F181" s="34" t="n">
        <x:f>IF(SUM($E$2:$E$283)=0,"",E181/SUM($E$2:$E$283))</x:f>
        <x:v>0.00013872634688216385</x:v>
      </x:c>
      <x:c r="G181" s="35" t="n">
        <x:f>RANK(E181,$E$2:$E$283,0)+COUNTIF($E$2:E181,E181)-1</x:f>
        <x:v>180</x:v>
      </x:c>
      <x:c r="H181" s="34" t="n">
        <x:f>IF(SUM($E$2:$E$283)=0,"",SUM($F$2:F181))</x:f>
        <x:v>0.9963854494152942</x:v>
      </x:c>
      <x:c r="I181" s="25" t="b">
        <x:f>INDEX('EEZ Selection Flags'!$L$2:$L$283,MATCH(A181,'EEZ Selection Flags'!$A$2:$A$283,0))</x:f>
        <x:v>0</x:v>
      </x:c>
      <x:c r="J181" s="25" t="b">
        <x:f>INDEX('EEZ Selection Flags'!$M$2:$M$283,MATCH(A181,'EEZ Selection Flags'!$A$2:$A$283,0))</x:f>
        <x:v>0</x:v>
      </x:c>
      <x:c r="K181" s="25" t="b">
        <x:f>INDEX('EEZ Selection Flags'!$N$2:$N$283,MATCH(A181,'EEZ Selection Flags'!$A$2:$A$283,0))</x:f>
        <x:v>0</x:v>
      </x:c>
    </x:row>
    <x:row r="182" ht="18" customHeight="1">
      <x:c r="A182" s="25" t="str">
        <x:f>'Summary'!A182</x:f>
        <x:v>EEZ_048</x:v>
      </x:c>
      <x:c r="B182" s="25" t="str">
        <x:f>'Summary'!B182</x:f>
        <x:v>Bahrain</x:v>
      </x:c>
      <x:c r="C182" s="25" t="str">
        <x:f>'Summary'!C182</x:f>
        <x:v>EEZ</x:v>
      </x:c>
      <x:c r="D182" s="32" t="n">
        <x:f>'Summary'!E182</x:f>
        <x:v>40820.826476502996</x:v>
      </x:c>
      <x:c r="E182" s="32" t="n">
        <x:f>'Summary'!K182</x:f>
        <x:v>9187447.205934381</x:v>
      </x:c>
      <x:c r="F182" s="34" t="n">
        <x:f>IF(SUM($E$2:$E$283)=0,"",E182/SUM($E$2:$E$283))</x:f>
        <x:v>0.00013827733848964223</x:v>
      </x:c>
      <x:c r="G182" s="35" t="n">
        <x:f>RANK(E182,$E$2:$E$283,0)+COUNTIF($E$2:E182,E182)-1</x:f>
        <x:v>181</x:v>
      </x:c>
      <x:c r="H182" s="34" t="n">
        <x:f>IF(SUM($E$2:$E$283)=0,"",SUM($F$2:F182))</x:f>
        <x:v>0.9965237267537838</x:v>
      </x:c>
      <x:c r="I182" s="25" t="b">
        <x:f>INDEX('EEZ Selection Flags'!$L$2:$L$283,MATCH(A182,'EEZ Selection Flags'!$A$2:$A$283,0))</x:f>
        <x:v>0</x:v>
      </x:c>
      <x:c r="J182" s="25" t="b">
        <x:f>INDEX('EEZ Selection Flags'!$M$2:$M$283,MATCH(A182,'EEZ Selection Flags'!$A$2:$A$283,0))</x:f>
        <x:v>0</x:v>
      </x:c>
      <x:c r="K182" s="25" t="b">
        <x:f>INDEX('EEZ Selection Flags'!$N$2:$N$283,MATCH(A182,'EEZ Selection Flags'!$A$2:$A$283,0))</x:f>
        <x:v>0</x:v>
      </x:c>
    </x:row>
    <x:row r="183" ht="18" customHeight="1">
      <x:c r="A183" s="25" t="str">
        <x:f>'Summary'!A183</x:f>
        <x:v>EEZ_414</x:v>
      </x:c>
      <x:c r="B183" s="25" t="str">
        <x:f>'Summary'!B183</x:f>
        <x:v>Kuwait</x:v>
      </x:c>
      <x:c r="C183" s="25" t="str">
        <x:f>'Summary'!C183</x:f>
        <x:v>EEZ</x:v>
      </x:c>
      <x:c r="D183" s="32" t="n">
        <x:f>'Summary'!E183</x:f>
        <x:v>23587.724537113005</x:v>
      </x:c>
      <x:c r="E183" s="32" t="n">
        <x:f>'Summary'!K183</x:f>
        <x:v>8850802.026816877</x:v>
      </x:c>
      <x:c r="F183" s="34" t="n">
        <x:f>IF(SUM($E$2:$E$283)=0,"",E183/SUM($E$2:$E$283))</x:f>
        <x:v>0.00013321059923766923</x:v>
      </x:c>
      <x:c r="G183" s="35" t="n">
        <x:f>RANK(E183,$E$2:$E$283,0)+COUNTIF($E$2:E183,E183)-1</x:f>
        <x:v>182</x:v>
      </x:c>
      <x:c r="H183" s="34" t="n">
        <x:f>IF(SUM($E$2:$E$283)=0,"",SUM($F$2:F183))</x:f>
        <x:v>0.9966569373530214</x:v>
      </x:c>
      <x:c r="I183" s="25" t="b">
        <x:f>INDEX('EEZ Selection Flags'!$L$2:$L$283,MATCH(A183,'EEZ Selection Flags'!$A$2:$A$283,0))</x:f>
        <x:v>0</x:v>
      </x:c>
      <x:c r="J183" s="25" t="b">
        <x:f>INDEX('EEZ Selection Flags'!$M$2:$M$283,MATCH(A183,'EEZ Selection Flags'!$A$2:$A$283,0))</x:f>
        <x:v>0</x:v>
      </x:c>
      <x:c r="K183" s="25" t="b">
        <x:f>INDEX('EEZ Selection Flags'!$N$2:$N$283,MATCH(A183,'EEZ Selection Flags'!$A$2:$A$283,0))</x:f>
        <x:v>0</x:v>
      </x:c>
    </x:row>
    <x:row r="184" ht="18" customHeight="1">
      <x:c r="A184" s="25" t="str">
        <x:f>'Summary'!A184</x:f>
        <x:v>EEZ_111</x:v>
      </x:c>
      <x:c r="B184" s="25" t="str">
        <x:f>'Summary'!B184</x:f>
        <x:v>Eritrea</x:v>
      </x:c>
      <x:c r="C184" s="25" t="str">
        <x:f>'Summary'!C184</x:f>
        <x:v>EEZ</x:v>
      </x:c>
      <x:c r="D184" s="32" t="n">
        <x:f>'Summary'!E184</x:f>
        <x:v>10673.441493973301</x:v>
      </x:c>
      <x:c r="E184" s="32" t="n">
        <x:f>'Summary'!K184</x:f>
        <x:v>8796685.401941154</x:v>
      </x:c>
      <x:c r="F184" s="34" t="n">
        <x:f>IF(SUM($E$2:$E$283)=0,"",E184/SUM($E$2:$E$283))</x:f>
        <x:v>0.00013239610717168774</x:v>
      </x:c>
      <x:c r="G184" s="35" t="n">
        <x:f>RANK(E184,$E$2:$E$283,0)+COUNTIF($E$2:E184,E184)-1</x:f>
        <x:v>183</x:v>
      </x:c>
      <x:c r="H184" s="34" t="n">
        <x:f>IF(SUM($E$2:$E$283)=0,"",SUM($F$2:F184))</x:f>
        <x:v>0.996789333460193</x:v>
      </x:c>
      <x:c r="I184" s="25" t="b">
        <x:f>INDEX('EEZ Selection Flags'!$L$2:$L$283,MATCH(A184,'EEZ Selection Flags'!$A$2:$A$283,0))</x:f>
        <x:v>0</x:v>
      </x:c>
      <x:c r="J184" s="25" t="b">
        <x:f>INDEX('EEZ Selection Flags'!$M$2:$M$283,MATCH(A184,'EEZ Selection Flags'!$A$2:$A$283,0))</x:f>
        <x:v>0</x:v>
      </x:c>
      <x:c r="K184" s="25" t="b">
        <x:f>INDEX('EEZ Selection Flags'!$N$2:$N$283,MATCH(A184,'EEZ Selection Flags'!$A$2:$A$283,0))</x:f>
        <x:v>0</x:v>
      </x:c>
    </x:row>
    <x:row r="185" ht="18" customHeight="1">
      <x:c r="A185" s="25" t="str">
        <x:f>'Summary'!A185</x:f>
        <x:v>EEZ_845</x:v>
      </x:c>
      <x:c r="B185" s="25" t="str">
        <x:f>'Summary'!B185</x:f>
        <x:v>Jarvis Isl. (USA)</x:v>
      </x:c>
      <x:c r="C185" s="25" t="str">
        <x:f>'Summary'!C185</x:f>
        <x:v>EEZ</x:v>
      </x:c>
      <x:c r="D185" s="32" t="n">
        <x:f>'Summary'!E185</x:f>
        <x:v>3423.5308595899996</x:v>
      </x:c>
      <x:c r="E185" s="32" t="n">
        <x:f>'Summary'!K185</x:f>
        <x:v>7929382.82878491</x:v>
      </x:c>
      <x:c r="F185" s="34" t="n">
        <x:f>IF(SUM($E$2:$E$283)=0,"",E185/SUM($E$2:$E$283))</x:f>
        <x:v>0.00011934261268153174</x:v>
      </x:c>
      <x:c r="G185" s="35" t="n">
        <x:f>RANK(E185,$E$2:$E$283,0)+COUNTIF($E$2:E185,E185)-1</x:f>
        <x:v>184</x:v>
      </x:c>
      <x:c r="H185" s="34" t="n">
        <x:f>IF(SUM($E$2:$E$283)=0,"",SUM($F$2:F185))</x:f>
        <x:v>0.9969086760728746</x:v>
      </x:c>
      <x:c r="I185" s="25" t="b">
        <x:f>INDEX('EEZ Selection Flags'!$L$2:$L$283,MATCH(A185,'EEZ Selection Flags'!$A$2:$A$283,0))</x:f>
        <x:v>1</x:v>
      </x:c>
      <x:c r="J185" s="25" t="b">
        <x:f>INDEX('EEZ Selection Flags'!$M$2:$M$283,MATCH(A185,'EEZ Selection Flags'!$A$2:$A$283,0))</x:f>
        <x:v>0</x:v>
      </x:c>
      <x:c r="K185" s="25" t="b">
        <x:f>INDEX('EEZ Selection Flags'!$N$2:$N$283,MATCH(A185,'EEZ Selection Flags'!$A$2:$A$283,0))</x:f>
        <x:v>0</x:v>
      </x:c>
    </x:row>
    <x:row r="186" ht="18" customHeight="1">
      <x:c r="A186" s="25" t="str">
        <x:f>'Summary'!A186</x:f>
        <x:v>EEZ_906</x:v>
      </x:c>
      <x:c r="B186" s="25" t="str">
        <x:f>'Summary'!B186</x:f>
        <x:v>Curaçao (Netherlands)</x:v>
      </x:c>
      <x:c r="C186" s="25" t="str">
        <x:f>'Summary'!C186</x:f>
        <x:v>EEZ</x:v>
      </x:c>
      <x:c r="D186" s="32" t="n">
        <x:f>'Summary'!E186</x:f>
        <x:v>4837.787794606899</x:v>
      </x:c>
      <x:c r="E186" s="32" t="n">
        <x:f>'Summary'!K186</x:f>
        <x:v>7826249.292403802</x:v>
      </x:c>
      <x:c r="F186" s="34" t="n">
        <x:f>IF(SUM($E$2:$E$283)=0,"",E186/SUM($E$2:$E$283))</x:f>
        <x:v>0.00011779038270946805</x:v>
      </x:c>
      <x:c r="G186" s="35" t="n">
        <x:f>RANK(E186,$E$2:$E$283,0)+COUNTIF($E$2:E186,E186)-1</x:f>
        <x:v>185</x:v>
      </x:c>
      <x:c r="H186" s="34" t="n">
        <x:f>IF(SUM($E$2:$E$283)=0,"",SUM($F$2:F186))</x:f>
        <x:v>0.997026466455584</x:v>
      </x:c>
      <x:c r="I186" s="25" t="b">
        <x:f>INDEX('EEZ Selection Flags'!$L$2:$L$283,MATCH(A186,'EEZ Selection Flags'!$A$2:$A$283,0))</x:f>
        <x:v>0</x:v>
      </x:c>
      <x:c r="J186" s="25" t="b">
        <x:f>INDEX('EEZ Selection Flags'!$M$2:$M$283,MATCH(A186,'EEZ Selection Flags'!$A$2:$A$283,0))</x:f>
        <x:v>0</x:v>
      </x:c>
      <x:c r="K186" s="25" t="b">
        <x:f>INDEX('EEZ Selection Flags'!$N$2:$N$283,MATCH(A186,'EEZ Selection Flags'!$A$2:$A$283,0))</x:f>
        <x:v>0</x:v>
      </x:c>
    </x:row>
    <x:row r="187" ht="18" customHeight="1">
      <x:c r="A187" s="25" t="str">
        <x:f>'Summary'!A187</x:f>
        <x:v>EEZ_830</x:v>
      </x:c>
      <x:c r="B187" s="25" t="str">
        <x:f>'Summary'!B187</x:f>
        <x:v>Channel Isl. (UK)</x:v>
      </x:c>
      <x:c r="C187" s="25" t="str">
        <x:f>'Summary'!C187</x:f>
        <x:v>EEZ</x:v>
      </x:c>
      <x:c r="D187" s="32" t="n">
        <x:f>'Summary'!E187</x:f>
        <x:v>13336.3851663309</x:v>
      </x:c>
      <x:c r="E187" s="32" t="n">
        <x:f>'Summary'!K187</x:f>
        <x:v>7600928.524628068</x:v>
      </x:c>
      <x:c r="F187" s="34" t="n">
        <x:f>IF(SUM($E$2:$E$283)=0,"",E187/SUM($E$2:$E$283))</x:f>
        <x:v>0.0001143991516769407</x:v>
      </x:c>
      <x:c r="G187" s="35" t="n">
        <x:f>RANK(E187,$E$2:$E$283,0)+COUNTIF($E$2:E187,E187)-1</x:f>
        <x:v>186</x:v>
      </x:c>
      <x:c r="H187" s="34" t="n">
        <x:f>IF(SUM($E$2:$E$283)=0,"",SUM($F$2:F187))</x:f>
        <x:v>0.997140865607261</x:v>
      </x:c>
      <x:c r="I187" s="25" t="b">
        <x:f>INDEX('EEZ Selection Flags'!$L$2:$L$283,MATCH(A187,'EEZ Selection Flags'!$A$2:$A$283,0))</x:f>
        <x:v>0</x:v>
      </x:c>
      <x:c r="J187" s="25" t="b">
        <x:f>INDEX('EEZ Selection Flags'!$M$2:$M$283,MATCH(A187,'EEZ Selection Flags'!$A$2:$A$283,0))</x:f>
        <x:v>0</x:v>
      </x:c>
      <x:c r="K187" s="25" t="b">
        <x:f>INDEX('EEZ Selection Flags'!$N$2:$N$283,MATCH(A187,'EEZ Selection Flags'!$A$2:$A$283,0))</x:f>
        <x:v>0</x:v>
      </x:c>
    </x:row>
    <x:row r="188" ht="18" customHeight="1">
      <x:c r="A188" s="25" t="str">
        <x:f>'Summary'!A188</x:f>
        <x:v>EEZ_308</x:v>
      </x:c>
      <x:c r="B188" s="25" t="str">
        <x:f>'Summary'!B188</x:f>
        <x:v>Grenada</x:v>
      </x:c>
      <x:c r="C188" s="25" t="str">
        <x:f>'Summary'!C188</x:f>
        <x:v>EEZ</x:v>
      </x:c>
      <x:c r="D188" s="32" t="n">
        <x:f>'Summary'!E188</x:f>
        <x:v>3717.1043054865995</x:v>
      </x:c>
      <x:c r="E188" s="32" t="n">
        <x:f>'Summary'!K188</x:f>
        <x:v>7313275.919097777</x:v>
      </x:c>
      <x:c r="F188" s="34" t="n">
        <x:f>IF(SUM($E$2:$E$283)=0,"",E188/SUM($E$2:$E$283))</x:f>
        <x:v>0.00011006978402880364</x:v>
      </x:c>
      <x:c r="G188" s="35" t="n">
        <x:f>RANK(E188,$E$2:$E$283,0)+COUNTIF($E$2:E188,E188)-1</x:f>
        <x:v>187</x:v>
      </x:c>
      <x:c r="H188" s="34" t="n">
        <x:f>IF(SUM($E$2:$E$283)=0,"",SUM($F$2:F188))</x:f>
        <x:v>0.9972509353912898</x:v>
      </x:c>
      <x:c r="I188" s="25" t="b">
        <x:f>INDEX('EEZ Selection Flags'!$L$2:$L$283,MATCH(A188,'EEZ Selection Flags'!$A$2:$A$283,0))</x:f>
        <x:v>0</x:v>
      </x:c>
      <x:c r="J188" s="25" t="b">
        <x:f>INDEX('EEZ Selection Flags'!$M$2:$M$283,MATCH(A188,'EEZ Selection Flags'!$A$2:$A$283,0))</x:f>
        <x:v>0</x:v>
      </x:c>
      <x:c r="K188" s="25" t="b">
        <x:f>INDEX('EEZ Selection Flags'!$N$2:$N$283,MATCH(A188,'EEZ Selection Flags'!$A$2:$A$283,0))</x:f>
        <x:v>0</x:v>
      </x:c>
    </x:row>
    <x:row r="189" ht="18" customHeight="1">
      <x:c r="A189" s="25" t="str">
        <x:f>'Summary'!A189</x:f>
        <x:v>EEZ_153</x:v>
      </x:c>
      <x:c r="B189" s="25" t="str">
        <x:f>'Summary'!B189</x:f>
        <x:v>Easter Isl. (Chile)</x:v>
      </x:c>
      <x:c r="C189" s="25" t="str">
        <x:f>'Summary'!C189</x:f>
        <x:v>EEZ</x:v>
      </x:c>
      <x:c r="D189" s="32" t="n">
        <x:f>'Summary'!E189</x:f>
        <x:v>3582.4039295135995</x:v>
      </x:c>
      <x:c r="E189" s="32" t="n">
        <x:f>'Summary'!K189</x:f>
        <x:v>7297323.667236304</x:v>
      </x:c>
      <x:c r="F189" s="34" t="n">
        <x:f>IF(SUM($E$2:$E$283)=0,"",E189/SUM($E$2:$E$283))</x:f>
        <x:v>0.0001098296917723936</x:v>
      </x:c>
      <x:c r="G189" s="35" t="n">
        <x:f>RANK(E189,$E$2:$E$283,0)+COUNTIF($E$2:E189,E189)-1</x:f>
        <x:v>188</x:v>
      </x:c>
      <x:c r="H189" s="34" t="n">
        <x:f>IF(SUM($E$2:$E$283)=0,"",SUM($F$2:F189))</x:f>
        <x:v>0.9973607650830623</x:v>
      </x:c>
      <x:c r="I189" s="25" t="b">
        <x:f>INDEX('EEZ Selection Flags'!$L$2:$L$283,MATCH(A189,'EEZ Selection Flags'!$A$2:$A$283,0))</x:f>
        <x:v>1</x:v>
      </x:c>
      <x:c r="J189" s="25" t="b">
        <x:f>INDEX('EEZ Selection Flags'!$M$2:$M$283,MATCH(A189,'EEZ Selection Flags'!$A$2:$A$283,0))</x:f>
        <x:v>0</x:v>
      </x:c>
      <x:c r="K189" s="25" t="b">
        <x:f>INDEX('EEZ Selection Flags'!$N$2:$N$283,MATCH(A189,'EEZ Selection Flags'!$A$2:$A$283,0))</x:f>
        <x:v>0</x:v>
      </x:c>
    </x:row>
    <x:row r="190" ht="18" customHeight="1">
      <x:c r="A190" s="25" t="str">
        <x:f>'Summary'!A190</x:f>
        <x:v>EEZ_915</x:v>
      </x:c>
      <x:c r="B190" s="25" t="str">
        <x:f>'Summary'!B190</x:f>
        <x:v>Sweden (West Coast)</x:v>
      </x:c>
      <x:c r="C190" s="25" t="str">
        <x:f>'Summary'!C190</x:f>
        <x:v>EEZ</x:v>
      </x:c>
      <x:c r="D190" s="32" t="n">
        <x:f>'Summary'!E190</x:f>
        <x:v>14482.041987962604</x:v>
      </x:c>
      <x:c r="E190" s="32" t="n">
        <x:f>'Summary'!K190</x:f>
        <x:v>7256163.265204381</x:v>
      </x:c>
      <x:c r="F190" s="34" t="n">
        <x:f>IF(SUM($E$2:$E$283)=0,"",E190/SUM($E$2:$E$283))</x:f>
        <x:v>0.00010921019968535753</x:v>
      </x:c>
      <x:c r="G190" s="35" t="n">
        <x:f>RANK(E190,$E$2:$E$283,0)+COUNTIF($E$2:E190,E190)-1</x:f>
        <x:v>189</x:v>
      </x:c>
      <x:c r="H190" s="34" t="n">
        <x:f>IF(SUM($E$2:$E$283)=0,"",SUM($F$2:F190))</x:f>
        <x:v>0.9974699752827476</x:v>
      </x:c>
      <x:c r="I190" s="25" t="b">
        <x:f>INDEX('EEZ Selection Flags'!$L$2:$L$283,MATCH(A190,'EEZ Selection Flags'!$A$2:$A$283,0))</x:f>
        <x:v>0</x:v>
      </x:c>
      <x:c r="J190" s="25" t="b">
        <x:f>INDEX('EEZ Selection Flags'!$M$2:$M$283,MATCH(A190,'EEZ Selection Flags'!$A$2:$A$283,0))</x:f>
        <x:v>0</x:v>
      </x:c>
      <x:c r="K190" s="25" t="b">
        <x:f>INDEX('EEZ Selection Flags'!$N$2:$N$283,MATCH(A190,'EEZ Selection Flags'!$A$2:$A$283,0))</x:f>
        <x:v>0</x:v>
      </x:c>
    </x:row>
    <x:row r="191" ht="18" customHeight="1">
      <x:c r="A191" s="25" t="str">
        <x:f>'Summary'!A191</x:f>
        <x:v>EEZ_921</x:v>
      </x:c>
      <x:c r="B191" s="25" t="str">
        <x:f>'Summary'!B191</x:f>
        <x:v>Honduras (Caribbean)</x:v>
      </x:c>
      <x:c r="C191" s="25" t="str">
        <x:f>'Summary'!C191</x:f>
        <x:v>EEZ</x:v>
      </x:c>
      <x:c r="D191" s="32" t="n">
        <x:f>'Summary'!E191</x:f>
        <x:v>21241.895209552</x:v>
      </x:c>
      <x:c r="E191" s="32" t="n">
        <x:f>'Summary'!K191</x:f>
        <x:v>7201096.133289953</x:v>
      </x:c>
      <x:c r="F191" s="34" t="n">
        <x:f>IF(SUM($E$2:$E$283)=0,"",E191/SUM($E$2:$E$283))</x:f>
        <x:v>0.00010838140184100455</x:v>
      </x:c>
      <x:c r="G191" s="35" t="n">
        <x:f>RANK(E191,$E$2:$E$283,0)+COUNTIF($E$2:E191,E191)-1</x:f>
        <x:v>190</x:v>
      </x:c>
      <x:c r="H191" s="34" t="n">
        <x:f>IF(SUM($E$2:$E$283)=0,"",SUM($F$2:F191))</x:f>
        <x:v>0.9975783566845886</x:v>
      </x:c>
      <x:c r="I191" s="25" t="b">
        <x:f>INDEX('EEZ Selection Flags'!$L$2:$L$283,MATCH(A191,'EEZ Selection Flags'!$A$2:$A$283,0))</x:f>
        <x:v>0</x:v>
      </x:c>
      <x:c r="J191" s="25" t="b">
        <x:f>INDEX('EEZ Selection Flags'!$M$2:$M$283,MATCH(A191,'EEZ Selection Flags'!$A$2:$A$283,0))</x:f>
        <x:v>0</x:v>
      </x:c>
      <x:c r="K191" s="25" t="b">
        <x:f>INDEX('EEZ Selection Flags'!$N$2:$N$283,MATCH(A191,'EEZ Selection Flags'!$A$2:$A$283,0))</x:f>
        <x:v>0</x:v>
      </x:c>
    </x:row>
    <x:row r="192" ht="18" customHeight="1">
      <x:c r="A192" s="25" t="str">
        <x:f>'Summary'!A192</x:f>
        <x:v>EEZ_626</x:v>
      </x:c>
      <x:c r="B192" s="25" t="str">
        <x:f>'Summary'!B192</x:f>
        <x:v>Timor Leste</x:v>
      </x:c>
      <x:c r="C192" s="25" t="str">
        <x:f>'Summary'!C192</x:f>
        <x:v>EEZ</x:v>
      </x:c>
      <x:c r="D192" s="32" t="n">
        <x:f>'Summary'!E192</x:f>
        <x:v>6740.4405352820995</x:v>
      </x:c>
      <x:c r="E192" s="32" t="n">
        <x:f>'Summary'!K192</x:f>
        <x:v>7104836.656840956</x:v>
      </x:c>
      <x:c r="F192" s="34" t="n">
        <x:f>IF(SUM($E$2:$E$283)=0,"",E192/SUM($E$2:$E$283))</x:f>
        <x:v>0.00010693263115319302</x:v>
      </x:c>
      <x:c r="G192" s="35" t="n">
        <x:f>RANK(E192,$E$2:$E$283,0)+COUNTIF($E$2:E192,E192)-1</x:f>
        <x:v>191</x:v>
      </x:c>
      <x:c r="H192" s="34" t="n">
        <x:f>IF(SUM($E$2:$E$283)=0,"",SUM($F$2:F192))</x:f>
        <x:v>0.9976852893157419</x:v>
      </x:c>
      <x:c r="I192" s="25" t="b">
        <x:f>INDEX('EEZ Selection Flags'!$L$2:$L$283,MATCH(A192,'EEZ Selection Flags'!$A$2:$A$283,0))</x:f>
        <x:v>0</x:v>
      </x:c>
      <x:c r="J192" s="25" t="b">
        <x:f>INDEX('EEZ Selection Flags'!$M$2:$M$283,MATCH(A192,'EEZ Selection Flags'!$A$2:$A$283,0))</x:f>
        <x:v>0</x:v>
      </x:c>
      <x:c r="K192" s="25" t="b">
        <x:f>INDEX('EEZ Selection Flags'!$N$2:$N$283,MATCH(A192,'EEZ Selection Flags'!$A$2:$A$283,0))</x:f>
        <x:v>0</x:v>
      </x:c>
    </x:row>
    <x:row r="193" ht="18" customHeight="1">
      <x:c r="A193" s="25" t="str">
        <x:f>'Summary'!A193</x:f>
        <x:v>EEZ_368</x:v>
      </x:c>
      <x:c r="B193" s="25" t="str">
        <x:f>'Summary'!B193</x:f>
        <x:v>Iraq</x:v>
      </x:c>
      <x:c r="C193" s="25" t="str">
        <x:f>'Summary'!C193</x:f>
        <x:v>EEZ</x:v>
      </x:c>
      <x:c r="D193" s="32" t="n">
        <x:f>'Summary'!E193</x:f>
        <x:v>17378.277221609</x:v>
      </x:c>
      <x:c r="E193" s="32" t="n">
        <x:f>'Summary'!K193</x:f>
        <x:v>6545752.48582018</x:v>
      </x:c>
      <x:c r="F193" s="34" t="n">
        <x:f>IF(SUM($E$2:$E$283)=0,"",E193/SUM($E$2:$E$283))</x:f>
        <x:v>0.00009851803355849822</x:v>
      </x:c>
      <x:c r="G193" s="35" t="n">
        <x:f>RANK(E193,$E$2:$E$283,0)+COUNTIF($E$2:E193,E193)-1</x:f>
        <x:v>192</x:v>
      </x:c>
      <x:c r="H193" s="34" t="n">
        <x:f>IF(SUM($E$2:$E$283)=0,"",SUM($F$2:F193))</x:f>
        <x:v>0.9977838073493004</x:v>
      </x:c>
      <x:c r="I193" s="25" t="b">
        <x:f>INDEX('EEZ Selection Flags'!$L$2:$L$283,MATCH(A193,'EEZ Selection Flags'!$A$2:$A$283,0))</x:f>
        <x:v>0</x:v>
      </x:c>
      <x:c r="J193" s="25" t="b">
        <x:f>INDEX('EEZ Selection Flags'!$M$2:$M$283,MATCH(A193,'EEZ Selection Flags'!$A$2:$A$283,0))</x:f>
        <x:v>0</x:v>
      </x:c>
      <x:c r="K193" s="25" t="b">
        <x:f>INDEX('EEZ Selection Flags'!$N$2:$N$283,MATCH(A193,'EEZ Selection Flags'!$A$2:$A$283,0))</x:f>
        <x:v>0</x:v>
      </x:c>
    </x:row>
    <x:row r="194" ht="18" customHeight="1">
      <x:c r="A194" s="25" t="str">
        <x:f>'Summary'!A194</x:f>
        <x:v>EEZ_262</x:v>
      </x:c>
      <x:c r="B194" s="25" t="str">
        <x:f>'Summary'!B194</x:f>
        <x:v>Djibouti</x:v>
      </x:c>
      <x:c r="C194" s="25" t="str">
        <x:f>'Summary'!C194</x:f>
        <x:v>EEZ</x:v>
      </x:c>
      <x:c r="D194" s="32" t="n">
        <x:f>'Summary'!E194</x:f>
        <x:v>3605.053587344</x:v>
      </x:c>
      <x:c r="E194" s="32" t="n">
        <x:f>'Summary'!K194</x:f>
        <x:v>6543782.7076633</x:v>
      </x:c>
      <x:c r="F194" s="34" t="n">
        <x:f>IF(SUM($E$2:$E$283)=0,"",E194/SUM($E$2:$E$283))</x:f>
        <x:v>0.00009848838705552051</x:v>
      </x:c>
      <x:c r="G194" s="35" t="n">
        <x:f>RANK(E194,$E$2:$E$283,0)+COUNTIF($E$2:E194,E194)-1</x:f>
        <x:v>193</x:v>
      </x:c>
      <x:c r="H194" s="34" t="n">
        <x:f>IF(SUM($E$2:$E$283)=0,"",SUM($F$2:F194))</x:f>
        <x:v>0.9978822957363559</x:v>
      </x:c>
      <x:c r="I194" s="25" t="b">
        <x:f>INDEX('EEZ Selection Flags'!$L$2:$L$283,MATCH(A194,'EEZ Selection Flags'!$A$2:$A$283,0))</x:f>
        <x:v>0</x:v>
      </x:c>
      <x:c r="J194" s="25" t="b">
        <x:f>INDEX('EEZ Selection Flags'!$M$2:$M$283,MATCH(A194,'EEZ Selection Flags'!$A$2:$A$283,0))</x:f>
        <x:v>0</x:v>
      </x:c>
      <x:c r="K194" s="25" t="b">
        <x:f>INDEX('EEZ Selection Flags'!$N$2:$N$283,MATCH(A194,'EEZ Selection Flags'!$A$2:$A$283,0))</x:f>
        <x:v>0</x:v>
      </x:c>
    </x:row>
    <x:row r="195" ht="18" customHeight="1">
      <x:c r="A195" s="25" t="str">
        <x:f>'Summary'!A195</x:f>
        <x:v>EEZ_344</x:v>
      </x:c>
      <x:c r="B195" s="25" t="str">
        <x:f>'Summary'!B195</x:f>
        <x:v>Hong Kong (China)</x:v>
      </x:c>
      <x:c r="C195" s="25" t="str">
        <x:f>'Summary'!C195</x:f>
        <x:v>EEZ</x:v>
      </x:c>
      <x:c r="D195" s="32" t="n">
        <x:f>'Summary'!E195</x:f>
        <x:v>13460.850930421202</x:v>
      </x:c>
      <x:c r="E195" s="32" t="n">
        <x:f>'Summary'!K195</x:f>
        <x:v>5045326.844836413</x:v>
      </x:c>
      <x:c r="F195" s="34" t="n">
        <x:f>IF(SUM($E$2:$E$283)=0,"",E195/SUM($E$2:$E$283))</x:f>
        <x:v>0.00007593560564502537</x:v>
      </x:c>
      <x:c r="G195" s="35" t="n">
        <x:f>RANK(E195,$E$2:$E$283,0)+COUNTIF($E$2:E195,E195)-1</x:f>
        <x:v>194</x:v>
      </x:c>
      <x:c r="H195" s="34" t="n">
        <x:f>IF(SUM($E$2:$E$283)=0,"",SUM($F$2:F195))</x:f>
        <x:v>0.9979582313420009</x:v>
      </x:c>
      <x:c r="I195" s="25" t="b">
        <x:f>INDEX('EEZ Selection Flags'!$L$2:$L$283,MATCH(A195,'EEZ Selection Flags'!$A$2:$A$283,0))</x:f>
        <x:v>0</x:v>
      </x:c>
      <x:c r="J195" s="25" t="b">
        <x:f>INDEX('EEZ Selection Flags'!$M$2:$M$283,MATCH(A195,'EEZ Selection Flags'!$A$2:$A$283,0))</x:f>
        <x:v>0</x:v>
      </x:c>
      <x:c r="K195" s="25" t="b">
        <x:f>INDEX('EEZ Selection Flags'!$N$2:$N$283,MATCH(A195,'EEZ Selection Flags'!$A$2:$A$283,0))</x:f>
        <x:v>0</x:v>
      </x:c>
    </x:row>
    <x:row r="196" ht="18" customHeight="1">
      <x:c r="A196" s="25" t="str">
        <x:f>'Summary'!A196</x:f>
        <x:v>EEZ_100</x:v>
      </x:c>
      <x:c r="B196" s="25" t="str">
        <x:f>'Summary'!B196</x:f>
        <x:v>Bulgaria</x:v>
      </x:c>
      <x:c r="C196" s="25" t="str">
        <x:f>'Summary'!C196</x:f>
        <x:v>EEZ</x:v>
      </x:c>
      <x:c r="D196" s="32" t="n">
        <x:f>'Summary'!E196</x:f>
        <x:v>17051.512653486603</x:v>
      </x:c>
      <x:c r="E196" s="32" t="n">
        <x:f>'Summary'!K196</x:f>
        <x:v>4947572.629646991</x:v>
      </x:c>
      <x:c r="F196" s="34" t="n">
        <x:f>IF(SUM($E$2:$E$283)=0,"",E196/SUM($E$2:$E$283))</x:f>
        <x:v>0.00007446433812102742</x:v>
      </x:c>
      <x:c r="G196" s="35" t="n">
        <x:f>RANK(E196,$E$2:$E$283,0)+COUNTIF($E$2:E196,E196)-1</x:f>
        <x:v>195</x:v>
      </x:c>
      <x:c r="H196" s="34" t="n">
        <x:f>IF(SUM($E$2:$E$283)=0,"",SUM($F$2:F196))</x:f>
        <x:v>0.9980326956801219</x:v>
      </x:c>
      <x:c r="I196" s="25" t="b">
        <x:f>INDEX('EEZ Selection Flags'!$L$2:$L$283,MATCH(A196,'EEZ Selection Flags'!$A$2:$A$283,0))</x:f>
        <x:v>0</x:v>
      </x:c>
      <x:c r="J196" s="25" t="b">
        <x:f>INDEX('EEZ Selection Flags'!$M$2:$M$283,MATCH(A196,'EEZ Selection Flags'!$A$2:$A$283,0))</x:f>
        <x:v>0</x:v>
      </x:c>
      <x:c r="K196" s="25" t="b">
        <x:f>INDEX('EEZ Selection Flags'!$N$2:$N$283,MATCH(A196,'EEZ Selection Flags'!$A$2:$A$283,0))</x:f>
        <x:v>0</x:v>
      </x:c>
    </x:row>
    <x:row r="197" ht="18" customHeight="1">
      <x:c r="A197" s="25" t="str">
        <x:f>'Summary'!A197</x:f>
        <x:v>EEZ_254</x:v>
      </x:c>
      <x:c r="B197" s="25" t="str">
        <x:f>'Summary'!B197</x:f>
        <x:v>French Guiana</x:v>
      </x:c>
      <x:c r="C197" s="25" t="str">
        <x:f>'Summary'!C197</x:f>
        <x:v>EEZ</x:v>
      </x:c>
      <x:c r="D197" s="32" t="n">
        <x:f>'Summary'!E197</x:f>
        <x:v>6463.6550972397</x:v>
      </x:c>
      <x:c r="E197" s="32" t="n">
        <x:f>'Summary'!K197</x:f>
        <x:v>4898958.650204303</x:v>
      </x:c>
      <x:c r="F197" s="34" t="n">
        <x:f>IF(SUM($E$2:$E$283)=0,"",E197/SUM($E$2:$E$283))</x:f>
        <x:v>0.00007373266461694642</x:v>
      </x:c>
      <x:c r="G197" s="35" t="n">
        <x:f>RANK(E197,$E$2:$E$283,0)+COUNTIF($E$2:E197,E197)-1</x:f>
        <x:v>196</x:v>
      </x:c>
      <x:c r="H197" s="34" t="n">
        <x:f>IF(SUM($E$2:$E$283)=0,"",SUM($F$2:F197))</x:f>
        <x:v>0.9981064283447388</x:v>
      </x:c>
      <x:c r="I197" s="25" t="b">
        <x:f>INDEX('EEZ Selection Flags'!$L$2:$L$283,MATCH(A197,'EEZ Selection Flags'!$A$2:$A$283,0))</x:f>
        <x:v>0</x:v>
      </x:c>
      <x:c r="J197" s="25" t="b">
        <x:f>INDEX('EEZ Selection Flags'!$M$2:$M$283,MATCH(A197,'EEZ Selection Flags'!$A$2:$A$283,0))</x:f>
        <x:v>0</x:v>
      </x:c>
      <x:c r="K197" s="25" t="b">
        <x:f>INDEX('EEZ Selection Flags'!$N$2:$N$283,MATCH(A197,'EEZ Selection Flags'!$A$2:$A$283,0))</x:f>
        <x:v>0</x:v>
      </x:c>
    </x:row>
    <x:row r="198" ht="18" customHeight="1">
      <x:c r="A198" s="25" t="str">
        <x:f>'Summary'!A198</x:f>
        <x:v>EEZ_910</x:v>
      </x:c>
      <x:c r="B198" s="25" t="str">
        <x:f>'Summary'!B198</x:f>
        <x:v>South Orkney Islands (UK)</x:v>
      </x:c>
      <x:c r="C198" s="25" t="str">
        <x:f>'Summary'!C198</x:f>
        <x:v>EEZ</x:v>
      </x:c>
      <x:c r="D198" s="32" t="n">
        <x:f>'Summary'!E198</x:f>
        <x:v>267149.7089344195</x:v>
      </x:c>
      <x:c r="E198" s="32" t="n">
        <x:f>'Summary'!K198</x:f>
        <x:v>4841842.867915373</x:v>
      </x:c>
      <x:c r="F198" s="34" t="n">
        <x:f>IF(SUM($E$2:$E$283)=0,"",E198/SUM($E$2:$E$283))</x:f>
        <x:v>0.00007287303318901662</x:v>
      </x:c>
      <x:c r="G198" s="35" t="n">
        <x:f>RANK(E198,$E$2:$E$283,0)+COUNTIF($E$2:E198,E198)-1</x:f>
        <x:v>197</x:v>
      </x:c>
      <x:c r="H198" s="34" t="n">
        <x:f>IF(SUM($E$2:$E$283)=0,"",SUM($F$2:F198))</x:f>
        <x:v>0.9981793013779279</x:v>
      </x:c>
      <x:c r="I198" s="25" t="b">
        <x:f>INDEX('EEZ Selection Flags'!$L$2:$L$283,MATCH(A198,'EEZ Selection Flags'!$A$2:$A$283,0))</x:f>
        <x:v>1</x:v>
      </x:c>
      <x:c r="J198" s="25" t="b">
        <x:f>INDEX('EEZ Selection Flags'!$M$2:$M$283,MATCH(A198,'EEZ Selection Flags'!$A$2:$A$283,0))</x:f>
        <x:v>0</x:v>
      </x:c>
      <x:c r="K198" s="25" t="b">
        <x:f>INDEX('EEZ Selection Flags'!$N$2:$N$283,MATCH(A198,'EEZ Selection Flags'!$A$2:$A$283,0))</x:f>
        <x:v>0</x:v>
      </x:c>
    </x:row>
    <x:row r="199" ht="18" customHeight="1">
      <x:c r="A199" s="25" t="str">
        <x:f>'Summary'!A199</x:f>
        <x:v>EEZ_897</x:v>
      </x:c>
      <x:c r="B199" s="25" t="str">
        <x:f>'Summary'!B199</x:f>
        <x:v>Kerguelen Isl. (France)</x:v>
      </x:c>
      <x:c r="C199" s="25" t="str">
        <x:f>'Summary'!C199</x:f>
        <x:v>EEZ</x:v>
      </x:c>
      <x:c r="D199" s="32" t="n">
        <x:f>'Summary'!E199</x:f>
        <x:v>5596.068903000001</x:v>
      </x:c>
      <x:c r="E199" s="32" t="n">
        <x:f>'Summary'!K199</x:f>
        <x:v>4822911.269595499</x:v>
      </x:c>
      <x:c r="F199" s="34" t="n">
        <x:f>IF(SUM($E$2:$E$283)=0,"",E199/SUM($E$2:$E$283))</x:f>
        <x:v>0.00007258809973902234</x:v>
      </x:c>
      <x:c r="G199" s="35" t="n">
        <x:f>RANK(E199,$E$2:$E$283,0)+COUNTIF($E$2:E199,E199)-1</x:f>
        <x:v>198</x:v>
      </x:c>
      <x:c r="H199" s="34" t="n">
        <x:f>IF(SUM($E$2:$E$283)=0,"",SUM($F$2:F199))</x:f>
        <x:v>0.9982518894776669</x:v>
      </x:c>
      <x:c r="I199" s="25" t="b">
        <x:f>INDEX('EEZ Selection Flags'!$L$2:$L$283,MATCH(A199,'EEZ Selection Flags'!$A$2:$A$283,0))</x:f>
        <x:v>1</x:v>
      </x:c>
      <x:c r="J199" s="25" t="b">
        <x:f>INDEX('EEZ Selection Flags'!$M$2:$M$283,MATCH(A199,'EEZ Selection Flags'!$A$2:$A$283,0))</x:f>
        <x:v>0</x:v>
      </x:c>
      <x:c r="K199" s="25" t="b">
        <x:f>INDEX('EEZ Selection Flags'!$N$2:$N$283,MATCH(A199,'EEZ Selection Flags'!$A$2:$A$283,0))</x:f>
        <x:v>0</x:v>
      </x:c>
    </x:row>
    <x:row r="200" ht="18" customHeight="1">
      <x:c r="A200" s="25" t="str">
        <x:f>'Summary'!A200</x:f>
        <x:v>EEZ_920</x:v>
      </x:c>
      <x:c r="B200" s="25" t="str">
        <x:f>'Summary'!B200</x:f>
        <x:v>Honduras (Pacific)</x:v>
      </x:c>
      <x:c r="C200" s="25" t="str">
        <x:f>'Summary'!C200</x:f>
        <x:v>EEZ</x:v>
      </x:c>
      <x:c r="D200" s="32" t="n">
        <x:f>'Summary'!E200</x:f>
        <x:v>6195.853813315599</x:v>
      </x:c>
      <x:c r="E200" s="32" t="n">
        <x:f>'Summary'!K200</x:f>
        <x:v>4673613.720149462</x:v>
      </x:c>
      <x:c r="F200" s="34" t="n">
        <x:f>IF(SUM($E$2:$E$283)=0,"",E200/SUM($E$2:$E$283))</x:f>
        <x:v>0.00007034106992566036</x:v>
      </x:c>
      <x:c r="G200" s="35" t="n">
        <x:f>RANK(E200,$E$2:$E$283,0)+COUNTIF($E$2:E200,E200)-1</x:f>
        <x:v>199</x:v>
      </x:c>
      <x:c r="H200" s="34" t="n">
        <x:f>IF(SUM($E$2:$E$283)=0,"",SUM($F$2:F200))</x:f>
        <x:v>0.9983222305475925</x:v>
      </x:c>
      <x:c r="I200" s="25" t="b">
        <x:f>INDEX('EEZ Selection Flags'!$L$2:$L$283,MATCH(A200,'EEZ Selection Flags'!$A$2:$A$283,0))</x:f>
        <x:v>0</x:v>
      </x:c>
      <x:c r="J200" s="25" t="b">
        <x:f>INDEX('EEZ Selection Flags'!$M$2:$M$283,MATCH(A200,'EEZ Selection Flags'!$A$2:$A$283,0))</x:f>
        <x:v>0</x:v>
      </x:c>
      <x:c r="K200" s="25" t="b">
        <x:f>INDEX('EEZ Selection Flags'!$N$2:$N$283,MATCH(A200,'EEZ Selection Flags'!$A$2:$A$283,0))</x:f>
        <x:v>0</x:v>
      </x:c>
    </x:row>
    <x:row r="201" ht="18" customHeight="1">
      <x:c r="A201" s="25" t="str">
        <x:f>'Summary'!A201</x:f>
        <x:v>EEZ_239</x:v>
      </x:c>
      <x:c r="B201" s="25" t="str">
        <x:f>'Summary'!B201</x:f>
        <x:v>South Georgia &amp; Sandwich Isl. (UK)</x:v>
      </x:c>
      <x:c r="C201" s="25" t="str">
        <x:f>'Summary'!C201</x:f>
        <x:v>EEZ</x:v>
      </x:c>
      <x:c r="D201" s="32" t="n">
        <x:f>'Summary'!E201</x:f>
        <x:v>142823.95840618768</x:v>
      </x:c>
      <x:c r="E201" s="32" t="n">
        <x:f>'Summary'!K201</x:f>
        <x:v>4624410.7040542485</x:v>
      </x:c>
      <x:c r="F201" s="34" t="n">
        <x:f>IF(SUM($E$2:$E$283)=0,"",E201/SUM($E$2:$E$283))</x:f>
        <x:v>0.00006960053101873587</x:v>
      </x:c>
      <x:c r="G201" s="35" t="n">
        <x:f>RANK(E201,$E$2:$E$283,0)+COUNTIF($E$2:E201,E201)-1</x:f>
        <x:v>200</x:v>
      </x:c>
      <x:c r="H201" s="34" t="n">
        <x:f>IF(SUM($E$2:$E$283)=0,"",SUM($F$2:F201))</x:f>
        <x:v>0.9983918310786113</x:v>
      </x:c>
      <x:c r="I201" s="25" t="b">
        <x:f>INDEX('EEZ Selection Flags'!$L$2:$L$283,MATCH(A201,'EEZ Selection Flags'!$A$2:$A$283,0))</x:f>
        <x:v>1</x:v>
      </x:c>
      <x:c r="J201" s="25" t="b">
        <x:f>INDEX('EEZ Selection Flags'!$M$2:$M$283,MATCH(A201,'EEZ Selection Flags'!$A$2:$A$283,0))</x:f>
        <x:v>0</x:v>
      </x:c>
      <x:c r="K201" s="25" t="b">
        <x:f>INDEX('EEZ Selection Flags'!$N$2:$N$283,MATCH(A201,'EEZ Selection Flags'!$A$2:$A$283,0))</x:f>
        <x:v>0</x:v>
      </x:c>
    </x:row>
    <x:row r="202" ht="18" customHeight="1">
      <x:c r="A202" s="25" t="str">
        <x:f>'Summary'!A202</x:f>
        <x:v>EEZ_175</x:v>
      </x:c>
      <x:c r="B202" s="25" t="str">
        <x:f>'Summary'!B202</x:f>
        <x:v>Mayotte (France)</x:v>
      </x:c>
      <x:c r="C202" s="25" t="str">
        <x:f>'Summary'!C202</x:f>
        <x:v>EEZ</x:v>
      </x:c>
      <x:c r="D202" s="32" t="n">
        <x:f>'Summary'!E202</x:f>
        <x:v>2674.2376296267003</x:v>
      </x:c>
      <x:c r="E202" s="32" t="n">
        <x:f>'Summary'!K202</x:f>
        <x:v>4420008.906455407</x:v>
      </x:c>
      <x:c r="F202" s="34" t="n">
        <x:f>IF(SUM($E$2:$E$283)=0,"",E202/SUM($E$2:$E$283))</x:f>
        <x:v>0.00006652414473635158</x:v>
      </x:c>
      <x:c r="G202" s="35" t="n">
        <x:f>RANK(E202,$E$2:$E$283,0)+COUNTIF($E$2:E202,E202)-1</x:f>
        <x:v>201</x:v>
      </x:c>
      <x:c r="H202" s="34" t="n">
        <x:f>IF(SUM($E$2:$E$283)=0,"",SUM($F$2:F202))</x:f>
        <x:v>0.9984583552233477</x:v>
      </x:c>
      <x:c r="I202" s="25" t="b">
        <x:f>INDEX('EEZ Selection Flags'!$L$2:$L$283,MATCH(A202,'EEZ Selection Flags'!$A$2:$A$283,0))</x:f>
        <x:v>0</x:v>
      </x:c>
      <x:c r="J202" s="25" t="b">
        <x:f>INDEX('EEZ Selection Flags'!$M$2:$M$283,MATCH(A202,'EEZ Selection Flags'!$A$2:$A$283,0))</x:f>
        <x:v>0</x:v>
      </x:c>
      <x:c r="K202" s="25" t="b">
        <x:f>INDEX('EEZ Selection Flags'!$N$2:$N$283,MATCH(A202,'EEZ Selection Flags'!$A$2:$A$283,0))</x:f>
        <x:v>0</x:v>
      </x:c>
    </x:row>
    <x:row r="203" ht="18" customHeight="1">
      <x:c r="A203" s="25" t="str">
        <x:f>'Summary'!A203</x:f>
        <x:v>EEZ_970</x:v>
      </x:c>
      <x:c r="B203" s="25" t="str">
        <x:f>'Summary'!B203</x:f>
        <x:v>St Paul and St. Peter Archipelago (Brazil)</x:v>
      </x:c>
      <x:c r="C203" s="25" t="str">
        <x:f>'Summary'!C203</x:f>
        <x:v>EEZ</x:v>
      </x:c>
      <x:c r="D203" s="32" t="n">
        <x:f>'Summary'!E203</x:f>
        <x:v>6274.562444918601</x:v>
      </x:c>
      <x:c r="E203" s="32" t="n">
        <x:f>'Summary'!K203</x:f>
        <x:v>4397891.451362429</x:v>
      </x:c>
      <x:c r="F203" s="34" t="n">
        <x:f>IF(SUM($E$2:$E$283)=0,"",E203/SUM($E$2:$E$283))</x:f>
        <x:v>0.00006619126197187206</x:v>
      </x:c>
      <x:c r="G203" s="35" t="n">
        <x:f>RANK(E203,$E$2:$E$283,0)+COUNTIF($E$2:E203,E203)-1</x:f>
        <x:v>202</x:v>
      </x:c>
      <x:c r="H203" s="34" t="n">
        <x:f>IF(SUM($E$2:$E$283)=0,"",SUM($F$2:F203))</x:f>
        <x:v>0.9985245464853195</x:v>
      </x:c>
      <x:c r="I203" s="25" t="b">
        <x:f>INDEX('EEZ Selection Flags'!$L$2:$L$283,MATCH(A203,'EEZ Selection Flags'!$A$2:$A$283,0))</x:f>
        <x:v>1</x:v>
      </x:c>
      <x:c r="J203" s="25" t="b">
        <x:f>INDEX('EEZ Selection Flags'!$M$2:$M$283,MATCH(A203,'EEZ Selection Flags'!$A$2:$A$283,0))</x:f>
        <x:v>0</x:v>
      </x:c>
      <x:c r="K203" s="25" t="b">
        <x:f>INDEX('EEZ Selection Flags'!$N$2:$N$283,MATCH(A203,'EEZ Selection Flags'!$A$2:$A$283,0))</x:f>
        <x:v>0</x:v>
      </x:c>
    </x:row>
    <x:row r="204" ht="18" customHeight="1">
      <x:c r="A204" s="25" t="str">
        <x:f>'Summary'!A204</x:f>
        <x:v>EEZ_422</x:v>
      </x:c>
      <x:c r="B204" s="25" t="str">
        <x:f>'Summary'!B204</x:f>
        <x:v>Lebanon</x:v>
      </x:c>
      <x:c r="C204" s="25" t="str">
        <x:f>'Summary'!C204</x:f>
        <x:v>EEZ</x:v>
      </x:c>
      <x:c r="D204" s="32" t="n">
        <x:f>'Summary'!E204</x:f>
        <x:v>6487.446754114901</x:v>
      </x:c>
      <x:c r="E204" s="32" t="n">
        <x:f>'Summary'!K204</x:f>
        <x:v>4354101.235520945</x:v>
      </x:c>
      <x:c r="F204" s="34" t="n">
        <x:f>IF(SUM($E$2:$E$283)=0,"",E204/SUM($E$2:$E$283))</x:f>
        <x:v>0.00006553218939570136</x:v>
      </x:c>
      <x:c r="G204" s="35" t="n">
        <x:f>RANK(E204,$E$2:$E$283,0)+COUNTIF($E$2:E204,E204)-1</x:f>
        <x:v>203</x:v>
      </x:c>
      <x:c r="H204" s="34" t="n">
        <x:f>IF(SUM($E$2:$E$283)=0,"",SUM($F$2:F204))</x:f>
        <x:v>0.9985900786747153</x:v>
      </x:c>
      <x:c r="I204" s="25" t="b">
        <x:f>INDEX('EEZ Selection Flags'!$L$2:$L$283,MATCH(A204,'EEZ Selection Flags'!$A$2:$A$283,0))</x:f>
        <x:v>0</x:v>
      </x:c>
      <x:c r="J204" s="25" t="b">
        <x:f>INDEX('EEZ Selection Flags'!$M$2:$M$283,MATCH(A204,'EEZ Selection Flags'!$A$2:$A$283,0))</x:f>
        <x:v>0</x:v>
      </x:c>
      <x:c r="K204" s="25" t="b">
        <x:f>INDEX('EEZ Selection Flags'!$N$2:$N$283,MATCH(A204,'EEZ Selection Flags'!$A$2:$A$283,0))</x:f>
        <x:v>0</x:v>
      </x:c>
    </x:row>
    <x:row r="205" ht="18" customHeight="1">
      <x:c r="A205" s="25" t="str">
        <x:f>'Summary'!A205</x:f>
        <x:v>EEZ_977</x:v>
      </x:c>
      <x:c r="B205" s="25" t="str">
        <x:f>'Summary'!B205</x:f>
        <x:v>Yemen (Socotra)</x:v>
      </x:c>
      <x:c r="C205" s="25" t="str">
        <x:f>'Summary'!C205</x:f>
        <x:v>EEZ</x:v>
      </x:c>
      <x:c r="D205" s="32" t="n">
        <x:f>'Summary'!E205</x:f>
        <x:v>5568.2319259029</x:v>
      </x:c>
      <x:c r="E205" s="32" t="n">
        <x:f>'Summary'!K205</x:f>
        <x:v>4326547.356832713</x:v>
      </x:c>
      <x:c r="F205" s="34" t="n">
        <x:f>IF(SUM($E$2:$E$283)=0,"",E205/SUM($E$2:$E$283))</x:f>
        <x:v>0.00006511748475308702</x:v>
      </x:c>
      <x:c r="G205" s="35" t="n">
        <x:f>RANK(E205,$E$2:$E$283,0)+COUNTIF($E$2:E205,E205)-1</x:f>
        <x:v>204</x:v>
      </x:c>
      <x:c r="H205" s="34" t="n">
        <x:f>IF(SUM($E$2:$E$283)=0,"",SUM($F$2:F205))</x:f>
        <x:v>0.9986551961594684</x:v>
      </x:c>
      <x:c r="I205" s="25" t="b">
        <x:f>INDEX('EEZ Selection Flags'!$L$2:$L$283,MATCH(A205,'EEZ Selection Flags'!$A$2:$A$283,0))</x:f>
        <x:v>0</x:v>
      </x:c>
      <x:c r="J205" s="25" t="b">
        <x:f>INDEX('EEZ Selection Flags'!$M$2:$M$283,MATCH(A205,'EEZ Selection Flags'!$A$2:$A$283,0))</x:f>
        <x:v>0</x:v>
      </x:c>
      <x:c r="K205" s="25" t="b">
        <x:f>INDEX('EEZ Selection Flags'!$N$2:$N$283,MATCH(A205,'EEZ Selection Flags'!$A$2:$A$283,0))</x:f>
        <x:v>0</x:v>
      </x:c>
    </x:row>
    <x:row r="206" ht="18" customHeight="1">
      <x:c r="A206" s="25" t="str">
        <x:f>'Summary'!A206</x:f>
        <x:v>EEZ_967</x:v>
      </x:c>
      <x:c r="B206" s="25" t="str">
        <x:f>'Summary'!B206</x:f>
        <x:v>Aruba (Netherlands)</x:v>
      </x:c>
      <x:c r="C206" s="25" t="str">
        <x:f>'Summary'!C206</x:f>
        <x:v>EEZ</x:v>
      </x:c>
      <x:c r="D206" s="32" t="n">
        <x:f>'Summary'!E206</x:f>
        <x:v>2447.9523494379</x:v>
      </x:c>
      <x:c r="E206" s="32" t="n">
        <x:f>'Summary'!K206</x:f>
        <x:v>4042215.932560779</x:v>
      </x:c>
      <x:c r="F206" s="34" t="n">
        <x:f>IF(SUM($E$2:$E$283)=0,"",E206/SUM($E$2:$E$283))</x:f>
        <x:v>0.0000608381031451147</x:v>
      </x:c>
      <x:c r="G206" s="35" t="n">
        <x:f>RANK(E206,$E$2:$E$283,0)+COUNTIF($E$2:E206,E206)-1</x:f>
        <x:v>205</x:v>
      </x:c>
      <x:c r="H206" s="34" t="n">
        <x:f>IF(SUM($E$2:$E$283)=0,"",SUM($F$2:F206))</x:f>
        <x:v>0.9987160342626136</x:v>
      </x:c>
      <x:c r="I206" s="25" t="b">
        <x:f>INDEX('EEZ Selection Flags'!$L$2:$L$283,MATCH(A206,'EEZ Selection Flags'!$A$2:$A$283,0))</x:f>
        <x:v>0</x:v>
      </x:c>
      <x:c r="J206" s="25" t="b">
        <x:f>INDEX('EEZ Selection Flags'!$M$2:$M$283,MATCH(A206,'EEZ Selection Flags'!$A$2:$A$283,0))</x:f>
        <x:v>0</x:v>
      </x:c>
      <x:c r="K206" s="25" t="b">
        <x:f>INDEX('EEZ Selection Flags'!$N$2:$N$283,MATCH(A206,'EEZ Selection Flags'!$A$2:$A$283,0))</x:f>
        <x:v>0</x:v>
      </x:c>
    </x:row>
    <x:row r="207" ht="18" customHeight="1">
      <x:c r="A207" s="25" t="str">
        <x:f>'Summary'!A207</x:f>
        <x:v>EEZ_077</x:v>
      </x:c>
      <x:c r="B207" s="25" t="str">
        <x:f>'Summary'!B207</x:f>
        <x:v>Trindade &amp; Martim Vaz Isl. (Brazil)</x:v>
      </x:c>
      <x:c r="C207" s="25" t="str">
        <x:f>'Summary'!C207</x:f>
        <x:v>EEZ</x:v>
      </x:c>
      <x:c r="D207" s="32" t="n">
        <x:f>'Summary'!E207</x:f>
        <x:v>6471.8616207145</x:v>
      </x:c>
      <x:c r="E207" s="32" t="n">
        <x:f>'Summary'!K207</x:f>
        <x:v>3959781.188899115</x:v>
      </x:c>
      <x:c r="F207" s="34" t="n">
        <x:f>IF(SUM($E$2:$E$283)=0,"",E207/SUM($E$2:$E$283))</x:f>
        <x:v>0.00005959740410248531</x:v>
      </x:c>
      <x:c r="G207" s="35" t="n">
        <x:f>RANK(E207,$E$2:$E$283,0)+COUNTIF($E$2:E207,E207)-1</x:f>
        <x:v>206</x:v>
      </x:c>
      <x:c r="H207" s="34" t="n">
        <x:f>IF(SUM($E$2:$E$283)=0,"",SUM($F$2:F207))</x:f>
        <x:v>0.998775631666716</x:v>
      </x:c>
      <x:c r="I207" s="25" t="b">
        <x:f>INDEX('EEZ Selection Flags'!$L$2:$L$283,MATCH(A207,'EEZ Selection Flags'!$A$2:$A$283,0))</x:f>
        <x:v>1</x:v>
      </x:c>
      <x:c r="J207" s="25" t="b">
        <x:f>INDEX('EEZ Selection Flags'!$M$2:$M$283,MATCH(A207,'EEZ Selection Flags'!$A$2:$A$283,0))</x:f>
        <x:v>0</x:v>
      </x:c>
      <x:c r="K207" s="25" t="b">
        <x:f>INDEX('EEZ Selection Flags'!$N$2:$N$283,MATCH(A207,'EEZ Selection Flags'!$A$2:$A$283,0))</x:f>
        <x:v>0</x:v>
      </x:c>
    </x:row>
    <x:row r="208" ht="18" customHeight="1">
      <x:c r="A208" s="25" t="str">
        <x:f>'Summary'!A208</x:f>
        <x:v>EEZ_316</x:v>
      </x:c>
      <x:c r="B208" s="25" t="str">
        <x:f>'Summary'!B208</x:f>
        <x:v>Guam (USA)</x:v>
      </x:c>
      <x:c r="C208" s="25" t="str">
        <x:f>'Summary'!C208</x:f>
        <x:v>EEZ</x:v>
      </x:c>
      <x:c r="D208" s="32" t="n">
        <x:f>'Summary'!E208</x:f>
        <x:v>1385.0534596170999</x:v>
      </x:c>
      <x:c r="E208" s="32" t="n">
        <x:f>'Summary'!K208</x:f>
        <x:v>3197466.711028016</x:v>
      </x:c>
      <x:c r="F208" s="34" t="n">
        <x:f>IF(SUM($E$2:$E$283)=0,"",E208/SUM($E$2:$E$283))</x:f>
        <x:v>0.00004812405195913372</x:v>
      </x:c>
      <x:c r="G208" s="35" t="n">
        <x:f>RANK(E208,$E$2:$E$283,0)+COUNTIF($E$2:E208,E208)-1</x:f>
        <x:v>207</x:v>
      </x:c>
      <x:c r="H208" s="34" t="n">
        <x:f>IF(SUM($E$2:$E$283)=0,"",SUM($F$2:F208))</x:f>
        <x:v>0.9988237557186751</x:v>
      </x:c>
      <x:c r="I208" s="25" t="b">
        <x:f>INDEX('EEZ Selection Flags'!$L$2:$L$283,MATCH(A208,'EEZ Selection Flags'!$A$2:$A$283,0))</x:f>
        <x:v>1</x:v>
      </x:c>
      <x:c r="J208" s="25" t="b">
        <x:f>INDEX('EEZ Selection Flags'!$M$2:$M$283,MATCH(A208,'EEZ Selection Flags'!$A$2:$A$283,0))</x:f>
        <x:v>0</x:v>
      </x:c>
      <x:c r="K208" s="25" t="b">
        <x:f>INDEX('EEZ Selection Flags'!$N$2:$N$283,MATCH(A208,'EEZ Selection Flags'!$A$2:$A$283,0))</x:f>
        <x:v>0</x:v>
      </x:c>
    </x:row>
    <x:row r="209" ht="18" customHeight="1">
      <x:c r="A209" s="25" t="str">
        <x:f>'Summary'!A209</x:f>
        <x:v>EEZ_084</x:v>
      </x:c>
      <x:c r="B209" s="25" t="str">
        <x:f>'Summary'!B209</x:f>
        <x:v>Belize</x:v>
      </x:c>
      <x:c r="C209" s="25" t="str">
        <x:f>'Summary'!C209</x:f>
        <x:v>EEZ</x:v>
      </x:c>
      <x:c r="D209" s="32" t="n">
        <x:f>'Summary'!E209</x:f>
        <x:v>7918.6908172124995</x:v>
      </x:c>
      <x:c r="E209" s="32" t="n">
        <x:f>'Summary'!K209</x:f>
        <x:v>3161605.34747039</x:v>
      </x:c>
      <x:c r="F209" s="34" t="n">
        <x:f>IF(SUM($E$2:$E$283)=0,"",E209/SUM($E$2:$E$283))</x:f>
        <x:v>0.000047584314010582026</x:v>
      </x:c>
      <x:c r="G209" s="35" t="n">
        <x:f>RANK(E209,$E$2:$E$283,0)+COUNTIF($E$2:E209,E209)-1</x:f>
        <x:v>208</x:v>
      </x:c>
      <x:c r="H209" s="34" t="n">
        <x:f>IF(SUM($E$2:$E$283)=0,"",SUM($F$2:F209))</x:f>
        <x:v>0.9988713400326856</x:v>
      </x:c>
      <x:c r="I209" s="25" t="b">
        <x:f>INDEX('EEZ Selection Flags'!$L$2:$L$283,MATCH(A209,'EEZ Selection Flags'!$A$2:$A$283,0))</x:f>
        <x:v>0</x:v>
      </x:c>
      <x:c r="J209" s="25" t="b">
        <x:f>INDEX('EEZ Selection Flags'!$M$2:$M$283,MATCH(A209,'EEZ Selection Flags'!$A$2:$A$283,0))</x:f>
        <x:v>0</x:v>
      </x:c>
      <x:c r="K209" s="25" t="b">
        <x:f>INDEX('EEZ Selection Flags'!$N$2:$N$283,MATCH(A209,'EEZ Selection Flags'!$A$2:$A$283,0))</x:f>
        <x:v>0</x:v>
      </x:c>
    </x:row>
    <x:row r="210" ht="18" customHeight="1">
      <x:c r="A210" s="25" t="str">
        <x:f>'Summary'!A210</x:f>
        <x:v>EEZ_212</x:v>
      </x:c>
      <x:c r="B210" s="25" t="str">
        <x:f>'Summary'!B210</x:f>
        <x:v>Dominica</x:v>
      </x:c>
      <x:c r="C210" s="25" t="str">
        <x:f>'Summary'!C210</x:f>
        <x:v>EEZ</x:v>
      </x:c>
      <x:c r="D210" s="32" t="n">
        <x:f>'Summary'!E210</x:f>
        <x:v>1874.1702079981997</x:v>
      </x:c>
      <x:c r="E210" s="32" t="n">
        <x:f>'Summary'!K210</x:f>
        <x:v>3053112.649782929</x:v>
      </x:c>
      <x:c r="F210" s="34" t="n">
        <x:f>IF(SUM($E$2:$E$283)=0,"",E210/SUM($E$2:$E$283))</x:f>
        <x:v>0.00004595142501045877</x:v>
      </x:c>
      <x:c r="G210" s="35" t="n">
        <x:f>RANK(E210,$E$2:$E$283,0)+COUNTIF($E$2:E210,E210)-1</x:f>
        <x:v>209</x:v>
      </x:c>
      <x:c r="H210" s="34" t="n">
        <x:f>IF(SUM($E$2:$E$283)=0,"",SUM($F$2:F210))</x:f>
        <x:v>0.998917291457696</x:v>
      </x:c>
      <x:c r="I210" s="25" t="b">
        <x:f>INDEX('EEZ Selection Flags'!$L$2:$L$283,MATCH(A210,'EEZ Selection Flags'!$A$2:$A$283,0))</x:f>
        <x:v>0</x:v>
      </x:c>
      <x:c r="J210" s="25" t="b">
        <x:f>INDEX('EEZ Selection Flags'!$M$2:$M$283,MATCH(A210,'EEZ Selection Flags'!$A$2:$A$283,0))</x:f>
        <x:v>0</x:v>
      </x:c>
      <x:c r="K210" s="25" t="b">
        <x:f>INDEX('EEZ Selection Flags'!$N$2:$N$283,MATCH(A210,'EEZ Selection Flags'!$A$2:$A$283,0))</x:f>
        <x:v>0</x:v>
      </x:c>
    </x:row>
    <x:row r="211" ht="18" customHeight="1">
      <x:c r="A211" s="25" t="str">
        <x:f>'Summary'!A211</x:f>
        <x:v>EEZ_312</x:v>
      </x:c>
      <x:c r="B211" s="25" t="str">
        <x:f>'Summary'!B211</x:f>
        <x:v>Guadeloupe  (France)</x:v>
      </x:c>
      <x:c r="C211" s="25" t="str">
        <x:f>'Summary'!C211</x:f>
        <x:v>EEZ</x:v>
      </x:c>
      <x:c r="D211" s="32" t="n">
        <x:f>'Summary'!E211</x:f>
        <x:v>5032.7505711547</x:v>
      </x:c>
      <x:c r="E211" s="32" t="n">
        <x:f>'Summary'!K211</x:f>
        <x:v>3035680.419758</x:v>
      </x:c>
      <x:c r="F211" s="34" t="n">
        <x:f>IF(SUM($E$2:$E$283)=0,"",E211/SUM($E$2:$E$283))</x:f>
        <x:v>0.00004568905807459986</x:v>
      </x:c>
      <x:c r="G211" s="35" t="n">
        <x:f>RANK(E211,$E$2:$E$283,0)+COUNTIF($E$2:E211,E211)-1</x:f>
        <x:v>210</x:v>
      </x:c>
      <x:c r="H211" s="34" t="n">
        <x:f>IF(SUM($E$2:$E$283)=0,"",SUM($F$2:F211))</x:f>
        <x:v>0.9989629805157706</x:v>
      </x:c>
      <x:c r="I211" s="25" t="b">
        <x:f>INDEX('EEZ Selection Flags'!$L$2:$L$283,MATCH(A211,'EEZ Selection Flags'!$A$2:$A$283,0))</x:f>
        <x:v>0</x:v>
      </x:c>
      <x:c r="J211" s="25" t="b">
        <x:f>INDEX('EEZ Selection Flags'!$M$2:$M$283,MATCH(A211,'EEZ Selection Flags'!$A$2:$A$283,0))</x:f>
        <x:v>0</x:v>
      </x:c>
      <x:c r="K211" s="25" t="b">
        <x:f>INDEX('EEZ Selection Flags'!$N$2:$N$283,MATCH(A211,'EEZ Selection Flags'!$A$2:$A$283,0))</x:f>
        <x:v>0</x:v>
      </x:c>
    </x:row>
    <x:row r="212" ht="18" customHeight="1">
      <x:c r="A212" s="25" t="str">
        <x:f>'Summary'!A212</x:f>
        <x:v>EEZ_334</x:v>
      </x:c>
      <x:c r="B212" s="25" t="str">
        <x:f>'Summary'!B212</x:f>
        <x:v>Heard &amp; McDonald Isl. (Australia)</x:v>
      </x:c>
      <x:c r="C212" s="25" t="str">
        <x:f>'Summary'!C212</x:f>
        <x:v>EEZ</x:v>
      </x:c>
      <x:c r="D212" s="32" t="n">
        <x:f>'Summary'!E212</x:f>
        <x:v>4250.4902151652</x:v>
      </x:c>
      <x:c r="E212" s="32" t="n">
        <x:f>'Summary'!K212</x:f>
        <x:v>3029959.8663934683</x:v>
      </x:c>
      <x:c r="F212" s="34" t="n">
        <x:f>IF(SUM($E$2:$E$283)=0,"",E212/SUM($E$2:$E$283))</x:f>
        <x:v>0.0000456029598499021</x:v>
      </x:c>
      <x:c r="G212" s="35" t="n">
        <x:f>RANK(E212,$E$2:$E$283,0)+COUNTIF($E$2:E212,E212)-1</x:f>
        <x:v>211</x:v>
      </x:c>
      <x:c r="H212" s="34" t="n">
        <x:f>IF(SUM($E$2:$E$283)=0,"",SUM($F$2:F212))</x:f>
        <x:v>0.9990085834756205</x:v>
      </x:c>
      <x:c r="I212" s="25" t="b">
        <x:f>INDEX('EEZ Selection Flags'!$L$2:$L$283,MATCH(A212,'EEZ Selection Flags'!$A$2:$A$283,0))</x:f>
        <x:v>1</x:v>
      </x:c>
      <x:c r="J212" s="25" t="b">
        <x:f>INDEX('EEZ Selection Flags'!$M$2:$M$283,MATCH(A212,'EEZ Selection Flags'!$A$2:$A$283,0))</x:f>
        <x:v>0</x:v>
      </x:c>
      <x:c r="K212" s="25" t="b">
        <x:f>INDEX('EEZ Selection Flags'!$N$2:$N$283,MATCH(A212,'EEZ Selection Flags'!$A$2:$A$283,0))</x:f>
        <x:v>0</x:v>
      </x:c>
    </x:row>
    <x:row r="213" ht="18" customHeight="1">
      <x:c r="A213" s="25" t="str">
        <x:f>'Summary'!A213</x:f>
        <x:v>EEZ_760</x:v>
      </x:c>
      <x:c r="B213" s="25" t="str">
        <x:f>'Summary'!B213</x:f>
        <x:v>Syria</x:v>
      </x:c>
      <x:c r="C213" s="25" t="str">
        <x:f>'Summary'!C213</x:f>
        <x:v>EEZ</x:v>
      </x:c>
      <x:c r="D213" s="32" t="n">
        <x:f>'Summary'!E213</x:f>
        <x:v>4003.3374784953</x:v>
      </x:c>
      <x:c r="E213" s="32" t="n">
        <x:f>'Summary'!K213</x:f>
        <x:v>3019943.8712182636</x:v>
      </x:c>
      <x:c r="F213" s="34" t="n">
        <x:f>IF(SUM($E$2:$E$283)=0,"",E213/SUM($E$2:$E$283))</x:f>
        <x:v>0.00004545221230010853</x:v>
      </x:c>
      <x:c r="G213" s="35" t="n">
        <x:f>RANK(E213,$E$2:$E$283,0)+COUNTIF($E$2:E213,E213)-1</x:f>
        <x:v>212</x:v>
      </x:c>
      <x:c r="H213" s="34" t="n">
        <x:f>IF(SUM($E$2:$E$283)=0,"",SUM($F$2:F213))</x:f>
        <x:v>0.9990540356879206</x:v>
      </x:c>
      <x:c r="I213" s="25" t="b">
        <x:f>INDEX('EEZ Selection Flags'!$L$2:$L$283,MATCH(A213,'EEZ Selection Flags'!$A$2:$A$283,0))</x:f>
        <x:v>0</x:v>
      </x:c>
      <x:c r="J213" s="25" t="b">
        <x:f>INDEX('EEZ Selection Flags'!$M$2:$M$283,MATCH(A213,'EEZ Selection Flags'!$A$2:$A$283,0))</x:f>
        <x:v>0</x:v>
      </x:c>
      <x:c r="K213" s="25" t="b">
        <x:f>INDEX('EEZ Selection Flags'!$N$2:$N$283,MATCH(A213,'EEZ Selection Flags'!$A$2:$A$283,0))</x:f>
        <x:v>0</x:v>
      </x:c>
    </x:row>
    <x:row r="214" ht="18" customHeight="1">
      <x:c r="A214" s="25" t="str">
        <x:f>'Summary'!A214</x:f>
        <x:v>EEZ_900</x:v>
      </x:c>
      <x:c r="B214" s="25" t="str">
        <x:f>'Summary'!B214</x:f>
        <x:v>Crete (Greece)</x:v>
      </x:c>
      <x:c r="C214" s="25" t="str">
        <x:f>'Summary'!C214</x:f>
        <x:v>EEZ</x:v>
      </x:c>
      <x:c r="D214" s="32" t="n">
        <x:f>'Summary'!E214</x:f>
        <x:v>3619.1201016587997</x:v>
      </x:c>
      <x:c r="E214" s="32" t="n">
        <x:f>'Summary'!K214</x:f>
        <x:v>2926602.3167501483</x:v>
      </x:c>
      <x:c r="F214" s="34" t="n">
        <x:f>IF(SUM($E$2:$E$283)=0,"",E214/SUM($E$2:$E$283))</x:f>
        <x:v>0.000044047358325655206</x:v>
      </x:c>
      <x:c r="G214" s="35" t="n">
        <x:f>RANK(E214,$E$2:$E$283,0)+COUNTIF($E$2:E214,E214)-1</x:f>
        <x:v>213</x:v>
      </x:c>
      <x:c r="H214" s="34" t="n">
        <x:f>IF(SUM($E$2:$E$283)=0,"",SUM($F$2:F214))</x:f>
        <x:v>0.9990980830462463</x:v>
      </x:c>
      <x:c r="I214" s="25" t="b">
        <x:f>INDEX('EEZ Selection Flags'!$L$2:$L$283,MATCH(A214,'EEZ Selection Flags'!$A$2:$A$283,0))</x:f>
        <x:v>0</x:v>
      </x:c>
      <x:c r="J214" s="25" t="b">
        <x:f>INDEX('EEZ Selection Flags'!$M$2:$M$283,MATCH(A214,'EEZ Selection Flags'!$A$2:$A$283,0))</x:f>
        <x:v>0</x:v>
      </x:c>
      <x:c r="K214" s="25" t="b">
        <x:f>INDEX('EEZ Selection Flags'!$N$2:$N$283,MATCH(A214,'EEZ Selection Flags'!$A$2:$A$283,0))</x:f>
        <x:v>0</x:v>
      </x:c>
    </x:row>
    <x:row r="215" ht="18" customHeight="1">
      <x:c r="A215" s="25" t="str">
        <x:f>'Summary'!A215</x:f>
        <x:v>EEZ_052</x:v>
      </x:c>
      <x:c r="B215" s="25" t="str">
        <x:f>'Summary'!B215</x:f>
        <x:v>Barbados</x:v>
      </x:c>
      <x:c r="C215" s="25" t="str">
        <x:f>'Summary'!C215</x:f>
        <x:v>EEZ</x:v>
      </x:c>
      <x:c r="D215" s="32" t="n">
        <x:f>'Summary'!E215</x:f>
        <x:v>3109.8835019505</x:v>
      </x:c>
      <x:c r="E215" s="32" t="n">
        <x:f>'Summary'!K215</x:f>
        <x:v>2898747.7148155924</x:v>
      </x:c>
      <x:c r="F215" s="34" t="n">
        <x:f>IF(SUM($E$2:$E$283)=0,"",E215/SUM($E$2:$E$283))</x:f>
        <x:v>0.000043628127593345696</x:v>
      </x:c>
      <x:c r="G215" s="35" t="n">
        <x:f>RANK(E215,$E$2:$E$283,0)+COUNTIF($E$2:E215,E215)-1</x:f>
        <x:v>214</x:v>
      </x:c>
      <x:c r="H215" s="34" t="n">
        <x:f>IF(SUM($E$2:$E$283)=0,"",SUM($F$2:F215))</x:f>
        <x:v>0.9991417111738397</x:v>
      </x:c>
      <x:c r="I215" s="25" t="b">
        <x:f>INDEX('EEZ Selection Flags'!$L$2:$L$283,MATCH(A215,'EEZ Selection Flags'!$A$2:$A$283,0))</x:f>
        <x:v>0</x:v>
      </x:c>
      <x:c r="J215" s="25" t="b">
        <x:f>INDEX('EEZ Selection Flags'!$M$2:$M$283,MATCH(A215,'EEZ Selection Flags'!$A$2:$A$283,0))</x:f>
        <x:v>0</x:v>
      </x:c>
      <x:c r="K215" s="25" t="b">
        <x:f>INDEX('EEZ Selection Flags'!$N$2:$N$283,MATCH(A215,'EEZ Selection Flags'!$A$2:$A$283,0))</x:f>
        <x:v>0</x:v>
      </x:c>
    </x:row>
    <x:row r="216" ht="18" customHeight="1">
      <x:c r="A216" s="25" t="str">
        <x:f>'Summary'!A216</x:f>
        <x:v>EEZ_092</x:v>
      </x:c>
      <x:c r="B216" s="25" t="str">
        <x:f>'Summary'!B216</x:f>
        <x:v>British Virgin Isl. (UK)</x:v>
      </x:c>
      <x:c r="C216" s="25" t="str">
        <x:f>'Summary'!C216</x:f>
        <x:v>EEZ</x:v>
      </x:c>
      <x:c r="D216" s="32" t="n">
        <x:f>'Summary'!E216</x:f>
        <x:v>4102.3911591021</x:v>
      </x:c>
      <x:c r="E216" s="32" t="n">
        <x:f>'Summary'!K216</x:f>
        <x:v>2636688.6764859944</x:v>
      </x:c>
      <x:c r="F216" s="34" t="n">
        <x:f>IF(SUM($E$2:$E$283)=0,"",E216/SUM($E$2:$E$283))</x:f>
        <x:v>0.000039683960564667066</x:v>
      </x:c>
      <x:c r="G216" s="35" t="n">
        <x:f>RANK(E216,$E$2:$E$283,0)+COUNTIF($E$2:E216,E216)-1</x:f>
        <x:v>215</x:v>
      </x:c>
      <x:c r="H216" s="34" t="n">
        <x:f>IF(SUM($E$2:$E$283)=0,"",SUM($F$2:F216))</x:f>
        <x:v>0.9991813951344043</x:v>
      </x:c>
      <x:c r="I216" s="25" t="b">
        <x:f>INDEX('EEZ Selection Flags'!$L$2:$L$283,MATCH(A216,'EEZ Selection Flags'!$A$2:$A$283,0))</x:f>
        <x:v>1</x:v>
      </x:c>
      <x:c r="J216" s="25" t="b">
        <x:f>INDEX('EEZ Selection Flags'!$M$2:$M$283,MATCH(A216,'EEZ Selection Flags'!$A$2:$A$283,0))</x:f>
        <x:v>0</x:v>
      </x:c>
      <x:c r="K216" s="25" t="b">
        <x:f>INDEX('EEZ Selection Flags'!$N$2:$N$283,MATCH(A216,'EEZ Selection Flags'!$A$2:$A$283,0))</x:f>
        <x:v>0</x:v>
      </x:c>
    </x:row>
    <x:row r="217" ht="18" customHeight="1">
      <x:c r="A217" s="25" t="str">
        <x:f>'Summary'!A217</x:f>
        <x:v>EEZ_924</x:v>
      </x:c>
      <x:c r="B217" s="25" t="str">
        <x:f>'Summary'!B217</x:f>
        <x:v>Canada (Arctic)</x:v>
      </x:c>
      <x:c r="C217" s="25" t="str">
        <x:f>'Summary'!C217</x:f>
        <x:v>EEZ</x:v>
      </x:c>
      <x:c r="D217" s="32" t="n">
        <x:f>'Summary'!E217</x:f>
        <x:v>1114.2683023097</x:v>
      </x:c>
      <x:c r="E217" s="32" t="n">
        <x:f>'Summary'!K217</x:f>
        <x:v>2536391.012531463</x:v>
      </x:c>
      <x:c r="F217" s="34" t="n">
        <x:f>IF(SUM($E$2:$E$283)=0,"",E217/SUM($E$2:$E$283))</x:f>
        <x:v>0.00003817441240428114</x:v>
      </x:c>
      <x:c r="G217" s="35" t="n">
        <x:f>RANK(E217,$E$2:$E$283,0)+COUNTIF($E$2:E217,E217)-1</x:f>
        <x:v>216</x:v>
      </x:c>
      <x:c r="H217" s="34" t="n">
        <x:f>IF(SUM($E$2:$E$283)=0,"",SUM($F$2:F217))</x:f>
        <x:v>0.9992195695468086</x:v>
      </x:c>
      <x:c r="I217" s="25" t="b">
        <x:f>INDEX('EEZ Selection Flags'!$L$2:$L$283,MATCH(A217,'EEZ Selection Flags'!$A$2:$A$283,0))</x:f>
        <x:v>0</x:v>
      </x:c>
      <x:c r="J217" s="25" t="b">
        <x:f>INDEX('EEZ Selection Flags'!$M$2:$M$283,MATCH(A217,'EEZ Selection Flags'!$A$2:$A$283,0))</x:f>
        <x:v>1</x:v>
      </x:c>
      <x:c r="K217" s="25" t="b">
        <x:f>INDEX('EEZ Selection Flags'!$N$2:$N$283,MATCH(A217,'EEZ Selection Flags'!$A$2:$A$283,0))</x:f>
        <x:v>0</x:v>
      </x:c>
    </x:row>
    <x:row r="218" ht="18" customHeight="1">
      <x:c r="A218" s="25" t="str">
        <x:f>'Summary'!A218</x:f>
        <x:v>EEZ_642</x:v>
      </x:c>
      <x:c r="B218" s="25" t="str">
        <x:f>'Summary'!B218</x:f>
        <x:v>Romania</x:v>
      </x:c>
      <x:c r="C218" s="25" t="str">
        <x:f>'Summary'!C218</x:f>
        <x:v>EEZ</x:v>
      </x:c>
      <x:c r="D218" s="32" t="n">
        <x:f>'Summary'!E218</x:f>
        <x:v>8116.5109813192985</x:v>
      </x:c>
      <x:c r="E218" s="32" t="n">
        <x:f>'Summary'!K218</x:f>
        <x:v>2431527.305444525</x:v>
      </x:c>
      <x:c r="F218" s="34" t="n">
        <x:f>IF(SUM($E$2:$E$283)=0,"",E218/SUM($E$2:$E$283))</x:f>
        <x:v>0.000036596142184586906</x:v>
      </x:c>
      <x:c r="G218" s="35" t="n">
        <x:f>RANK(E218,$E$2:$E$283,0)+COUNTIF($E$2:E218,E218)-1</x:f>
        <x:v>217</x:v>
      </x:c>
      <x:c r="H218" s="34" t="n">
        <x:f>IF(SUM($E$2:$E$283)=0,"",SUM($F$2:F218))</x:f>
        <x:v>0.9992561656889931</x:v>
      </x:c>
      <x:c r="I218" s="25" t="b">
        <x:f>INDEX('EEZ Selection Flags'!$L$2:$L$283,MATCH(A218,'EEZ Selection Flags'!$A$2:$A$283,0))</x:f>
        <x:v>0</x:v>
      </x:c>
      <x:c r="J218" s="25" t="b">
        <x:f>INDEX('EEZ Selection Flags'!$M$2:$M$283,MATCH(A218,'EEZ Selection Flags'!$A$2:$A$283,0))</x:f>
        <x:v>0</x:v>
      </x:c>
      <x:c r="K218" s="25" t="b">
        <x:f>INDEX('EEZ Selection Flags'!$N$2:$N$283,MATCH(A218,'EEZ Selection Flags'!$A$2:$A$283,0))</x:f>
        <x:v>0</x:v>
      </x:c>
    </x:row>
    <x:row r="219" ht="18" customHeight="1">
      <x:c r="A219" s="25" t="str">
        <x:f>'Summary'!A219</x:f>
        <x:v>EEZ_198</x:v>
      </x:c>
      <x:c r="B219" s="25" t="str">
        <x:f>'Summary'!B219</x:f>
        <x:v>Cyprus (South)</x:v>
      </x:c>
      <x:c r="C219" s="25" t="str">
        <x:f>'Summary'!C219</x:f>
        <x:v>EEZ</x:v>
      </x:c>
      <x:c r="D219" s="32" t="n">
        <x:f>'Summary'!E219</x:f>
        <x:v>2236.2086502548996</x:v>
      </x:c>
      <x:c r="E219" s="32" t="n">
        <x:f>'Summary'!K219</x:f>
        <x:v>2155727.606393967</x:v>
      </x:c>
      <x:c r="F219" s="34" t="n">
        <x:f>IF(SUM($E$2:$E$283)=0,"",E219/SUM($E$2:$E$283))</x:f>
        <x:v>0.00003244516885259082</x:v>
      </x:c>
      <x:c r="G219" s="35" t="n">
        <x:f>RANK(E219,$E$2:$E$283,0)+COUNTIF($E$2:E219,E219)-1</x:f>
        <x:v>218</x:v>
      </x:c>
      <x:c r="H219" s="34" t="n">
        <x:f>IF(SUM($E$2:$E$283)=0,"",SUM($F$2:F219))</x:f>
        <x:v>0.9992886108578457</x:v>
      </x:c>
      <x:c r="I219" s="25" t="b">
        <x:f>INDEX('EEZ Selection Flags'!$L$2:$L$283,MATCH(A219,'EEZ Selection Flags'!$A$2:$A$283,0))</x:f>
        <x:v>0</x:v>
      </x:c>
      <x:c r="J219" s="25" t="b">
        <x:f>INDEX('EEZ Selection Flags'!$M$2:$M$283,MATCH(A219,'EEZ Selection Flags'!$A$2:$A$283,0))</x:f>
        <x:v>0</x:v>
      </x:c>
      <x:c r="K219" s="25" t="b">
        <x:f>INDEX('EEZ Selection Flags'!$N$2:$N$283,MATCH(A219,'EEZ Selection Flags'!$A$2:$A$283,0))</x:f>
        <x:v>0</x:v>
      </x:c>
    </x:row>
    <x:row r="220" ht="18" customHeight="1">
      <x:c r="A220" s="25" t="str">
        <x:f>'Summary'!A220</x:f>
        <x:v>EEZ_274</x:v>
      </x:c>
      <x:c r="B220" s="25" t="str">
        <x:f>'Summary'!B220</x:f>
        <x:v>Gaza Strip</x:v>
      </x:c>
      <x:c r="C220" s="25" t="str">
        <x:f>'Summary'!C220</x:f>
        <x:v>EEZ</x:v>
      </x:c>
      <x:c r="D220" s="32" t="n">
        <x:f>'Summary'!E220</x:f>
        <x:v>6410.774318524</x:v>
      </x:c>
      <x:c r="E220" s="32" t="n">
        <x:f>'Summary'!K220</x:f>
        <x:v>2138099.0195414764</x:v>
      </x:c>
      <x:c r="F220" s="34" t="n">
        <x:f>IF(SUM($E$2:$E$283)=0,"",E220/SUM($E$2:$E$283))</x:f>
        <x:v>0.00003217984661272845</x:v>
      </x:c>
      <x:c r="G220" s="35" t="n">
        <x:f>RANK(E220,$E$2:$E$283,0)+COUNTIF($E$2:E220,E220)-1</x:f>
        <x:v>219</x:v>
      </x:c>
      <x:c r="H220" s="34" t="n">
        <x:f>IF(SUM($E$2:$E$283)=0,"",SUM($F$2:F220))</x:f>
        <x:v>0.9993207907044585</x:v>
      </x:c>
      <x:c r="I220" s="25" t="b">
        <x:f>INDEX('EEZ Selection Flags'!$L$2:$L$283,MATCH(A220,'EEZ Selection Flags'!$A$2:$A$283,0))</x:f>
        <x:v>0</x:v>
      </x:c>
      <x:c r="J220" s="25" t="b">
        <x:f>INDEX('EEZ Selection Flags'!$M$2:$M$283,MATCH(A220,'EEZ Selection Flags'!$A$2:$A$283,0))</x:f>
        <x:v>0</x:v>
      </x:c>
      <x:c r="K220" s="25" t="b">
        <x:f>INDEX('EEZ Selection Flags'!$N$2:$N$283,MATCH(A220,'EEZ Selection Flags'!$A$2:$A$283,0))</x:f>
        <x:v>0</x:v>
      </x:c>
    </x:row>
    <x:row r="221" ht="18" customHeight="1">
      <x:c r="A221" s="25" t="str">
        <x:f>'Summary'!A221</x:f>
        <x:v>EEZ_056</x:v>
      </x:c>
      <x:c r="B221" s="25" t="str">
        <x:f>'Summary'!B221</x:f>
        <x:v>Belgium</x:v>
      </x:c>
      <x:c r="C221" s="25" t="str">
        <x:f>'Summary'!C221</x:f>
        <x:v>EEZ</x:v>
      </x:c>
      <x:c r="D221" s="32" t="n">
        <x:f>'Summary'!E221</x:f>
        <x:v>4482.8223030263</x:v>
      </x:c>
      <x:c r="E221" s="32" t="n">
        <x:f>'Summary'!K221</x:f>
        <x:v>2108407.8501594816</x:v>
      </x:c>
      <x:c r="F221" s="34" t="n">
        <x:f>IF(SUM($E$2:$E$283)=0,"",E221/SUM($E$2:$E$283))</x:f>
        <x:v>0.00003173297428935493</x:v>
      </x:c>
      <x:c r="G221" s="35" t="n">
        <x:f>RANK(E221,$E$2:$E$283,0)+COUNTIF($E$2:E221,E221)-1</x:f>
        <x:v>220</x:v>
      </x:c>
      <x:c r="H221" s="34" t="n">
        <x:f>IF(SUM($E$2:$E$283)=0,"",SUM($F$2:F221))</x:f>
        <x:v>0.9993525236787478</x:v>
      </x:c>
      <x:c r="I221" s="25" t="b">
        <x:f>INDEX('EEZ Selection Flags'!$L$2:$L$283,MATCH(A221,'EEZ Selection Flags'!$A$2:$A$283,0))</x:f>
        <x:v>0</x:v>
      </x:c>
      <x:c r="J221" s="25" t="b">
        <x:f>INDEX('EEZ Selection Flags'!$M$2:$M$283,MATCH(A221,'EEZ Selection Flags'!$A$2:$A$283,0))</x:f>
        <x:v>0</x:v>
      </x:c>
      <x:c r="K221" s="25" t="b">
        <x:f>INDEX('EEZ Selection Flags'!$N$2:$N$283,MATCH(A221,'EEZ Selection Flags'!$A$2:$A$283,0))</x:f>
        <x:v>0</x:v>
      </x:c>
    </x:row>
    <x:row r="222" ht="18" customHeight="1">
      <x:c r="A222" s="25" t="str">
        <x:f>'Summary'!A222</x:f>
        <x:v>EEZ_969</x:v>
      </x:c>
      <x:c r="B222" s="25" t="str">
        <x:f>'Summary'!B222</x:f>
        <x:v>Fernando de Noronha (Brazil)</x:v>
      </x:c>
      <x:c r="C222" s="25" t="str">
        <x:f>'Summary'!C222</x:f>
        <x:v>EEZ</x:v>
      </x:c>
      <x:c r="D222" s="32" t="n">
        <x:f>'Summary'!E222</x:f>
        <x:v>7461.650372688001</x:v>
      </x:c>
      <x:c r="E222" s="32" t="n">
        <x:f>'Summary'!K222</x:f>
        <x:v>2047092.4737868535</x:v>
      </x:c>
      <x:c r="F222" s="34" t="n">
        <x:f>IF(SUM($E$2:$E$283)=0,"",E222/SUM($E$2:$E$283))</x:f>
        <x:v>0.00003081013610990708</x:v>
      </x:c>
      <x:c r="G222" s="35" t="n">
        <x:f>RANK(E222,$E$2:$E$283,0)+COUNTIF($E$2:E222,E222)-1</x:f>
        <x:v>221</x:v>
      </x:c>
      <x:c r="H222" s="34" t="n">
        <x:f>IF(SUM($E$2:$E$283)=0,"",SUM($F$2:F222))</x:f>
        <x:v>0.9993833338148578</x:v>
      </x:c>
      <x:c r="I222" s="25" t="b">
        <x:f>INDEX('EEZ Selection Flags'!$L$2:$L$283,MATCH(A222,'EEZ Selection Flags'!$A$2:$A$283,0))</x:f>
        <x:v>0</x:v>
      </x:c>
      <x:c r="J222" s="25" t="b">
        <x:f>INDEX('EEZ Selection Flags'!$M$2:$M$283,MATCH(A222,'EEZ Selection Flags'!$A$2:$A$283,0))</x:f>
        <x:v>0</x:v>
      </x:c>
      <x:c r="K222" s="25" t="b">
        <x:f>INDEX('EEZ Selection Flags'!$N$2:$N$283,MATCH(A222,'EEZ Selection Flags'!$A$2:$A$283,0))</x:f>
        <x:v>0</x:v>
      </x:c>
    </x:row>
    <x:row r="223" ht="18" customHeight="1">
      <x:c r="A223" s="25" t="str">
        <x:f>'Summary'!A223</x:f>
        <x:v>EEZ_702</x:v>
      </x:c>
      <x:c r="B223" s="25" t="str">
        <x:f>'Summary'!B223</x:f>
        <x:v>Singapore</x:v>
      </x:c>
      <x:c r="C223" s="25" t="str">
        <x:f>'Summary'!C223</x:f>
        <x:v>EEZ</x:v>
      </x:c>
      <x:c r="D223" s="32" t="n">
        <x:f>'Summary'!E223</x:f>
        <x:v>3539.5904974153</x:v>
      </x:c>
      <x:c r="E223" s="32" t="n">
        <x:f>'Summary'!K223</x:f>
        <x:v>1866751.9294676457</x:v>
      </x:c>
      <x:c r="F223" s="34" t="n">
        <x:f>IF(SUM($E$2:$E$283)=0,"",E223/SUM($E$2:$E$283))</x:f>
        <x:v>0.00002809588807873189</x:v>
      </x:c>
      <x:c r="G223" s="35" t="n">
        <x:f>RANK(E223,$E$2:$E$283,0)+COUNTIF($E$2:E223,E223)-1</x:f>
        <x:v>222</x:v>
      </x:c>
      <x:c r="H223" s="34" t="n">
        <x:f>IF(SUM($E$2:$E$283)=0,"",SUM($F$2:F223))</x:f>
        <x:v>0.9994114297029365</x:v>
      </x:c>
      <x:c r="I223" s="25" t="b">
        <x:f>INDEX('EEZ Selection Flags'!$L$2:$L$283,MATCH(A223,'EEZ Selection Flags'!$A$2:$A$283,0))</x:f>
        <x:v>0</x:v>
      </x:c>
      <x:c r="J223" s="25" t="b">
        <x:f>INDEX('EEZ Selection Flags'!$M$2:$M$283,MATCH(A223,'EEZ Selection Flags'!$A$2:$A$283,0))</x:f>
        <x:v>0</x:v>
      </x:c>
      <x:c r="K223" s="25" t="b">
        <x:f>INDEX('EEZ Selection Flags'!$N$2:$N$283,MATCH(A223,'EEZ Selection Flags'!$A$2:$A$283,0))</x:f>
        <x:v>0</x:v>
      </x:c>
    </x:row>
    <x:row r="224" ht="18" customHeight="1">
      <x:c r="A224" s="25" t="str">
        <x:f>'Summary'!A224</x:f>
        <x:v>EEZ_570</x:v>
      </x:c>
      <x:c r="B224" s="25" t="str">
        <x:f>'Summary'!B224</x:f>
        <x:v>Niue (New Zealand)</x:v>
      </x:c>
      <x:c r="C224" s="25" t="str">
        <x:f>'Summary'!C224</x:f>
        <x:v>EEZ</x:v>
      </x:c>
      <x:c r="D224" s="32" t="n">
        <x:f>'Summary'!E224</x:f>
        <x:v>949.5273417068</x:v>
      </x:c>
      <x:c r="E224" s="32" t="n">
        <x:f>'Summary'!K224</x:f>
        <x:v>1828455.3453385285</x:v>
      </x:c>
      <x:c r="F224" s="34" t="n">
        <x:f>IF(SUM($E$2:$E$283)=0,"",E224/SUM($E$2:$E$283))</x:f>
        <x:v>0.00002751949840182594</x:v>
      </x:c>
      <x:c r="G224" s="35" t="n">
        <x:f>RANK(E224,$E$2:$E$283,0)+COUNTIF($E$2:E224,E224)-1</x:f>
        <x:v>223</x:v>
      </x:c>
      <x:c r="H224" s="34" t="n">
        <x:f>IF(SUM($E$2:$E$283)=0,"",SUM($F$2:F224))</x:f>
        <x:v>0.9994389492013384</x:v>
      </x:c>
      <x:c r="I224" s="25" t="b">
        <x:f>INDEX('EEZ Selection Flags'!$L$2:$L$283,MATCH(A224,'EEZ Selection Flags'!$A$2:$A$283,0))</x:f>
        <x:v>1</x:v>
      </x:c>
      <x:c r="J224" s="25" t="b">
        <x:f>INDEX('EEZ Selection Flags'!$M$2:$M$283,MATCH(A224,'EEZ Selection Flags'!$A$2:$A$283,0))</x:f>
        <x:v>0</x:v>
      </x:c>
      <x:c r="K224" s="25" t="b">
        <x:f>INDEX('EEZ Selection Flags'!$N$2:$N$283,MATCH(A224,'EEZ Selection Flags'!$A$2:$A$283,0))</x:f>
        <x:v>0</x:v>
      </x:c>
    </x:row>
    <x:row r="225" ht="18" customHeight="1">
      <x:c r="A225" s="25" t="str">
        <x:f>'Summary'!A225</x:f>
        <x:v>EEZ_670</x:v>
      </x:c>
      <x:c r="B225" s="25" t="str">
        <x:f>'Summary'!B225</x:f>
        <x:v>Saint Vincent &amp; the Grenadines</x:v>
      </x:c>
      <x:c r="C225" s="25" t="str">
        <x:f>'Summary'!C225</x:f>
        <x:v>EEZ</x:v>
      </x:c>
      <x:c r="D225" s="32" t="n">
        <x:f>'Summary'!E225</x:f>
        <x:v>1694.7906050879</x:v>
      </x:c>
      <x:c r="E225" s="32" t="n">
        <x:f>'Summary'!K225</x:f>
        <x:v>1747160.988916773</x:v>
      </x:c>
      <x:c r="F225" s="34" t="n">
        <x:f>IF(SUM($E$2:$E$283)=0,"",E225/SUM($E$2:$E$283))</x:f>
        <x:v>0.000026295962963933272</x:v>
      </x:c>
      <x:c r="G225" s="35" t="n">
        <x:f>RANK(E225,$E$2:$E$283,0)+COUNTIF($E$2:E225,E225)-1</x:f>
        <x:v>224</x:v>
      </x:c>
      <x:c r="H225" s="34" t="n">
        <x:f>IF(SUM($E$2:$E$283)=0,"",SUM($F$2:F225))</x:f>
        <x:v>0.9994652451643022</x:v>
      </x:c>
      <x:c r="I225" s="25" t="b">
        <x:f>INDEX('EEZ Selection Flags'!$L$2:$L$283,MATCH(A225,'EEZ Selection Flags'!$A$2:$A$283,0))</x:f>
        <x:v>0</x:v>
      </x:c>
      <x:c r="J225" s="25" t="b">
        <x:f>INDEX('EEZ Selection Flags'!$M$2:$M$283,MATCH(A225,'EEZ Selection Flags'!$A$2:$A$283,0))</x:f>
        <x:v>0</x:v>
      </x:c>
      <x:c r="K225" s="25" t="b">
        <x:f>INDEX('EEZ Selection Flags'!$N$2:$N$283,MATCH(A225,'EEZ Selection Flags'!$A$2:$A$283,0))</x:f>
        <x:v>0</x:v>
      </x:c>
    </x:row>
    <x:row r="226" ht="18" customHeight="1">
      <x:c r="A226" s="25" t="str">
        <x:f>'Summary'!A226</x:f>
        <x:v>EEZ_796</x:v>
      </x:c>
      <x:c r="B226" s="25" t="str">
        <x:f>'Summary'!B226</x:f>
        <x:v>Turks &amp; Caicos Isl. (UK)</x:v>
      </x:c>
      <x:c r="C226" s="25" t="str">
        <x:f>'Summary'!C226</x:f>
        <x:v>EEZ</x:v>
      </x:c>
      <x:c r="D226" s="32" t="n">
        <x:f>'Summary'!E226</x:f>
        <x:v>7446.679016808498</x:v>
      </x:c>
      <x:c r="E226" s="32" t="n">
        <x:f>'Summary'!K226</x:f>
        <x:v>1613035.7630321903</x:v>
      </x:c>
      <x:c r="F226" s="34" t="n">
        <x:f>IF(SUM($E$2:$E$283)=0,"",E226/SUM($E$2:$E$283))</x:f>
        <x:v>0.000024277286954816986</x:v>
      </x:c>
      <x:c r="G226" s="35" t="n">
        <x:f>RANK(E226,$E$2:$E$283,0)+COUNTIF($E$2:E226,E226)-1</x:f>
        <x:v>225</x:v>
      </x:c>
      <x:c r="H226" s="34" t="n">
        <x:f>IF(SUM($E$2:$E$283)=0,"",SUM($F$2:F226))</x:f>
        <x:v>0.9994895224512571</x:v>
      </x:c>
      <x:c r="I226" s="25" t="b">
        <x:f>INDEX('EEZ Selection Flags'!$L$2:$L$283,MATCH(A226,'EEZ Selection Flags'!$A$2:$A$283,0))</x:f>
        <x:v>0</x:v>
      </x:c>
      <x:c r="J226" s="25" t="b">
        <x:f>INDEX('EEZ Selection Flags'!$M$2:$M$283,MATCH(A226,'EEZ Selection Flags'!$A$2:$A$283,0))</x:f>
        <x:v>0</x:v>
      </x:c>
      <x:c r="K226" s="25" t="b">
        <x:f>INDEX('EEZ Selection Flags'!$N$2:$N$283,MATCH(A226,'EEZ Selection Flags'!$A$2:$A$283,0))</x:f>
        <x:v>0</x:v>
      </x:c>
    </x:row>
    <x:row r="227" ht="18" customHeight="1">
      <x:c r="A227" s="25" t="str">
        <x:f>'Summary'!A227</x:f>
        <x:v>EEZ_939</x:v>
      </x:c>
      <x:c r="B227" s="25" t="str">
        <x:f>'Summary'!B227</x:f>
        <x:v>Israel (Mediterranean)</x:v>
      </x:c>
      <x:c r="C227" s="25" t="str">
        <x:f>'Summary'!C227</x:f>
        <x:v>EEZ</x:v>
      </x:c>
      <x:c r="D227" s="32" t="n">
        <x:f>'Summary'!E227</x:f>
        <x:v>2520.914048787</x:v>
      </x:c>
      <x:c r="E227" s="32" t="n">
        <x:f>'Summary'!K227</x:f>
        <x:v>1575058.5166056717</x:v>
      </x:c>
      <x:c r="F227" s="34" t="n">
        <x:f>IF(SUM($E$2:$E$283)=0,"",E227/SUM($E$2:$E$283))</x:f>
        <x:v>0.00002370570352785239</x:v>
      </x:c>
      <x:c r="G227" s="35" t="n">
        <x:f>RANK(E227,$E$2:$E$283,0)+COUNTIF($E$2:E227,E227)-1</x:f>
        <x:v>226</x:v>
      </x:c>
      <x:c r="H227" s="34" t="n">
        <x:f>IF(SUM($E$2:$E$283)=0,"",SUM($F$2:F227))</x:f>
        <x:v>0.9995132281547849</x:v>
      </x:c>
      <x:c r="I227" s="25" t="b">
        <x:f>INDEX('EEZ Selection Flags'!$L$2:$L$283,MATCH(A227,'EEZ Selection Flags'!$A$2:$A$283,0))</x:f>
        <x:v>0</x:v>
      </x:c>
      <x:c r="J227" s="25" t="b">
        <x:f>INDEX('EEZ Selection Flags'!$M$2:$M$283,MATCH(A227,'EEZ Selection Flags'!$A$2:$A$283,0))</x:f>
        <x:v>0</x:v>
      </x:c>
      <x:c r="K227" s="25" t="b">
        <x:f>INDEX('EEZ Selection Flags'!$N$2:$N$283,MATCH(A227,'EEZ Selection Flags'!$A$2:$A$283,0))</x:f>
        <x:v>0</x:v>
      </x:c>
    </x:row>
    <x:row r="228" ht="18" customHeight="1">
      <x:c r="A228" s="25" t="str">
        <x:f>'Summary'!A228</x:f>
        <x:v>EEZ_008</x:v>
      </x:c>
      <x:c r="B228" s="25" t="str">
        <x:f>'Summary'!B228</x:f>
        <x:v>Albania</x:v>
      </x:c>
      <x:c r="C228" s="25" t="str">
        <x:f>'Summary'!C228</x:f>
        <x:v>EEZ</x:v>
      </x:c>
      <x:c r="D228" s="32" t="n">
        <x:f>'Summary'!E228</x:f>
        <x:v>7591.6342411198</x:v>
      </x:c>
      <x:c r="E228" s="32" t="n">
        <x:f>'Summary'!K228</x:f>
        <x:v>1553417.1552911263</x:v>
      </x:c>
      <x:c r="F228" s="34" t="n">
        <x:f>IF(SUM($E$2:$E$283)=0,"",E228/SUM($E$2:$E$283))</x:f>
        <x:v>0.0000233799862990301</x:v>
      </x:c>
      <x:c r="G228" s="35" t="n">
        <x:f>RANK(E228,$E$2:$E$283,0)+COUNTIF($E$2:E228,E228)-1</x:f>
        <x:v>227</x:v>
      </x:c>
      <x:c r="H228" s="34" t="n">
        <x:f>IF(SUM($E$2:$E$283)=0,"",SUM($F$2:F228))</x:f>
        <x:v>0.9995366081410839</x:v>
      </x:c>
      <x:c r="I228" s="25" t="b">
        <x:f>INDEX('EEZ Selection Flags'!$L$2:$L$283,MATCH(A228,'EEZ Selection Flags'!$A$2:$A$283,0))</x:f>
        <x:v>0</x:v>
      </x:c>
      <x:c r="J228" s="25" t="b">
        <x:f>INDEX('EEZ Selection Flags'!$M$2:$M$283,MATCH(A228,'EEZ Selection Flags'!$A$2:$A$283,0))</x:f>
        <x:v>0</x:v>
      </x:c>
      <x:c r="K228" s="25" t="b">
        <x:f>INDEX('EEZ Selection Flags'!$N$2:$N$283,MATCH(A228,'EEZ Selection Flags'!$A$2:$A$283,0))</x:f>
        <x:v>0</x:v>
      </x:c>
    </x:row>
    <x:row r="229" ht="18" customHeight="1">
      <x:c r="A229" s="25" t="str">
        <x:f>'Summary'!A229</x:f>
        <x:v>EEZ_630</x:v>
      </x:c>
      <x:c r="B229" s="25" t="str">
        <x:f>'Summary'!B229</x:f>
        <x:v>Puerto Rico (USA)</x:v>
      </x:c>
      <x:c r="C229" s="25" t="str">
        <x:f>'Summary'!C229</x:f>
        <x:v>EEZ</x:v>
      </x:c>
      <x:c r="D229" s="32" t="n">
        <x:f>'Summary'!E229</x:f>
        <x:v>1866.1053035134998</x:v>
      </x:c>
      <x:c r="E229" s="32" t="n">
        <x:f>'Summary'!K229</x:f>
        <x:v>1514296.9073134165</x:v>
      </x:c>
      <x:c r="F229" s="34" t="n">
        <x:f>IF(SUM($E$2:$E$283)=0,"",E229/SUM($E$2:$E$283))</x:f>
        <x:v>0.000022791199920163245</x:v>
      </x:c>
      <x:c r="G229" s="35" t="n">
        <x:f>RANK(E229,$E$2:$E$283,0)+COUNTIF($E$2:E229,E229)-1</x:f>
        <x:v>228</x:v>
      </x:c>
      <x:c r="H229" s="34" t="n">
        <x:f>IF(SUM($E$2:$E$283)=0,"",SUM($F$2:F229))</x:f>
        <x:v>0.9995593993410041</x:v>
      </x:c>
      <x:c r="I229" s="25" t="b">
        <x:f>INDEX('EEZ Selection Flags'!$L$2:$L$283,MATCH(A229,'EEZ Selection Flags'!$A$2:$A$283,0))</x:f>
        <x:v>0</x:v>
      </x:c>
      <x:c r="J229" s="25" t="b">
        <x:f>INDEX('EEZ Selection Flags'!$M$2:$M$283,MATCH(A229,'EEZ Selection Flags'!$A$2:$A$283,0))</x:f>
        <x:v>0</x:v>
      </x:c>
      <x:c r="K229" s="25" t="b">
        <x:f>INDEX('EEZ Selection Flags'!$N$2:$N$283,MATCH(A229,'EEZ Selection Flags'!$A$2:$A$283,0))</x:f>
        <x:v>0</x:v>
      </x:c>
    </x:row>
    <x:row r="230" ht="18" customHeight="1">
      <x:c r="A230" s="25" t="str">
        <x:f>'Summary'!A230</x:f>
        <x:v>EEZ_474</x:v>
      </x:c>
      <x:c r="B230" s="25" t="str">
        <x:f>'Summary'!B230</x:f>
        <x:v>Martinique (France)</x:v>
      </x:c>
      <x:c r="C230" s="25" t="str">
        <x:f>'Summary'!C230</x:f>
        <x:v>EEZ</x:v>
      </x:c>
      <x:c r="D230" s="32" t="n">
        <x:f>'Summary'!E230</x:f>
        <x:v>2440.9497922337</x:v>
      </x:c>
      <x:c r="E230" s="32" t="n">
        <x:f>'Summary'!K230</x:f>
        <x:v>1473241.0944450698</x:v>
      </x:c>
      <x:c r="F230" s="34" t="n">
        <x:f>IF(SUM($E$2:$E$283)=0,"",E230/SUM($E$2:$E$283))</x:f>
        <x:v>0.00002217328197128003</x:v>
      </x:c>
      <x:c r="G230" s="35" t="n">
        <x:f>RANK(E230,$E$2:$E$283,0)+COUNTIF($E$2:E230,E230)-1</x:f>
        <x:v>229</x:v>
      </x:c>
      <x:c r="H230" s="34" t="n">
        <x:f>IF(SUM($E$2:$E$283)=0,"",SUM($F$2:F230))</x:f>
        <x:v>0.9995815726229754</x:v>
      </x:c>
      <x:c r="I230" s="25" t="b">
        <x:f>INDEX('EEZ Selection Flags'!$L$2:$L$283,MATCH(A230,'EEZ Selection Flags'!$A$2:$A$283,0))</x:f>
        <x:v>0</x:v>
      </x:c>
      <x:c r="J230" s="25" t="b">
        <x:f>INDEX('EEZ Selection Flags'!$M$2:$M$283,MATCH(A230,'EEZ Selection Flags'!$A$2:$A$283,0))</x:f>
        <x:v>0</x:v>
      </x:c>
      <x:c r="K230" s="25" t="b">
        <x:f>INDEX('EEZ Selection Flags'!$N$2:$N$283,MATCH(A230,'EEZ Selection Flags'!$A$2:$A$283,0))</x:f>
        <x:v>0</x:v>
      </x:c>
    </x:row>
    <x:row r="231" ht="18" customHeight="1">
      <x:c r="A231" s="25" t="str">
        <x:f>'Summary'!A231</x:f>
        <x:v>EEZ_913</x:v>
      </x:c>
      <x:c r="B231" s="25" t="str">
        <x:f>'Summary'!B231</x:f>
        <x:v>Russia (Laptev to Chukchi Sea)</x:v>
      </x:c>
      <x:c r="C231" s="25" t="str">
        <x:f>'Summary'!C231</x:f>
        <x:v>EEZ</x:v>
      </x:c>
      <x:c r="D231" s="32" t="n">
        <x:f>'Summary'!E231</x:f>
        <x:v>6727.8088462</x:v>
      </x:c>
      <x:c r="E231" s="32" t="n">
        <x:f>'Summary'!K231</x:f>
        <x:v>1455106.3058478127</x:v>
      </x:c>
      <x:c r="F231" s="34" t="n">
        <x:f>IF(SUM($E$2:$E$283)=0,"",E231/SUM($E$2:$E$283))</x:f>
        <x:v>0.000021900341050359005</x:v>
      </x:c>
      <x:c r="G231" s="35" t="n">
        <x:f>RANK(E231,$E$2:$E$283,0)+COUNTIF($E$2:E231,E231)-1</x:f>
        <x:v>230</x:v>
      </x:c>
      <x:c r="H231" s="34" t="n">
        <x:f>IF(SUM($E$2:$E$283)=0,"",SUM($F$2:F231))</x:f>
        <x:v>0.9996034729640257</x:v>
      </x:c>
      <x:c r="I231" s="25" t="b">
        <x:f>INDEX('EEZ Selection Flags'!$L$2:$L$283,MATCH(A231,'EEZ Selection Flags'!$A$2:$A$283,0))</x:f>
        <x:v>0</x:v>
      </x:c>
      <x:c r="J231" s="25" t="b">
        <x:f>INDEX('EEZ Selection Flags'!$M$2:$M$283,MATCH(A231,'EEZ Selection Flags'!$A$2:$A$283,0))</x:f>
        <x:v>1</x:v>
      </x:c>
      <x:c r="K231" s="25" t="b">
        <x:f>INDEX('EEZ Selection Flags'!$N$2:$N$283,MATCH(A231,'EEZ Selection Flags'!$A$2:$A$283,0))</x:f>
        <x:v>0</x:v>
      </x:c>
    </x:row>
    <x:row r="232" ht="18" customHeight="1">
      <x:c r="A232" s="25" t="str">
        <x:f>'Summary'!A232</x:f>
        <x:v>EEZ_662</x:v>
      </x:c>
      <x:c r="B232" s="25" t="str">
        <x:f>'Summary'!B232</x:f>
        <x:v>Saint Lucia</x:v>
      </x:c>
      <x:c r="C232" s="25" t="str">
        <x:f>'Summary'!C232</x:f>
        <x:v>EEZ</x:v>
      </x:c>
      <x:c r="D232" s="32" t="n">
        <x:f>'Summary'!E232</x:f>
        <x:v>1454.7830351649</x:v>
      </x:c>
      <x:c r="E232" s="32" t="n">
        <x:f>'Summary'!K232</x:f>
        <x:v>1369040.7680055425</x:v>
      </x:c>
      <x:c r="F232" s="34" t="n">
        <x:f>IF(SUM($E$2:$E$283)=0,"",E232/SUM($E$2:$E$283))</x:f>
        <x:v>0.000020604996082191828</x:v>
      </x:c>
      <x:c r="G232" s="35" t="n">
        <x:f>RANK(E232,$E$2:$E$283,0)+COUNTIF($E$2:E232,E232)-1</x:f>
        <x:v>231</x:v>
      </x:c>
      <x:c r="H232" s="34" t="n">
        <x:f>IF(SUM($E$2:$E$283)=0,"",SUM($F$2:F232))</x:f>
        <x:v>0.9996240779601079</x:v>
      </x:c>
      <x:c r="I232" s="25" t="b">
        <x:f>INDEX('EEZ Selection Flags'!$L$2:$L$283,MATCH(A232,'EEZ Selection Flags'!$A$2:$A$283,0))</x:f>
        <x:v>0</x:v>
      </x:c>
      <x:c r="J232" s="25" t="b">
        <x:f>INDEX('EEZ Selection Flags'!$M$2:$M$283,MATCH(A232,'EEZ Selection Flags'!$A$2:$A$283,0))</x:f>
        <x:v>0</x:v>
      </x:c>
      <x:c r="K232" s="25" t="b">
        <x:f>INDEX('EEZ Selection Flags'!$N$2:$N$283,MATCH(A232,'EEZ Selection Flags'!$A$2:$A$283,0))</x:f>
        <x:v>0</x:v>
      </x:c>
    </x:row>
    <x:row r="233" ht="18" customHeight="1">
      <x:c r="A233" s="25" t="str">
        <x:f>'Summary'!A233</x:f>
        <x:v>EEZ_060</x:v>
      </x:c>
      <x:c r="B233" s="25" t="str">
        <x:f>'Summary'!B233</x:f>
        <x:v>Bermuda (UK)</x:v>
      </x:c>
      <x:c r="C233" s="25" t="str">
        <x:f>'Summary'!C233</x:f>
        <x:v>EEZ</x:v>
      </x:c>
      <x:c r="D233" s="32" t="n">
        <x:f>'Summary'!E233</x:f>
        <x:v>873.7608096846</x:v>
      </x:c>
      <x:c r="E233" s="32" t="n">
        <x:f>'Summary'!K233</x:f>
        <x:v>1333927.0877780484</x:v>
      </x:c>
      <x:c r="F233" s="34" t="n">
        <x:f>IF(SUM($E$2:$E$283)=0,"",E233/SUM($E$2:$E$283))</x:f>
        <x:v>0.00002007651127704399</x:v>
      </x:c>
      <x:c r="G233" s="35" t="n">
        <x:f>RANK(E233,$E$2:$E$283,0)+COUNTIF($E$2:E233,E233)-1</x:f>
        <x:v>232</x:v>
      </x:c>
      <x:c r="H233" s="34" t="n">
        <x:f>IF(SUM($E$2:$E$283)=0,"",SUM($F$2:F233))</x:f>
        <x:v>0.9996441544713849</x:v>
      </x:c>
      <x:c r="I233" s="25" t="b">
        <x:f>INDEX('EEZ Selection Flags'!$L$2:$L$283,MATCH(A233,'EEZ Selection Flags'!$A$2:$A$283,0))</x:f>
        <x:v>1</x:v>
      </x:c>
      <x:c r="J233" s="25" t="b">
        <x:f>INDEX('EEZ Selection Flags'!$M$2:$M$283,MATCH(A233,'EEZ Selection Flags'!$A$2:$A$283,0))</x:f>
        <x:v>0</x:v>
      </x:c>
      <x:c r="K233" s="25" t="b">
        <x:f>INDEX('EEZ Selection Flags'!$N$2:$N$283,MATCH(A233,'EEZ Selection Flags'!$A$2:$A$283,0))</x:f>
        <x:v>0</x:v>
      </x:c>
    </x:row>
    <x:row r="234" ht="18" customHeight="1">
      <x:c r="A234" s="25" t="str">
        <x:f>'Summary'!A234</x:f>
        <x:v>EEZ_711</x:v>
      </x:c>
      <x:c r="B234" s="25" t="str">
        <x:f>'Summary'!B234</x:f>
        <x:v>Prince Edward Isl. (South Africa)</x:v>
      </x:c>
      <x:c r="C234" s="25" t="str">
        <x:f>'Summary'!C234</x:f>
        <x:v>EEZ</x:v>
      </x:c>
      <x:c r="D234" s="32" t="n">
        <x:f>'Summary'!E234</x:f>
        <x:v>974.4787150097001</x:v>
      </x:c>
      <x:c r="E234" s="32" t="n">
        <x:f>'Summary'!K234</x:f>
        <x:v>1225800.4341437374</x:v>
      </x:c>
      <x:c r="F234" s="34" t="n">
        <x:f>IF(SUM($E$2:$E$283)=0,"",E234/SUM($E$2:$E$283))</x:f>
        <x:v>0.000018449131489251967</x:v>
      </x:c>
      <x:c r="G234" s="35" t="n">
        <x:f>RANK(E234,$E$2:$E$283,0)+COUNTIF($E$2:E234,E234)-1</x:f>
        <x:v>233</x:v>
      </x:c>
      <x:c r="H234" s="34" t="n">
        <x:f>IF(SUM($E$2:$E$283)=0,"",SUM($F$2:F234))</x:f>
        <x:v>0.9996626036028742</x:v>
      </x:c>
      <x:c r="I234" s="25" t="b">
        <x:f>INDEX('EEZ Selection Flags'!$L$2:$L$283,MATCH(A234,'EEZ Selection Flags'!$A$2:$A$283,0))</x:f>
        <x:v>1</x:v>
      </x:c>
      <x:c r="J234" s="25" t="b">
        <x:f>INDEX('EEZ Selection Flags'!$M$2:$M$283,MATCH(A234,'EEZ Selection Flags'!$A$2:$A$283,0))</x:f>
        <x:v>0</x:v>
      </x:c>
      <x:c r="K234" s="25" t="b">
        <x:f>INDEX('EEZ Selection Flags'!$N$2:$N$283,MATCH(A234,'EEZ Selection Flags'!$A$2:$A$283,0))</x:f>
        <x:v>0</x:v>
      </x:c>
    </x:row>
    <x:row r="235" ht="18" customHeight="1">
      <x:c r="A235" s="25" t="str">
        <x:f>'Summary'!A235</x:f>
        <x:v>EEZ_929</x:v>
      </x:c>
      <x:c r="B235" s="25" t="str">
        <x:f>'Summary'!B235</x:f>
        <x:v>Costa Rica (Caribbean)</x:v>
      </x:c>
      <x:c r="C235" s="25" t="str">
        <x:f>'Summary'!C235</x:f>
        <x:v>EEZ</x:v>
      </x:c>
      <x:c r="D235" s="32" t="n">
        <x:f>'Summary'!E235</x:f>
        <x:v>601.562955336</x:v>
      </x:c>
      <x:c r="E235" s="32" t="n">
        <x:f>'Summary'!K235</x:f>
        <x:v>1207332.0916196196</x:v>
      </x:c>
      <x:c r="F235" s="34" t="n">
        <x:f>IF(SUM($E$2:$E$283)=0,"",E235/SUM($E$2:$E$283))</x:f>
        <x:v>0.000018171170354531045</x:v>
      </x:c>
      <x:c r="G235" s="35" t="n">
        <x:f>RANK(E235,$E$2:$E$283,0)+COUNTIF($E$2:E235,E235)-1</x:f>
        <x:v>234</x:v>
      </x:c>
      <x:c r="H235" s="34" t="n">
        <x:f>IF(SUM($E$2:$E$283)=0,"",SUM($F$2:F235))</x:f>
        <x:v>0.9996807747732287</x:v>
      </x:c>
      <x:c r="I235" s="25" t="b">
        <x:f>INDEX('EEZ Selection Flags'!$L$2:$L$283,MATCH(A235,'EEZ Selection Flags'!$A$2:$A$283,0))</x:f>
        <x:v>0</x:v>
      </x:c>
      <x:c r="J235" s="25" t="b">
        <x:f>INDEX('EEZ Selection Flags'!$M$2:$M$283,MATCH(A235,'EEZ Selection Flags'!$A$2:$A$283,0))</x:f>
        <x:v>0</x:v>
      </x:c>
      <x:c r="K235" s="25" t="b">
        <x:f>INDEX('EEZ Selection Flags'!$N$2:$N$283,MATCH(A235,'EEZ Selection Flags'!$A$2:$A$283,0))</x:f>
        <x:v>0</x:v>
      </x:c>
    </x:row>
    <x:row r="236" ht="18" customHeight="1">
      <x:c r="A236" s="25" t="str">
        <x:f>'Summary'!A236</x:f>
        <x:v>EEZ_958</x:v>
      </x:c>
      <x:c r="B236" s="25" t="str">
        <x:f>'Summary'!B236</x:f>
        <x:v>USA (Alaska, Arctic)</x:v>
      </x:c>
      <x:c r="C236" s="25" t="str">
        <x:f>'Summary'!C236</x:f>
        <x:v>EEZ</x:v>
      </x:c>
      <x:c r="D236" s="32" t="n">
        <x:f>'Summary'!E236</x:f>
        <x:v>1473.428362565</x:v>
      </x:c>
      <x:c r="E236" s="32" t="n">
        <x:f>'Summary'!K236</x:f>
        <x:v>1202804.8239992876</x:v>
      </x:c>
      <x:c r="F236" s="34" t="n">
        <x:f>IF(SUM($E$2:$E$283)=0,"",E236/SUM($E$2:$E$283))</x:f>
        <x:v>0.000018103031893091452</x:v>
      </x:c>
      <x:c r="G236" s="35" t="n">
        <x:f>RANK(E236,$E$2:$E$283,0)+COUNTIF($E$2:E236,E236)-1</x:f>
        <x:v>235</x:v>
      </x:c>
      <x:c r="H236" s="34" t="n">
        <x:f>IF(SUM($E$2:$E$283)=0,"",SUM($F$2:F236))</x:f>
        <x:v>0.9996988778051218</x:v>
      </x:c>
      <x:c r="I236" s="25" t="b">
        <x:f>INDEX('EEZ Selection Flags'!$L$2:$L$283,MATCH(A236,'EEZ Selection Flags'!$A$2:$A$283,0))</x:f>
        <x:v>0</x:v>
      </x:c>
      <x:c r="J236" s="25" t="b">
        <x:f>INDEX('EEZ Selection Flags'!$M$2:$M$283,MATCH(A236,'EEZ Selection Flags'!$A$2:$A$283,0))</x:f>
        <x:v>0</x:v>
      </x:c>
      <x:c r="K236" s="25" t="b">
        <x:f>INDEX('EEZ Selection Flags'!$N$2:$N$283,MATCH(A236,'EEZ Selection Flags'!$A$2:$A$283,0))</x:f>
        <x:v>0</x:v>
      </x:c>
    </x:row>
    <x:row r="237" ht="18" customHeight="1">
      <x:c r="A237" s="25" t="str">
        <x:f>'Summary'!A237</x:f>
        <x:v>EEZ_028</x:v>
      </x:c>
      <x:c r="B237" s="25" t="str">
        <x:f>'Summary'!B237</x:f>
        <x:v>Antigua &amp; Barbuda</x:v>
      </x:c>
      <x:c r="C237" s="25" t="str">
        <x:f>'Summary'!C237</x:f>
        <x:v>EEZ</x:v>
      </x:c>
      <x:c r="D237" s="32" t="n">
        <x:f>'Summary'!E237</x:f>
        <x:v>3754.318094694</x:v>
      </x:c>
      <x:c r="E237" s="32" t="n">
        <x:f>'Summary'!K237</x:f>
        <x:v>1185125.45188696</x:v>
      </x:c>
      <x:c r="F237" s="34" t="n">
        <x:f>IF(SUM($E$2:$E$283)=0,"",E237/SUM($E$2:$E$283))</x:f>
        <x:v>0.000017836945300476083</x:v>
      </x:c>
      <x:c r="G237" s="35" t="n">
        <x:f>RANK(E237,$E$2:$E$283,0)+COUNTIF($E$2:E237,E237)-1</x:f>
        <x:v>236</x:v>
      </x:c>
      <x:c r="H237" s="34" t="n">
        <x:f>IF(SUM($E$2:$E$283)=0,"",SUM($F$2:F237))</x:f>
        <x:v>0.9997167147504222</x:v>
      </x:c>
      <x:c r="I237" s="25" t="b">
        <x:f>INDEX('EEZ Selection Flags'!$L$2:$L$283,MATCH(A237,'EEZ Selection Flags'!$A$2:$A$283,0))</x:f>
        <x:v>1</x:v>
      </x:c>
      <x:c r="J237" s="25" t="b">
        <x:f>INDEX('EEZ Selection Flags'!$M$2:$M$283,MATCH(A237,'EEZ Selection Flags'!$A$2:$A$283,0))</x:f>
        <x:v>0</x:v>
      </x:c>
      <x:c r="K237" s="25" t="b">
        <x:f>INDEX('EEZ Selection Flags'!$N$2:$N$283,MATCH(A237,'EEZ Selection Flags'!$A$2:$A$283,0))</x:f>
        <x:v>0</x:v>
      </x:c>
    </x:row>
    <x:row r="238" ht="18" customHeight="1">
      <x:c r="A238" s="25" t="str">
        <x:f>'Summary'!A238</x:f>
        <x:v>EEZ_899</x:v>
      </x:c>
      <x:c r="B238" s="25" t="str">
        <x:f>'Summary'!B238</x:f>
        <x:v>Corsica (France)</x:v>
      </x:c>
      <x:c r="C238" s="25" t="str">
        <x:f>'Summary'!C238</x:f>
        <x:v>EEZ</x:v>
      </x:c>
      <x:c r="D238" s="32" t="n">
        <x:f>'Summary'!E238</x:f>
        <x:v>1565.0256591657</x:v>
      </x:c>
      <x:c r="E238" s="32" t="n">
        <x:f>'Summary'!K238</x:f>
        <x:v>1161094.7737815653</x:v>
      </x:c>
      <x:c r="F238" s="34" t="n">
        <x:f>IF(SUM($E$2:$E$283)=0,"",E238/SUM($E$2:$E$283))</x:f>
        <x:v>0.000017475267226465604</x:v>
      </x:c>
      <x:c r="G238" s="35" t="n">
        <x:f>RANK(E238,$E$2:$E$283,0)+COUNTIF($E$2:E238,E238)-1</x:f>
        <x:v>237</x:v>
      </x:c>
      <x:c r="H238" s="34" t="n">
        <x:f>IF(SUM($E$2:$E$283)=0,"",SUM($F$2:F238))</x:f>
        <x:v>0.9997341900176487</x:v>
      </x:c>
      <x:c r="I238" s="25" t="b">
        <x:f>INDEX('EEZ Selection Flags'!$L$2:$L$283,MATCH(A238,'EEZ Selection Flags'!$A$2:$A$283,0))</x:f>
        <x:v>0</x:v>
      </x:c>
      <x:c r="J238" s="25" t="b">
        <x:f>INDEX('EEZ Selection Flags'!$M$2:$M$283,MATCH(A238,'EEZ Selection Flags'!$A$2:$A$283,0))</x:f>
        <x:v>0</x:v>
      </x:c>
      <x:c r="K238" s="25" t="b">
        <x:f>INDEX('EEZ Selection Flags'!$N$2:$N$283,MATCH(A238,'EEZ Selection Flags'!$A$2:$A$283,0))</x:f>
        <x:v>0</x:v>
      </x:c>
    </x:row>
    <x:row r="239" ht="18" customHeight="1">
      <x:c r="A239" s="25" t="str">
        <x:f>'Summary'!A239</x:f>
        <x:v>EEZ_876</x:v>
      </x:c>
      <x:c r="B239" s="25" t="str">
        <x:f>'Summary'!B239</x:f>
        <x:v>Wallis &amp; Futuna Isl. (France)</x:v>
      </x:c>
      <x:c r="C239" s="25" t="str">
        <x:f>'Summary'!C239</x:f>
        <x:v>EEZ</x:v>
      </x:c>
      <x:c r="D239" s="32" t="n">
        <x:f>'Summary'!E239</x:f>
        <x:v>971.0058082377002</x:v>
      </x:c>
      <x:c r="E239" s="32" t="n">
        <x:f>'Summary'!K239</x:f>
        <x:v>1119183.1426833072</x:v>
      </x:c>
      <x:c r="F239" s="34" t="n">
        <x:f>IF(SUM($E$2:$E$283)=0,"",E239/SUM($E$2:$E$283))</x:f>
        <x:v>0.00001684446863028064</x:v>
      </x:c>
      <x:c r="G239" s="35" t="n">
        <x:f>RANK(E239,$E$2:$E$283,0)+COUNTIF($E$2:E239,E239)-1</x:f>
        <x:v>238</x:v>
      </x:c>
      <x:c r="H239" s="34" t="n">
        <x:f>IF(SUM($E$2:$E$283)=0,"",SUM($F$2:F239))</x:f>
        <x:v>0.999751034486279</x:v>
      </x:c>
      <x:c r="I239" s="25" t="b">
        <x:f>INDEX('EEZ Selection Flags'!$L$2:$L$283,MATCH(A239,'EEZ Selection Flags'!$A$2:$A$283,0))</x:f>
        <x:v>1</x:v>
      </x:c>
      <x:c r="J239" s="25" t="b">
        <x:f>INDEX('EEZ Selection Flags'!$M$2:$M$283,MATCH(A239,'EEZ Selection Flags'!$A$2:$A$283,0))</x:f>
        <x:v>0</x:v>
      </x:c>
      <x:c r="K239" s="25" t="b">
        <x:f>INDEX('EEZ Selection Flags'!$N$2:$N$283,MATCH(A239,'EEZ Selection Flags'!$A$2:$A$283,0))</x:f>
        <x:v>0</x:v>
      </x:c>
    </x:row>
    <x:row r="240" ht="18" customHeight="1">
      <x:c r="A240" s="25" t="str">
        <x:f>'Summary'!A240</x:f>
        <x:v>EEZ_935</x:v>
      </x:c>
      <x:c r="B240" s="25" t="str">
        <x:f>'Summary'!B240</x:f>
        <x:v>Guatemala (Caribbean)</x:v>
      </x:c>
      <x:c r="C240" s="25" t="str">
        <x:f>'Summary'!C240</x:f>
        <x:v>EEZ</x:v>
      </x:c>
      <x:c r="D240" s="32" t="n">
        <x:f>'Summary'!E240</x:f>
        <x:v>4694.347823299001</x:v>
      </x:c>
      <x:c r="E240" s="32" t="n">
        <x:f>'Summary'!K240</x:f>
        <x:v>1114718.28132553</x:v>
      </x:c>
      <x:c r="F240" s="34" t="n">
        <x:f>IF(SUM($E$2:$E$283)=0,"",E240/SUM($E$2:$E$283))</x:f>
        <x:v>0.0000167772694256006</x:v>
      </x:c>
      <x:c r="G240" s="35" t="n">
        <x:f>RANK(E240,$E$2:$E$283,0)+COUNTIF($E$2:E240,E240)-1</x:f>
        <x:v>239</x:v>
      </x:c>
      <x:c r="H240" s="34" t="n">
        <x:f>IF(SUM($E$2:$E$283)=0,"",SUM($F$2:F240))</x:f>
        <x:v>0.9997678117557046</x:v>
      </x:c>
      <x:c r="I240" s="25" t="b">
        <x:f>INDEX('EEZ Selection Flags'!$L$2:$L$283,MATCH(A240,'EEZ Selection Flags'!$A$2:$A$283,0))</x:f>
        <x:v>0</x:v>
      </x:c>
      <x:c r="J240" s="25" t="b">
        <x:f>INDEX('EEZ Selection Flags'!$M$2:$M$283,MATCH(A240,'EEZ Selection Flags'!$A$2:$A$283,0))</x:f>
        <x:v>0</x:v>
      </x:c>
      <x:c r="K240" s="25" t="b">
        <x:f>INDEX('EEZ Selection Flags'!$N$2:$N$283,MATCH(A240,'EEZ Selection Flags'!$A$2:$A$283,0))</x:f>
        <x:v>0</x:v>
      </x:c>
    </x:row>
    <x:row r="241" ht="18" customHeight="1">
      <x:c r="A241" s="25" t="str">
        <x:f>'Summary'!A241</x:f>
        <x:v>EEZ_659</x:v>
      </x:c>
      <x:c r="B241" s="25" t="str">
        <x:f>'Summary'!B241</x:f>
        <x:v>Saint Kitts &amp; Nevis</x:v>
      </x:c>
      <x:c r="C241" s="25" t="str">
        <x:f>'Summary'!C241</x:f>
        <x:v>EEZ</x:v>
      </x:c>
      <x:c r="D241" s="32" t="n">
        <x:f>'Summary'!E241</x:f>
        <x:v>1724.273887369</x:v>
      </x:c>
      <x:c r="E241" s="32" t="n">
        <x:f>'Summary'!K241</x:f>
        <x:v>1106283.6685462072</x:v>
      </x:c>
      <x:c r="F241" s="34" t="n">
        <x:f>IF(SUM($E$2:$E$283)=0,"",E241/SUM($E$2:$E$283))</x:f>
        <x:v>0.000016650322758025508</x:v>
      </x:c>
      <x:c r="G241" s="35" t="n">
        <x:f>RANK(E241,$E$2:$E$283,0)+COUNTIF($E$2:E241,E241)-1</x:f>
        <x:v>240</x:v>
      </x:c>
      <x:c r="H241" s="34" t="n">
        <x:f>IF(SUM($E$2:$E$283)=0,"",SUM($F$2:F241))</x:f>
        <x:v>0.9997844620784626</x:v>
      </x:c>
      <x:c r="I241" s="25" t="b">
        <x:f>INDEX('EEZ Selection Flags'!$L$2:$L$283,MATCH(A241,'EEZ Selection Flags'!$A$2:$A$283,0))</x:f>
        <x:v>0</x:v>
      </x:c>
      <x:c r="J241" s="25" t="b">
        <x:f>INDEX('EEZ Selection Flags'!$M$2:$M$283,MATCH(A241,'EEZ Selection Flags'!$A$2:$A$283,0))</x:f>
        <x:v>0</x:v>
      </x:c>
      <x:c r="K241" s="25" t="b">
        <x:f>INDEX('EEZ Selection Flags'!$N$2:$N$283,MATCH(A241,'EEZ Selection Flags'!$A$2:$A$283,0))</x:f>
        <x:v>0</x:v>
      </x:c>
    </x:row>
    <x:row r="242" ht="18" customHeight="1">
      <x:c r="A242" s="25" t="str">
        <x:f>'Summary'!A242</x:f>
        <x:v>EEZ_736</x:v>
      </x:c>
      <x:c r="B242" s="25" t="str">
        <x:f>'Summary'!B242</x:f>
        <x:v>Sudan</x:v>
      </x:c>
      <x:c r="C242" s="25" t="str">
        <x:f>'Summary'!C242</x:f>
        <x:v>EEZ</x:v>
      </x:c>
      <x:c r="D242" s="32" t="n">
        <x:f>'Summary'!E242</x:f>
        <x:v>1903.800910461</x:v>
      </x:c>
      <x:c r="E242" s="32" t="n">
        <x:f>'Summary'!K242</x:f>
        <x:v>1065191.496904894</x:v>
      </x:c>
      <x:c r="F242" s="34" t="n">
        <x:f>IF(SUM($E$2:$E$283)=0,"",E242/SUM($E$2:$E$283))</x:f>
        <x:v>0.000016031857584843325</x:v>
      </x:c>
      <x:c r="G242" s="35" t="n">
        <x:f>RANK(E242,$E$2:$E$283,0)+COUNTIF($E$2:E242,E242)-1</x:f>
        <x:v>241</x:v>
      </x:c>
      <x:c r="H242" s="34" t="n">
        <x:f>IF(SUM($E$2:$E$283)=0,"",SUM($F$2:F242))</x:f>
        <x:v>0.9998004939360474</x:v>
      </x:c>
      <x:c r="I242" s="25" t="b">
        <x:f>INDEX('EEZ Selection Flags'!$L$2:$L$283,MATCH(A242,'EEZ Selection Flags'!$A$2:$A$283,0))</x:f>
        <x:v>0</x:v>
      </x:c>
      <x:c r="J242" s="25" t="b">
        <x:f>INDEX('EEZ Selection Flags'!$M$2:$M$283,MATCH(A242,'EEZ Selection Flags'!$A$2:$A$283,0))</x:f>
        <x:v>0</x:v>
      </x:c>
      <x:c r="K242" s="25" t="b">
        <x:f>INDEX('EEZ Selection Flags'!$N$2:$N$283,MATCH(A242,'EEZ Selection Flags'!$A$2:$A$283,0))</x:f>
        <x:v>0</x:v>
      </x:c>
    </x:row>
    <x:row r="243" ht="18" customHeight="1">
      <x:c r="A243" s="25" t="str">
        <x:f>'Summary'!A243</x:f>
        <x:v>EEZ_638</x:v>
      </x:c>
      <x:c r="B243" s="25" t="str">
        <x:f>'Summary'!B243</x:f>
        <x:v>Réunion (France)</x:v>
      </x:c>
      <x:c r="C243" s="25" t="str">
        <x:f>'Summary'!C243</x:f>
        <x:v>EEZ</x:v>
      </x:c>
      <x:c r="D243" s="32" t="n">
        <x:f>'Summary'!E243</x:f>
        <x:v>537.9865677244</x:v>
      </x:c>
      <x:c r="E243" s="32" t="n">
        <x:f>'Summary'!K243</x:f>
        <x:v>1039295.5371920002</x:v>
      </x:c>
      <x:c r="F243" s="34" t="n">
        <x:f>IF(SUM($E$2:$E$283)=0,"",E243/SUM($E$2:$E$283))</x:f>
        <x:v>0.000015642105752101253</x:v>
      </x:c>
      <x:c r="G243" s="35" t="n">
        <x:f>RANK(E243,$E$2:$E$283,0)+COUNTIF($E$2:E243,E243)-1</x:f>
        <x:v>242</x:v>
      </x:c>
      <x:c r="H243" s="34" t="n">
        <x:f>IF(SUM($E$2:$E$283)=0,"",SUM($F$2:F243))</x:f>
        <x:v>0.9998161360417995</x:v>
      </x:c>
      <x:c r="I243" s="25" t="b">
        <x:f>INDEX('EEZ Selection Flags'!$L$2:$L$283,MATCH(A243,'EEZ Selection Flags'!$A$2:$A$283,0))</x:f>
        <x:v>1</x:v>
      </x:c>
      <x:c r="J243" s="25" t="b">
        <x:f>INDEX('EEZ Selection Flags'!$M$2:$M$283,MATCH(A243,'EEZ Selection Flags'!$A$2:$A$283,0))</x:f>
        <x:v>0</x:v>
      </x:c>
      <x:c r="K243" s="25" t="b">
        <x:f>INDEX('EEZ Selection Flags'!$N$2:$N$283,MATCH(A243,'EEZ Selection Flags'!$A$2:$A$283,0))</x:f>
        <x:v>0</x:v>
      </x:c>
    </x:row>
    <x:row r="244" ht="18" customHeight="1">
      <x:c r="A244" s="25" t="str">
        <x:f>'Summary'!A244</x:f>
        <x:v>EEZ_580</x:v>
      </x:c>
      <x:c r="B244" s="25" t="str">
        <x:f>'Summary'!B244</x:f>
        <x:v>Northern Marianas (USA)</x:v>
      </x:c>
      <x:c r="C244" s="25" t="str">
        <x:f>'Summary'!C244</x:f>
        <x:v>EEZ</x:v>
      </x:c>
      <x:c r="D244" s="32" t="n">
        <x:f>'Summary'!E244</x:f>
        <x:v>498.5314401099</x:v>
      </x:c>
      <x:c r="E244" s="32" t="n">
        <x:f>'Summary'!K244</x:f>
        <x:v>1005725.4354424982</x:v>
      </x:c>
      <x:c r="F244" s="34" t="n">
        <x:f>IF(SUM($E$2:$E$283)=0,"",E244/SUM($E$2:$E$283))</x:f>
        <x:v>0.00001513685285445747</x:v>
      </x:c>
      <x:c r="G244" s="35" t="n">
        <x:f>RANK(E244,$E$2:$E$283,0)+COUNTIF($E$2:E244,E244)-1</x:f>
        <x:v>243</x:v>
      </x:c>
      <x:c r="H244" s="34" t="n">
        <x:f>IF(SUM($E$2:$E$283)=0,"",SUM($F$2:F244))</x:f>
        <x:v>0.999831272894654</x:v>
      </x:c>
      <x:c r="I244" s="25" t="b">
        <x:f>INDEX('EEZ Selection Flags'!$L$2:$L$283,MATCH(A244,'EEZ Selection Flags'!$A$2:$A$283,0))</x:f>
        <x:v>1</x:v>
      </x:c>
      <x:c r="J244" s="25" t="b">
        <x:f>INDEX('EEZ Selection Flags'!$M$2:$M$283,MATCH(A244,'EEZ Selection Flags'!$A$2:$A$283,0))</x:f>
        <x:v>0</x:v>
      </x:c>
      <x:c r="K244" s="25" t="b">
        <x:f>INDEX('EEZ Selection Flags'!$N$2:$N$283,MATCH(A244,'EEZ Selection Flags'!$A$2:$A$283,0))</x:f>
        <x:v>0</x:v>
      </x:c>
    </x:row>
    <x:row r="245" ht="18" customHeight="1">
      <x:c r="A245" s="25" t="str">
        <x:f>'Summary'!A245</x:f>
        <x:v>EEZ_654</x:v>
      </x:c>
      <x:c r="B245" s="25" t="str">
        <x:f>'Summary'!B245</x:f>
        <x:v>Saint Helena (UK)</x:v>
      </x:c>
      <x:c r="C245" s="25" t="str">
        <x:f>'Summary'!C245</x:f>
        <x:v>EEZ</x:v>
      </x:c>
      <x:c r="D245" s="32" t="n">
        <x:f>'Summary'!E245</x:f>
        <x:v>515.4002517916999</x:v>
      </x:c>
      <x:c r="E245" s="32" t="n">
        <x:f>'Summary'!K245</x:f>
        <x:v>982147.5503922047</x:v>
      </x:c>
      <x:c r="F245" s="34" t="n">
        <x:f>IF(SUM($E$2:$E$283)=0,"",E245/SUM($E$2:$E$283))</x:f>
        <x:v>0.000014781989624346781</x:v>
      </x:c>
      <x:c r="G245" s="35" t="n">
        <x:f>RANK(E245,$E$2:$E$283,0)+COUNTIF($E$2:E245,E245)-1</x:f>
        <x:v>244</x:v>
      </x:c>
      <x:c r="H245" s="34" t="n">
        <x:f>IF(SUM($E$2:$E$283)=0,"",SUM($F$2:F245))</x:f>
        <x:v>0.9998460548842784</x:v>
      </x:c>
      <x:c r="I245" s="25" t="b">
        <x:f>INDEX('EEZ Selection Flags'!$L$2:$L$283,MATCH(A245,'EEZ Selection Flags'!$A$2:$A$283,0))</x:f>
        <x:v>1</x:v>
      </x:c>
      <x:c r="J245" s="25" t="b">
        <x:f>INDEX('EEZ Selection Flags'!$M$2:$M$283,MATCH(A245,'EEZ Selection Flags'!$A$2:$A$283,0))</x:f>
        <x:v>0</x:v>
      </x:c>
      <x:c r="K245" s="25" t="b">
        <x:f>INDEX('EEZ Selection Flags'!$N$2:$N$283,MATCH(A245,'EEZ Selection Flags'!$A$2:$A$283,0))</x:f>
        <x:v>0</x:v>
      </x:c>
    </x:row>
    <x:row r="246" ht="18" customHeight="1">
      <x:c r="A246" s="25" t="str">
        <x:f>'Summary'!A246</x:f>
        <x:v>EEZ_896</x:v>
      </x:c>
      <x:c r="B246" s="25" t="str">
        <x:f>'Summary'!B246</x:f>
        <x:v>Crozet Isl. (France)</x:v>
      </x:c>
      <x:c r="C246" s="25" t="str">
        <x:f>'Summary'!C246</x:f>
        <x:v>EEZ</x:v>
      </x:c>
      <x:c r="D246" s="32" t="n">
        <x:f>'Summary'!E246</x:f>
        <x:v>962.1183434891</x:v>
      </x:c>
      <x:c r="E246" s="32" t="n">
        <x:f>'Summary'!K246</x:f>
        <x:v>829294.7328154038</x:v>
      </x:c>
      <x:c r="F246" s="34" t="n">
        <x:f>IF(SUM($E$2:$E$283)=0,"",E246/SUM($E$2:$E$283))</x:f>
        <x:v>0.000012481450603941792</x:v>
      </x:c>
      <x:c r="G246" s="35" t="n">
        <x:f>RANK(E246,$E$2:$E$283,0)+COUNTIF($E$2:E246,E246)-1</x:f>
        <x:v>245</x:v>
      </x:c>
      <x:c r="H246" s="34" t="n">
        <x:f>IF(SUM($E$2:$E$283)=0,"",SUM($F$2:F246))</x:f>
        <x:v>0.9998585363348823</x:v>
      </x:c>
      <x:c r="I246" s="25" t="b">
        <x:f>INDEX('EEZ Selection Flags'!$L$2:$L$283,MATCH(A246,'EEZ Selection Flags'!$A$2:$A$283,0))</x:f>
        <x:v>1</x:v>
      </x:c>
      <x:c r="J246" s="25" t="b">
        <x:f>INDEX('EEZ Selection Flags'!$M$2:$M$283,MATCH(A246,'EEZ Selection Flags'!$A$2:$A$283,0))</x:f>
        <x:v>0</x:v>
      </x:c>
      <x:c r="K246" s="25" t="b">
        <x:f>INDEX('EEZ Selection Flags'!$N$2:$N$283,MATCH(A246,'EEZ Selection Flags'!$A$2:$A$283,0))</x:f>
        <x:v>0</x:v>
      </x:c>
    </x:row>
    <x:row r="247" ht="18" customHeight="1">
      <x:c r="A247" s="25" t="str">
        <x:f>'Summary'!A247</x:f>
        <x:v>EEZ_488</x:v>
      </x:c>
      <x:c r="B247" s="25" t="str">
        <x:f>'Summary'!B247</x:f>
        <x:v>Hawaii Northwest Islands (USA)</x:v>
      </x:c>
      <x:c r="C247" s="25" t="str">
        <x:f>'Summary'!C247</x:f>
        <x:v>EEZ</x:v>
      </x:c>
      <x:c r="D247" s="32" t="n">
        <x:f>'Summary'!E247</x:f>
        <x:v>456.1205398731</x:v>
      </x:c>
      <x:c r="E247" s="32" t="n">
        <x:f>'Summary'!K247</x:f>
        <x:v>790459.7617226113</x:v>
      </x:c>
      <x:c r="F247" s="34" t="n">
        <x:f>IF(SUM($E$2:$E$283)=0,"",E247/SUM($E$2:$E$283))</x:f>
        <x:v>0.000011896957836509622</x:v>
      </x:c>
      <x:c r="G247" s="35" t="n">
        <x:f>RANK(E247,$E$2:$E$283,0)+COUNTIF($E$2:E247,E247)-1</x:f>
        <x:v>246</x:v>
      </x:c>
      <x:c r="H247" s="34" t="n">
        <x:f>IF(SUM($E$2:$E$283)=0,"",SUM($F$2:F247))</x:f>
        <x:v>0.9998704332927189</x:v>
      </x:c>
      <x:c r="I247" s="25" t="b">
        <x:f>INDEX('EEZ Selection Flags'!$L$2:$L$283,MATCH(A247,'EEZ Selection Flags'!$A$2:$A$283,0))</x:f>
        <x:v>0</x:v>
      </x:c>
      <x:c r="J247" s="25" t="b">
        <x:f>INDEX('EEZ Selection Flags'!$M$2:$M$283,MATCH(A247,'EEZ Selection Flags'!$A$2:$A$283,0))</x:f>
        <x:v>0</x:v>
      </x:c>
      <x:c r="K247" s="25" t="b">
        <x:f>INDEX('EEZ Selection Flags'!$N$2:$N$283,MATCH(A247,'EEZ Selection Flags'!$A$2:$A$283,0))</x:f>
        <x:v>0</x:v>
      </x:c>
    </x:row>
    <x:row r="248" ht="18" customHeight="1">
      <x:c r="A248" s="25" t="str">
        <x:f>'Summary'!A248</x:f>
        <x:v>EEZ_396</x:v>
      </x:c>
      <x:c r="B248" s="25" t="str">
        <x:f>'Summary'!B248</x:f>
        <x:v>Johnston Atoll (USA)</x:v>
      </x:c>
      <x:c r="C248" s="25" t="str">
        <x:f>'Summary'!C248</x:f>
        <x:v>EEZ</x:v>
      </x:c>
      <x:c r="D248" s="32" t="n">
        <x:f>'Summary'!E248</x:f>
        <x:v>308.29794792170003</x:v>
      </x:c>
      <x:c r="E248" s="32" t="n">
        <x:f>'Summary'!K248</x:f>
        <x:v>709090.631793451</x:v>
      </x:c>
      <x:c r="F248" s="34" t="n">
        <x:f>IF(SUM($E$2:$E$283)=0,"",E248/SUM($E$2:$E$283))</x:f>
        <x:v>0.00001067229700639845</x:v>
      </x:c>
      <x:c r="G248" s="35" t="n">
        <x:f>RANK(E248,$E$2:$E$283,0)+COUNTIF($E$2:E248,E248)-1</x:f>
        <x:v>247</x:v>
      </x:c>
      <x:c r="H248" s="34" t="n">
        <x:f>IF(SUM($E$2:$E$283)=0,"",SUM($F$2:F248))</x:f>
        <x:v>0.9998811055897252</x:v>
      </x:c>
      <x:c r="I248" s="25" t="b">
        <x:f>INDEX('EEZ Selection Flags'!$L$2:$L$283,MATCH(A248,'EEZ Selection Flags'!$A$2:$A$283,0))</x:f>
        <x:v>1</x:v>
      </x:c>
      <x:c r="J248" s="25" t="b">
        <x:f>INDEX('EEZ Selection Flags'!$M$2:$M$283,MATCH(A248,'EEZ Selection Flags'!$A$2:$A$283,0))</x:f>
        <x:v>0</x:v>
      </x:c>
      <x:c r="K248" s="25" t="b">
        <x:f>INDEX('EEZ Selection Flags'!$N$2:$N$283,MATCH(A248,'EEZ Selection Flags'!$A$2:$A$283,0))</x:f>
        <x:v>0</x:v>
      </x:c>
    </x:row>
    <x:row r="249" ht="18" customHeight="1">
      <x:c r="A249" s="25" t="str">
        <x:f>'Summary'!A249</x:f>
        <x:v>EEZ_907</x:v>
      </x:c>
      <x:c r="B249" s="25" t="str">
        <x:f>'Summary'!B249</x:f>
        <x:v>Bonaire (Netherlands)</x:v>
      </x:c>
      <x:c r="C249" s="25" t="str">
        <x:f>'Summary'!C249</x:f>
        <x:v>EEZ</x:v>
      </x:c>
      <x:c r="D249" s="32" t="n">
        <x:f>'Summary'!E249</x:f>
        <x:v>400.2133530319</x:v>
      </x:c>
      <x:c r="E249" s="32" t="n">
        <x:f>'Summary'!K249</x:f>
        <x:v>677238.29384602</x:v>
      </x:c>
      <x:c r="F249" s="34" t="n">
        <x:f>IF(SUM($E$2:$E$283)=0,"",E249/SUM($E$2:$E$283))</x:f>
        <x:v>0.000010192897624032644</x:v>
      </x:c>
      <x:c r="G249" s="35" t="n">
        <x:f>RANK(E249,$E$2:$E$283,0)+COUNTIF($E$2:E249,E249)-1</x:f>
        <x:v>248</x:v>
      </x:c>
      <x:c r="H249" s="34" t="n">
        <x:f>IF(SUM($E$2:$E$283)=0,"",SUM($F$2:F249))</x:f>
        <x:v>0.9998912984873493</x:v>
      </x:c>
      <x:c r="I249" s="25" t="b">
        <x:f>INDEX('EEZ Selection Flags'!$L$2:$L$283,MATCH(A249,'EEZ Selection Flags'!$A$2:$A$283,0))</x:f>
        <x:v>0</x:v>
      </x:c>
      <x:c r="J249" s="25" t="b">
        <x:f>INDEX('EEZ Selection Flags'!$M$2:$M$283,MATCH(A249,'EEZ Selection Flags'!$A$2:$A$283,0))</x:f>
        <x:v>0</x:v>
      </x:c>
      <x:c r="K249" s="25" t="b">
        <x:f>INDEX('EEZ Selection Flags'!$N$2:$N$283,MATCH(A249,'EEZ Selection Flags'!$A$2:$A$283,0))</x:f>
        <x:v>0</x:v>
      </x:c>
    </x:row>
    <x:row r="250" ht="18" customHeight="1">
      <x:c r="A250" s="25" t="str">
        <x:f>'Summary'!A250</x:f>
        <x:v>EEZ_844</x:v>
      </x:c>
      <x:c r="B250" s="25" t="str">
        <x:f>'Summary'!B250</x:f>
        <x:v>Palmyra Atoll &amp; Kingman Reef (USA)</x:v>
      </x:c>
      <x:c r="C250" s="25" t="str">
        <x:f>'Summary'!C250</x:f>
        <x:v>EEZ</x:v>
      </x:c>
      <x:c r="D250" s="32" t="n">
        <x:f>'Summary'!E250</x:f>
        <x:v>280.5961402573</x:v>
      </x:c>
      <x:c r="E250" s="32" t="n">
        <x:f>'Summary'!K250</x:f>
        <x:v>628775.9881433196</x:v>
      </x:c>
      <x:c r="F250" s="34" t="n">
        <x:f>IF(SUM($E$2:$E$283)=0,"",E250/SUM($E$2:$E$283))</x:f>
        <x:v>0.000009463506913051213</x:v>
      </x:c>
      <x:c r="G250" s="35" t="n">
        <x:f>RANK(E250,$E$2:$E$283,0)+COUNTIF($E$2:E250,E250)-1</x:f>
        <x:v>249</x:v>
      </x:c>
      <x:c r="H250" s="34" t="n">
        <x:f>IF(SUM($E$2:$E$283)=0,"",SUM($F$2:F250))</x:f>
        <x:v>0.9999007619942623</x:v>
      </x:c>
      <x:c r="I250" s="25" t="b">
        <x:f>INDEX('EEZ Selection Flags'!$L$2:$L$283,MATCH(A250,'EEZ Selection Flags'!$A$2:$A$283,0))</x:f>
        <x:v>1</x:v>
      </x:c>
      <x:c r="J250" s="25" t="b">
        <x:f>INDEX('EEZ Selection Flags'!$M$2:$M$283,MATCH(A250,'EEZ Selection Flags'!$A$2:$A$283,0))</x:f>
        <x:v>0</x:v>
      </x:c>
      <x:c r="K250" s="25" t="b">
        <x:f>INDEX('EEZ Selection Flags'!$N$2:$N$283,MATCH(A250,'EEZ Selection Flags'!$A$2:$A$283,0))</x:f>
        <x:v>0</x:v>
      </x:c>
    </x:row>
    <x:row r="251" ht="18" customHeight="1">
      <x:c r="A251" s="25" t="str">
        <x:f>'Summary'!A251</x:f>
        <x:v>EEZ_891</x:v>
      </x:c>
      <x:c r="B251" s="25" t="str">
        <x:f>'Summary'!B251</x:f>
        <x:v>Montenegro</x:v>
      </x:c>
      <x:c r="C251" s="25" t="str">
        <x:f>'Summary'!C251</x:f>
        <x:v>EEZ</x:v>
      </x:c>
      <x:c r="D251" s="32" t="n">
        <x:f>'Summary'!E251</x:f>
        <x:v>1698.0118630171</x:v>
      </x:c>
      <x:c r="E251" s="32" t="n">
        <x:f>'Summary'!K251</x:f>
        <x:v>575664.3429432232</x:v>
      </x:c>
      <x:c r="F251" s="34" t="n">
        <x:f>IF(SUM($E$2:$E$283)=0,"",E251/SUM($E$2:$E$283))</x:f>
        <x:v>0.00000866414047573098</x:v>
      </x:c>
      <x:c r="G251" s="35" t="n">
        <x:f>RANK(E251,$E$2:$E$283,0)+COUNTIF($E$2:E251,E251)-1</x:f>
        <x:v>250</x:v>
      </x:c>
      <x:c r="H251" s="34" t="n">
        <x:f>IF(SUM($E$2:$E$283)=0,"",SUM($F$2:F251))</x:f>
        <x:v>0.999909426134738</x:v>
      </x:c>
      <x:c r="I251" s="25" t="b">
        <x:f>INDEX('EEZ Selection Flags'!$L$2:$L$283,MATCH(A251,'EEZ Selection Flags'!$A$2:$A$283,0))</x:f>
        <x:v>0</x:v>
      </x:c>
      <x:c r="J251" s="25" t="b">
        <x:f>INDEX('EEZ Selection Flags'!$M$2:$M$283,MATCH(A251,'EEZ Selection Flags'!$A$2:$A$283,0))</x:f>
        <x:v>0</x:v>
      </x:c>
      <x:c r="K251" s="25" t="b">
        <x:f>INDEX('EEZ Selection Flags'!$N$2:$N$283,MATCH(A251,'EEZ Selection Flags'!$A$2:$A$283,0))</x:f>
        <x:v>0</x:v>
      </x:c>
    </x:row>
    <x:row r="252" ht="18" customHeight="1">
      <x:c r="A252" s="25" t="str">
        <x:f>'Summary'!A252</x:f>
        <x:v>EEZ_666</x:v>
      </x:c>
      <x:c r="B252" s="25" t="str">
        <x:f>'Summary'!B252</x:f>
        <x:v>Saint Pierre &amp; Miquelon (France)</x:v>
      </x:c>
      <x:c r="C252" s="25" t="str">
        <x:f>'Summary'!C252</x:f>
        <x:v>EEZ</x:v>
      </x:c>
      <x:c r="D252" s="32" t="n">
        <x:f>'Summary'!E252</x:f>
        <x:v>1766.086618522</x:v>
      </x:c>
      <x:c r="E252" s="32" t="n">
        <x:f>'Summary'!K252</x:f>
        <x:v>574386.8852731779</x:v>
      </x:c>
      <x:c r="F252" s="34" t="n">
        <x:f>IF(SUM($E$2:$E$283)=0,"",E252/SUM($E$2:$E$283))</x:f>
        <x:v>0.000008644913867655023</x:v>
      </x:c>
      <x:c r="G252" s="35" t="n">
        <x:f>RANK(E252,$E$2:$E$283,0)+COUNTIF($E$2:E252,E252)-1</x:f>
        <x:v>251</x:v>
      </x:c>
      <x:c r="H252" s="34" t="n">
        <x:f>IF(SUM($E$2:$E$283)=0,"",SUM($F$2:F252))</x:f>
        <x:v>0.9999180710486056</x:v>
      </x:c>
      <x:c r="I252" s="25" t="b">
        <x:f>INDEX('EEZ Selection Flags'!$L$2:$L$283,MATCH(A252,'EEZ Selection Flags'!$A$2:$A$283,0))</x:f>
        <x:v>0</x:v>
      </x:c>
      <x:c r="J252" s="25" t="b">
        <x:f>INDEX('EEZ Selection Flags'!$M$2:$M$283,MATCH(A252,'EEZ Selection Flags'!$A$2:$A$283,0))</x:f>
        <x:v>0</x:v>
      </x:c>
      <x:c r="K252" s="25" t="b">
        <x:f>INDEX('EEZ Selection Flags'!$N$2:$N$283,MATCH(A252,'EEZ Selection Flags'!$A$2:$A$283,0))</x:f>
        <x:v>0</x:v>
      </x:c>
    </x:row>
    <x:row r="253" ht="18" customHeight="1">
      <x:c r="A253" s="25" t="str">
        <x:f>'Summary'!A253</x:f>
        <x:v>EEZ_905</x:v>
      </x:c>
      <x:c r="B253" s="25" t="str">
        <x:f>'Summary'!B253</x:f>
        <x:v>St Martin (France)</x:v>
      </x:c>
      <x:c r="C253" s="25" t="str">
        <x:f>'Summary'!C253</x:f>
        <x:v>EEZ</x:v>
      </x:c>
      <x:c r="D253" s="32" t="n">
        <x:f>'Summary'!E253</x:f>
        <x:v>547.9161662649999</x:v>
      </x:c>
      <x:c r="E253" s="32" t="n">
        <x:f>'Summary'!K253</x:f>
        <x:v>499593.895973369</x:v>
      </x:c>
      <x:c r="F253" s="34" t="n">
        <x:f>IF(SUM($E$2:$E$283)=0,"",E253/SUM($E$2:$E$283))</x:f>
        <x:v>0.000007519228433361412</x:v>
      </x:c>
      <x:c r="G253" s="35" t="n">
        <x:f>RANK(E253,$E$2:$E$283,0)+COUNTIF($E$2:E253,E253)-1</x:f>
        <x:v>252</x:v>
      </x:c>
      <x:c r="H253" s="34" t="n">
        <x:f>IF(SUM($E$2:$E$283)=0,"",SUM($F$2:F253))</x:f>
        <x:v>0.999925590277039</x:v>
      </x:c>
      <x:c r="I253" s="25" t="b">
        <x:f>INDEX('EEZ Selection Flags'!$L$2:$L$283,MATCH(A253,'EEZ Selection Flags'!$A$2:$A$283,0))</x:f>
        <x:v>0</x:v>
      </x:c>
      <x:c r="J253" s="25" t="b">
        <x:f>INDEX('EEZ Selection Flags'!$M$2:$M$283,MATCH(A253,'EEZ Selection Flags'!$A$2:$A$283,0))</x:f>
        <x:v>0</x:v>
      </x:c>
      <x:c r="K253" s="25" t="b">
        <x:f>INDEX('EEZ Selection Flags'!$N$2:$N$283,MATCH(A253,'EEZ Selection Flags'!$A$2:$A$283,0))</x:f>
        <x:v>0</x:v>
      </x:c>
    </x:row>
    <x:row r="254" ht="18" customHeight="1">
      <x:c r="A254" s="25" t="str">
        <x:f>'Summary'!A254</x:f>
        <x:v>EEZ_400</x:v>
      </x:c>
      <x:c r="B254" s="25" t="str">
        <x:f>'Summary'!B254</x:f>
        <x:v>Jordan</x:v>
      </x:c>
      <x:c r="C254" s="25" t="str">
        <x:f>'Summary'!C254</x:f>
        <x:v>EEZ</x:v>
      </x:c>
      <x:c r="D254" s="32" t="n">
        <x:f>'Summary'!E254</x:f>
        <x:v>387.759999999</x:v>
      </x:c>
      <x:c r="E254" s="32" t="n">
        <x:f>'Summary'!K254</x:f>
        <x:v>448341.8758726021</x:v>
      </x:c>
      <x:c r="F254" s="34" t="n">
        <x:f>IF(SUM($E$2:$E$283)=0,"",E254/SUM($E$2:$E$283))</x:f>
        <x:v>0.0000067478506204718815</x:v>
      </x:c>
      <x:c r="G254" s="35" t="n">
        <x:f>RANK(E254,$E$2:$E$283,0)+COUNTIF($E$2:E254,E254)-1</x:f>
        <x:v>253</x:v>
      </x:c>
      <x:c r="H254" s="34" t="n">
        <x:f>IF(SUM($E$2:$E$283)=0,"",SUM($F$2:F254))</x:f>
        <x:v>0.9999323381276595</x:v>
      </x:c>
      <x:c r="I254" s="25" t="b">
        <x:f>INDEX('EEZ Selection Flags'!$L$2:$L$283,MATCH(A254,'EEZ Selection Flags'!$A$2:$A$283,0))</x:f>
        <x:v>0</x:v>
      </x:c>
      <x:c r="J254" s="25" t="b">
        <x:f>INDEX('EEZ Selection Flags'!$M$2:$M$283,MATCH(A254,'EEZ Selection Flags'!$A$2:$A$283,0))</x:f>
        <x:v>0</x:v>
      </x:c>
      <x:c r="K254" s="25" t="b">
        <x:f>INDEX('EEZ Selection Flags'!$N$2:$N$283,MATCH(A254,'EEZ Selection Flags'!$A$2:$A$283,0))</x:f>
        <x:v>0</x:v>
      </x:c>
    </x:row>
    <x:row r="255" ht="18" customHeight="1">
      <x:c r="A255" s="25" t="str">
        <x:f>'Summary'!A255</x:f>
        <x:v>EEZ_660</x:v>
      </x:c>
      <x:c r="B255" s="25" t="str">
        <x:f>'Summary'!B255</x:f>
        <x:v>Anguilla (UK)</x:v>
      </x:c>
      <x:c r="C255" s="25" t="str">
        <x:f>'Summary'!C255</x:f>
        <x:v>EEZ</x:v>
      </x:c>
      <x:c r="D255" s="32" t="n">
        <x:f>'Summary'!E255</x:f>
        <x:v>1027.036715517</x:v>
      </x:c>
      <x:c r="E255" s="32" t="n">
        <x:f>'Summary'!K255</x:f>
        <x:v>448305.9886107153</x:v>
      </x:c>
      <x:c r="F255" s="34" t="n">
        <x:f>IF(SUM($E$2:$E$283)=0,"",E255/SUM($E$2:$E$283))</x:f>
        <x:v>0.000006747310492735835</x:v>
      </x:c>
      <x:c r="G255" s="35" t="n">
        <x:f>RANK(E255,$E$2:$E$283,0)+COUNTIF($E$2:E255,E255)-1</x:f>
        <x:v>254</x:v>
      </x:c>
      <x:c r="H255" s="34" t="n">
        <x:f>IF(SUM($E$2:$E$283)=0,"",SUM($F$2:F255))</x:f>
        <x:v>0.9999390854381522</x:v>
      </x:c>
      <x:c r="I255" s="25" t="b">
        <x:f>INDEX('EEZ Selection Flags'!$L$2:$L$283,MATCH(A255,'EEZ Selection Flags'!$A$2:$A$283,0))</x:f>
        <x:v>1</x:v>
      </x:c>
      <x:c r="J255" s="25" t="b">
        <x:f>INDEX('EEZ Selection Flags'!$M$2:$M$283,MATCH(A255,'EEZ Selection Flags'!$A$2:$A$283,0))</x:f>
        <x:v>0</x:v>
      </x:c>
      <x:c r="K255" s="25" t="b">
        <x:f>INDEX('EEZ Selection Flags'!$N$2:$N$283,MATCH(A255,'EEZ Selection Flags'!$A$2:$A$283,0))</x:f>
        <x:v>0</x:v>
      </x:c>
    </x:row>
    <x:row r="256" ht="18" customHeight="1">
      <x:c r="A256" s="25" t="str">
        <x:f>'Summary'!A256</x:f>
        <x:v>EEZ_579</x:v>
      </x:c>
      <x:c r="B256" s="25" t="str">
        <x:f>'Summary'!B256</x:f>
        <x:v>Jan Mayen Isl. (Norway)</x:v>
      </x:c>
      <x:c r="C256" s="25" t="str">
        <x:f>'Summary'!C256</x:f>
        <x:v>EEZ</x:v>
      </x:c>
      <x:c r="D256" s="32" t="n">
        <x:f>'Summary'!E256</x:f>
        <x:v>534.1534584534</x:v>
      </x:c>
      <x:c r="E256" s="32" t="n">
        <x:f>'Summary'!K256</x:f>
        <x:v>433429.22305330844</x:v>
      </x:c>
      <x:c r="F256" s="34" t="n">
        <x:f>IF(SUM($E$2:$E$283)=0,"",E256/SUM($E$2:$E$283))</x:f>
        <x:v>0.000006523405037770732</x:v>
      </x:c>
      <x:c r="G256" s="35" t="n">
        <x:f>RANK(E256,$E$2:$E$283,0)+COUNTIF($E$2:E256,E256)-1</x:f>
        <x:v>255</x:v>
      </x:c>
      <x:c r="H256" s="34" t="n">
        <x:f>IF(SUM($E$2:$E$283)=0,"",SUM($F$2:F256))</x:f>
        <x:v>0.9999456088431901</x:v>
      </x:c>
      <x:c r="I256" s="25" t="b">
        <x:f>INDEX('EEZ Selection Flags'!$L$2:$L$283,MATCH(A256,'EEZ Selection Flags'!$A$2:$A$283,0))</x:f>
        <x:v>0</x:v>
      </x:c>
      <x:c r="J256" s="25" t="b">
        <x:f>INDEX('EEZ Selection Flags'!$M$2:$M$283,MATCH(A256,'EEZ Selection Flags'!$A$2:$A$283,0))</x:f>
        <x:v>0</x:v>
      </x:c>
      <x:c r="K256" s="25" t="b">
        <x:f>INDEX('EEZ Selection Flags'!$N$2:$N$283,MATCH(A256,'EEZ Selection Flags'!$A$2:$A$283,0))</x:f>
        <x:v>0</x:v>
      </x:c>
    </x:row>
    <x:row r="257" ht="18" customHeight="1">
      <x:c r="A257" s="25" t="str">
        <x:f>'Summary'!A257</x:f>
        <x:v>EEZ_904</x:v>
      </x:c>
      <x:c r="B257" s="25" t="str">
        <x:f>'Summary'!B257</x:f>
        <x:v>St Barthelemy (France)</x:v>
      </x:c>
      <x:c r="C257" s="25" t="str">
        <x:f>'Summary'!C257</x:f>
        <x:v>EEZ</x:v>
      </x:c>
      <x:c r="D257" s="32" t="n">
        <x:f>'Summary'!E257</x:f>
        <x:v>526.0359177130001</x:v>
      </x:c>
      <x:c r="E257" s="32" t="n">
        <x:f>'Summary'!K257</x:f>
        <x:v>405068.1217651294</x:v>
      </x:c>
      <x:c r="F257" s="34" t="n">
        <x:f>IF(SUM($E$2:$E$283)=0,"",E257/SUM($E$2:$E$283))</x:f>
        <x:v>0.000006096551145186571</x:v>
      </x:c>
      <x:c r="G257" s="35" t="n">
        <x:f>RANK(E257,$E$2:$E$283,0)+COUNTIF($E$2:E257,E257)-1</x:f>
        <x:v>256</x:v>
      </x:c>
      <x:c r="H257" s="34" t="n">
        <x:f>IF(SUM($E$2:$E$283)=0,"",SUM($F$2:F257))</x:f>
        <x:v>0.9999517053943352</x:v>
      </x:c>
      <x:c r="I257" s="25" t="b">
        <x:f>INDEX('EEZ Selection Flags'!$L$2:$L$283,MATCH(A257,'EEZ Selection Flags'!$A$2:$A$283,0))</x:f>
        <x:v>1</x:v>
      </x:c>
      <x:c r="J257" s="25" t="b">
        <x:f>INDEX('EEZ Selection Flags'!$M$2:$M$283,MATCH(A257,'EEZ Selection Flags'!$A$2:$A$283,0))</x:f>
        <x:v>0</x:v>
      </x:c>
      <x:c r="K257" s="25" t="b">
        <x:f>INDEX('EEZ Selection Flags'!$N$2:$N$283,MATCH(A257,'EEZ Selection Flags'!$A$2:$A$283,0))</x:f>
        <x:v>0</x:v>
      </x:c>
    </x:row>
    <x:row r="258" ht="18" customHeight="1">
      <x:c r="A258" s="25" t="str">
        <x:f>'Summary'!A258</x:f>
        <x:v>EEZ_037</x:v>
      </x:c>
      <x:c r="B258" s="25" t="str">
        <x:f>'Summary'!B258</x:f>
        <x:v>Macquarie Isl. (Australia)</x:v>
      </x:c>
      <x:c r="C258" s="25" t="str">
        <x:f>'Summary'!C258</x:f>
        <x:v>EEZ</x:v>
      </x:c>
      <x:c r="D258" s="32" t="n">
        <x:f>'Summary'!E258</x:f>
        <x:v>434.33</x:v>
      </x:c>
      <x:c r="E258" s="32" t="n">
        <x:f>'Summary'!K258</x:f>
        <x:v>396113.66785745224</x:v>
      </x:c>
      <x:c r="F258" s="34" t="n">
        <x:f>IF(SUM($E$2:$E$283)=0,"",E258/SUM($E$2:$E$283))</x:f>
        <x:v>0.0000059617805145393555</x:v>
      </x:c>
      <x:c r="G258" s="35" t="n">
        <x:f>RANK(E258,$E$2:$E$283,0)+COUNTIF($E$2:E258,E258)-1</x:f>
        <x:v>257</x:v>
      </x:c>
      <x:c r="H258" s="34" t="n">
        <x:f>IF(SUM($E$2:$E$283)=0,"",SUM($F$2:F258))</x:f>
        <x:v>0.9999576671748497</x:v>
      </x:c>
      <x:c r="I258" s="25" t="b">
        <x:f>INDEX('EEZ Selection Flags'!$L$2:$L$283,MATCH(A258,'EEZ Selection Flags'!$A$2:$A$283,0))</x:f>
        <x:v>1</x:v>
      </x:c>
      <x:c r="J258" s="25" t="b">
        <x:f>INDEX('EEZ Selection Flags'!$M$2:$M$283,MATCH(A258,'EEZ Selection Flags'!$A$2:$A$283,0))</x:f>
        <x:v>0</x:v>
      </x:c>
      <x:c r="K258" s="25" t="b">
        <x:f>INDEX('EEZ Selection Flags'!$N$2:$N$283,MATCH(A258,'EEZ Selection Flags'!$A$2:$A$283,0))</x:f>
        <x:v>0</x:v>
      </x:c>
    </x:row>
    <x:row r="259" ht="18" customHeight="1">
      <x:c r="A259" s="25" t="str">
        <x:f>'Summary'!A259</x:f>
        <x:v>EEZ_951</x:v>
      </x:c>
      <x:c r="B259" s="25" t="str">
        <x:f>'Summary'!B259</x:f>
        <x:v>Panama (Caribbean)</x:v>
      </x:c>
      <x:c r="C259" s="25" t="str">
        <x:f>'Summary'!C259</x:f>
        <x:v>EEZ</x:v>
      </x:c>
      <x:c r="D259" s="32" t="n">
        <x:f>'Summary'!E259</x:f>
        <x:v>1550.4602980178997</x:v>
      </x:c>
      <x:c r="E259" s="32" t="n">
        <x:f>'Summary'!K259</x:f>
        <x:v>395402.3380561242</x:v>
      </x:c>
      <x:c r="F259" s="34" t="n">
        <x:f>IF(SUM($E$2:$E$283)=0,"",E259/SUM($E$2:$E$283))</x:f>
        <x:v>0.0000059510745165062495</x:v>
      </x:c>
      <x:c r="G259" s="35" t="n">
        <x:f>RANK(E259,$E$2:$E$283,0)+COUNTIF($E$2:E259,E259)-1</x:f>
        <x:v>258</x:v>
      </x:c>
      <x:c r="H259" s="34" t="n">
        <x:f>IF(SUM($E$2:$E$283)=0,"",SUM($F$2:F259))</x:f>
        <x:v>0.9999636182493662</x:v>
      </x:c>
      <x:c r="I259" s="25" t="b">
        <x:f>INDEX('EEZ Selection Flags'!$L$2:$L$283,MATCH(A259,'EEZ Selection Flags'!$A$2:$A$283,0))</x:f>
        <x:v>0</x:v>
      </x:c>
      <x:c r="J259" s="25" t="b">
        <x:f>INDEX('EEZ Selection Flags'!$M$2:$M$283,MATCH(A259,'EEZ Selection Flags'!$A$2:$A$283,0))</x:f>
        <x:v>0</x:v>
      </x:c>
      <x:c r="K259" s="25" t="b">
        <x:f>INDEX('EEZ Selection Flags'!$N$2:$N$283,MATCH(A259,'EEZ Selection Flags'!$A$2:$A$283,0))</x:f>
        <x:v>0</x:v>
      </x:c>
    </x:row>
    <x:row r="260" ht="18" customHeight="1">
      <x:c r="A260" s="25" t="str">
        <x:f>'Summary'!A260</x:f>
        <x:v>EEZ_850</x:v>
      </x:c>
      <x:c r="B260" s="25" t="str">
        <x:f>'Summary'!B260</x:f>
        <x:v>US Virgin Isl.</x:v>
      </x:c>
      <x:c r="C260" s="25" t="str">
        <x:f>'Summary'!C260</x:f>
        <x:v>EEZ</x:v>
      </x:c>
      <x:c r="D260" s="32" t="n">
        <x:f>'Summary'!E260</x:f>
        <x:v>385.4790666690001</x:v>
      </x:c>
      <x:c r="E260" s="32" t="n">
        <x:f>'Summary'!K260</x:f>
        <x:v>359796.24203482084</x:v>
      </x:c>
      <x:c r="F260" s="34" t="n">
        <x:f>IF(SUM($E$2:$E$283)=0,"",E260/SUM($E$2:$E$283))</x:f>
        <x:v>0.0000054151785182519945</x:v>
      </x:c>
      <x:c r="G260" s="35" t="n">
        <x:f>RANK(E260,$E$2:$E$283,0)+COUNTIF($E$2:E260,E260)-1</x:f>
        <x:v>259</x:v>
      </x:c>
      <x:c r="H260" s="34" t="n">
        <x:f>IF(SUM($E$2:$E$283)=0,"",SUM($F$2:F260))</x:f>
        <x:v>0.9999690334278845</x:v>
      </x:c>
      <x:c r="I260" s="25" t="b">
        <x:f>INDEX('EEZ Selection Flags'!$L$2:$L$283,MATCH(A260,'EEZ Selection Flags'!$A$2:$A$283,0))</x:f>
        <x:v>0</x:v>
      </x:c>
      <x:c r="J260" s="25" t="b">
        <x:f>INDEX('EEZ Selection Flags'!$M$2:$M$283,MATCH(A260,'EEZ Selection Flags'!$A$2:$A$283,0))</x:f>
        <x:v>0</x:v>
      </x:c>
      <x:c r="K260" s="25" t="b">
        <x:f>INDEX('EEZ Selection Flags'!$N$2:$N$283,MATCH(A260,'EEZ Selection Flags'!$A$2:$A$283,0))</x:f>
        <x:v>0</x:v>
      </x:c>
    </x:row>
    <x:row r="261" ht="18" customHeight="1">
      <x:c r="A261" s="25" t="str">
        <x:f>'Summary'!A261</x:f>
        <x:v>EEZ_086</x:v>
      </x:c>
      <x:c r="B261" s="25" t="str">
        <x:f>'Summary'!B261</x:f>
        <x:v>Chagos Archipelago (UK)</x:v>
      </x:c>
      <x:c r="C261" s="25" t="str">
        <x:f>'Summary'!C261</x:f>
        <x:v>EEZ</x:v>
      </x:c>
      <x:c r="D261" s="32" t="n">
        <x:f>'Summary'!E261</x:f>
        <x:v>135.2489756326</x:v>
      </x:c>
      <x:c r="E261" s="32" t="n">
        <x:f>'Summary'!K261</x:f>
        <x:v>263025.75586093066</x:v>
      </x:c>
      <x:c r="F261" s="34" t="n">
        <x:f>IF(SUM($E$2:$E$283)=0,"",E261/SUM($E$2:$E$283))</x:f>
        <x:v>0.000003958716786005951</x:v>
      </x:c>
      <x:c r="G261" s="35" t="n">
        <x:f>RANK(E261,$E$2:$E$283,0)+COUNTIF($E$2:E261,E261)-1</x:f>
        <x:v>260</x:v>
      </x:c>
      <x:c r="H261" s="34" t="n">
        <x:f>IF(SUM($E$2:$E$283)=0,"",SUM($F$2:F261))</x:f>
        <x:v>0.9999729921446705</x:v>
      </x:c>
      <x:c r="I261" s="25" t="b">
        <x:f>INDEX('EEZ Selection Flags'!$L$2:$L$283,MATCH(A261,'EEZ Selection Flags'!$A$2:$A$283,0))</x:f>
        <x:v>1</x:v>
      </x:c>
      <x:c r="J261" s="25" t="b">
        <x:f>INDEX('EEZ Selection Flags'!$M$2:$M$283,MATCH(A261,'EEZ Selection Flags'!$A$2:$A$283,0))</x:f>
        <x:v>0</x:v>
      </x:c>
      <x:c r="K261" s="25" t="b">
        <x:f>INDEX('EEZ Selection Flags'!$N$2:$N$283,MATCH(A261,'EEZ Selection Flags'!$A$2:$A$283,0))</x:f>
        <x:v>0</x:v>
      </x:c>
    </x:row>
    <x:row r="262" ht="18" customHeight="1">
      <x:c r="A262" s="25" t="str">
        <x:f>'Summary'!A262</x:f>
        <x:v>EEZ_038</x:v>
      </x:c>
      <x:c r="B262" s="25" t="str">
        <x:f>'Summary'!B262</x:f>
        <x:v>Lord Howe Isl. (Australia)</x:v>
      </x:c>
      <x:c r="C262" s="25" t="str">
        <x:f>'Summary'!C262</x:f>
        <x:v>EEZ</x:v>
      </x:c>
      <x:c r="D262" s="32" t="n">
        <x:f>'Summary'!E262</x:f>
        <x:v>111.5646524811</x:v>
      </x:c>
      <x:c r="E262" s="32" t="n">
        <x:f>'Summary'!K262</x:f>
        <x:v>237070.8824424346</x:v>
      </x:c>
      <x:c r="F262" s="34" t="n">
        <x:f>IF(SUM($E$2:$E$283)=0,"",E262/SUM($E$2:$E$283))</x:f>
        <x:v>0.0000035680782618654263</x:v>
      </x:c>
      <x:c r="G262" s="35" t="n">
        <x:f>RANK(E262,$E$2:$E$283,0)+COUNTIF($E$2:E262,E262)-1</x:f>
        <x:v>261</x:v>
      </x:c>
      <x:c r="H262" s="34" t="n">
        <x:f>IF(SUM($E$2:$E$283)=0,"",SUM($F$2:F262))</x:f>
        <x:v>0.9999765602229324</x:v>
      </x:c>
      <x:c r="I262" s="25" t="b">
        <x:f>INDEX('EEZ Selection Flags'!$L$2:$L$283,MATCH(A262,'EEZ Selection Flags'!$A$2:$A$283,0))</x:f>
        <x:v>1</x:v>
      </x:c>
      <x:c r="J262" s="25" t="b">
        <x:f>INDEX('EEZ Selection Flags'!$M$2:$M$283,MATCH(A262,'EEZ Selection Flags'!$A$2:$A$283,0))</x:f>
        <x:v>0</x:v>
      </x:c>
      <x:c r="K262" s="25" t="b">
        <x:f>INDEX('EEZ Selection Flags'!$N$2:$N$283,MATCH(A262,'EEZ Selection Flags'!$A$2:$A$283,0))</x:f>
        <x:v>0</x:v>
      </x:c>
    </x:row>
    <x:row r="263" ht="18" customHeight="1">
      <x:c r="A263" s="25" t="str">
        <x:f>'Summary'!A263</x:f>
        <x:v>EEZ_166</x:v>
      </x:c>
      <x:c r="B263" s="25" t="str">
        <x:f>'Summary'!B263</x:f>
        <x:v>Cocos (Keeling) Isl. (Australia)</x:v>
      </x:c>
      <x:c r="C263" s="25" t="str">
        <x:f>'Summary'!C263</x:f>
        <x:v>EEZ</x:v>
      </x:c>
      <x:c r="D263" s="32" t="n">
        <x:f>'Summary'!E263</x:f>
        <x:v>268.594720107</x:v>
      </x:c>
      <x:c r="E263" s="32" t="n">
        <x:f>'Summary'!K263</x:f>
        <x:v>192511.2290212681</x:v>
      </x:c>
      <x:c r="F263" s="34" t="n">
        <x:f>IF(SUM($E$2:$E$283)=0,"",E263/SUM($E$2:$E$283))</x:f>
        <x:v>0.0000028974251260172145</x:v>
      </x:c>
      <x:c r="G263" s="35" t="n">
        <x:f>RANK(E263,$E$2:$E$283,0)+COUNTIF($E$2:E263,E263)-1</x:f>
        <x:v>262</x:v>
      </x:c>
      <x:c r="H263" s="34" t="n">
        <x:f>IF(SUM($E$2:$E$283)=0,"",SUM($F$2:F263))</x:f>
        <x:v>0.9999794576480584</x:v>
      </x:c>
      <x:c r="I263" s="25" t="b">
        <x:f>INDEX('EEZ Selection Flags'!$L$2:$L$283,MATCH(A263,'EEZ Selection Flags'!$A$2:$A$283,0))</x:f>
        <x:v>1</x:v>
      </x:c>
      <x:c r="J263" s="25" t="b">
        <x:f>INDEX('EEZ Selection Flags'!$M$2:$M$283,MATCH(A263,'EEZ Selection Flags'!$A$2:$A$283,0))</x:f>
        <x:v>0</x:v>
      </x:c>
      <x:c r="K263" s="25" t="b">
        <x:f>INDEX('EEZ Selection Flags'!$N$2:$N$283,MATCH(A263,'EEZ Selection Flags'!$A$2:$A$283,0))</x:f>
        <x:v>0</x:v>
      </x:c>
    </x:row>
    <x:row r="264" ht="18" customHeight="1">
      <x:c r="A264" s="25" t="str">
        <x:f>'Summary'!A264</x:f>
        <x:v>EEZ_136</x:v>
      </x:c>
      <x:c r="B264" s="25" t="str">
        <x:f>'Summary'!B264</x:f>
        <x:v>Cayman Isl. (UK)</x:v>
      </x:c>
      <x:c r="C264" s="25" t="str">
        <x:f>'Summary'!C264</x:f>
        <x:v>EEZ</x:v>
      </x:c>
      <x:c r="D264" s="32" t="n">
        <x:f>'Summary'!E264</x:f>
        <x:v>244.37965271110005</x:v>
      </x:c>
      <x:c r="E264" s="32" t="n">
        <x:f>'Summary'!K264</x:f>
        <x:v>174518.88545299374</x:v>
      </x:c>
      <x:c r="F264" s="34" t="n">
        <x:f>IF(SUM($E$2:$E$283)=0,"",E264/SUM($E$2:$E$283))</x:f>
        <x:v>0.0000026266280998089765</x:v>
      </x:c>
      <x:c r="G264" s="35" t="n">
        <x:f>RANK(E264,$E$2:$E$283,0)+COUNTIF($E$2:E264,E264)-1</x:f>
        <x:v>263</x:v>
      </x:c>
      <x:c r="H264" s="34" t="n">
        <x:f>IF(SUM($E$2:$E$283)=0,"",SUM($F$2:F264))</x:f>
        <x:v>0.9999820842761582</x:v>
      </x:c>
      <x:c r="I264" s="25" t="b">
        <x:f>INDEX('EEZ Selection Flags'!$L$2:$L$283,MATCH(A264,'EEZ Selection Flags'!$A$2:$A$283,0))</x:f>
        <x:v>0</x:v>
      </x:c>
      <x:c r="J264" s="25" t="b">
        <x:f>INDEX('EEZ Selection Flags'!$M$2:$M$283,MATCH(A264,'EEZ Selection Flags'!$A$2:$A$283,0))</x:f>
        <x:v>0</x:v>
      </x:c>
      <x:c r="K264" s="25" t="b">
        <x:f>INDEX('EEZ Selection Flags'!$N$2:$N$283,MATCH(A264,'EEZ Selection Flags'!$A$2:$A$283,0))</x:f>
        <x:v>0</x:v>
      </x:c>
    </x:row>
    <x:row r="265" ht="18" customHeight="1">
      <x:c r="A265" s="25" t="str">
        <x:f>'Summary'!A265</x:f>
        <x:v>EEZ_912</x:v>
      </x:c>
      <x:c r="B265" s="25" t="str">
        <x:f>'Summary'!B265</x:f>
        <x:v>Russia (Kara Sea)</x:v>
      </x:c>
      <x:c r="C265" s="25" t="str">
        <x:f>'Summary'!C265</x:f>
        <x:v>EEZ</x:v>
      </x:c>
      <x:c r="D265" s="32" t="n">
        <x:f>'Summary'!E265</x:f>
        <x:v>747.53431635</x:v>
      </x:c>
      <x:c r="E265" s="32" t="n">
        <x:f>'Summary'!K265</x:f>
        <x:v>142441.20996613824</x:v>
      </x:c>
      <x:c r="F265" s="34" t="n">
        <x:f>IF(SUM($E$2:$E$283)=0,"",E265/SUM($E$2:$E$283))</x:f>
        <x:v>0.0000021438372339859052</x:v>
      </x:c>
      <x:c r="G265" s="35" t="n">
        <x:f>RANK(E265,$E$2:$E$283,0)+COUNTIF($E$2:E265,E265)-1</x:f>
        <x:v>264</x:v>
      </x:c>
      <x:c r="H265" s="34" t="n">
        <x:f>IF(SUM($E$2:$E$283)=0,"",SUM($F$2:F265))</x:f>
        <x:v>0.9999842281133922</x:v>
      </x:c>
      <x:c r="I265" s="25" t="b">
        <x:f>INDEX('EEZ Selection Flags'!$L$2:$L$283,MATCH(A265,'EEZ Selection Flags'!$A$2:$A$283,0))</x:f>
        <x:v>0</x:v>
      </x:c>
      <x:c r="J265" s="25" t="b">
        <x:f>INDEX('EEZ Selection Flags'!$M$2:$M$283,MATCH(A265,'EEZ Selection Flags'!$A$2:$A$283,0))</x:f>
        <x:v>0</x:v>
      </x:c>
      <x:c r="K265" s="25" t="b">
        <x:f>INDEX('EEZ Selection Flags'!$N$2:$N$283,MATCH(A265,'EEZ Selection Flags'!$A$2:$A$283,0))</x:f>
        <x:v>0</x:v>
      </x:c>
    </x:row>
    <x:row r="266" ht="18" customHeight="1">
      <x:c r="A266" s="25" t="str">
        <x:f>'Summary'!A266</x:f>
        <x:v>EEZ_705</x:v>
      </x:c>
      <x:c r="B266" s="25" t="str">
        <x:f>'Summary'!B266</x:f>
        <x:v>Slovenia</x:v>
      </x:c>
      <x:c r="C266" s="25" t="str">
        <x:f>'Summary'!C266</x:f>
        <x:v>EEZ</x:v>
      </x:c>
      <x:c r="D266" s="32" t="n">
        <x:f>'Summary'!E266</x:f>
        <x:v>203.5210142398</x:v>
      </x:c>
      <x:c r="E266" s="32" t="n">
        <x:f>'Summary'!K266</x:f>
        <x:v>130224.70736268716</x:v>
      </x:c>
      <x:c r="F266" s="34" t="n">
        <x:f>IF(SUM($E$2:$E$283)=0,"",E266/SUM($E$2:$E$283))</x:f>
        <x:v>0.0000019599705485190366</x:v>
      </x:c>
      <x:c r="G266" s="35" t="n">
        <x:f>RANK(E266,$E$2:$E$283,0)+COUNTIF($E$2:E266,E266)-1</x:f>
        <x:v>265</x:v>
      </x:c>
      <x:c r="H266" s="34" t="n">
        <x:f>IF(SUM($E$2:$E$283)=0,"",SUM($F$2:F266))</x:f>
        <x:v>0.9999861880839407</x:v>
      </x:c>
      <x:c r="I266" s="25" t="b">
        <x:f>INDEX('EEZ Selection Flags'!$L$2:$L$283,MATCH(A266,'EEZ Selection Flags'!$A$2:$A$283,0))</x:f>
        <x:v>0</x:v>
      </x:c>
      <x:c r="J266" s="25" t="b">
        <x:f>INDEX('EEZ Selection Flags'!$M$2:$M$283,MATCH(A266,'EEZ Selection Flags'!$A$2:$A$283,0))</x:f>
        <x:v>0</x:v>
      </x:c>
      <x:c r="K266" s="25" t="b">
        <x:f>INDEX('EEZ Selection Flags'!$N$2:$N$283,MATCH(A266,'EEZ Selection Flags'!$A$2:$A$283,0))</x:f>
        <x:v>0</x:v>
      </x:c>
    </x:row>
    <x:row r="267" ht="18" customHeight="1">
      <x:c r="A267" s="25" t="str">
        <x:f>'Summary'!A267</x:f>
        <x:v>EEZ_908</x:v>
      </x:c>
      <x:c r="B267" s="25" t="str">
        <x:f>'Summary'!B267</x:f>
        <x:v>Saba and Sint Eustatius (Netherlands)</x:v>
      </x:c>
      <x:c r="C267" s="25" t="str">
        <x:f>'Summary'!C267</x:f>
        <x:v>EEZ</x:v>
      </x:c>
      <x:c r="D267" s="32" t="n">
        <x:f>'Summary'!E267</x:f>
        <x:v>496.3226371927999</x:v>
      </x:c>
      <x:c r="E267" s="32" t="n">
        <x:f>'Summary'!K267</x:f>
        <x:v>123182.09188878365</x:v>
      </x:c>
      <x:c r="F267" s="34" t="n">
        <x:f>IF(SUM($E$2:$E$283)=0,"",E267/SUM($E$2:$E$283))</x:f>
        <x:v>0.0000018539743885510828</x:v>
      </x:c>
      <x:c r="G267" s="35" t="n">
        <x:f>RANK(E267,$E$2:$E$283,0)+COUNTIF($E$2:E267,E267)-1</x:f>
        <x:v>266</x:v>
      </x:c>
      <x:c r="H267" s="34" t="n">
        <x:f>IF(SUM($E$2:$E$283)=0,"",SUM($F$2:F267))</x:f>
        <x:v>0.9999880420583293</x:v>
      </x:c>
      <x:c r="I267" s="25" t="b">
        <x:f>INDEX('EEZ Selection Flags'!$L$2:$L$283,MATCH(A267,'EEZ Selection Flags'!$A$2:$A$283,0))</x:f>
        <x:v>0</x:v>
      </x:c>
      <x:c r="J267" s="25" t="b">
        <x:f>INDEX('EEZ Selection Flags'!$M$2:$M$283,MATCH(A267,'EEZ Selection Flags'!$A$2:$A$283,0))</x:f>
        <x:v>0</x:v>
      </x:c>
      <x:c r="K267" s="25" t="b">
        <x:f>INDEX('EEZ Selection Flags'!$N$2:$N$283,MATCH(A267,'EEZ Selection Flags'!$A$2:$A$283,0))</x:f>
        <x:v>0</x:v>
      </x:c>
    </x:row>
    <x:row r="268" ht="18" customHeight="1">
      <x:c r="A268" s="25" t="str">
        <x:f>'Summary'!A268</x:f>
        <x:v>EEZ_856</x:v>
      </x:c>
      <x:c r="B268" s="25" t="str">
        <x:f>'Summary'!B268</x:f>
        <x:v>Tristan da Cunha Isl. (UK)</x:v>
      </x:c>
      <x:c r="C268" s="25" t="str">
        <x:f>'Summary'!C268</x:f>
        <x:v>EEZ</x:v>
      </x:c>
      <x:c r="D268" s="32" t="n">
        <x:f>'Summary'!E268</x:f>
        <x:v>733.0059081887999</x:v>
      </x:c>
      <x:c r="E268" s="32" t="n">
        <x:f>'Summary'!K268</x:f>
        <x:v>117455.8801231217</x:v>
      </x:c>
      <x:c r="F268" s="34" t="n">
        <x:f>IF(SUM($E$2:$E$283)=0,"",E268/SUM($E$2:$E$283))</x:f>
        <x:v>0.000001767791001062079</x:v>
      </x:c>
      <x:c r="G268" s="35" t="n">
        <x:f>RANK(E268,$E$2:$E$283,0)+COUNTIF($E$2:E268,E268)-1</x:f>
        <x:v>267</x:v>
      </x:c>
      <x:c r="H268" s="34" t="n">
        <x:f>IF(SUM($E$2:$E$283)=0,"",SUM($F$2:F268))</x:f>
        <x:v>0.9999898098493303</x:v>
      </x:c>
      <x:c r="I268" s="25" t="b">
        <x:f>INDEX('EEZ Selection Flags'!$L$2:$L$283,MATCH(A268,'EEZ Selection Flags'!$A$2:$A$283,0))</x:f>
        <x:v>1</x:v>
      </x:c>
      <x:c r="J268" s="25" t="b">
        <x:f>INDEX('EEZ Selection Flags'!$M$2:$M$283,MATCH(A268,'EEZ Selection Flags'!$A$2:$A$283,0))</x:f>
        <x:v>0</x:v>
      </x:c>
      <x:c r="K268" s="25" t="b">
        <x:f>INDEX('EEZ Selection Flags'!$N$2:$N$283,MATCH(A268,'EEZ Selection Flags'!$A$2:$A$283,0))</x:f>
        <x:v>0</x:v>
      </x:c>
    </x:row>
    <x:row r="269" ht="18" customHeight="1">
      <x:c r="A269" s="25" t="str">
        <x:f>'Summary'!A269</x:f>
        <x:v>EEZ_895</x:v>
      </x:c>
      <x:c r="B269" s="25" t="str">
        <x:f>'Summary'!B269</x:f>
        <x:v>St Paul &amp; Amsterdam Isl. (France)</x:v>
      </x:c>
      <x:c r="C269" s="25" t="str">
        <x:f>'Summary'!C269</x:f>
        <x:v>EEZ</x:v>
      </x:c>
      <x:c r="D269" s="32" t="n">
        <x:f>'Summary'!E269</x:f>
        <x:v>497.3573467841</x:v>
      </x:c>
      <x:c r="E269" s="32" t="n">
        <x:f>'Summary'!K269</x:f>
        <x:v>97675.0183717673</x:v>
      </x:c>
      <x:c r="F269" s="34" t="n">
        <x:f>IF(SUM($E$2:$E$283)=0,"",E269/SUM($E$2:$E$283))</x:f>
        <x:v>0.0000014700755579472504</x:v>
      </x:c>
      <x:c r="G269" s="35" t="n">
        <x:f>RANK(E269,$E$2:$E$283,0)+COUNTIF($E$2:E269,E269)-1</x:f>
        <x:v>268</x:v>
      </x:c>
      <x:c r="H269" s="34" t="n">
        <x:f>IF(SUM($E$2:$E$283)=0,"",SUM($F$2:F269))</x:f>
        <x:v>0.9999912799248882</x:v>
      </x:c>
      <x:c r="I269" s="25" t="b">
        <x:f>INDEX('EEZ Selection Flags'!$L$2:$L$283,MATCH(A269,'EEZ Selection Flags'!$A$2:$A$283,0))</x:f>
        <x:v>1</x:v>
      </x:c>
      <x:c r="J269" s="25" t="b">
        <x:f>INDEX('EEZ Selection Flags'!$M$2:$M$283,MATCH(A269,'EEZ Selection Flags'!$A$2:$A$283,0))</x:f>
        <x:v>0</x:v>
      </x:c>
      <x:c r="K269" s="25" t="b">
        <x:f>INDEX('EEZ Selection Flags'!$N$2:$N$283,MATCH(A269,'EEZ Selection Flags'!$A$2:$A$283,0))</x:f>
        <x:v>0</x:v>
      </x:c>
    </x:row>
    <x:row r="270" ht="18" customHeight="1">
      <x:c r="A270" s="25" t="str">
        <x:f>'Summary'!A270</x:f>
        <x:v>EEZ_909</x:v>
      </x:c>
      <x:c r="B270" s="25" t="str">
        <x:f>'Summary'!B270</x:f>
        <x:v>Sint Maarten (Netherlands)</x:v>
      </x:c>
      <x:c r="C270" s="25" t="str">
        <x:f>'Summary'!C270</x:f>
        <x:v>EEZ</x:v>
      </x:c>
      <x:c r="D270" s="32" t="n">
        <x:f>'Summary'!E270</x:f>
        <x:v>83.0733507754</x:v>
      </x:c>
      <x:c r="E270" s="32" t="n">
        <x:f>'Summary'!K270</x:f>
        <x:v>85688.12663919516</x:v>
      </x:c>
      <x:c r="F270" s="34" t="n">
        <x:f>IF(SUM($E$2:$E$283)=0,"",E270/SUM($E$2:$E$283))</x:f>
        <x:v>0.0000012896646724868206</x:v>
      </x:c>
      <x:c r="G270" s="35" t="n">
        <x:f>RANK(E270,$E$2:$E$283,0)+COUNTIF($E$2:E270,E270)-1</x:f>
        <x:v>269</x:v>
      </x:c>
      <x:c r="H270" s="34" t="n">
        <x:f>IF(SUM($E$2:$E$283)=0,"",SUM($F$2:F270))</x:f>
        <x:v>0.9999925695895607</x:v>
      </x:c>
      <x:c r="I270" s="25" t="b">
        <x:f>INDEX('EEZ Selection Flags'!$L$2:$L$283,MATCH(A270,'EEZ Selection Flags'!$A$2:$A$283,0))</x:f>
        <x:v>0</x:v>
      </x:c>
      <x:c r="J270" s="25" t="b">
        <x:f>INDEX('EEZ Selection Flags'!$M$2:$M$283,MATCH(A270,'EEZ Selection Flags'!$A$2:$A$283,0))</x:f>
        <x:v>0</x:v>
      </x:c>
      <x:c r="K270" s="25" t="b">
        <x:f>INDEX('EEZ Selection Flags'!$N$2:$N$283,MATCH(A270,'EEZ Selection Flags'!$A$2:$A$283,0))</x:f>
        <x:v>0</x:v>
      </x:c>
    </x:row>
    <x:row r="271" ht="18" customHeight="1">
      <x:c r="A271" s="25" t="str">
        <x:f>'Summary'!A271</x:f>
        <x:v>EEZ_940</x:v>
      </x:c>
      <x:c r="B271" s="25" t="str">
        <x:f>'Summary'!B271</x:f>
        <x:v>Israel (Red Sea)</x:v>
      </x:c>
      <x:c r="C271" s="25" t="str">
        <x:f>'Summary'!C271</x:f>
        <x:v>EEZ</x:v>
      </x:c>
      <x:c r="D271" s="32" t="n">
        <x:f>'Summary'!E271</x:f>
        <x:v>111.23519999999999</x:v>
      </x:c>
      <x:c r="E271" s="32" t="n">
        <x:f>'Summary'!K271</x:f>
        <x:v>82932.78705570377</x:v>
      </x:c>
      <x:c r="F271" s="34" t="n">
        <x:f>IF(SUM($E$2:$E$283)=0,"",E271/SUM($E$2:$E$283))</x:f>
        <x:v>0.0000012481949349525193</x:v>
      </x:c>
      <x:c r="G271" s="35" t="n">
        <x:f>RANK(E271,$E$2:$E$283,0)+COUNTIF($E$2:E271,E271)-1</x:f>
        <x:v>270</x:v>
      </x:c>
      <x:c r="H271" s="34" t="n">
        <x:f>IF(SUM($E$2:$E$283)=0,"",SUM($F$2:F271))</x:f>
        <x:v>0.9999938177844957</x:v>
      </x:c>
      <x:c r="I271" s="25" t="b">
        <x:f>INDEX('EEZ Selection Flags'!$L$2:$L$283,MATCH(A271,'EEZ Selection Flags'!$A$2:$A$283,0))</x:f>
        <x:v>0</x:v>
      </x:c>
      <x:c r="J271" s="25" t="b">
        <x:f>INDEX('EEZ Selection Flags'!$M$2:$M$283,MATCH(A271,'EEZ Selection Flags'!$A$2:$A$283,0))</x:f>
        <x:v>0</x:v>
      </x:c>
      <x:c r="K271" s="25" t="b">
        <x:f>INDEX('EEZ Selection Flags'!$N$2:$N$283,MATCH(A271,'EEZ Selection Flags'!$A$2:$A$283,0))</x:f>
        <x:v>0</x:v>
      </x:c>
    </x:row>
    <x:row r="272" ht="18" customHeight="1">
      <x:c r="A272" s="25" t="str">
        <x:f>'Summary'!A272</x:f>
        <x:v>EEZ_555</x:v>
      </x:c>
      <x:c r="B272" s="25" t="str">
        <x:f>'Summary'!B272</x:f>
        <x:v>Kermadec Isl. (New Zealand)</x:v>
      </x:c>
      <x:c r="C272" s="25" t="str">
        <x:f>'Summary'!C272</x:f>
        <x:v>EEZ</x:v>
      </x:c>
      <x:c r="D272" s="32" t="n">
        <x:f>'Summary'!E272</x:f>
        <x:v>66.11770604899998</x:v>
      </x:c>
      <x:c r="E272" s="32" t="n">
        <x:f>'Summary'!K272</x:f>
        <x:v>78824.46595983862</x:v>
      </x:c>
      <x:c r="F272" s="34" t="n">
        <x:f>IF(SUM($E$2:$E$283)=0,"",E272/SUM($E$2:$E$283))</x:f>
        <x:v>0.0000011863619040720652</x:v>
      </x:c>
      <x:c r="G272" s="35" t="n">
        <x:f>RANK(E272,$E$2:$E$283,0)+COUNTIF($E$2:E272,E272)-1</x:f>
        <x:v>271</x:v>
      </x:c>
      <x:c r="H272" s="34" t="n">
        <x:f>IF(SUM($E$2:$E$283)=0,"",SUM($F$2:F272))</x:f>
        <x:v>0.9999950041463997</x:v>
      </x:c>
      <x:c r="I272" s="25" t="b">
        <x:f>INDEX('EEZ Selection Flags'!$L$2:$L$283,MATCH(A272,'EEZ Selection Flags'!$A$2:$A$283,0))</x:f>
        <x:v>1</x:v>
      </x:c>
      <x:c r="J272" s="25" t="b">
        <x:f>INDEX('EEZ Selection Flags'!$M$2:$M$283,MATCH(A272,'EEZ Selection Flags'!$A$2:$A$283,0))</x:f>
        <x:v>0</x:v>
      </x:c>
      <x:c r="K272" s="25" t="b">
        <x:f>INDEX('EEZ Selection Flags'!$N$2:$N$283,MATCH(A272,'EEZ Selection Flags'!$A$2:$A$283,0))</x:f>
        <x:v>0</x:v>
      </x:c>
    </x:row>
    <x:row r="273" ht="18" customHeight="1">
      <x:c r="A273" s="25" t="str">
        <x:f>'Summary'!A273</x:f>
        <x:v>EEZ_872</x:v>
      </x:c>
      <x:c r="B273" s="25" t="str">
        <x:f>'Summary'!B273</x:f>
        <x:v>Wake Isl. (USA)</x:v>
      </x:c>
      <x:c r="C273" s="25" t="str">
        <x:f>'Summary'!C273</x:f>
        <x:v>EEZ</x:v>
      </x:c>
      <x:c r="D273" s="32" t="n">
        <x:f>'Summary'!E273</x:f>
        <x:v>34.633787389199995</x:v>
      </x:c>
      <x:c r="E273" s="32" t="n">
        <x:f>'Summary'!K273</x:f>
        <x:v>68115.70486681667</x:v>
      </x:c>
      <x:c r="F273" s="34" t="n">
        <x:f>IF(SUM($E$2:$E$283)=0,"",E273/SUM($E$2:$E$283))</x:f>
        <x:v>0.0000010251877553370347</x:v>
      </x:c>
      <x:c r="G273" s="35" t="n">
        <x:f>RANK(E273,$E$2:$E$283,0)+COUNTIF($E$2:E273,E273)-1</x:f>
        <x:v>272</x:v>
      </x:c>
      <x:c r="H273" s="34" t="n">
        <x:f>IF(SUM($E$2:$E$283)=0,"",SUM($F$2:F273))</x:f>
        <x:v>0.9999960293341551</x:v>
      </x:c>
      <x:c r="I273" s="25" t="b">
        <x:f>INDEX('EEZ Selection Flags'!$L$2:$L$283,MATCH(A273,'EEZ Selection Flags'!$A$2:$A$283,0))</x:f>
        <x:v>1</x:v>
      </x:c>
      <x:c r="J273" s="25" t="b">
        <x:f>INDEX('EEZ Selection Flags'!$M$2:$M$283,MATCH(A273,'EEZ Selection Flags'!$A$2:$A$283,0))</x:f>
        <x:v>0</x:v>
      </x:c>
      <x:c r="K273" s="25" t="b">
        <x:f>INDEX('EEZ Selection Flags'!$N$2:$N$283,MATCH(A273,'EEZ Selection Flags'!$A$2:$A$283,0))</x:f>
        <x:v>0</x:v>
      </x:c>
    </x:row>
    <x:row r="274" ht="18" customHeight="1">
      <x:c r="A274" s="25" t="str">
        <x:f>'Summary'!A274</x:f>
        <x:v>EEZ_855</x:v>
      </x:c>
      <x:c r="B274" s="25" t="str">
        <x:f>'Summary'!B274</x:f>
        <x:v>Ascension Isl. (UK)</x:v>
      </x:c>
      <x:c r="C274" s="25" t="str">
        <x:f>'Summary'!C274</x:f>
        <x:v>EEZ</x:v>
      </x:c>
      <x:c r="D274" s="32" t="n">
        <x:f>'Summary'!E274</x:f>
        <x:v>32.764000004</x:v>
      </x:c>
      <x:c r="E274" s="32" t="n">
        <x:f>'Summary'!K274</x:f>
        <x:v>46972.74183264927</x:v>
      </x:c>
      <x:c r="F274" s="34" t="n">
        <x:f>IF(SUM($E$2:$E$283)=0,"",E274/SUM($E$2:$E$283))</x:f>
        <x:v>7.069717601190003e-7</x:v>
      </x:c>
      <x:c r="G274" s="35" t="n">
        <x:f>RANK(E274,$E$2:$E$283,0)+COUNTIF($E$2:E274,E274)-1</x:f>
        <x:v>273</x:v>
      </x:c>
      <x:c r="H274" s="34" t="n">
        <x:f>IF(SUM($E$2:$E$283)=0,"",SUM($F$2:F274))</x:f>
        <x:v>0.9999967363059152</x:v>
      </x:c>
      <x:c r="I274" s="25" t="b">
        <x:f>INDEX('EEZ Selection Flags'!$L$2:$L$283,MATCH(A274,'EEZ Selection Flags'!$A$2:$A$283,0))</x:f>
        <x:v>1</x:v>
      </x:c>
      <x:c r="J274" s="25" t="b">
        <x:f>INDEX('EEZ Selection Flags'!$M$2:$M$283,MATCH(A274,'EEZ Selection Flags'!$A$2:$A$283,0))</x:f>
        <x:v>0</x:v>
      </x:c>
      <x:c r="K274" s="25" t="b">
        <x:f>INDEX('EEZ Selection Flags'!$N$2:$N$283,MATCH(A274,'EEZ Selection Flags'!$A$2:$A$283,0))</x:f>
        <x:v>0</x:v>
      </x:c>
    </x:row>
    <x:row r="275" ht="18" customHeight="1">
      <x:c r="A275" s="25" t="str">
        <x:f>'Summary'!A275</x:f>
        <x:v>EEZ_500</x:v>
      </x:c>
      <x:c r="B275" s="25" t="str">
        <x:f>'Summary'!B275</x:f>
        <x:v>Montserrat (UK)</x:v>
      </x:c>
      <x:c r="C275" s="25" t="str">
        <x:f>'Summary'!C275</x:f>
        <x:v>EEZ</x:v>
      </x:c>
      <x:c r="D275" s="32" t="n">
        <x:f>'Summary'!E275</x:f>
        <x:v>49.412650413</x:v>
      </x:c>
      <x:c r="E275" s="32" t="n">
        <x:f>'Summary'!K275</x:f>
        <x:v>41219.71043073506</x:v>
      </x:c>
      <x:c r="F275" s="34" t="n">
        <x:f>IF(SUM($E$2:$E$283)=0,"",E275/SUM($E$2:$E$283))</x:f>
        <x:v>6.203847188361735e-7</x:v>
      </x:c>
      <x:c r="G275" s="35" t="n">
        <x:f>RANK(E275,$E$2:$E$283,0)+COUNTIF($E$2:E275,E275)-1</x:f>
        <x:v>274</x:v>
      </x:c>
      <x:c r="H275" s="34" t="n">
        <x:f>IF(SUM($E$2:$E$283)=0,"",SUM($F$2:F275))</x:f>
        <x:v>0.999997356690634</x:v>
      </x:c>
      <x:c r="I275" s="25" t="b">
        <x:f>INDEX('EEZ Selection Flags'!$L$2:$L$283,MATCH(A275,'EEZ Selection Flags'!$A$2:$A$283,0))</x:f>
        <x:v>0</x:v>
      </x:c>
      <x:c r="J275" s="25" t="b">
        <x:f>INDEX('EEZ Selection Flags'!$M$2:$M$283,MATCH(A275,'EEZ Selection Flags'!$A$2:$A$283,0))</x:f>
        <x:v>0</x:v>
      </x:c>
      <x:c r="K275" s="25" t="b">
        <x:f>INDEX('EEZ Selection Flags'!$N$2:$N$283,MATCH(A275,'EEZ Selection Flags'!$A$2:$A$283,0))</x:f>
        <x:v>0</x:v>
      </x:c>
    </x:row>
    <x:row r="276" ht="18" customHeight="1">
      <x:c r="A276" s="25" t="str">
        <x:f>'Summary'!A276</x:f>
        <x:v>EEZ_252</x:v>
      </x:c>
      <x:c r="B276" s="25" t="str">
        <x:f>'Summary'!B276</x:f>
        <x:v>Tromelin Isl. (France)</x:v>
      </x:c>
      <x:c r="C276" s="25" t="str">
        <x:f>'Summary'!C276</x:f>
        <x:v>EEZ</x:v>
      </x:c>
      <x:c r="D276" s="32" t="n">
        <x:f>'Summary'!E276</x:f>
        <x:v>20.057971261000002</x:v>
      </x:c>
      <x:c r="E276" s="32" t="n">
        <x:f>'Summary'!K276</x:f>
        <x:v>40630.07009385537</x:v>
      </x:c>
      <x:c r="F276" s="34" t="n">
        <x:f>IF(SUM($E$2:$E$283)=0,"",E276/SUM($E$2:$E$283))</x:f>
        <x:v>6.115102301319342e-7</x:v>
      </x:c>
      <x:c r="G276" s="35" t="n">
        <x:f>RANK(E276,$E$2:$E$283,0)+COUNTIF($E$2:E276,E276)-1</x:f>
        <x:v>275</x:v>
      </x:c>
      <x:c r="H276" s="34" t="n">
        <x:f>IF(SUM($E$2:$E$283)=0,"",SUM($F$2:F276))</x:f>
        <x:v>0.9999979682008642</x:v>
      </x:c>
      <x:c r="I276" s="25" t="b">
        <x:f>INDEX('EEZ Selection Flags'!$L$2:$L$283,MATCH(A276,'EEZ Selection Flags'!$A$2:$A$283,0))</x:f>
        <x:v>1</x:v>
      </x:c>
      <x:c r="J276" s="25" t="b">
        <x:f>INDEX('EEZ Selection Flags'!$M$2:$M$283,MATCH(A276,'EEZ Selection Flags'!$A$2:$A$283,0))</x:f>
        <x:v>0</x:v>
      </x:c>
      <x:c r="K276" s="25" t="b">
        <x:f>INDEX('EEZ Selection Flags'!$N$2:$N$283,MATCH(A276,'EEZ Selection Flags'!$A$2:$A$283,0))</x:f>
        <x:v>0</x:v>
      </x:c>
    </x:row>
    <x:row r="277" ht="18" customHeight="1">
      <x:c r="A277" s="25" t="str">
        <x:f>'Summary'!A277</x:f>
        <x:v>EEZ_972</x:v>
      </x:c>
      <x:c r="B277" s="25" t="str">
        <x:f>'Summary'!B277</x:f>
        <x:v>Glorieuse Islands (France)</x:v>
      </x:c>
      <x:c r="C277" s="25" t="str">
        <x:f>'Summary'!C277</x:f>
        <x:v>EEZ</x:v>
      </x:c>
      <x:c r="D277" s="32" t="n">
        <x:f>'Summary'!E277</x:f>
        <x:v>102.5142017896</x:v>
      </x:c>
      <x:c r="E277" s="32" t="n">
        <x:f>'Summary'!K277</x:f>
        <x:v>35371.82907577973</x:v>
      </x:c>
      <x:c r="F277" s="34" t="n">
        <x:f>IF(SUM($E$2:$E$283)=0,"",E277/SUM($E$2:$E$283))</x:f>
        <x:v>5.323701211529222e-7</x:v>
      </x:c>
      <x:c r="G277" s="35" t="n">
        <x:f>RANK(E277,$E$2:$E$283,0)+COUNTIF($E$2:E277,E277)-1</x:f>
        <x:v>276</x:v>
      </x:c>
      <x:c r="H277" s="34" t="n">
        <x:f>IF(SUM($E$2:$E$283)=0,"",SUM($F$2:F277))</x:f>
        <x:v>0.9999985005709853</x:v>
      </x:c>
      <x:c r="I277" s="25" t="b">
        <x:f>INDEX('EEZ Selection Flags'!$L$2:$L$283,MATCH(A277,'EEZ Selection Flags'!$A$2:$A$283,0))</x:f>
        <x:v>0</x:v>
      </x:c>
      <x:c r="J277" s="25" t="b">
        <x:f>INDEX('EEZ Selection Flags'!$M$2:$M$283,MATCH(A277,'EEZ Selection Flags'!$A$2:$A$283,0))</x:f>
        <x:v>0</x:v>
      </x:c>
      <x:c r="K277" s="25" t="b">
        <x:f>INDEX('EEZ Selection Flags'!$N$2:$N$283,MATCH(A277,'EEZ Selection Flags'!$A$2:$A$283,0))</x:f>
        <x:v>0</x:v>
      </x:c>
    </x:row>
    <x:row r="278" ht="18" customHeight="1">
      <x:c r="A278" s="25" t="str">
        <x:f>'Summary'!A278</x:f>
        <x:v>EEZ_574</x:v>
      </x:c>
      <x:c r="B278" s="25" t="str">
        <x:f>'Summary'!B278</x:f>
        <x:v>Norfolk Isl. (Australia)</x:v>
      </x:c>
      <x:c r="C278" s="25" t="str">
        <x:f>'Summary'!C278</x:f>
        <x:v>EEZ</x:v>
      </x:c>
      <x:c r="D278" s="32" t="n">
        <x:f>'Summary'!E278</x:f>
        <x:v>17.4978128176</x:v>
      </x:c>
      <x:c r="E278" s="32" t="n">
        <x:f>'Summary'!K278</x:f>
        <x:v>32366.394255930376</x:v>
      </x:c>
      <x:c r="F278" s="34" t="n">
        <x:f>IF(SUM($E$2:$E$283)=0,"",E278/SUM($E$2:$E$283))</x:f>
        <x:v>4.87136279958773e-7</x:v>
      </x:c>
      <x:c r="G278" s="35" t="n">
        <x:f>RANK(E278,$E$2:$E$283,0)+COUNTIF($E$2:E278,E278)-1</x:f>
        <x:v>277</x:v>
      </x:c>
      <x:c r="H278" s="34" t="n">
        <x:f>IF(SUM($E$2:$E$283)=0,"",SUM($F$2:F278))</x:f>
        <x:v>0.9999989877072653</x:v>
      </x:c>
      <x:c r="I278" s="25" t="b">
        <x:f>INDEX('EEZ Selection Flags'!$L$2:$L$283,MATCH(A278,'EEZ Selection Flags'!$A$2:$A$283,0))</x:f>
        <x:v>1</x:v>
      </x:c>
      <x:c r="J278" s="25" t="b">
        <x:f>INDEX('EEZ Selection Flags'!$M$2:$M$283,MATCH(A278,'EEZ Selection Flags'!$A$2:$A$283,0))</x:f>
        <x:v>0</x:v>
      </x:c>
      <x:c r="K278" s="25" t="b">
        <x:f>INDEX('EEZ Selection Flags'!$N$2:$N$283,MATCH(A278,'EEZ Selection Flags'!$A$2:$A$283,0))</x:f>
        <x:v>0</x:v>
      </x:c>
    </x:row>
    <x:row r="279" ht="18" customHeight="1">
      <x:c r="A279" s="25" t="str">
        <x:f>'Summary'!A279</x:f>
        <x:v>EEZ_074</x:v>
      </x:c>
      <x:c r="B279" s="25" t="str">
        <x:f>'Summary'!B279</x:f>
        <x:v>Bouvet Isl. (Norway)</x:v>
      </x:c>
      <x:c r="C279" s="25" t="str">
        <x:f>'Summary'!C279</x:f>
        <x:v>EEZ</x:v>
      </x:c>
      <x:c r="D279" s="32" t="n">
        <x:f>'Summary'!E279</x:f>
        <x:v>133.56110065549998</x:v>
      </x:c>
      <x:c r="E279" s="32" t="n">
        <x:f>'Summary'!K279</x:f>
        <x:v>25983.663702706264</x:v>
      </x:c>
      <x:c r="F279" s="34" t="n">
        <x:f>IF(SUM($E$2:$E$283)=0,"",E279/SUM($E$2:$E$283))</x:f>
        <x:v>3.9107183752842416e-7</x:v>
      </x:c>
      <x:c r="G279" s="35" t="n">
        <x:f>RANK(E279,$E$2:$E$283,0)+COUNTIF($E$2:E279,E279)-1</x:f>
        <x:v>278</x:v>
      </x:c>
      <x:c r="H279" s="34" t="n">
        <x:f>IF(SUM($E$2:$E$283)=0,"",SUM($F$2:F279))</x:f>
        <x:v>0.9999993787791028</x:v>
      </x:c>
      <x:c r="I279" s="25" t="b">
        <x:f>INDEX('EEZ Selection Flags'!$L$2:$L$283,MATCH(A279,'EEZ Selection Flags'!$A$2:$A$283,0))</x:f>
        <x:v>1</x:v>
      </x:c>
      <x:c r="J279" s="25" t="b">
        <x:f>INDEX('EEZ Selection Flags'!$M$2:$M$283,MATCH(A279,'EEZ Selection Flags'!$A$2:$A$283,0))</x:f>
        <x:v>0</x:v>
      </x:c>
      <x:c r="K279" s="25" t="b">
        <x:f>INDEX('EEZ Selection Flags'!$N$2:$N$283,MATCH(A279,'EEZ Selection Flags'!$A$2:$A$283,0))</x:f>
        <x:v>0</x:v>
      </x:c>
    </x:row>
    <x:row r="280" ht="18" customHeight="1">
      <x:c r="A280" s="25" t="str">
        <x:f>'Summary'!A280</x:f>
        <x:v>EEZ_162</x:v>
      </x:c>
      <x:c r="B280" s="25" t="str">
        <x:f>'Summary'!B280</x:f>
        <x:v>Christmas Isl. (Australia)</x:v>
      </x:c>
      <x:c r="C280" s="25" t="str">
        <x:f>'Summary'!C280</x:f>
        <x:v>EEZ</x:v>
      </x:c>
      <x:c r="D280" s="32" t="n">
        <x:f>'Summary'!E280</x:f>
        <x:v>25.629903931</x:v>
      </x:c>
      <x:c r="E280" s="32" t="n">
        <x:f>'Summary'!K280</x:f>
        <x:v>22536.376227926667</x:v>
      </x:c>
      <x:c r="F280" s="34" t="n">
        <x:f>IF(SUM($E$2:$E$283)=0,"",E280/SUM($E$2:$E$283))</x:f>
        <x:v>3.391878129091259e-7</x:v>
      </x:c>
      <x:c r="G280" s="35" t="n">
        <x:f>RANK(E280,$E$2:$E$283,0)+COUNTIF($E$2:E280,E280)-1</x:f>
        <x:v>279</x:v>
      </x:c>
      <x:c r="H280" s="34" t="n">
        <x:f>IF(SUM($E$2:$E$283)=0,"",SUM($F$2:F280))</x:f>
        <x:v>0.9999997179669158</x:v>
      </x:c>
      <x:c r="I280" s="25" t="b">
        <x:f>INDEX('EEZ Selection Flags'!$L$2:$L$283,MATCH(A280,'EEZ Selection Flags'!$A$2:$A$283,0))</x:f>
        <x:v>1</x:v>
      </x:c>
      <x:c r="J280" s="25" t="b">
        <x:f>INDEX('EEZ Selection Flags'!$M$2:$M$283,MATCH(A280,'EEZ Selection Flags'!$A$2:$A$283,0))</x:f>
        <x:v>0</x:v>
      </x:c>
      <x:c r="K280" s="25" t="b">
        <x:f>INDEX('EEZ Selection Flags'!$N$2:$N$283,MATCH(A280,'EEZ Selection Flags'!$A$2:$A$283,0))</x:f>
        <x:v>0</x:v>
      </x:c>
    </x:row>
    <x:row r="281" ht="18" customHeight="1">
      <x:c r="A281" s="25" t="str">
        <x:f>'Summary'!A281</x:f>
        <x:v>EEZ_070</x:v>
      </x:c>
      <x:c r="B281" s="25" t="str">
        <x:f>'Summary'!B281</x:f>
        <x:v>Bosnia &amp; Herzegovina</x:v>
      </x:c>
      <x:c r="C281" s="25" t="str">
        <x:f>'Summary'!C281</x:f>
        <x:v>EEZ</x:v>
      </x:c>
      <x:c r="D281" s="32" t="n">
        <x:f>'Summary'!E281</x:f>
        <x:v>61.02055729300001</x:v>
      </x:c>
      <x:c r="E281" s="32" t="n">
        <x:f>'Summary'!K281</x:f>
        <x:v>12983.384180443847</x:v>
      </x:c>
      <x:c r="F281" s="34" t="n">
        <x:f>IF(SUM($E$2:$E$283)=0,"",E281/SUM($E$2:$E$283))</x:f>
        <x:v>1.9540877556288648e-7</x:v>
      </x:c>
      <x:c r="G281" s="35" t="n">
        <x:f>RANK(E281,$E$2:$E$283,0)+COUNTIF($E$2:E281,E281)-1</x:f>
        <x:v>280</x:v>
      </x:c>
      <x:c r="H281" s="34" t="n">
        <x:f>IF(SUM($E$2:$E$283)=0,"",SUM($F$2:F281))</x:f>
        <x:v>0.9999999133756914</x:v>
      </x:c>
      <x:c r="I281" s="25" t="b">
        <x:f>INDEX('EEZ Selection Flags'!$L$2:$L$283,MATCH(A281,'EEZ Selection Flags'!$A$2:$A$283,0))</x:f>
        <x:v>0</x:v>
      </x:c>
      <x:c r="J281" s="25" t="b">
        <x:f>INDEX('EEZ Selection Flags'!$M$2:$M$283,MATCH(A281,'EEZ Selection Flags'!$A$2:$A$283,0))</x:f>
        <x:v>0</x:v>
      </x:c>
      <x:c r="K281" s="25" t="b">
        <x:f>INDEX('EEZ Selection Flags'!$N$2:$N$283,MATCH(A281,'EEZ Selection Flags'!$A$2:$A$283,0))</x:f>
        <x:v>0</x:v>
      </x:c>
    </x:row>
    <x:row r="282" ht="18" customHeight="1">
      <x:c r="A282" s="25" t="str">
        <x:f>'Summary'!A282</x:f>
        <x:v>EEZ_154</x:v>
      </x:c>
      <x:c r="B282" s="25" t="str">
        <x:f>'Summary'!B282</x:f>
        <x:v>Desventuradas Isl. (Chile)</x:v>
      </x:c>
      <x:c r="C282" s="25" t="str">
        <x:f>'Summary'!C282</x:f>
        <x:v>EEZ</x:v>
      </x:c>
      <x:c r="D282" s="32" t="n">
        <x:f>'Summary'!E282</x:f>
        <x:v>21.535833428</x:v>
      </x:c>
      <x:c r="E282" s="32" t="n">
        <x:f>'Summary'!K282</x:f>
        <x:v>4740.625617241974</x:v>
      </x:c>
      <x:c r="F282" s="34" t="n">
        <x:f>IF(SUM($E$2:$E$283)=0,"",E282/SUM($E$2:$E$283))</x:f>
        <x:v>7.134964462213418e-8</x:v>
      </x:c>
      <x:c r="G282" s="35" t="n">
        <x:f>RANK(E282,$E$2:$E$283,0)+COUNTIF($E$2:E282,E282)-1</x:f>
        <x:v>281</x:v>
      </x:c>
      <x:c r="H282" s="34" t="n">
        <x:f>IF(SUM($E$2:$E$283)=0,"",SUM($F$2:F282))</x:f>
        <x:v>0.999999984725336</x:v>
      </x:c>
      <x:c r="I282" s="25" t="b">
        <x:f>INDEX('EEZ Selection Flags'!$L$2:$L$283,MATCH(A282,'EEZ Selection Flags'!$A$2:$A$283,0))</x:f>
        <x:v>1</x:v>
      </x:c>
      <x:c r="J282" s="25" t="b">
        <x:f>INDEX('EEZ Selection Flags'!$M$2:$M$283,MATCH(A282,'EEZ Selection Flags'!$A$2:$A$283,0))</x:f>
        <x:v>0</x:v>
      </x:c>
      <x:c r="K282" s="25" t="b">
        <x:f>INDEX('EEZ Selection Flags'!$N$2:$N$283,MATCH(A282,'EEZ Selection Flags'!$A$2:$A$283,0))</x:f>
        <x:v>0</x:v>
      </x:c>
    </x:row>
    <x:row r="283" ht="18" customHeight="1">
      <x:c r="A283" s="25" t="str">
        <x:f>'Summary'!A283</x:f>
        <x:v>EEZ_612</x:v>
      </x:c>
      <x:c r="B283" s="25" t="str">
        <x:f>'Summary'!B283</x:f>
        <x:v>Pitcairn (UK)</x:v>
      </x:c>
      <x:c r="C283" s="25" t="str">
        <x:f>'Summary'!C283</x:f>
        <x:v>EEZ</x:v>
      </x:c>
      <x:c r="D283" s="32" t="n">
        <x:f>'Summary'!E283</x:f>
        <x:v>3.0000000000000004</x:v>
      </x:c>
      <x:c r="E283" s="32" t="n">
        <x:f>'Summary'!K283</x:f>
        <x:v>1014.8820128320708</x:v>
      </x:c>
      <x:c r="F283" s="34" t="n">
        <x:f>IF(SUM($E$2:$E$283)=0,"",E283/SUM($E$2:$E$283))</x:f>
        <x:v>1.5274665581183857e-8</x:v>
      </x:c>
      <x:c r="G283" s="35" t="n">
        <x:f>RANK(E283,$E$2:$E$283,0)+COUNTIF($E$2:E283,E283)-1</x:f>
        <x:v>282</x:v>
      </x:c>
      <x:c r="H283" s="34" t="n">
        <x:f>IF(SUM($E$2:$E$283)=0,"",SUM($F$2:F283))</x:f>
        <x:v>1.0000000000000016</x:v>
      </x:c>
      <x:c r="I283" s="25" t="b">
        <x:f>INDEX('EEZ Selection Flags'!$L$2:$L$283,MATCH(A283,'EEZ Selection Flags'!$A$2:$A$283,0))</x:f>
        <x:v>1</x:v>
      </x:c>
      <x:c r="J283" s="25" t="b">
        <x:f>INDEX('EEZ Selection Flags'!$M$2:$M$283,MATCH(A283,'EEZ Selection Flags'!$A$2:$A$283,0))</x:f>
        <x:v>0</x:v>
      </x:c>
      <x:c r="K283" s="25" t="b">
        <x:f>INDEX('EEZ Selection Flags'!$N$2:$N$283,MATCH(A283,'EEZ Selection Flags'!$A$2:$A$283,0))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3a3f7c812346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8" hidden="0" customWidth="1"/>
  </x:cols>
  <x:sheetData>
    <x:row r="1" ht="32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year</x:v>
      </x:c>
      <x:c r="E1" s="30" t="str">
        <x:v>total_catch_tonnes</x:v>
      </x:c>
      <x:c r="F1" s="30" t="str">
        <x:v>matched_catch_tonnes</x:v>
      </x:c>
      <x:c r="G1" s="30" t="str">
        <x:v>missing_tl_catch_tonnes</x:v>
      </x:c>
      <x:c r="H1" s="30" t="str">
        <x:v>catch_tl_coverage_fraction</x:v>
      </x:c>
      <x:c r="I1" s="30" t="str">
        <x:v>taxa_count</x:v>
      </x:c>
      <x:c r="J1" s="30" t="str">
        <x:v>matched_taxa_count</x:v>
      </x:c>
      <x:c r="K1" s="30" t="str">
        <x:v>ppr_species</x:v>
      </x:c>
      <x:c r="L1" s="30" t="str">
        <x:v>ppr_commercial</x:v>
      </x:c>
      <x:c r="M1" s="30" t="str">
        <x:v>ppr_functional</x:v>
      </x:c>
      <x:c r="N1" s="30" t="str">
        <x:v>fraction_eez_ppr</x:v>
      </x:c>
      <x:c r="O1" s="30" t="str">
        <x:v>rank_eez_ppr</x:v>
      </x:c>
    </x:row>
    <x:row r="2" ht="18" customHeight="1">
      <x:c r="A2" s="25" t="str">
        <x:v>EEZ_156</x:v>
      </x:c>
      <x:c r="B2" s="25" t="str">
        <x:v>China</x:v>
      </x:c>
      <x:c r="C2" s="25" t="str">
        <x:v>EEZ</x:v>
      </x:c>
      <x:c r="D2" s="31" t="n">
        <x:v>2019</x:v>
      </x:c>
      <x:c r="E2" s="32" t="n">
        <x:v>9568140.59773029</x:v>
      </x:c>
      <x:c r="F2" s="32" t="n">
        <x:v>9568140.59773029</x:v>
      </x:c>
      <x:c r="G2" s="33" t="n">
        <x:v>0</x:v>
      </x:c>
      <x:c r="H2" s="34" t="n">
        <x:v>1</x:v>
      </x:c>
      <x:c r="I2" s="35" t="n">
        <x:v>180</x:v>
      </x:c>
      <x:c r="J2" s="35" t="n">
        <x:v>180</x:v>
      </x:c>
      <x:c r="K2" s="32" t="n">
        <x:v>6165828606.948386</x:v>
      </x:c>
      <x:c r="L2" s="32" t="n">
        <x:v>3630393758.877296</x:v>
      </x:c>
      <x:c r="M2" s="32" t="n">
        <x:v>5114923632.251522</x:v>
      </x:c>
      <x:c r="N2" s="34" t="n">
        <x:f>K2/SUM($K$2:$K$283)</x:f>
        <x:v>0.0927999203958866</x:v>
      </x:c>
      <x:c r="O2" s="35" t="n">
        <x:f>RANK(K2,$K$2:$K$283,0)+COUNTIF($K$2:K2,K2)-1</x:f>
        <x:v>1</x:v>
      </x:c>
    </x:row>
    <x:row r="3" ht="18" customHeight="1">
      <x:c r="A3" s="25" t="str">
        <x:v>EEZ_649</x:v>
      </x:c>
      <x:c r="B3" s="25" t="str">
        <x:v>Russia (Far East)</x:v>
      </x:c>
      <x:c r="C3" s="25" t="str">
        <x:v>EEZ</x:v>
      </x:c>
      <x:c r="D3" s="31" t="n">
        <x:v>2019</x:v>
      </x:c>
      <x:c r="E3" s="32" t="n">
        <x:v>7341976.862507814</x:v>
      </x:c>
      <x:c r="F3" s="32" t="n">
        <x:v>7341976.862507814</x:v>
      </x:c>
      <x:c r="G3" s="33" t="n">
        <x:v>0</x:v>
      </x:c>
      <x:c r="H3" s="34" t="n">
        <x:v>1</x:v>
      </x:c>
      <x:c r="I3" s="35" t="n">
        <x:v>86</x:v>
      </x:c>
      <x:c r="J3" s="35" t="n">
        <x:v>86</x:v>
      </x:c>
      <x:c r="K3" s="32" t="n">
        <x:v>4411197893.890587</x:v>
      </x:c>
      <x:c r="L3" s="32" t="n">
        <x:v>3483199576.481157</x:v>
      </x:c>
      <x:c r="M3" s="32" t="n">
        <x:v>3296898592.209809</x:v>
      </x:c>
      <x:c r="N3" s="34" t="n">
        <x:f>K3/SUM($K$2:$K$283)</x:f>
        <x:v>0.0663915329956196</x:v>
      </x:c>
      <x:c r="O3" s="35" t="n">
        <x:f>RANK(K3,$K$2:$K$283,0)+COUNTIF($K$2:K3,K3)-1</x:f>
        <x:v>2</x:v>
      </x:c>
    </x:row>
    <x:row r="4" ht="18" customHeight="1">
      <x:c r="A4" s="25" t="str">
        <x:v>EEZ_704</x:v>
      </x:c>
      <x:c r="B4" s="25" t="str">
        <x:v>Viet Nam</x:v>
      </x:c>
      <x:c r="C4" s="25" t="str">
        <x:v>EEZ</x:v>
      </x:c>
      <x:c r="D4" s="31" t="n">
        <x:v>2019</x:v>
      </x:c>
      <x:c r="E4" s="32" t="n">
        <x:v>5148305.1369901</x:v>
      </x:c>
      <x:c r="F4" s="32" t="n">
        <x:v>5148305.1369901</x:v>
      </x:c>
      <x:c r="G4" s="33" t="n">
        <x:v>0</x:v>
      </x:c>
      <x:c r="H4" s="34" t="n">
        <x:v>1</x:v>
      </x:c>
      <x:c r="I4" s="35" t="n">
        <x:v>69</x:v>
      </x:c>
      <x:c r="J4" s="35" t="n">
        <x:v>69</x:v>
      </x:c>
      <x:c r="K4" s="32" t="n">
        <x:v>4395854129.781088</x:v>
      </x:c>
      <x:c r="L4" s="32" t="n">
        <x:v>3315003466.095495</x:v>
      </x:c>
      <x:c r="M4" s="32" t="n">
        <x:v>3620671605.916037</x:v>
      </x:c>
      <x:c r="N4" s="34" t="n">
        <x:f>K4/SUM($K$2:$K$283)</x:f>
        <x:v>0.06616059889434892</x:v>
      </x:c>
      <x:c r="O4" s="35" t="n">
        <x:f>RANK(K4,$K$2:$K$283,0)+COUNTIF($K$2:K4,K4)-1</x:f>
        <x:v>3</x:v>
      </x:c>
    </x:row>
    <x:row r="5" ht="18" customHeight="1">
      <x:c r="A5" s="25" t="str">
        <x:v>EEZ_390</x:v>
      </x:c>
      <x:c r="B5" s="25" t="str">
        <x:v>Japan (main islands)</x:v>
      </x:c>
      <x:c r="C5" s="25" t="str">
        <x:v>EEZ</x:v>
      </x:c>
      <x:c r="D5" s="31" t="n">
        <x:v>2019</x:v>
      </x:c>
      <x:c r="E5" s="32" t="n">
        <x:v>5962290.328495036</x:v>
      </x:c>
      <x:c r="F5" s="32" t="n">
        <x:v>5962290.328495036</x:v>
      </x:c>
      <x:c r="G5" s="33" t="n">
        <x:v>0</x:v>
      </x:c>
      <x:c r="H5" s="34" t="n">
        <x:v>1</x:v>
      </x:c>
      <x:c r="I5" s="35" t="n">
        <x:v>178</x:v>
      </x:c>
      <x:c r="J5" s="35" t="n">
        <x:v>178</x:v>
      </x:c>
      <x:c r="K5" s="32" t="n">
        <x:v>2997127073.3582215</x:v>
      </x:c>
      <x:c r="L5" s="32" t="n">
        <x:v>2201286082.570818</x:v>
      </x:c>
      <x:c r="M5" s="32" t="n">
        <x:v>2558934906.4803843</x:v>
      </x:c>
      <x:c r="N5" s="34" t="n">
        <x:f>K5/SUM($K$2:$K$283)</x:f>
        <x:v>0.04510880395062654</x:v>
      </x:c>
      <x:c r="O5" s="35" t="n">
        <x:f>RANK(K5,$K$2:$K$283,0)+COUNTIF($K$2:K5,K5)-1</x:f>
        <x:v>4</x:v>
      </x:c>
    </x:row>
    <x:row r="6" ht="18" customHeight="1">
      <x:c r="A6" s="25" t="str">
        <x:v>EEZ_604</x:v>
      </x:c>
      <x:c r="B6" s="25" t="str">
        <x:v>Peru</x:v>
      </x:c>
      <x:c r="C6" s="25" t="str">
        <x:v>EEZ</x:v>
      </x:c>
      <x:c r="D6" s="31" t="n">
        <x:v>2019</x:v>
      </x:c>
      <x:c r="E6" s="32" t="n">
        <x:v>6008753.148833272</x:v>
      </x:c>
      <x:c r="F6" s="32" t="n">
        <x:v>6008753.148833272</x:v>
      </x:c>
      <x:c r="G6" s="33" t="n">
        <x:v>0</x:v>
      </x:c>
      <x:c r="H6" s="34" t="n">
        <x:v>1</x:v>
      </x:c>
      <x:c r="I6" s="35" t="n">
        <x:v>113</x:v>
      </x:c>
      <x:c r="J6" s="35" t="n">
        <x:v>113</x:v>
      </x:c>
      <x:c r="K6" s="32" t="n">
        <x:v>2417258362.672758</x:v>
      </x:c>
      <x:c r="L6" s="32" t="n">
        <x:v>1998384823.2690477</x:v>
      </x:c>
      <x:c r="M6" s="32" t="n">
        <x:v>2113505685.2717364</x:v>
      </x:c>
      <x:c r="N6" s="34" t="n">
        <x:f>K6/SUM($K$2:$K$283)</x:f>
        <x:v>0.03638138487656488</x:v>
      </x:c>
      <x:c r="O6" s="35" t="n">
        <x:f>RANK(K6,$K$2:$K$283,0)+COUNTIF($K$2:K6,K6)-1</x:f>
        <x:v>5</x:v>
      </x:c>
    </x:row>
    <x:row r="7" ht="18" customHeight="1">
      <x:c r="A7" s="25" t="str">
        <x:v>EEZ_356</x:v>
      </x:c>
      <x:c r="B7" s="25" t="str">
        <x:v>India (mainland)</x:v>
      </x:c>
      <x:c r="C7" s="25" t="str">
        <x:v>EEZ</x:v>
      </x:c>
      <x:c r="D7" s="31" t="n">
        <x:v>2019</x:v>
      </x:c>
      <x:c r="E7" s="32" t="n">
        <x:v>4344032.198932858</x:v>
      </x:c>
      <x:c r="F7" s="32" t="n">
        <x:v>4344032.198932858</x:v>
      </x:c>
      <x:c r="G7" s="33" t="n">
        <x:v>0</x:v>
      </x:c>
      <x:c r="H7" s="34" t="n">
        <x:v>1</x:v>
      </x:c>
      <x:c r="I7" s="35" t="n">
        <x:v>151</x:v>
      </x:c>
      <x:c r="J7" s="35" t="n">
        <x:v>151</x:v>
      </x:c>
      <x:c r="K7" s="32" t="n">
        <x:v>2254375093.1762247</x:v>
      </x:c>
      <x:c r="L7" s="32" t="n">
        <x:v>1532529614.0560458</x:v>
      </x:c>
      <x:c r="M7" s="32" t="n">
        <x:v>1805078848.6658754</x:v>
      </x:c>
      <x:c r="N7" s="34" t="n">
        <x:f>K7/SUM($K$2:$K$283)</x:f>
        <x:v>0.03392988072251395</x:v>
      </x:c>
      <x:c r="O7" s="35" t="n">
        <x:f>RANK(K7,$K$2:$K$283,0)+COUNTIF($K$2:K7,K7)-1</x:f>
        <x:v>6</x:v>
      </x:c>
    </x:row>
    <x:row r="8" ht="18" customHeight="1">
      <x:c r="A8" s="25" t="str">
        <x:v>EEZ_361</x:v>
      </x:c>
      <x:c r="B8" s="25" t="str">
        <x:v>Indonesia (Eastern)</x:v>
      </x:c>
      <x:c r="C8" s="25" t="str">
        <x:v>EEZ</x:v>
      </x:c>
      <x:c r="D8" s="31" t="n">
        <x:v>2019</x:v>
      </x:c>
      <x:c r="E8" s="32" t="n">
        <x:v>3382553.5340884444</x:v>
      </x:c>
      <x:c r="F8" s="32" t="n">
        <x:v>3382553.5340884444</x:v>
      </x:c>
      <x:c r="G8" s="33" t="n">
        <x:v>0</x:v>
      </x:c>
      <x:c r="H8" s="34" t="n">
        <x:v>1</x:v>
      </x:c>
      <x:c r="I8" s="35" t="n">
        <x:v>146</x:v>
      </x:c>
      <x:c r="J8" s="35" t="n">
        <x:v>146</x:v>
      </x:c>
      <x:c r="K8" s="32" t="n">
        <x:v>2093542875.0827374</x:v>
      </x:c>
      <x:c r="L8" s="32" t="n">
        <x:v>1439043330.8649027</x:v>
      </x:c>
      <x:c r="M8" s="32" t="n">
        <x:v>1548987104.3551705</x:v>
      </x:c>
      <x:c r="N8" s="34" t="n">
        <x:f>K8/SUM($K$2:$K$283)</x:f>
        <x:v>0.0315092462891549</x:v>
      </x:c>
      <x:c r="O8" s="35" t="n">
        <x:f>RANK(K8,$K$2:$K$283,0)+COUNTIF($K$2:K8,K8)-1</x:f>
        <x:v>7</x:v>
      </x:c>
    </x:row>
    <x:row r="9" ht="18" customHeight="1">
      <x:c r="A9" s="25" t="str">
        <x:v>EEZ_959</x:v>
      </x:c>
      <x:c r="B9" s="25" t="str">
        <x:v>USA (Alaska, Subarctic)</x:v>
      </x:c>
      <x:c r="C9" s="25" t="str">
        <x:v>EEZ</x:v>
      </x:c>
      <x:c r="D9" s="31" t="n">
        <x:v>2019</x:v>
      </x:c>
      <x:c r="E9" s="32" t="n">
        <x:v>2640185.1931024343</x:v>
      </x:c>
      <x:c r="F9" s="32" t="n">
        <x:v>2640185.1931024343</x:v>
      </x:c>
      <x:c r="G9" s="33" t="n">
        <x:v>0</x:v>
      </x:c>
      <x:c r="H9" s="34" t="n">
        <x:v>1</x:v>
      </x:c>
      <x:c r="I9" s="35" t="n">
        <x:v>82</x:v>
      </x:c>
      <x:c r="J9" s="35" t="n">
        <x:v>82</x:v>
      </x:c>
      <x:c r="K9" s="32" t="n">
        <x:v>1781327374.0574036</x:v>
      </x:c>
      <x:c r="L9" s="32" t="n">
        <x:v>1391978413.5491133</x:v>
      </x:c>
      <x:c r="M9" s="32" t="n">
        <x:v>1468317274.3697884</x:v>
      </x:c>
      <x:c r="N9" s="34" t="n">
        <x:f>K9/SUM($K$2:$K$283)</x:f>
        <x:v>0.02681019033277266</x:v>
      </x:c>
      <x:c r="O9" s="35" t="n">
        <x:f>RANK(K9,$K$2:$K$283,0)+COUNTIF($K$2:K9,K9)-1</x:f>
        <x:v>8</x:v>
      </x:c>
    </x:row>
    <x:row r="10" ht="18" customHeight="1">
      <x:c r="A10" s="25" t="str">
        <x:v>EEZ_941</x:v>
      </x:c>
      <x:c r="B10" s="25" t="str">
        <x:v>Kiribati (Gilbert Islands)</x:v>
      </x:c>
      <x:c r="C10" s="25" t="str">
        <x:v>EEZ</x:v>
      </x:c>
      <x:c r="D10" s="31" t="n">
        <x:v>2019</x:v>
      </x:c>
      <x:c r="E10" s="32" t="n">
        <x:v>599962.7992743407</x:v>
      </x:c>
      <x:c r="F10" s="32" t="n">
        <x:v>599962.7992743407</x:v>
      </x:c>
      <x:c r="G10" s="33" t="n">
        <x:v>0</x:v>
      </x:c>
      <x:c r="H10" s="34" t="n">
        <x:v>1</x:v>
      </x:c>
      <x:c r="I10" s="35" t="n">
        <x:v>38</x:v>
      </x:c>
      <x:c r="J10" s="35" t="n">
        <x:v>38</x:v>
      </x:c>
      <x:c r="K10" s="32" t="n">
        <x:v>1552445784.5398905</x:v>
      </x:c>
      <x:c r="L10" s="32" t="n">
        <x:v>1544498081.8229556</x:v>
      </x:c>
      <x:c r="M10" s="32" t="n">
        <x:v>1546704412.866342</x:v>
      </x:c>
      <x:c r="N10" s="34" t="n">
        <x:f>K10/SUM($K$2:$K$283)</x:f>
        <x:v>0.023365366507573686</x:v>
      </x:c>
      <x:c r="O10" s="35" t="n">
        <x:f>RANK(K10,$K$2:$K$283,0)+COUNTIF($K$2:K10,K10)-1</x:f>
        <x:v>9</x:v>
      </x:c>
    </x:row>
    <x:row r="11" ht="18" customHeight="1">
      <x:c r="A11" s="25" t="str">
        <x:v>EEZ_938</x:v>
      </x:c>
      <x:c r="B11" s="25" t="str">
        <x:v>Indonesia (Indian Ocean)</x:v>
      </x:c>
      <x:c r="C11" s="25" t="str">
        <x:v>EEZ</x:v>
      </x:c>
      <x:c r="D11" s="31" t="n">
        <x:v>2019</x:v>
      </x:c>
      <x:c r="E11" s="32" t="n">
        <x:v>2112707.572524511</x:v>
      </x:c>
      <x:c r="F11" s="32" t="n">
        <x:v>2112707.572524511</x:v>
      </x:c>
      <x:c r="G11" s="33" t="n">
        <x:v>0</x:v>
      </x:c>
      <x:c r="H11" s="34" t="n">
        <x:v>1</x:v>
      </x:c>
      <x:c r="I11" s="35" t="n">
        <x:v>147</x:v>
      </x:c>
      <x:c r="J11" s="35" t="n">
        <x:v>147</x:v>
      </x:c>
      <x:c r="K11" s="32" t="n">
        <x:v>1549538383.7711182</x:v>
      </x:c>
      <x:c r="L11" s="32" t="n">
        <x:v>1173195631.6727116</x:v>
      </x:c>
      <x:c r="M11" s="32" t="n">
        <x:v>1254364943.6071885</x:v>
      </x:c>
      <x:c r="N11" s="34" t="n">
        <x:f>K11/SUM($K$2:$K$283)</x:f>
        <x:v>0.023321608145624253</x:v>
      </x:c>
      <x:c r="O11" s="35" t="n">
        <x:f>RANK(K11,$K$2:$K$283,0)+COUNTIF($K$2:K11,K11)-1</x:f>
        <x:v>10</x:v>
      </x:c>
    </x:row>
    <x:row r="12" ht="18" customHeight="1">
      <x:c r="A12" s="25" t="str">
        <x:v>EEZ_578</x:v>
      </x:c>
      <x:c r="B12" s="25" t="str">
        <x:v>Norway</x:v>
      </x:c>
      <x:c r="C12" s="25" t="str">
        <x:v>EEZ</x:v>
      </x:c>
      <x:c r="D12" s="31" t="n">
        <x:v>2019</x:v>
      </x:c>
      <x:c r="E12" s="32" t="n">
        <x:v>1710313.5041625751</x:v>
      </x:c>
      <x:c r="F12" s="32" t="n">
        <x:v>1710313.5041625751</x:v>
      </x:c>
      <x:c r="G12" s="33" t="n">
        <x:v>0</x:v>
      </x:c>
      <x:c r="H12" s="34" t="n">
        <x:v>1</x:v>
      </x:c>
      <x:c r="I12" s="35" t="n">
        <x:v>222</x:v>
      </x:c>
      <x:c r="J12" s="35" t="n">
        <x:v>222</x:v>
      </x:c>
      <x:c r="K12" s="32" t="n">
        <x:v>1486385233.701386</x:v>
      </x:c>
      <x:c r="L12" s="32" t="n">
        <x:v>1354784615.3936987</x:v>
      </x:c>
      <x:c r="M12" s="32" t="n">
        <x:v>1424436259.700941</x:v>
      </x:c>
      <x:c r="N12" s="34" t="n">
        <x:f>K12/SUM($K$2:$K$283)</x:f>
        <x:v>0.022371110220233303</x:v>
      </x:c>
      <x:c r="O12" s="35" t="n">
        <x:f>RANK(K12,$K$2:$K$283,0)+COUNTIF($K$2:K12,K12)-1</x:f>
        <x:v>11</x:v>
      </x:c>
    </x:row>
    <x:row r="13" ht="18" customHeight="1">
      <x:c r="A13" s="25" t="str">
        <x:v>EEZ_598</x:v>
      </x:c>
      <x:c r="B13" s="25" t="str">
        <x:v>Papua New Guinea</x:v>
      </x:c>
      <x:c r="C13" s="25" t="str">
        <x:v>EEZ</x:v>
      </x:c>
      <x:c r="D13" s="31" t="n">
        <x:v>2019</x:v>
      </x:c>
      <x:c r="E13" s="32" t="n">
        <x:v>536763.5433324721</x:v>
      </x:c>
      <x:c r="F13" s="32" t="n">
        <x:v>536763.5433324721</x:v>
      </x:c>
      <x:c r="G13" s="33" t="n">
        <x:v>0</x:v>
      </x:c>
      <x:c r="H13" s="34" t="n">
        <x:v>1</x:v>
      </x:c>
      <x:c r="I13" s="35" t="n">
        <x:v>55</x:v>
      </x:c>
      <x:c r="J13" s="35" t="n">
        <x:v>55</x:v>
      </x:c>
      <x:c r="K13" s="32" t="n">
        <x:v>1304961504.0343719</x:v>
      </x:c>
      <x:c r="L13" s="32" t="n">
        <x:v>1282035228.7863865</x:v>
      </x:c>
      <x:c r="M13" s="32" t="n">
        <x:v>1295086077.4864874</x:v>
      </x:c>
      <x:c r="N13" s="34" t="n">
        <x:f>K13/SUM($K$2:$K$283)</x:f>
        <x:v>0.019640559511760667</x:v>
      </x:c>
      <x:c r="O13" s="35" t="n">
        <x:f>RANK(K13,$K$2:$K$283,0)+COUNTIF($K$2:K13,K13)-1</x:f>
        <x:v>12</x:v>
      </x:c>
    </x:row>
    <x:row r="14" ht="18" customHeight="1">
      <x:c r="A14" s="25" t="str">
        <x:v>EEZ_032</x:v>
      </x:c>
      <x:c r="B14" s="25" t="str">
        <x:v>Argentina</x:v>
      </x:c>
      <x:c r="C14" s="25" t="str">
        <x:v>EEZ</x:v>
      </x:c>
      <x:c r="D14" s="31" t="n">
        <x:v>2019</x:v>
      </x:c>
      <x:c r="E14" s="32" t="n">
        <x:v>1455579.158848894</x:v>
      </x:c>
      <x:c r="F14" s="32" t="n">
        <x:v>1455579.158848894</x:v>
      </x:c>
      <x:c r="G14" s="33" t="n">
        <x:v>0</x:v>
      </x:c>
      <x:c r="H14" s="34" t="n">
        <x:v>1</x:v>
      </x:c>
      <x:c r="I14" s="35" t="n">
        <x:v>86</x:v>
      </x:c>
      <x:c r="J14" s="35" t="n">
        <x:v>86</x:v>
      </x:c>
      <x:c r="K14" s="32" t="n">
        <x:v>1272031530.1874146</x:v>
      </x:c>
      <x:c r="L14" s="32" t="n">
        <x:v>1165759568.7681806</x:v>
      </x:c>
      <x:c r="M14" s="32" t="n">
        <x:v>1207458955.0805123</x:v>
      </x:c>
      <x:c r="N14" s="34" t="n">
        <x:f>K14/SUM($K$2:$K$283)</x:f>
        <x:v>0.01914494097507405</x:v>
      </x:c>
      <x:c r="O14" s="35" t="n">
        <x:f>RANK(K14,$K$2:$K$283,0)+COUNTIF($K$2:K14,K14)-1</x:f>
        <x:v>13</x:v>
      </x:c>
    </x:row>
    <x:row r="15" ht="18" customHeight="1">
      <x:c r="A15" s="25" t="str">
        <x:v>EEZ_608</x:v>
      </x:c>
      <x:c r="B15" s="25" t="str">
        <x:v>Philippines</x:v>
      </x:c>
      <x:c r="C15" s="25" t="str">
        <x:v>EEZ</x:v>
      </x:c>
      <x:c r="D15" s="31" t="n">
        <x:v>2019</x:v>
      </x:c>
      <x:c r="E15" s="32" t="n">
        <x:v>2152202.04182738</x:v>
      </x:c>
      <x:c r="F15" s="32" t="n">
        <x:v>2152202.04182738</x:v>
      </x:c>
      <x:c r="G15" s="33" t="n">
        <x:v>0</x:v>
      </x:c>
      <x:c r="H15" s="34" t="n">
        <x:v>1</x:v>
      </x:c>
      <x:c r="I15" s="35" t="n">
        <x:v>172</x:v>
      </x:c>
      <x:c r="J15" s="35" t="n">
        <x:v>172</x:v>
      </x:c>
      <x:c r="K15" s="32" t="n">
        <x:v>1117733410.478486</x:v>
      </x:c>
      <x:c r="L15" s="32" t="n">
        <x:v>863818470.0629802</x:v>
      </x:c>
      <x:c r="M15" s="32" t="n">
        <x:v>865862679.5151173</x:v>
      </x:c>
      <x:c r="N15" s="34" t="n">
        <x:f>K15/SUM($K$2:$K$283)</x:f>
        <x:v>0.016822649173111312</x:v>
      </x:c>
      <x:c r="O15" s="35" t="n">
        <x:f>RANK(K15,$K$2:$K$283,0)+COUNTIF($K$2:K15,K15)-1</x:f>
        <x:v>14</x:v>
      </x:c>
    </x:row>
    <x:row r="16" ht="18" customHeight="1">
      <x:c r="A16" s="25" t="str">
        <x:v>EEZ_478</x:v>
      </x:c>
      <x:c r="B16" s="25" t="str">
        <x:v>Mauritania</x:v>
      </x:c>
      <x:c r="C16" s="25" t="str">
        <x:v>EEZ</x:v>
      </x:c>
      <x:c r="D16" s="31" t="n">
        <x:v>2019</x:v>
      </x:c>
      <x:c r="E16" s="32" t="n">
        <x:v>2210253.937882072</x:v>
      </x:c>
      <x:c r="F16" s="32" t="n">
        <x:v>2210253.937882072</x:v>
      </x:c>
      <x:c r="G16" s="33" t="n">
        <x:v>0</x:v>
      </x:c>
      <x:c r="H16" s="34" t="n">
        <x:v>1</x:v>
      </x:c>
      <x:c r="I16" s="35" t="n">
        <x:v>229</x:v>
      </x:c>
      <x:c r="J16" s="35" t="n">
        <x:v>229</x:v>
      </x:c>
      <x:c r="K16" s="32" t="n">
        <x:v>1032601351.4376887</x:v>
      </x:c>
      <x:c r="L16" s="32" t="n">
        <x:v>881884300.2249317</x:v>
      </x:c>
      <x:c r="M16" s="32" t="n">
        <x:v>887683160.6813964</x:v>
      </x:c>
      <x:c r="N16" s="34" t="n">
        <x:f>K16/SUM($K$2:$K$283)</x:f>
        <x:v>0.015541353696746469</x:v>
      </x:c>
      <x:c r="O16" s="35" t="n">
        <x:f>RANK(K16,$K$2:$K$283,0)+COUNTIF($K$2:K16,K16)-1</x:f>
        <x:v>15</x:v>
      </x:c>
    </x:row>
    <x:row r="17" ht="18" customHeight="1">
      <x:c r="A17" s="25" t="str">
        <x:v>EEZ_937</x:v>
      </x:c>
      <x:c r="B17" s="25" t="str">
        <x:v>Indonesia (Central)</x:v>
      </x:c>
      <x:c r="C17" s="25" t="str">
        <x:v>EEZ</x:v>
      </x:c>
      <x:c r="D17" s="31" t="n">
        <x:v>2019</x:v>
      </x:c>
      <x:c r="E17" s="32" t="n">
        <x:v>1876235.8826732747</x:v>
      </x:c>
      <x:c r="F17" s="32" t="n">
        <x:v>1876235.8826732747</x:v>
      </x:c>
      <x:c r="G17" s="33" t="n">
        <x:v>0</x:v>
      </x:c>
      <x:c r="H17" s="34" t="n">
        <x:v>1</x:v>
      </x:c>
      <x:c r="I17" s="35" t="n">
        <x:v>138</x:v>
      </x:c>
      <x:c r="J17" s="35" t="n">
        <x:v>138</x:v>
      </x:c>
      <x:c r="K17" s="32" t="n">
        <x:v>1028177964.8470863</x:v>
      </x:c>
      <x:c r="L17" s="32" t="n">
        <x:v>659443554.7241148</x:v>
      </x:c>
      <x:c r="M17" s="32" t="n">
        <x:v>816001759.7519019</x:v>
      </x:c>
      <x:c r="N17" s="34" t="n">
        <x:f>K17/SUM($K$2:$K$283)</x:f>
        <x:v>0.01547477871556299</x:v>
      </x:c>
      <x:c r="O17" s="35" t="n">
        <x:f>RANK(K17,$K$2:$K$283,0)+COUNTIF($K$2:K17,K17)-1</x:f>
        <x:v>16</x:v>
      </x:c>
    </x:row>
    <x:row r="18" ht="18" customHeight="1">
      <x:c r="A18" s="25" t="str">
        <x:v>EEZ_410</x:v>
      </x:c>
      <x:c r="B18" s="25" t="str">
        <x:v>Korea (South)</x:v>
      </x:c>
      <x:c r="C18" s="25" t="str">
        <x:v>EEZ</x:v>
      </x:c>
      <x:c r="D18" s="31" t="n">
        <x:v>2019</x:v>
      </x:c>
      <x:c r="E18" s="32" t="n">
        <x:v>1692138.9147849004</x:v>
      </x:c>
      <x:c r="F18" s="32" t="n">
        <x:v>1692138.9147849004</x:v>
      </x:c>
      <x:c r="G18" s="33" t="n">
        <x:v>0</x:v>
      </x:c>
      <x:c r="H18" s="34" t="n">
        <x:v>1</x:v>
      </x:c>
      <x:c r="I18" s="35" t="n">
        <x:v>118</x:v>
      </x:c>
      <x:c r="J18" s="35" t="n">
        <x:v>118</x:v>
      </x:c>
      <x:c r="K18" s="32" t="n">
        <x:v>1001424147.7179294</x:v>
      </x:c>
      <x:c r="L18" s="32" t="n">
        <x:v>553978409.4187069</x:v>
      </x:c>
      <x:c r="M18" s="32" t="n">
        <x:v>820319263.610668</x:v>
      </x:c>
      <x:c r="N18" s="34" t="n">
        <x:f>K18/SUM($K$2:$K$283)</x:f>
        <x:v>0.015072115544375583</x:v>
      </x:c>
      <x:c r="O18" s="35" t="n">
        <x:f>RANK(K18,$K$2:$K$283,0)+COUNTIF($K$2:K18,K18)-1</x:f>
        <x:v>17</x:v>
      </x:c>
    </x:row>
    <x:row r="19" ht="18" customHeight="1">
      <x:c r="A19" s="25" t="str">
        <x:v>EEZ_826</x:v>
      </x:c>
      <x:c r="B19" s="25" t="str">
        <x:v>United Kingdom (UK)</x:v>
      </x:c>
      <x:c r="C19" s="25" t="str">
        <x:v>EEZ</x:v>
      </x:c>
      <x:c r="D19" s="31" t="n">
        <x:v>2019</x:v>
      </x:c>
      <x:c r="E19" s="32" t="n">
        <x:v>1714264.7493178481</x:v>
      </x:c>
      <x:c r="F19" s="32" t="n">
        <x:v>1714264.7493178481</x:v>
      </x:c>
      <x:c r="G19" s="33" t="n">
        <x:v>0</x:v>
      </x:c>
      <x:c r="H19" s="34" t="n">
        <x:v>1</x:v>
      </x:c>
      <x:c r="I19" s="35" t="n">
        <x:v>346</x:v>
      </x:c>
      <x:c r="J19" s="35" t="n">
        <x:v>346</x:v>
      </x:c>
      <x:c r="K19" s="32" t="n">
        <x:v>1000014407.7534399</x:v>
      </x:c>
      <x:c r="L19" s="32" t="n">
        <x:v>832607270.3364908</x:v>
      </x:c>
      <x:c r="M19" s="32" t="n">
        <x:v>860984504.0341389</x:v>
      </x:c>
      <x:c r="N19" s="34" t="n">
        <x:f>K19/SUM($K$2:$K$283)</x:f>
        <x:v>0.015050897997664004</x:v>
      </x:c>
      <x:c r="O19" s="35" t="n">
        <x:f>RANK(K19,$K$2:$K$283,0)+COUNTIF($K$2:K19,K19)-1</x:f>
        <x:v>18</x:v>
      </x:c>
    </x:row>
    <x:row r="20" ht="18" customHeight="1">
      <x:c r="A20" s="25" t="str">
        <x:v>EEZ_945</x:v>
      </x:c>
      <x:c r="B20" s="25" t="str">
        <x:v>Mexico (Pacific)</x:v>
      </x:c>
      <x:c r="C20" s="25" t="str">
        <x:v>EEZ</x:v>
      </x:c>
      <x:c r="D20" s="31" t="n">
        <x:v>2019</x:v>
      </x:c>
      <x:c r="E20" s="32" t="n">
        <x:v>2162472.018004568</x:v>
      </x:c>
      <x:c r="F20" s="32" t="n">
        <x:v>2162472.018004568</x:v>
      </x:c>
      <x:c r="G20" s="33" t="n">
        <x:v>0</x:v>
      </x:c>
      <x:c r="H20" s="34" t="n">
        <x:v>1</x:v>
      </x:c>
      <x:c r="I20" s="35" t="n">
        <x:v>136</x:v>
      </x:c>
      <x:c r="J20" s="35" t="n">
        <x:v>136</x:v>
      </x:c>
      <x:c r="K20" s="32" t="n">
        <x:v>903902972.1574702</x:v>
      </x:c>
      <x:c r="L20" s="32" t="n">
        <x:v>690523636.22767</x:v>
      </x:c>
      <x:c r="M20" s="32" t="n">
        <x:v>724981813.6350174</x:v>
      </x:c>
      <x:c r="N20" s="34" t="n">
        <x:f>K20/SUM($K$2:$K$283)</x:f>
        <x:v>0.01360435542552873</x:v>
      </x:c>
      <x:c r="O20" s="35" t="n">
        <x:f>RANK(K20,$K$2:$K$283,0)+COUNTIF($K$2:K20,K20)-1</x:f>
        <x:v>19</x:v>
      </x:c>
    </x:row>
    <x:row r="21" ht="18" customHeight="1">
      <x:c r="A21" s="25" t="str">
        <x:v>EEZ_848</x:v>
      </x:c>
      <x:c r="B21" s="25" t="str">
        <x:v>USA (West Coast)</x:v>
      </x:c>
      <x:c r="C21" s="25" t="str">
        <x:v>EEZ</x:v>
      </x:c>
      <x:c r="D21" s="31" t="n">
        <x:v>2019</x:v>
      </x:c>
      <x:c r="E21" s="32" t="n">
        <x:v>480242.05511345976</x:v>
      </x:c>
      <x:c r="F21" s="32" t="n">
        <x:v>480242.05511345976</x:v>
      </x:c>
      <x:c r="G21" s="33" t="n">
        <x:v>0</x:v>
      </x:c>
      <x:c r="H21" s="34" t="n">
        <x:v>1</x:v>
      </x:c>
      <x:c r="I21" s="35" t="n">
        <x:v>185</x:v>
      </x:c>
      <x:c r="J21" s="35" t="n">
        <x:v>185</x:v>
      </x:c>
      <x:c r="K21" s="32" t="n">
        <x:v>855756640.2092203</x:v>
      </x:c>
      <x:c r="L21" s="32" t="n">
        <x:v>835178805.1075281</x:v>
      </x:c>
      <x:c r="M21" s="32" t="n">
        <x:v>846041591.1136853</x:v>
      </x:c>
      <x:c r="N21" s="34" t="n">
        <x:f>K21/SUM($K$2:$K$283)</x:f>
        <x:v>0.01287972033477767</x:v>
      </x:c>
      <x:c r="O21" s="35" t="n">
        <x:f>RANK(K21,$K$2:$K$283,0)+COUNTIF($K$2:K21,K21)-1</x:f>
        <x:v>20</x:v>
      </x:c>
    </x:row>
    <x:row r="22" ht="18" customHeight="1">
      <x:c r="A22" s="25" t="str">
        <x:v>EEZ_554</x:v>
      </x:c>
      <x:c r="B22" s="25" t="str">
        <x:v>New Zealand</x:v>
      </x:c>
      <x:c r="C22" s="25" t="str">
        <x:v>EEZ</x:v>
      </x:c>
      <x:c r="D22" s="31" t="n">
        <x:v>2019</x:v>
      </x:c>
      <x:c r="E22" s="32" t="n">
        <x:v>536634.0092869516</x:v>
      </x:c>
      <x:c r="F22" s="32" t="n">
        <x:v>536634.0092869516</x:v>
      </x:c>
      <x:c r="G22" s="33" t="n">
        <x:v>0</x:v>
      </x:c>
      <x:c r="H22" s="34" t="n">
        <x:v>1</x:v>
      </x:c>
      <x:c r="I22" s="35" t="n">
        <x:v>197</x:v>
      </x:c>
      <x:c r="J22" s="35" t="n">
        <x:v>197</x:v>
      </x:c>
      <x:c r="K22" s="32" t="n">
        <x:v>844346453.6499316</x:v>
      </x:c>
      <x:c r="L22" s="32" t="n">
        <x:v>698639252.9198685</x:v>
      </x:c>
      <x:c r="M22" s="32" t="n">
        <x:v>743350086.3792835</x:v>
      </x:c>
      <x:c r="N22" s="34" t="n">
        <x:f>K22/SUM($K$2:$K$283)</x:f>
        <x:v>0.012707989254998555</x:v>
      </x:c>
      <x:c r="O22" s="35" t="n">
        <x:f>RANK(K22,$K$2:$K$283,0)+COUNTIF($K$2:K22,K22)-1</x:f>
        <x:v>21</x:v>
      </x:c>
    </x:row>
    <x:row r="23" ht="18" customHeight="1">
      <x:c r="A23" s="25" t="str">
        <x:v>EEZ_586</x:v>
      </x:c>
      <x:c r="B23" s="25" t="str">
        <x:v>Pakistan</x:v>
      </x:c>
      <x:c r="C23" s="25" t="str">
        <x:v>EEZ</x:v>
      </x:c>
      <x:c r="D23" s="31" t="n">
        <x:v>2019</x:v>
      </x:c>
      <x:c r="E23" s="32" t="n">
        <x:v>930340.2931580818</x:v>
      </x:c>
      <x:c r="F23" s="32" t="n">
        <x:v>930340.2931580818</x:v>
      </x:c>
      <x:c r="G23" s="33" t="n">
        <x:v>0</x:v>
      </x:c>
      <x:c r="H23" s="34" t="n">
        <x:v>1</x:v>
      </x:c>
      <x:c r="I23" s="35" t="n">
        <x:v>126</x:v>
      </x:c>
      <x:c r="J23" s="35" t="n">
        <x:v>126</x:v>
      </x:c>
      <x:c r="K23" s="32" t="n">
        <x:v>790261291.1785368</x:v>
      </x:c>
      <x:c r="L23" s="32" t="n">
        <x:v>523696541.5776824</x:v>
      </x:c>
      <x:c r="M23" s="32" t="n">
        <x:v>623228915.1263041</x:v>
      </x:c>
      <x:c r="N23" s="34" t="n">
        <x:f>K23/SUM($K$2:$K$283)</x:f>
        <x:v>0.011893970719632859</x:v>
      </x:c>
      <x:c r="O23" s="35" t="n">
        <x:f>RANK(K23,$K$2:$K$283,0)+COUNTIF($K$2:K23,K23)-1</x:f>
        <x:v>22</x:v>
      </x:c>
    </x:row>
    <x:row r="24" ht="18" customHeight="1">
      <x:c r="A24" s="25" t="str">
        <x:v>EEZ_352</x:v>
      </x:c>
      <x:c r="B24" s="25" t="str">
        <x:v>Iceland</x:v>
      </x:c>
      <x:c r="C24" s="25" t="str">
        <x:v>EEZ</x:v>
      </x:c>
      <x:c r="D24" s="31" t="n">
        <x:v>2019</x:v>
      </x:c>
      <x:c r="E24" s="32" t="n">
        <x:v>755890.0550702651</x:v>
      </x:c>
      <x:c r="F24" s="32" t="n">
        <x:v>755890.0550702651</x:v>
      </x:c>
      <x:c r="G24" s="33" t="n">
        <x:v>0</x:v>
      </x:c>
      <x:c r="H24" s="34" t="n">
        <x:v>1</x:v>
      </x:c>
      <x:c r="I24" s="35" t="n">
        <x:v>79</x:v>
      </x:c>
      <x:c r="J24" s="35" t="n">
        <x:v>79</x:v>
      </x:c>
      <x:c r="K24" s="32" t="n">
        <x:v>746373735.3016173</x:v>
      </x:c>
      <x:c r="L24" s="32" t="n">
        <x:v>708464397.4967039</x:v>
      </x:c>
      <x:c r="M24" s="32" t="n">
        <x:v>686516663.3818655</x:v>
      </x:c>
      <x:c r="N24" s="34" t="n">
        <x:f>K24/SUM($K$2:$K$283)</x:f>
        <x:v>0.011233433109625587</x:v>
      </x:c>
      <x:c r="O24" s="35" t="n">
        <x:f>RANK(K24,$K$2:$K$283,0)+COUNTIF($K$2:K24,K24)-1</x:f>
        <x:v>23</x:v>
      </x:c>
      <x:c r="S24" t="str">
        <x:v>Region</x:v>
      </x:c>
      <x:c r="T24" t="str">
        <x:v>Species PPR</x:v>
      </x:c>
    </x:row>
    <x:row r="25" ht="18" customHeight="1">
      <x:c r="A25" s="25" t="str">
        <x:v>EEZ_957</x:v>
      </x:c>
      <x:c r="B25" s="25" t="str">
        <x:v>Thailand (Gulf of Thailand)</x:v>
      </x:c>
      <x:c r="C25" s="25" t="str">
        <x:v>EEZ</x:v>
      </x:c>
      <x:c r="D25" s="31" t="n">
        <x:v>2019</x:v>
      </x:c>
      <x:c r="E25" s="32" t="n">
        <x:v>1326966.3114427112</x:v>
      </x:c>
      <x:c r="F25" s="32" t="n">
        <x:v>1326966.3114427112</x:v>
      </x:c>
      <x:c r="G25" s="33" t="n">
        <x:v>0</x:v>
      </x:c>
      <x:c r="H25" s="34" t="n">
        <x:v>1</x:v>
      </x:c>
      <x:c r="I25" s="35" t="n">
        <x:v>59</x:v>
      </x:c>
      <x:c r="J25" s="35" t="n">
        <x:v>59</x:v>
      </x:c>
      <x:c r="K25" s="32" t="n">
        <x:v>739082508.1879923</x:v>
      </x:c>
      <x:c r="L25" s="32" t="n">
        <x:v>525831874.2784343</x:v>
      </x:c>
      <x:c r="M25" s="32" t="n">
        <x:v>608978643.1813896</x:v>
      </x:c>
      <x:c r="N25" s="34" t="n">
        <x:f>K25/SUM($K$2:$K$283)</x:f>
        <x:v>0.01112369517513772</x:v>
      </x:c>
      <x:c r="O25" s="35" t="n">
        <x:f>RANK(K25,$K$2:$K$283,0)+COUNTIF($K$2:K25,K25)-1</x:f>
        <x:v>24</x:v>
      </x:c>
      <x:c r="S25" t="str">
        <x:f>B2</x:f>
        <x:v>China</x:v>
      </x:c>
      <x:c r="T25" t="n">
        <x:f>K2</x:f>
        <x:v>6165828606.948386</x:v>
      </x:c>
    </x:row>
    <x:row r="26" ht="18" customHeight="1">
      <x:c r="A26" s="25" t="str">
        <x:v>EEZ_104</x:v>
      </x:c>
      <x:c r="B26" s="25" t="str">
        <x:v>Myanmar</x:v>
      </x:c>
      <x:c r="C26" s="25" t="str">
        <x:v>EEZ</x:v>
      </x:c>
      <x:c r="D26" s="31" t="n">
        <x:v>2019</x:v>
      </x:c>
      <x:c r="E26" s="32" t="n">
        <x:v>1333934.8992368777</x:v>
      </x:c>
      <x:c r="F26" s="32" t="n">
        <x:v>1333934.8992368777</x:v>
      </x:c>
      <x:c r="G26" s="33" t="n">
        <x:v>0</x:v>
      </x:c>
      <x:c r="H26" s="34" t="n">
        <x:v>1</x:v>
      </x:c>
      <x:c r="I26" s="35" t="n">
        <x:v>81</x:v>
      </x:c>
      <x:c r="J26" s="35" t="n">
        <x:v>81</x:v>
      </x:c>
      <x:c r="K26" s="32" t="n">
        <x:v>719846370.2034029</x:v>
      </x:c>
      <x:c r="L26" s="32" t="n">
        <x:v>533876617.67672706</x:v>
      </x:c>
      <x:c r="M26" s="32" t="n">
        <x:v>614533774.7229358</x:v>
      </x:c>
      <x:c r="N26" s="34" t="n">
        <x:f>K26/SUM($K$2:$K$283)</x:f>
        <x:v>0.010834178195751928</x:v>
      </x:c>
      <x:c r="O26" s="35" t="n">
        <x:f>RANK(K26,$K$2:$K$283,0)+COUNTIF($K$2:K26,K26)-1</x:f>
        <x:v>25</x:v>
      </x:c>
      <x:c r="S26" t="str">
        <x:f>B3</x:f>
        <x:v>Russia (Far East)</x:v>
      </x:c>
      <x:c r="T26" t="n">
        <x:f>K3</x:f>
        <x:v>4411197893.890587</x:v>
      </x:c>
    </x:row>
    <x:row r="27" ht="18" customHeight="1">
      <x:c r="A27" s="25" t="str">
        <x:v>EEZ_157</x:v>
      </x:c>
      <x:c r="B27" s="25" t="str">
        <x:v>Taiwan</x:v>
      </x:c>
      <x:c r="C27" s="25" t="str">
        <x:v>EEZ</x:v>
      </x:c>
      <x:c r="D27" s="31" t="n">
        <x:v>2019</x:v>
      </x:c>
      <x:c r="E27" s="32" t="n">
        <x:v>974842.5837373973</x:v>
      </x:c>
      <x:c r="F27" s="32" t="n">
        <x:v>974842.5837373973</x:v>
      </x:c>
      <x:c r="G27" s="33" t="n">
        <x:v>0</x:v>
      </x:c>
      <x:c r="H27" s="34" t="n">
        <x:v>1</x:v>
      </x:c>
      <x:c r="I27" s="35" t="n">
        <x:v>149</x:v>
      </x:c>
      <x:c r="J27" s="35" t="n">
        <x:v>149</x:v>
      </x:c>
      <x:c r="K27" s="32" t="n">
        <x:v>651770218.0518247</x:v>
      </x:c>
      <x:c r="L27" s="32" t="n">
        <x:v>393540157.69617546</x:v>
      </x:c>
      <x:c r="M27" s="32" t="n">
        <x:v>564684929.637638</x:v>
      </x:c>
      <x:c r="N27" s="34" t="n">
        <x:f>K27/SUM($K$2:$K$283)</x:f>
        <x:v>0.009809585735720612</x:v>
      </x:c>
      <x:c r="O27" s="35" t="n">
        <x:f>RANK(K27,$K$2:$K$283,0)+COUNTIF($K$2:K27,K27)-1</x:f>
        <x:v>26</x:v>
      </x:c>
      <x:c r="S27" t="str">
        <x:f>B4</x:f>
        <x:v>Viet Nam</x:v>
      </x:c>
      <x:c r="T27" t="n">
        <x:f>K4</x:f>
        <x:v>4395854129.781088</x:v>
      </x:c>
    </x:row>
    <x:row r="28" ht="18" customHeight="1">
      <x:c r="A28" s="25" t="str">
        <x:v>EEZ_076</x:v>
      </x:c>
      <x:c r="B28" s="25" t="str">
        <x:v>Brazil (mainland)</x:v>
      </x:c>
      <x:c r="C28" s="25" t="str">
        <x:v>EEZ</x:v>
      </x:c>
      <x:c r="D28" s="31" t="n">
        <x:v>2019</x:v>
      </x:c>
      <x:c r="E28" s="32" t="n">
        <x:v>904109.1796290667</x:v>
      </x:c>
      <x:c r="F28" s="32" t="n">
        <x:v>904109.1796290667</x:v>
      </x:c>
      <x:c r="G28" s="33" t="n">
        <x:v>0</x:v>
      </x:c>
      <x:c r="H28" s="34" t="n">
        <x:v>1</x:v>
      </x:c>
      <x:c r="I28" s="35" t="n">
        <x:v>274</x:v>
      </x:c>
      <x:c r="J28" s="35" t="n">
        <x:v>274</x:v>
      </x:c>
      <x:c r="K28" s="32" t="n">
        <x:v>632611601.862448</x:v>
      </x:c>
      <x:c r="L28" s="32" t="n">
        <x:v>441232318.29396504</x:v>
      </x:c>
      <x:c r="M28" s="32" t="n">
        <x:v>503604725.6354581</x:v>
      </x:c>
      <x:c r="N28" s="34" t="n">
        <x:f>K28/SUM($K$2:$K$283)</x:f>
        <x:v>0.009521235512156834</x:v>
      </x:c>
      <x:c r="O28" s="35" t="n">
        <x:f>RANK(K28,$K$2:$K$283,0)+COUNTIF($K$2:K28,K28)-1</x:f>
        <x:v>27</x:v>
      </x:c>
      <x:c r="S28" t="str">
        <x:f>B5</x:f>
        <x:v>Japan (main islands)</x:v>
      </x:c>
      <x:c r="T28" t="n">
        <x:f>K5</x:f>
        <x:v>2997127073.3582215</x:v>
      </x:c>
    </x:row>
    <x:row r="29" ht="18" customHeight="1">
      <x:c r="A29" s="25" t="str">
        <x:v>EEZ_851</x:v>
      </x:c>
      <x:c r="B29" s="25" t="str">
        <x:v>USA (East Coast)</x:v>
      </x:c>
      <x:c r="C29" s="25" t="str">
        <x:v>EEZ</x:v>
      </x:c>
      <x:c r="D29" s="31" t="n">
        <x:v>2019</x:v>
      </x:c>
      <x:c r="E29" s="32" t="n">
        <x:v>1002996.0875079746</x:v>
      </x:c>
      <x:c r="F29" s="32" t="n">
        <x:v>1002996.0875079746</x:v>
      </x:c>
      <x:c r="G29" s="33" t="n">
        <x:v>0</x:v>
      </x:c>
      <x:c r="H29" s="34" t="n">
        <x:v>1</x:v>
      </x:c>
      <x:c r="I29" s="35" t="n">
        <x:v>352</x:v>
      </x:c>
      <x:c r="J29" s="35" t="n">
        <x:v>352</x:v>
      </x:c>
      <x:c r="K29" s="32" t="n">
        <x:v>625895294.1062337</x:v>
      </x:c>
      <x:c r="L29" s="32" t="n">
        <x:v>446029289.4659738</x:v>
      </x:c>
      <x:c r="M29" s="32" t="n">
        <x:v>526429552.84873974</x:v>
      </x:c>
      <x:c r="N29" s="34" t="n">
        <x:f>K29/SUM($K$2:$K$283)</x:f>
        <x:v>0.009420150505604984</x:v>
      </x:c>
      <x:c r="O29" s="35" t="n">
        <x:f>RANK(K29,$K$2:$K$283,0)+COUNTIF($K$2:K29,K29)-1</x:f>
        <x:v>28</x:v>
      </x:c>
      <x:c r="S29" t="str">
        <x:f>B6</x:f>
        <x:v>Peru</x:v>
      </x:c>
      <x:c r="T29" t="n">
        <x:f>K6</x:f>
        <x:v>2417258362.672758</x:v>
      </x:c>
    </x:row>
    <x:row r="30" ht="18" customHeight="1">
      <x:c r="A30" s="25" t="str">
        <x:v>EEZ_624</x:v>
      </x:c>
      <x:c r="B30" s="25" t="str">
        <x:v>Guinea-Bissau</x:v>
      </x:c>
      <x:c r="C30" s="25" t="str">
        <x:v>EEZ</x:v>
      </x:c>
      <x:c r="D30" s="31" t="n">
        <x:v>2019</x:v>
      </x:c>
      <x:c r="E30" s="32" t="n">
        <x:v>1133937.8605595871</x:v>
      </x:c>
      <x:c r="F30" s="32" t="n">
        <x:v>1133937.8605595871</x:v>
      </x:c>
      <x:c r="G30" s="33" t="n">
        <x:v>0</x:v>
      </x:c>
      <x:c r="H30" s="34" t="n">
        <x:v>1</x:v>
      </x:c>
      <x:c r="I30" s="35" t="n">
        <x:v>229</x:v>
      </x:c>
      <x:c r="J30" s="35" t="n">
        <x:v>229</x:v>
      </x:c>
      <x:c r="K30" s="32" t="n">
        <x:v>583910166.0894275</x:v>
      </x:c>
      <x:c r="L30" s="32" t="n">
        <x:v>433763263.03919053</x:v>
      </x:c>
      <x:c r="M30" s="32" t="n">
        <x:v>516189062.1832388</x:v>
      </x:c>
      <x:c r="N30" s="34" t="n">
        <x:f>K30/SUM($K$2:$K$283)</x:f>
        <x:v>0.008788245730733361</x:v>
      </x:c>
      <x:c r="O30" s="35" t="n">
        <x:f>RANK(K30,$K$2:$K$283,0)+COUNTIF($K$2:K30,K30)-1</x:f>
        <x:v>29</x:v>
      </x:c>
      <x:c r="S30" t="str">
        <x:f>B7</x:f>
        <x:v>India (mainland)</x:v>
      </x:c>
      <x:c r="T30" t="n">
        <x:f>K7</x:f>
        <x:v>2254375093.1762247</x:v>
      </x:c>
    </x:row>
    <x:row r="31" ht="18" customHeight="1">
      <x:c r="A31" s="25" t="str">
        <x:v>EEZ_583</x:v>
      </x:c>
      <x:c r="B31" s="25" t="str">
        <x:v>Micronesia (Federated States of)</x:v>
      </x:c>
      <x:c r="C31" s="25" t="str">
        <x:v>EEZ</x:v>
      </x:c>
      <x:c r="D31" s="31" t="n">
        <x:v>2019</x:v>
      </x:c>
      <x:c r="E31" s="32" t="n">
        <x:v>227502.48946383104</x:v>
      </x:c>
      <x:c r="F31" s="32" t="n">
        <x:v>227502.48946383104</x:v>
      </x:c>
      <x:c r="G31" s="33" t="n">
        <x:v>0</x:v>
      </x:c>
      <x:c r="H31" s="34" t="n">
        <x:v>1</x:v>
      </x:c>
      <x:c r="I31" s="35" t="n">
        <x:v>164</x:v>
      </x:c>
      <x:c r="J31" s="35" t="n">
        <x:v>164</x:v>
      </x:c>
      <x:c r="K31" s="32" t="n">
        <x:v>577443311.7451106</x:v>
      </x:c>
      <x:c r="L31" s="32" t="n">
        <x:v>567984832.1488785</x:v>
      </x:c>
      <x:c r="M31" s="32" t="n">
        <x:v>573185243.4129187</x:v>
      </x:c>
      <x:c r="N31" s="34" t="n">
        <x:f>K31/SUM($K$2:$K$283)</x:f>
        <x:v>0.00869091516794605</x:v>
      </x:c>
      <x:c r="O31" s="35" t="n">
        <x:f>RANK(K31,$K$2:$K$283,0)+COUNTIF($K$2:K31,K31)-1</x:f>
        <x:v>30</x:v>
      </x:c>
      <x:c r="S31" t="str">
        <x:f>B8</x:f>
        <x:v>Indonesia (Eastern)</x:v>
      </x:c>
      <x:c r="T31" t="n">
        <x:f>K8</x:f>
        <x:v>2093542875.0827374</x:v>
      </x:c>
    </x:row>
    <x:row r="32" ht="18" customHeight="1">
      <x:c r="A32" s="25" t="str">
        <x:v>EEZ_234</x:v>
      </x:c>
      <x:c r="B32" s="25" t="str">
        <x:v>Faeroe Isl. (Denmark)</x:v>
      </x:c>
      <x:c r="C32" s="25" t="str">
        <x:v>EEZ</x:v>
      </x:c>
      <x:c r="D32" s="31" t="n">
        <x:v>2019</x:v>
      </x:c>
      <x:c r="E32" s="32" t="n">
        <x:v>573325.9947069994</x:v>
      </x:c>
      <x:c r="F32" s="32" t="n">
        <x:v>573325.9947069994</x:v>
      </x:c>
      <x:c r="G32" s="33" t="n">
        <x:v>0</x:v>
      </x:c>
      <x:c r="H32" s="34" t="n">
        <x:v>1</x:v>
      </x:c>
      <x:c r="I32" s="35" t="n">
        <x:v>104</x:v>
      </x:c>
      <x:c r="J32" s="35" t="n">
        <x:v>104</x:v>
      </x:c>
      <x:c r="K32" s="32" t="n">
        <x:v>566189494.4616262</x:v>
      </x:c>
      <x:c r="L32" s="32" t="n">
        <x:v>553973447.5587559</x:v>
      </x:c>
      <x:c r="M32" s="32" t="n">
        <x:v>555775924.898848</x:v>
      </x:c>
      <x:c r="N32" s="34" t="n">
        <x:f>K32/SUM($K$2:$K$283)</x:f>
        <x:v>0.008521537552278902</x:v>
      </x:c>
      <x:c r="O32" s="35" t="n">
        <x:f>RANK(K32,$K$2:$K$283,0)+COUNTIF($K$2:K32,K32)-1</x:f>
        <x:v>31</x:v>
      </x:c>
      <x:c r="S32" t="str">
        <x:f>B9</x:f>
        <x:v>USA (Alaska, Subarctic)</x:v>
      </x:c>
      <x:c r="T32" t="n">
        <x:f>K9</x:f>
        <x:v>1781327374.0574036</x:v>
      </x:c>
    </x:row>
    <x:row r="33" ht="18" customHeight="1">
      <x:c r="A33" s="25" t="str">
        <x:v>EEZ_459</x:v>
      </x:c>
      <x:c r="B33" s="25" t="str">
        <x:v>Malaysia (Peninsula West)</x:v>
      </x:c>
      <x:c r="C33" s="25" t="str">
        <x:v>EEZ</x:v>
      </x:c>
      <x:c r="D33" s="31" t="n">
        <x:v>2019</x:v>
      </x:c>
      <x:c r="E33" s="32" t="n">
        <x:v>1109839.2864373184</x:v>
      </x:c>
      <x:c r="F33" s="32" t="n">
        <x:v>1109839.2864373184</x:v>
      </x:c>
      <x:c r="G33" s="33" t="n">
        <x:v>0</x:v>
      </x:c>
      <x:c r="H33" s="34" t="n">
        <x:v>1</x:v>
      </x:c>
      <x:c r="I33" s="35" t="n">
        <x:v>153</x:v>
      </x:c>
      <x:c r="J33" s="35" t="n">
        <x:v>153</x:v>
      </x:c>
      <x:c r="K33" s="32" t="n">
        <x:v>545876685.8837115</x:v>
      </x:c>
      <x:c r="L33" s="32" t="n">
        <x:v>319692799.8992253</x:v>
      </x:c>
      <x:c r="M33" s="32" t="n">
        <x:v>384466587.7167525</x:v>
      </x:c>
      <x:c r="N33" s="34" t="n">
        <x:f>K33/SUM($K$2:$K$283)</x:f>
        <x:v>0.008215815947088142</x:v>
      </x:c>
      <x:c r="O33" s="35" t="n">
        <x:f>RANK(K33,$K$2:$K$283,0)+COUNTIF($K$2:K33,K33)-1</x:f>
        <x:v>32</x:v>
      </x:c>
      <x:c r="S33" t="str">
        <x:f>B10</x:f>
        <x:v>Kiribati (Gilbert Islands)</x:v>
      </x:c>
      <x:c r="T33" t="n">
        <x:f>K10</x:f>
        <x:v>1552445784.5398905</x:v>
      </x:c>
    </x:row>
    <x:row r="34" ht="18" customHeight="1">
      <x:c r="A34" s="25" t="str">
        <x:v>EEZ_948</x:v>
      </x:c>
      <x:c r="B34" s="25" t="str">
        <x:v>Morocco (South)</x:v>
      </x:c>
      <x:c r="C34" s="25" t="str">
        <x:v>EEZ</x:v>
      </x:c>
      <x:c r="D34" s="31" t="n">
        <x:v>2019</x:v>
      </x:c>
      <x:c r="E34" s="32" t="n">
        <x:v>1708699.3094834066</x:v>
      </x:c>
      <x:c r="F34" s="32" t="n">
        <x:v>1708699.3094834066</x:v>
      </x:c>
      <x:c r="G34" s="33" t="n">
        <x:v>0</x:v>
      </x:c>
      <x:c r="H34" s="34" t="n">
        <x:v>1</x:v>
      </x:c>
      <x:c r="I34" s="35" t="n">
        <x:v>227</x:v>
      </x:c>
      <x:c r="J34" s="35" t="n">
        <x:v>227</x:v>
      </x:c>
      <x:c r="K34" s="32" t="n">
        <x:v>544607108.7029006</x:v>
      </x:c>
      <x:c r="L34" s="32" t="n">
        <x:v>482639968.63426256</x:v>
      </x:c>
      <x:c r="M34" s="32" t="n">
        <x:v>501100754.66269565</x:v>
      </x:c>
      <x:c r="N34" s="34" t="n">
        <x:f>K34/SUM($K$2:$K$283)</x:f>
        <x:v>0.00819670794574297</x:v>
      </x:c>
      <x:c r="O34" s="35" t="n">
        <x:f>RANK(K34,$K$2:$K$283,0)+COUNTIF($K$2:K34,K34)-1</x:f>
        <x:v>33</x:v>
      </x:c>
      <x:c r="S34" t="str">
        <x:f>B11</x:f>
        <x:v>Indonesia (Indian Ocean)</x:v>
      </x:c>
      <x:c r="T34" t="n">
        <x:f>K11</x:f>
        <x:v>1549538383.7711182</x:v>
      </x:c>
    </x:row>
    <x:row r="35" ht="18" customHeight="1">
      <x:c r="A35" s="25" t="str">
        <x:v>EEZ_516</x:v>
      </x:c>
      <x:c r="B35" s="25" t="str">
        <x:v>Namibia</x:v>
      </x:c>
      <x:c r="C35" s="25" t="str">
        <x:v>EEZ</x:v>
      </x:c>
      <x:c r="D35" s="31" t="n">
        <x:v>2019</x:v>
      </x:c>
      <x:c r="E35" s="32" t="n">
        <x:v>687243.3923951921</x:v>
      </x:c>
      <x:c r="F35" s="32" t="n">
        <x:v>687243.3923951921</x:v>
      </x:c>
      <x:c r="G35" s="33" t="n">
        <x:v>0</x:v>
      </x:c>
      <x:c r="H35" s="34" t="n">
        <x:v>1</x:v>
      </x:c>
      <x:c r="I35" s="35" t="n">
        <x:v>57</x:v>
      </x:c>
      <x:c r="J35" s="35" t="n">
        <x:v>57</x:v>
      </x:c>
      <x:c r="K35" s="32" t="n">
        <x:v>508372691.890099</x:v>
      </x:c>
      <x:c r="L35" s="32" t="n">
        <x:v>462452298.54250896</x:v>
      </x:c>
      <x:c r="M35" s="32" t="n">
        <x:v>468456450.4418779</x:v>
      </x:c>
      <x:c r="N35" s="34" t="n">
        <x:f>K35/SUM($K$2:$K$283)</x:f>
        <x:v>0.0076513552915952274</x:v>
      </x:c>
      <x:c r="O35" s="35" t="n">
        <x:f>RANK(K35,$K$2:$K$283,0)+COUNTIF($K$2:K35,K35)-1</x:f>
        <x:v>34</x:v>
      </x:c>
      <x:c r="S35" t="str">
        <x:f>B12</x:f>
        <x:v>Norway</x:v>
      </x:c>
      <x:c r="T35" t="n">
        <x:f>K12</x:f>
        <x:v>1486385233.701386</x:v>
      </x:c>
    </x:row>
    <x:row r="36" ht="18" customHeight="1">
      <x:c r="A36" s="25" t="str">
        <x:v>EEZ_923</x:v>
      </x:c>
      <x:c r="B36" s="25" t="str">
        <x:v>Iran (Sea of Oman)</x:v>
      </x:c>
      <x:c r="C36" s="25" t="str">
        <x:v>EEZ</x:v>
      </x:c>
      <x:c r="D36" s="31" t="n">
        <x:v>2019</x:v>
      </x:c>
      <x:c r="E36" s="32" t="n">
        <x:v>367466.85709092283</x:v>
      </x:c>
      <x:c r="F36" s="32" t="n">
        <x:v>367466.85709092283</x:v>
      </x:c>
      <x:c r="G36" s="33" t="n">
        <x:v>0</x:v>
      </x:c>
      <x:c r="H36" s="34" t="n">
        <x:v>1</x:v>
      </x:c>
      <x:c r="I36" s="35" t="n">
        <x:v>152</x:v>
      </x:c>
      <x:c r="J36" s="35" t="n">
        <x:v>152</x:v>
      </x:c>
      <x:c r="K36" s="32" t="n">
        <x:v>498970402.0793729</x:v>
      </x:c>
      <x:c r="L36" s="32" t="n">
        <x:v>413435716.0336292</x:v>
      </x:c>
      <x:c r="M36" s="32" t="n">
        <x:v>456002816.85696054</x:v>
      </x:c>
      <x:c r="N36" s="34" t="n">
        <x:f>K36/SUM($K$2:$K$283)</x:f>
        <x:v>0.00750984442556318</x:v>
      </x:c>
      <x:c r="O36" s="35" t="n">
        <x:f>RANK(K36,$K$2:$K$283,0)+COUNTIF($K$2:K36,K36)-1</x:f>
        <x:v>35</x:v>
      </x:c>
      <x:c r="S36" t="str">
        <x:f>B13</x:f>
        <x:v>Papua New Guinea</x:v>
      </x:c>
      <x:c r="T36" t="n">
        <x:f>K13</x:f>
        <x:v>1304961504.0343719</x:v>
      </x:c>
    </x:row>
    <x:row r="37" ht="18" customHeight="1">
      <x:c r="A37" s="25" t="str">
        <x:v>EEZ_922</x:v>
      </x:c>
      <x:c r="B37" s="25" t="str">
        <x:v>Iran (Persian Gulf)</x:v>
      </x:c>
      <x:c r="C37" s="25" t="str">
        <x:v>EEZ</x:v>
      </x:c>
      <x:c r="D37" s="31" t="n">
        <x:v>2019</x:v>
      </x:c>
      <x:c r="E37" s="32" t="n">
        <x:v>441683.33469723596</x:v>
      </x:c>
      <x:c r="F37" s="32" t="n">
        <x:v>441683.33469723596</x:v>
      </x:c>
      <x:c r="G37" s="33" t="n">
        <x:v>0</x:v>
      </x:c>
      <x:c r="H37" s="34" t="n">
        <x:v>1</x:v>
      </x:c>
      <x:c r="I37" s="35" t="n">
        <x:v>165</x:v>
      </x:c>
      <x:c r="J37" s="35" t="n">
        <x:v>165</x:v>
      </x:c>
      <x:c r="K37" s="32" t="n">
        <x:v>497624044.3117129</x:v>
      </x:c>
      <x:c r="L37" s="32" t="n">
        <x:v>340296999.4360813</x:v>
      </x:c>
      <x:c r="M37" s="32" t="n">
        <x:v>415369783.1834287</x:v>
      </x:c>
      <x:c r="N37" s="34" t="n">
        <x:f>K37/SUM($K$2:$K$283)</x:f>
        <x:v>0.007489580824086742</x:v>
      </x:c>
      <x:c r="O37" s="35" t="n">
        <x:f>RANK(K37,$K$2:$K$283,0)+COUNTIF($K$2:K37,K37)-1</x:f>
        <x:v>36</x:v>
      </x:c>
      <x:c r="S37" t="str">
        <x:f>B14</x:f>
        <x:v>Argentina</x:v>
      </x:c>
      <x:c r="T37" t="n">
        <x:f>K14</x:f>
        <x:v>1272031530.1874146</x:v>
      </x:c>
    </x:row>
    <x:row r="38" ht="18" customHeight="1">
      <x:c r="A38" s="25" t="str">
        <x:v>EEZ_372</x:v>
      </x:c>
      <x:c r="B38" s="25" t="str">
        <x:v>Ireland</x:v>
      </x:c>
      <x:c r="C38" s="25" t="str">
        <x:v>EEZ</x:v>
      </x:c>
      <x:c r="D38" s="31" t="n">
        <x:v>2019</x:v>
      </x:c>
      <x:c r="E38" s="32" t="n">
        <x:v>408364.4619338022</x:v>
      </x:c>
      <x:c r="F38" s="32" t="n">
        <x:v>408364.4619338022</x:v>
      </x:c>
      <x:c r="G38" s="33" t="n">
        <x:v>0</x:v>
      </x:c>
      <x:c r="H38" s="34" t="n">
        <x:v>1</x:v>
      </x:c>
      <x:c r="I38" s="35" t="n">
        <x:v>287</x:v>
      </x:c>
      <x:c r="J38" s="35" t="n">
        <x:v>287</x:v>
      </x:c>
      <x:c r="K38" s="32" t="n">
        <x:v>466342206.9327241</x:v>
      </x:c>
      <x:c r="L38" s="32" t="n">
        <x:v>432788434.38743633</x:v>
      </x:c>
      <x:c r="M38" s="32" t="n">
        <x:v>451061367.4826854</x:v>
      </x:c>
      <x:c r="N38" s="34" t="n">
        <x:f>K38/SUM($K$2:$K$283)</x:f>
        <x:v>0.007018767863873115</x:v>
      </x:c>
      <x:c r="O38" s="35" t="n">
        <x:f>RANK(K38,$K$2:$K$283,0)+COUNTIF($K$2:K38,K38)-1</x:f>
        <x:v>37</x:v>
      </x:c>
      <x:c r="S38" t="str">
        <x:f>B15</x:f>
        <x:v>Philippines</x:v>
      </x:c>
      <x:c r="T38" t="n">
        <x:f>K15</x:f>
        <x:v>1117733410.478486</x:v>
      </x:c>
    </x:row>
    <x:row r="39" ht="18" customHeight="1">
      <x:c r="A39" s="25" t="str">
        <x:v>EEZ_461</x:v>
      </x:c>
      <x:c r="B39" s="25" t="str">
        <x:v>Malaysia (Sabah)</x:v>
      </x:c>
      <x:c r="C39" s="25" t="str">
        <x:v>EEZ</x:v>
      </x:c>
      <x:c r="D39" s="31" t="n">
        <x:v>2019</x:v>
      </x:c>
      <x:c r="E39" s="32" t="n">
        <x:v>490558.95726488077</x:v>
      </x:c>
      <x:c r="F39" s="32" t="n">
        <x:v>490558.95726488077</x:v>
      </x:c>
      <x:c r="G39" s="33" t="n">
        <x:v>0</x:v>
      </x:c>
      <x:c r="H39" s="34" t="n">
        <x:v>1</x:v>
      </x:c>
      <x:c r="I39" s="35" t="n">
        <x:v>114</x:v>
      </x:c>
      <x:c r="J39" s="35" t="n">
        <x:v>114</x:v>
      </x:c>
      <x:c r="K39" s="32" t="n">
        <x:v>463737305.0889255</x:v>
      </x:c>
      <x:c r="L39" s="32" t="n">
        <x:v>285551030.0534761</x:v>
      </x:c>
      <x:c r="M39" s="32" t="n">
        <x:v>356452083.706455</x:v>
      </x:c>
      <x:c r="N39" s="34" t="n">
        <x:f>K39/SUM($K$2:$K$283)</x:f>
        <x:v>0.006979562316792031</x:v>
      </x:c>
      <x:c r="O39" s="35" t="n">
        <x:f>RANK(K39,$K$2:$K$283,0)+COUNTIF($K$2:K39,K39)-1</x:f>
        <x:v>38</x:v>
      </x:c>
      <x:c r="S39" t="str">
        <x:f>B16</x:f>
        <x:v>Mauritania</x:v>
      </x:c>
      <x:c r="T39" t="n">
        <x:f>K16</x:f>
        <x:v>1032601351.4376887</x:v>
      </x:c>
    </x:row>
    <x:row r="40" ht="18" customHeight="1">
      <x:c r="A40" s="25" t="str">
        <x:v>EEZ_953</x:v>
      </x:c>
      <x:c r="B40" s="25" t="str">
        <x:v>South Africa (Atlantic and Cape)</x:v>
      </x:c>
      <x:c r="C40" s="25" t="str">
        <x:v>EEZ</x:v>
      </x:c>
      <x:c r="D40" s="31" t="n">
        <x:v>2019</x:v>
      </x:c>
      <x:c r="E40" s="32" t="n">
        <x:v>649172.6258836817</x:v>
      </x:c>
      <x:c r="F40" s="32" t="n">
        <x:v>649172.6258836817</x:v>
      </x:c>
      <x:c r="G40" s="33" t="n">
        <x:v>0</x:v>
      </x:c>
      <x:c r="H40" s="34" t="n">
        <x:v>1</x:v>
      </x:c>
      <x:c r="I40" s="35" t="n">
        <x:v>100</x:v>
      </x:c>
      <x:c r="J40" s="35" t="n">
        <x:v>100</x:v>
      </x:c>
      <x:c r="K40" s="32" t="n">
        <x:v>448581864.5071265</x:v>
      </x:c>
      <x:c r="L40" s="32" t="n">
        <x:v>411561111.14749527</x:v>
      </x:c>
      <x:c r="M40" s="32" t="n">
        <x:v>418059191.08651906</x:v>
      </x:c>
      <x:c r="N40" s="34" t="n">
        <x:f>K40/SUM($K$2:$K$283)</x:f>
        <x:v>0.00675146261289001</x:v>
      </x:c>
      <x:c r="O40" s="35" t="n">
        <x:f>RANK(K40,$K$2:$K$283,0)+COUNTIF($K$2:K40,K40)-1</x:f>
        <x:v>39</x:v>
      </x:c>
      <x:c r="S40" t="str">
        <x:f>B17</x:f>
        <x:v>Indonesia (Central)</x:v>
      </x:c>
      <x:c r="T40" t="n">
        <x:f>K17</x:f>
        <x:v>1028177964.8470863</x:v>
      </x:c>
    </x:row>
    <x:row r="41" ht="18" customHeight="1">
      <x:c r="A41" s="25" t="str">
        <x:v>EEZ_798</x:v>
      </x:c>
      <x:c r="B41" s="25" t="str">
        <x:v>Tuvalu</x:v>
      </x:c>
      <x:c r="C41" s="25" t="str">
        <x:v>EEZ</x:v>
      </x:c>
      <x:c r="D41" s="31" t="n">
        <x:v>2019</x:v>
      </x:c>
      <x:c r="E41" s="32" t="n">
        <x:v>145109.2872791087</x:v>
      </x:c>
      <x:c r="F41" s="32" t="n">
        <x:v>145109.2872791087</x:v>
      </x:c>
      <x:c r="G41" s="33" t="n">
        <x:v>0</x:v>
      </x:c>
      <x:c r="H41" s="34" t="n">
        <x:v>1</x:v>
      </x:c>
      <x:c r="I41" s="35" t="n">
        <x:v>46</x:v>
      </x:c>
      <x:c r="J41" s="35" t="n">
        <x:v>46</x:v>
      </x:c>
      <x:c r="K41" s="32" t="n">
        <x:v>371273439.1947608</x:v>
      </x:c>
      <x:c r="L41" s="32" t="n">
        <x:v>368772891.9813164</x:v>
      </x:c>
      <x:c r="M41" s="32" t="n">
        <x:v>368904353.60025245</x:v>
      </x:c>
      <x:c r="N41" s="34" t="n">
        <x:f>K41/SUM($K$2:$K$283)</x:f>
        <x:v>0.00558791815321526</x:v>
      </x:c>
      <x:c r="O41" s="35" t="n">
        <x:f>RANK(K41,$K$2:$K$283,0)+COUNTIF($K$2:K41,K41)-1</x:f>
        <x:v>40</x:v>
      </x:c>
      <x:c r="S41" t="str">
        <x:f>B18</x:f>
        <x:v>Korea (South)</x:v>
      </x:c>
      <x:c r="T41" t="n">
        <x:f>K18</x:f>
        <x:v>1001424147.7179294</x:v>
      </x:c>
    </x:row>
    <x:row r="42" ht="18" customHeight="1">
      <x:c r="A42" s="25" t="str">
        <x:v>EEZ_050</x:v>
      </x:c>
      <x:c r="B42" s="25" t="str">
        <x:v>Bangladesh</x:v>
      </x:c>
      <x:c r="C42" s="25" t="str">
        <x:v>EEZ</x:v>
      </x:c>
      <x:c r="D42" s="31" t="n">
        <x:v>2019</x:v>
      </x:c>
      <x:c r="E42" s="32" t="n">
        <x:v>1114582.7199230574</x:v>
      </x:c>
      <x:c r="F42" s="32" t="n">
        <x:v>1114582.7199230574</x:v>
      </x:c>
      <x:c r="G42" s="33" t="n">
        <x:v>0</x:v>
      </x:c>
      <x:c r="H42" s="34" t="n">
        <x:v>1</x:v>
      </x:c>
      <x:c r="I42" s="35" t="n">
        <x:v>116</x:v>
      </x:c>
      <x:c r="J42" s="35" t="n">
        <x:v>116</x:v>
      </x:c>
      <x:c r="K42" s="32" t="n">
        <x:v>360072715.7005182</x:v>
      </x:c>
      <x:c r="L42" s="32" t="n">
        <x:v>234022123.55637613</x:v>
      </x:c>
      <x:c r="M42" s="32" t="n">
        <x:v>281557475.2599753</x:v>
      </x:c>
      <x:c r="N42" s="34" t="n">
        <x:f>K42/SUM($K$2:$K$283)</x:f>
        <x:v>0.005419339635241097</x:v>
      </x:c>
      <x:c r="O42" s="35" t="n">
        <x:f>RANK(K42,$K$2:$K$283,0)+COUNTIF($K$2:K42,K42)-1</x:f>
        <x:v>41</x:v>
      </x:c>
      <x:c r="S42" t="str">
        <x:f>B19</x:f>
        <x:v>United Kingdom (UK)</x:v>
      </x:c>
      <x:c r="T42" t="n">
        <x:f>K19</x:f>
        <x:v>1000014407.7534399</x:v>
      </x:c>
    </x:row>
    <x:row r="43" ht="18" customHeight="1">
      <x:c r="A43" s="25" t="str">
        <x:v>EEZ_926</x:v>
      </x:c>
      <x:c r="B43" s="25" t="str">
        <x:v>Canada (East Coast)</x:v>
      </x:c>
      <x:c r="C43" s="25" t="str">
        <x:v>EEZ</x:v>
      </x:c>
      <x:c r="D43" s="31" t="n">
        <x:v>2019</x:v>
      </x:c>
      <x:c r="E43" s="32" t="n">
        <x:v>694924.7188260402</x:v>
      </x:c>
      <x:c r="F43" s="32" t="n">
        <x:v>694924.7188260402</x:v>
      </x:c>
      <x:c r="G43" s="33" t="n">
        <x:v>0</x:v>
      </x:c>
      <x:c r="H43" s="34" t="n">
        <x:v>1</x:v>
      </x:c>
      <x:c r="I43" s="35" t="n">
        <x:v>112</x:v>
      </x:c>
      <x:c r="J43" s="35" t="n">
        <x:v>112</x:v>
      </x:c>
      <x:c r="K43" s="32" t="n">
        <x:v>358887702.9263927</x:v>
      </x:c>
      <x:c r="L43" s="32" t="n">
        <x:v>290071601.88415486</x:v>
      </x:c>
      <x:c r="M43" s="32" t="n">
        <x:v>309167083.59283483</x:v>
      </x:c>
      <x:c r="N43" s="34" t="n">
        <x:f>K43/SUM($K$2:$K$283)</x:f>
        <x:v>0.005401504385817682</x:v>
      </x:c>
      <x:c r="O43" s="35" t="n">
        <x:f>RANK(K43,$K$2:$K$283,0)+COUNTIF($K$2:K43,K43)-1</x:f>
        <x:v>42</x:v>
      </x:c>
      <x:c r="S43" t="str">
        <x:f>B20</x:f>
        <x:v>Mexico (Pacific)</x:v>
      </x:c>
      <x:c r="T43" t="n">
        <x:f>K20</x:f>
        <x:v>903902972.1574702</x:v>
      </x:c>
    </x:row>
    <x:row r="44" ht="18" customHeight="1">
      <x:c r="A44" s="25" t="str">
        <x:v>EEZ_152</x:v>
      </x:c>
      <x:c r="B44" s="25" t="str">
        <x:v>Chile (mainland)</x:v>
      </x:c>
      <x:c r="C44" s="25" t="str">
        <x:v>EEZ</x:v>
      </x:c>
      <x:c r="D44" s="31" t="n">
        <x:v>2019</x:v>
      </x:c>
      <x:c r="E44" s="32" t="n">
        <x:v>1654215.540126388</x:v>
      </x:c>
      <x:c r="F44" s="32" t="n">
        <x:v>1654215.540126388</x:v>
      </x:c>
      <x:c r="G44" s="33" t="n">
        <x:v>0</x:v>
      </x:c>
      <x:c r="H44" s="34" t="n">
        <x:v>1</x:v>
      </x:c>
      <x:c r="I44" s="35" t="n">
        <x:v>129</x:v>
      </x:c>
      <x:c r="J44" s="35" t="n">
        <x:v>129</x:v>
      </x:c>
      <x:c r="K44" s="32" t="n">
        <x:v>345575776.78016967</x:v>
      </x:c>
      <x:c r="L44" s="32" t="n">
        <x:v>255387213.71260306</x:v>
      </x:c>
      <x:c r="M44" s="32" t="n">
        <x:v>286243706.13320345</x:v>
      </x:c>
      <x:c r="N44" s="34" t="n">
        <x:f>K44/SUM($K$2:$K$283)</x:f>
        <x:v>0.005201150829883078</x:v>
      </x:c>
      <x:c r="O44" s="35" t="n">
        <x:f>RANK(K44,$K$2:$K$283,0)+COUNTIF($K$2:K44,K44)-1</x:f>
        <x:v>43</x:v>
      </x:c>
      <x:c r="S44" t="str">
        <x:f>B21</x:f>
        <x:v>USA (West Coast)</x:v>
      </x:c>
      <x:c r="T44" t="n">
        <x:f>K21</x:f>
        <x:v>855756640.2092203</x:v>
      </x:c>
    </x:row>
    <x:row r="45" ht="18" customHeight="1">
      <x:c r="A45" s="25" t="str">
        <x:v>EEZ_324</x:v>
      </x:c>
      <x:c r="B45" s="25" t="str">
        <x:v>Guinea</x:v>
      </x:c>
      <x:c r="C45" s="25" t="str">
        <x:v>EEZ</x:v>
      </x:c>
      <x:c r="D45" s="31" t="n">
        <x:v>2019</x:v>
      </x:c>
      <x:c r="E45" s="32" t="n">
        <x:v>1012636.6535959236</x:v>
      </x:c>
      <x:c r="F45" s="32" t="n">
        <x:v>1012636.6535959236</x:v>
      </x:c>
      <x:c r="G45" s="33" t="n">
        <x:v>0</x:v>
      </x:c>
      <x:c r="H45" s="34" t="n">
        <x:v>1</x:v>
      </x:c>
      <x:c r="I45" s="35" t="n">
        <x:v>201</x:v>
      </x:c>
      <x:c r="J45" s="35" t="n">
        <x:v>201</x:v>
      </x:c>
      <x:c r="K45" s="32" t="n">
        <x:v>336296938.66161853</x:v>
      </x:c>
      <x:c r="L45" s="32" t="n">
        <x:v>281411632.6133717</x:v>
      </x:c>
      <x:c r="M45" s="32" t="n">
        <x:v>275820022.72623754</x:v>
      </x:c>
      <x:c r="N45" s="34" t="n">
        <x:f>K45/SUM($K$2:$K$283)</x:f>
        <x:v>0.005061497995907527</x:v>
      </x:c>
      <x:c r="O45" s="35" t="n">
        <x:f>RANK(K45,$K$2:$K$283,0)+COUNTIF($K$2:K45,K45)-1</x:f>
        <x:v>44</x:v>
      </x:c>
      <x:c r="S45" t="str">
        <x:f>B22</x:f>
        <x:v>New Zealand</x:v>
      </x:c>
      <x:c r="T45" t="n">
        <x:f>K22</x:f>
        <x:v>844346453.6499316</x:v>
      </x:c>
    </x:row>
    <x:row r="46" ht="18" customHeight="1">
      <x:c r="A46" s="25" t="str">
        <x:v>EEZ_917</x:v>
      </x:c>
      <x:c r="B46" s="25" t="str">
        <x:v>Yemen (Arabian Sea)</x:v>
      </x:c>
      <x:c r="C46" s="25" t="str">
        <x:v>EEZ</x:v>
      </x:c>
      <x:c r="D46" s="31" t="n">
        <x:v>2019</x:v>
      </x:c>
      <x:c r="E46" s="32" t="n">
        <x:v>324367.1527000878</x:v>
      </x:c>
      <x:c r="F46" s="32" t="n">
        <x:v>324367.1527000878</x:v>
      </x:c>
      <x:c r="G46" s="33" t="n">
        <x:v>0</x:v>
      </x:c>
      <x:c r="H46" s="34" t="n">
        <x:v>1</x:v>
      </x:c>
      <x:c r="I46" s="35" t="n">
        <x:v>49</x:v>
      </x:c>
      <x:c r="J46" s="35" t="n">
        <x:v>49</x:v>
      </x:c>
      <x:c r="K46" s="32" t="n">
        <x:v>331675839.9836948</x:v>
      </x:c>
      <x:c r="L46" s="32" t="n">
        <x:v>309304483.70174855</x:v>
      </x:c>
      <x:c r="M46" s="32" t="n">
        <x:v>320546355.1211275</x:v>
      </x:c>
      <x:c r="N46" s="34" t="n">
        <x:f>K46/SUM($K$2:$K$283)</x:f>
        <x:v>0.004991947313138046</x:v>
      </x:c>
      <x:c r="O46" s="35" t="n">
        <x:f>RANK(K46,$K$2:$K$283,0)+COUNTIF($K$2:K46,K46)-1</x:f>
        <x:v>45</x:v>
      </x:c>
      <x:c r="S46" t="str">
        <x:f>B23</x:f>
        <x:v>Pakistan</x:v>
      </x:c>
      <x:c r="T46" t="n">
        <x:f>K23</x:f>
        <x:v>790261291.1785368</x:v>
      </x:c>
    </x:row>
    <x:row r="47" ht="18" customHeight="1">
      <x:c r="A47" s="25" t="str">
        <x:v>EEZ_460</x:v>
      </x:c>
      <x:c r="B47" s="25" t="str">
        <x:v>Malaysia (Peninsula East)</x:v>
      </x:c>
      <x:c r="C47" s="25" t="str">
        <x:v>EEZ</x:v>
      </x:c>
      <x:c r="D47" s="31" t="n">
        <x:v>2019</x:v>
      </x:c>
      <x:c r="E47" s="32" t="n">
        <x:v>493489.5345653823</x:v>
      </x:c>
      <x:c r="F47" s="32" t="n">
        <x:v>493489.5345653823</x:v>
      </x:c>
      <x:c r="G47" s="33" t="n">
        <x:v>0</x:v>
      </x:c>
      <x:c r="H47" s="34" t="n">
        <x:v>1</x:v>
      </x:c>
      <x:c r="I47" s="35" t="n">
        <x:v>157</x:v>
      </x:c>
      <x:c r="J47" s="35" t="n">
        <x:v>157</x:v>
      </x:c>
      <x:c r="K47" s="32" t="n">
        <x:v>326099085.0836484</x:v>
      </x:c>
      <x:c r="L47" s="32" t="n">
        <x:v>222182994.882375</x:v>
      </x:c>
      <x:c r="M47" s="32" t="n">
        <x:v>249715851.01259753</x:v>
      </x:c>
      <x:c r="N47" s="34" t="n">
        <x:f>K47/SUM($K$2:$K$283)</x:f>
        <x:v>0.004908013353279273</x:v>
      </x:c>
      <x:c r="O47" s="35" t="n">
        <x:f>RANK(K47,$K$2:$K$283,0)+COUNTIF($K$2:K47,K47)-1</x:f>
        <x:v>46</x:v>
      </x:c>
      <x:c r="S47" t="str">
        <x:f>B24</x:f>
        <x:v>Iceland</x:v>
      </x:c>
      <x:c r="T47" t="n">
        <x:f>K24</x:f>
        <x:v>746373735.3016173</x:v>
      </x:c>
    </x:row>
    <x:row r="48" ht="18" customHeight="1">
      <x:c r="A48" s="25" t="str">
        <x:v>EEZ_288</x:v>
      </x:c>
      <x:c r="B48" s="25" t="str">
        <x:v>Ghana</x:v>
      </x:c>
      <x:c r="C48" s="25" t="str">
        <x:v>EEZ</x:v>
      </x:c>
      <x:c r="D48" s="31" t="n">
        <x:v>2019</x:v>
      </x:c>
      <x:c r="E48" s="32" t="n">
        <x:v>476804.00802107295</x:v>
      </x:c>
      <x:c r="F48" s="32" t="n">
        <x:v>476804.00802107295</x:v>
      </x:c>
      <x:c r="G48" s="33" t="n">
        <x:v>0</x:v>
      </x:c>
      <x:c r="H48" s="34" t="n">
        <x:v>1</x:v>
      </x:c>
      <x:c r="I48" s="35" t="n">
        <x:v>103</x:v>
      </x:c>
      <x:c r="J48" s="35" t="n">
        <x:v>103</x:v>
      </x:c>
      <x:c r="K48" s="32" t="n">
        <x:v>324126100.9393173</x:v>
      </x:c>
      <x:c r="L48" s="32" t="n">
        <x:v>238206610.9968188</x:v>
      </x:c>
      <x:c r="M48" s="32" t="n">
        <x:v>274662612.9582115</x:v>
      </x:c>
      <x:c r="N48" s="34" t="n">
        <x:f>K48/SUM($K$2:$K$283)</x:f>
        <x:v>0.00487831859800665</x:v>
      </x:c>
      <x:c r="O48" s="35" t="n">
        <x:f>RANK(K48,$K$2:$K$283,0)+COUNTIF($K$2:K48,K48)-1</x:f>
        <x:v>47</x:v>
      </x:c>
      <x:c r="S48" t="str">
        <x:f>B25</x:f>
        <x:v>Thailand (Gulf of Thailand)</x:v>
      </x:c>
      <x:c r="T48" t="n">
        <x:f>K25</x:f>
        <x:v>739082508.1879923</x:v>
      </x:c>
    </x:row>
    <x:row r="49" ht="18" customHeight="1">
      <x:c r="A49" s="25" t="str">
        <x:v>EEZ_946</x:v>
      </x:c>
      <x:c r="B49" s="25" t="str">
        <x:v>Morocco (Central)</x:v>
      </x:c>
      <x:c r="C49" s="25" t="str">
        <x:v>EEZ</x:v>
      </x:c>
      <x:c r="D49" s="31" t="n">
        <x:v>2019</x:v>
      </x:c>
      <x:c r="E49" s="32" t="n">
        <x:v>947648.9249708244</x:v>
      </x:c>
      <x:c r="F49" s="32" t="n">
        <x:v>947648.9249708244</x:v>
      </x:c>
      <x:c r="G49" s="33" t="n">
        <x:v>0</x:v>
      </x:c>
      <x:c r="H49" s="34" t="n">
        <x:v>1</x:v>
      </x:c>
      <x:c r="I49" s="35" t="n">
        <x:v>232</x:v>
      </x:c>
      <x:c r="J49" s="35" t="n">
        <x:v>232</x:v>
      </x:c>
      <x:c r="K49" s="32" t="n">
        <x:v>316140800.3054868</x:v>
      </x:c>
      <x:c r="L49" s="32" t="n">
        <x:v>273451584.58033705</x:v>
      </x:c>
      <x:c r="M49" s="32" t="n">
        <x:v>292387446.856549</x:v>
      </x:c>
      <x:c r="N49" s="34" t="n">
        <x:f>K49/SUM($K$2:$K$283)</x:f>
        <x:v>0.0047581343842707045</x:v>
      </x:c>
      <x:c r="O49" s="35" t="n">
        <x:f>RANK(K49,$K$2:$K$283,0)+COUNTIF($K$2:K49,K49)-1</x:f>
        <x:v>48</x:v>
      </x:c>
      <x:c r="S49" t="str">
        <x:f>B26</x:f>
        <x:v>Myanmar</x:v>
      </x:c>
      <x:c r="T49" t="n">
        <x:f>K26</x:f>
        <x:v>719846370.2034029</x:v>
      </x:c>
    </x:row>
    <x:row r="50" ht="18" customHeight="1">
      <x:c r="A50" s="25" t="str">
        <x:v>EEZ_956</x:v>
      </x:c>
      <x:c r="B50" s="25" t="str">
        <x:v>Thailand (Andaman Sea)</x:v>
      </x:c>
      <x:c r="C50" s="25" t="str">
        <x:v>EEZ</x:v>
      </x:c>
      <x:c r="D50" s="31" t="n">
        <x:v>2019</x:v>
      </x:c>
      <x:c r="E50" s="32" t="n">
        <x:v>421454.11553944217</x:v>
      </x:c>
      <x:c r="F50" s="32" t="n">
        <x:v>421454.11553944217</x:v>
      </x:c>
      <x:c r="G50" s="33" t="n">
        <x:v>0</x:v>
      </x:c>
      <x:c r="H50" s="34" t="n">
        <x:v>1</x:v>
      </x:c>
      <x:c r="I50" s="35" t="n">
        <x:v>69</x:v>
      </x:c>
      <x:c r="J50" s="35" t="n">
        <x:v>69</x:v>
      </x:c>
      <x:c r="K50" s="32" t="n">
        <x:v>313495011.23728895</x:v>
      </x:c>
      <x:c r="L50" s="32" t="n">
        <x:v>224493243.41878027</x:v>
      </x:c>
      <x:c r="M50" s="32" t="n">
        <x:v>252670912.2626254</x:v>
      </x:c>
      <x:c r="N50" s="34" t="n">
        <x:f>K50/SUM($K$2:$K$283)</x:f>
        <x:v>0.004718313456612031</x:v>
      </x:c>
      <x:c r="O50" s="35" t="n">
        <x:f>RANK(K50,$K$2:$K$283,0)+COUNTIF($K$2:K50,K50)-1</x:f>
        <x:v>49</x:v>
      </x:c>
    </x:row>
    <x:row r="51" ht="18" customHeight="1">
      <x:c r="A51" s="25" t="str">
        <x:v>EEZ_944</x:v>
      </x:c>
      <x:c r="B51" s="25" t="str">
        <x:v>Mexico (Atlantic)</x:v>
      </x:c>
      <x:c r="C51" s="25" t="str">
        <x:v>EEZ</x:v>
      </x:c>
      <x:c r="D51" s="31" t="n">
        <x:v>2019</x:v>
      </x:c>
      <x:c r="E51" s="32" t="n">
        <x:v>513071.273739008</x:v>
      </x:c>
      <x:c r="F51" s="32" t="n">
        <x:v>513071.273739008</x:v>
      </x:c>
      <x:c r="G51" s="33" t="n">
        <x:v>0</x:v>
      </x:c>
      <x:c r="H51" s="34" t="n">
        <x:v>1</x:v>
      </x:c>
      <x:c r="I51" s="35" t="n">
        <x:v>103</x:v>
      </x:c>
      <x:c r="J51" s="35" t="n">
        <x:v>103</x:v>
      </x:c>
      <x:c r="K51" s="32" t="n">
        <x:v>306325336.4678513</x:v>
      </x:c>
      <x:c r="L51" s="32" t="n">
        <x:v>202344282.69585595</x:v>
      </x:c>
      <x:c r="M51" s="32" t="n">
        <x:v>247367572.20925406</x:v>
      </x:c>
      <x:c r="N51" s="34" t="n">
        <x:f>K51/SUM($K$2:$K$283)</x:f>
        <x:v>0.004610404967699702</x:v>
      </x:c>
      <x:c r="O51" s="35" t="n">
        <x:f>RANK(K51,$K$2:$K$283,0)+COUNTIF($K$2:K51,K51)-1</x:f>
        <x:v>50</x:v>
      </x:c>
    </x:row>
    <x:row r="52" ht="18" customHeight="1">
      <x:c r="A52" s="25" t="str">
        <x:v>EEZ_090</x:v>
      </x:c>
      <x:c r="B52" s="25" t="str">
        <x:v>Solomon Isl.</x:v>
      </x:c>
      <x:c r="C52" s="25" t="str">
        <x:v>EEZ</x:v>
      </x:c>
      <x:c r="D52" s="31" t="n">
        <x:v>2019</x:v>
      </x:c>
      <x:c r="E52" s="32" t="n">
        <x:v>142760.9815038889</x:v>
      </x:c>
      <x:c r="F52" s="32" t="n">
        <x:v>142760.9815038889</x:v>
      </x:c>
      <x:c r="G52" s="33" t="n">
        <x:v>0</x:v>
      </x:c>
      <x:c r="H52" s="34" t="n">
        <x:v>1</x:v>
      </x:c>
      <x:c r="I52" s="35" t="n">
        <x:v>52</x:v>
      </x:c>
      <x:c r="J52" s="35" t="n">
        <x:v>52</x:v>
      </x:c>
      <x:c r="K52" s="32" t="n">
        <x:v>304737248.27830005</x:v>
      </x:c>
      <x:c r="L52" s="32" t="n">
        <x:v>300385320.9573925</x:v>
      </x:c>
      <x:c r="M52" s="32" t="n">
        <x:v>299782267.2557317</x:v>
      </x:c>
      <x:c r="N52" s="34" t="n">
        <x:f>K52/SUM($K$2:$K$283)</x:f>
        <x:v>0.004586503158718842</x:v>
      </x:c>
      <x:c r="O52" s="35" t="n">
        <x:f>RANK(K52,$K$2:$K$283,0)+COUNTIF($K$2:K52,K52)-1</x:f>
        <x:v>51</x:v>
      </x:c>
    </x:row>
    <x:row r="53" ht="18" customHeight="1">
      <x:c r="A53" s="25" t="str">
        <x:v>EEZ_566</x:v>
      </x:c>
      <x:c r="B53" s="25" t="str">
        <x:v>Nigeria</x:v>
      </x:c>
      <x:c r="C53" s="25" t="str">
        <x:v>EEZ</x:v>
      </x:c>
      <x:c r="D53" s="31" t="n">
        <x:v>2019</x:v>
      </x:c>
      <x:c r="E53" s="32" t="n">
        <x:v>532269.8890131604</x:v>
      </x:c>
      <x:c r="F53" s="32" t="n">
        <x:v>532269.8890131604</x:v>
      </x:c>
      <x:c r="G53" s="33" t="n">
        <x:v>0</x:v>
      </x:c>
      <x:c r="H53" s="34" t="n">
        <x:v>1</x:v>
      </x:c>
      <x:c r="I53" s="35" t="n">
        <x:v>77</x:v>
      </x:c>
      <x:c r="J53" s="35" t="n">
        <x:v>77</x:v>
      </x:c>
      <x:c r="K53" s="32" t="n">
        <x:v>304675912.1204597</x:v>
      </x:c>
      <x:c r="L53" s="32" t="n">
        <x:v>229015816.3190449</x:v>
      </x:c>
      <x:c r="M53" s="32" t="n">
        <x:v>277012116.7712002</x:v>
      </x:c>
      <x:c r="N53" s="34" t="n">
        <x:f>K53/SUM($K$2:$K$283)</x:f>
        <x:v>0.004585580007764149</x:v>
      </x:c>
      <x:c r="O53" s="35" t="n">
        <x:f>RANK(K53,$K$2:$K$283,0)+COUNTIF($K$2:K53,K53)-1</x:f>
        <x:v>52</x:v>
      </x:c>
    </x:row>
    <x:row r="54" ht="18" customHeight="1">
      <x:c r="A54" s="25" t="str">
        <x:v>EEZ_852</x:v>
      </x:c>
      <x:c r="B54" s="25" t="str">
        <x:v>USA (Gulf of Mexico)</x:v>
      </x:c>
      <x:c r="C54" s="25" t="str">
        <x:v>EEZ</x:v>
      </x:c>
      <x:c r="D54" s="31" t="n">
        <x:v>2019</x:v>
      </x:c>
      <x:c r="E54" s="32" t="n">
        <x:v>1104194.026503118</x:v>
      </x:c>
      <x:c r="F54" s="32" t="n">
        <x:v>1104194.026503118</x:v>
      </x:c>
      <x:c r="G54" s="33" t="n">
        <x:v>0</x:v>
      </x:c>
      <x:c r="H54" s="34" t="n">
        <x:v>1</x:v>
      </x:c>
      <x:c r="I54" s="35" t="n">
        <x:v>375</x:v>
      </x:c>
      <x:c r="J54" s="35" t="n">
        <x:v>375</x:v>
      </x:c>
      <x:c r="K54" s="32" t="n">
        <x:v>288829700.6693002</x:v>
      </x:c>
      <x:c r="L54" s="32" t="n">
        <x:v>184927147.1340163</x:v>
      </x:c>
      <x:c r="M54" s="32" t="n">
        <x:v>242453427.13459975</x:v>
      </x:c>
      <x:c r="N54" s="34" t="n">
        <x:f>K54/SUM($K$2:$K$283)</x:f>
        <x:v>0.004347083731758874</x:v>
      </x:c>
      <x:c r="O54" s="35" t="n">
        <x:f>RANK(K54,$K$2:$K$283,0)+COUNTIF($K$2:K54,K54)-1</x:f>
        <x:v>53</x:v>
      </x:c>
    </x:row>
    <x:row r="55" ht="18" customHeight="1">
      <x:c r="A55" s="25" t="str">
        <x:v>EEZ_925</x:v>
      </x:c>
      <x:c r="B55" s="25" t="str">
        <x:v>Canada (Pacific)</x:v>
      </x:c>
      <x:c r="C55" s="25" t="str">
        <x:v>EEZ</x:v>
      </x:c>
      <x:c r="D55" s="31" t="n">
        <x:v>2019</x:v>
      </x:c>
      <x:c r="E55" s="32" t="n">
        <x:v>198174.6028298108</x:v>
      </x:c>
      <x:c r="F55" s="32" t="n">
        <x:v>198174.6028298108</x:v>
      </x:c>
      <x:c r="G55" s="33" t="n">
        <x:v>0</x:v>
      </x:c>
      <x:c r="H55" s="34" t="n">
        <x:v>1</x:v>
      </x:c>
      <x:c r="I55" s="35" t="n">
        <x:v>26</x:v>
      </x:c>
      <x:c r="J55" s="35" t="n">
        <x:v>26</x:v>
      </x:c>
      <x:c r="K55" s="32" t="n">
        <x:v>276796938.98617065</x:v>
      </x:c>
      <x:c r="L55" s="32" t="n">
        <x:v>259836362.681948</x:v>
      </x:c>
      <x:c r="M55" s="32" t="n">
        <x:v>260822475.22653812</x:v>
      </x:c>
      <x:c r="N55" s="34" t="n">
        <x:f>K55/SUM($K$2:$K$283)</x:f>
        <x:v>0.004165982472298185</x:v>
      </x:c>
      <x:c r="O55" s="35" t="n">
        <x:f>RANK(K55,$K$2:$K$283,0)+COUNTIF($K$2:K55,K55)-1</x:f>
        <x:v>54</x:v>
      </x:c>
    </x:row>
    <x:row r="56" ht="18" customHeight="1">
      <x:c r="A56" s="25" t="str">
        <x:v>EEZ_942</x:v>
      </x:c>
      <x:c r="B56" s="25" t="str">
        <x:v>Kiribati (Line Islands)</x:v>
      </x:c>
      <x:c r="C56" s="25" t="str">
        <x:v>EEZ</x:v>
      </x:c>
      <x:c r="D56" s="31" t="n">
        <x:v>2019</x:v>
      </x:c>
      <x:c r="E56" s="32" t="n">
        <x:v>110424.34936910501</x:v>
      </x:c>
      <x:c r="F56" s="32" t="n">
        <x:v>110424.34936910501</x:v>
      </x:c>
      <x:c r="G56" s="33" t="n">
        <x:v>0</x:v>
      </x:c>
      <x:c r="H56" s="34" t="n">
        <x:v>1</x:v>
      </x:c>
      <x:c r="I56" s="35" t="n">
        <x:v>40</x:v>
      </x:c>
      <x:c r="J56" s="35" t="n">
        <x:v>40</x:v>
      </x:c>
      <x:c r="K56" s="32" t="n">
        <x:v>275077618.8439184</x:v>
      </x:c>
      <x:c r="L56" s="32" t="n">
        <x:v>272099013.98385066</x:v>
      </x:c>
      <x:c r="M56" s="32" t="n">
        <x:v>271544337.2471547</x:v>
      </x:c>
      <x:c r="N56" s="34" t="n">
        <x:f>K56/SUM($K$2:$K$283)</x:f>
        <x:v>0.004140105533040378</x:v>
      </x:c>
      <x:c r="O56" s="35" t="n">
        <x:f>RANK(K56,$K$2:$K$283,0)+COUNTIF($K$2:K56,K56)-1</x:f>
        <x:v>55</x:v>
      </x:c>
    </x:row>
    <x:row r="57" ht="18" customHeight="1">
      <x:c r="A57" s="25" t="str">
        <x:v>EEZ_686</x:v>
      </x:c>
      <x:c r="B57" s="25" t="str">
        <x:v>Senegal</x:v>
      </x:c>
      <x:c r="C57" s="25" t="str">
        <x:v>EEZ</x:v>
      </x:c>
      <x:c r="D57" s="31" t="n">
        <x:v>2019</x:v>
      </x:c>
      <x:c r="E57" s="32" t="n">
        <x:v>542145.3642563997</x:v>
      </x:c>
      <x:c r="F57" s="32" t="n">
        <x:v>542145.3642563997</x:v>
      </x:c>
      <x:c r="G57" s="33" t="n">
        <x:v>0</x:v>
      </x:c>
      <x:c r="H57" s="34" t="n">
        <x:v>1</x:v>
      </x:c>
      <x:c r="I57" s="35" t="n">
        <x:v>256</x:v>
      </x:c>
      <x:c r="J57" s="35" t="n">
        <x:v>256</x:v>
      </x:c>
      <x:c r="K57" s="32" t="n">
        <x:v>263403378.0497803</x:v>
      </x:c>
      <x:c r="L57" s="32" t="n">
        <x:v>223582525.0829516</x:v>
      </x:c>
      <x:c r="M57" s="32" t="n">
        <x:v>222639224.56650266</x:v>
      </x:c>
      <x:c r="N57" s="34" t="n">
        <x:f>K57/SUM($K$2:$K$283)</x:f>
        <x:v>0.003964400257165931</x:v>
      </x:c>
      <x:c r="O57" s="35" t="n">
        <x:f>RANK(K57,$K$2:$K$283,0)+COUNTIF($K$2:K57,K57)-1</x:f>
        <x:v>56</x:v>
      </x:c>
    </x:row>
    <x:row r="58" ht="18" customHeight="1">
      <x:c r="A58" s="25" t="str">
        <x:v>EEZ_645</x:v>
      </x:c>
      <x:c r="B58" s="25" t="str">
        <x:v>Russia (Barents Sea)</x:v>
      </x:c>
      <x:c r="C58" s="25" t="str">
        <x:v>EEZ</x:v>
      </x:c>
      <x:c r="D58" s="31" t="n">
        <x:v>2019</x:v>
      </x:c>
      <x:c r="E58" s="32" t="n">
        <x:v>257638.50382026174</x:v>
      </x:c>
      <x:c r="F58" s="32" t="n">
        <x:v>257638.50382026174</x:v>
      </x:c>
      <x:c r="G58" s="33" t="n">
        <x:v>0</x:v>
      </x:c>
      <x:c r="H58" s="34" t="n">
        <x:v>1</x:v>
      </x:c>
      <x:c r="I58" s="35" t="n">
        <x:v>86</x:v>
      </x:c>
      <x:c r="J58" s="35" t="n">
        <x:v>86</x:v>
      </x:c>
      <x:c r="K58" s="32" t="n">
        <x:v>256304293.92408934</x:v>
      </x:c>
      <x:c r="L58" s="32" t="n">
        <x:v>248417328.29440054</x:v>
      </x:c>
      <x:c r="M58" s="32" t="n">
        <x:v>236031062.5418131</x:v>
      </x:c>
      <x:c r="N58" s="34" t="n">
        <x:f>K58/SUM($K$2:$K$283)</x:f>
        <x:v>0.0038575542055248884</x:v>
      </x:c>
      <x:c r="O58" s="35" t="n">
        <x:f>RANK(K58,$K$2:$K$283,0)+COUNTIF($K$2:K58,K58)-1</x:f>
        <x:v>57</x:v>
      </x:c>
    </x:row>
    <x:row r="59" ht="18" customHeight="1">
      <x:c r="A59" s="25" t="str">
        <x:v>EEZ_304</x:v>
      </x:c>
      <x:c r="B59" s="25" t="str">
        <x:v>Greenland (Denmark)</x:v>
      </x:c>
      <x:c r="C59" s="25" t="str">
        <x:v>EEZ</x:v>
      </x:c>
      <x:c r="D59" s="31" t="n">
        <x:v>2019</x:v>
      </x:c>
      <x:c r="E59" s="32" t="n">
        <x:v>262286.0841378048</x:v>
      </x:c>
      <x:c r="F59" s="32" t="n">
        <x:v>262286.0841378048</x:v>
      </x:c>
      <x:c r="G59" s="33" t="n">
        <x:v>0</x:v>
      </x:c>
      <x:c r="H59" s="34" t="n">
        <x:v>1</x:v>
      </x:c>
      <x:c r="I59" s="35" t="n">
        <x:v>54</x:v>
      </x:c>
      <x:c r="J59" s="35" t="n">
        <x:v>54</x:v>
      </x:c>
      <x:c r="K59" s="32" t="n">
        <x:v>248197559.24175024</x:v>
      </x:c>
      <x:c r="L59" s="32" t="n">
        <x:v>246954669.5936757</x:v>
      </x:c>
      <x:c r="M59" s="32" t="n">
        <x:v>247859388.53952336</x:v>
      </x:c>
      <x:c r="N59" s="34" t="n">
        <x:f>K59/SUM($K$2:$K$283)</x:f>
        <x:v>0.003735542326643945</x:v>
      </x:c>
      <x:c r="O59" s="35" t="n">
        <x:f>RANK(K59,$K$2:$K$283,0)+COUNTIF($K$2:K59,K59)-1</x:f>
        <x:v>58</x:v>
      </x:c>
    </x:row>
    <x:row r="60" ht="18" customHeight="1">
      <x:c r="A60" s="25" t="str">
        <x:v>EEZ_238</x:v>
      </x:c>
      <x:c r="B60" s="25" t="str">
        <x:v>Falkland Isl. (UK)</x:v>
      </x:c>
      <x:c r="C60" s="25" t="str">
        <x:v>EEZ</x:v>
      </x:c>
      <x:c r="D60" s="31" t="n">
        <x:v>2019</x:v>
      </x:c>
      <x:c r="E60" s="32" t="n">
        <x:v>278214.9808580502</x:v>
      </x:c>
      <x:c r="F60" s="32" t="n">
        <x:v>278214.9808580502</x:v>
      </x:c>
      <x:c r="G60" s="33" t="n">
        <x:v>0</x:v>
      </x:c>
      <x:c r="H60" s="34" t="n">
        <x:v>1</x:v>
      </x:c>
      <x:c r="I60" s="35" t="n">
        <x:v>33</x:v>
      </x:c>
      <x:c r="J60" s="35" t="n">
        <x:v>33</x:v>
      </x:c>
      <x:c r="K60" s="32" t="n">
        <x:v>240475941.02839914</x:v>
      </x:c>
      <x:c r="L60" s="32" t="n">
        <x:v>218731675.69853857</x:v>
      </x:c>
      <x:c r="M60" s="32" t="n">
        <x:v>218030091.2427321</x:v>
      </x:c>
      <x:c r="N60" s="34" t="n">
        <x:f>K60/SUM($K$2:$K$283)</x:f>
        <x:v>0.003619326712943801</x:v>
      </x:c>
      <x:c r="O60" s="35" t="n">
        <x:f>RANK(K60,$K$2:$K$283,0)+COUNTIF($K$2:K60,K60)-1</x:f>
        <x:v>59</x:v>
      </x:c>
    </x:row>
    <x:row r="61" ht="18" customHeight="1">
      <x:c r="A61" s="25" t="str">
        <x:v>EEZ_024</x:v>
      </x:c>
      <x:c r="B61" s="25" t="str">
        <x:v>Angola</x:v>
      </x:c>
      <x:c r="C61" s="25" t="str">
        <x:v>EEZ</x:v>
      </x:c>
      <x:c r="D61" s="31" t="n">
        <x:v>2019</x:v>
      </x:c>
      <x:c r="E61" s="32" t="n">
        <x:v>619737.0070171056</x:v>
      </x:c>
      <x:c r="F61" s="32" t="n">
        <x:v>619737.0070171056</x:v>
      </x:c>
      <x:c r="G61" s="33" t="n">
        <x:v>0</x:v>
      </x:c>
      <x:c r="H61" s="34" t="n">
        <x:v>1</x:v>
      </x:c>
      <x:c r="I61" s="35" t="n">
        <x:v>120</x:v>
      </x:c>
      <x:c r="J61" s="35" t="n">
        <x:v>120</x:v>
      </x:c>
      <x:c r="K61" s="32" t="n">
        <x:v>238291043.5932122</x:v>
      </x:c>
      <x:c r="L61" s="32" t="n">
        <x:v>193119589.75474402</x:v>
      </x:c>
      <x:c r="M61" s="32" t="n">
        <x:v>214098235.0059215</x:v>
      </x:c>
      <x:c r="N61" s="34" t="n">
        <x:f>K61/SUM($K$2:$K$283)</x:f>
        <x:v>0.003586442518298813</x:v>
      </x:c>
      <x:c r="O61" s="35" t="n">
        <x:f>RANK(K61,$K$2:$K$283,0)+COUNTIF($K$2:K61,K61)-1</x:f>
        <x:v>60</x:v>
      </x:c>
    </x:row>
    <x:row r="62" ht="18" customHeight="1">
      <x:c r="A62" s="25" t="str">
        <x:v>EEZ_919</x:v>
      </x:c>
      <x:c r="B62" s="25" t="str">
        <x:v>France (Atlantic Coast)</x:v>
      </x:c>
      <x:c r="C62" s="25" t="str">
        <x:v>EEZ</x:v>
      </x:c>
      <x:c r="D62" s="31" t="n">
        <x:v>2019</x:v>
      </x:c>
      <x:c r="E62" s="32" t="n">
        <x:v>270826.2519812341</x:v>
      </x:c>
      <x:c r="F62" s="32" t="n">
        <x:v>270826.2519812341</x:v>
      </x:c>
      <x:c r="G62" s="33" t="n">
        <x:v>0</x:v>
      </x:c>
      <x:c r="H62" s="34" t="n">
        <x:v>1</x:v>
      </x:c>
      <x:c r="I62" s="35" t="n">
        <x:v>348</x:v>
      </x:c>
      <x:c r="J62" s="35" t="n">
        <x:v>348</x:v>
      </x:c>
      <x:c r="K62" s="32" t="n">
        <x:v>220204619.0813137</x:v>
      </x:c>
      <x:c r="L62" s="32" t="n">
        <x:v>169005621.09511688</x:v>
      </x:c>
      <x:c r="M62" s="32" t="n">
        <x:v>189192339.3498306</x:v>
      </x:c>
      <x:c r="N62" s="34" t="n">
        <x:f>K62/SUM($K$2:$K$283)</x:f>
        <x:v>0.0033142295098056882</x:v>
      </x:c>
      <x:c r="O62" s="35" t="n">
        <x:f>RANK(K62,$K$2:$K$283,0)+COUNTIF($K$2:K62,K62)-1</x:f>
        <x:v>61</x:v>
      </x:c>
    </x:row>
    <x:row r="63" ht="18" customHeight="1">
      <x:c r="A63" s="25" t="str">
        <x:v>EEZ_744</x:v>
      </x:c>
      <x:c r="B63" s="25" t="str">
        <x:v>Svalbard Isl. (Norway)</x:v>
      </x:c>
      <x:c r="C63" s="25" t="str">
        <x:v>EEZ</x:v>
      </x:c>
      <x:c r="D63" s="31" t="n">
        <x:v>2019</x:v>
      </x:c>
      <x:c r="E63" s="32" t="n">
        <x:v>219891.4498277699</x:v>
      </x:c>
      <x:c r="F63" s="32" t="n">
        <x:v>219891.4498277699</x:v>
      </x:c>
      <x:c r="G63" s="33" t="n">
        <x:v>0</x:v>
      </x:c>
      <x:c r="H63" s="34" t="n">
        <x:v>1</x:v>
      </x:c>
      <x:c r="I63" s="35" t="n">
        <x:v>62</x:v>
      </x:c>
      <x:c r="J63" s="35" t="n">
        <x:v>62</x:v>
      </x:c>
      <x:c r="K63" s="32" t="n">
        <x:v>218315950.64442787</x:v>
      </x:c>
      <x:c r="L63" s="32" t="n">
        <x:v>217216675.2255146</x:v>
      </x:c>
      <x:c r="M63" s="32" t="n">
        <x:v>207323146.5444756</x:v>
      </x:c>
      <x:c r="N63" s="34" t="n">
        <x:f>K63/SUM($K$2:$K$283)</x:f>
        <x:v>0.0032858037633618584</x:v>
      </x:c>
      <x:c r="O63" s="35" t="n">
        <x:f>RANK(K63,$K$2:$K$283,0)+COUNTIF($K$2:K63,K63)-1</x:f>
        <x:v>62</x:v>
      </x:c>
    </x:row>
    <x:row r="64" ht="18" customHeight="1">
      <x:c r="A64" s="25" t="str">
        <x:v>EEZ_963</x:v>
      </x:c>
      <x:c r="B64" s="25" t="str">
        <x:v>Spain (Northwest)</x:v>
      </x:c>
      <x:c r="C64" s="25" t="str">
        <x:v>EEZ</x:v>
      </x:c>
      <x:c r="D64" s="31" t="n">
        <x:v>2019</x:v>
      </x:c>
      <x:c r="E64" s="32" t="n">
        <x:v>194491.9853032628</x:v>
      </x:c>
      <x:c r="F64" s="32" t="n">
        <x:v>194491.9853032628</x:v>
      </x:c>
      <x:c r="G64" s="33" t="n">
        <x:v>0</x:v>
      </x:c>
      <x:c r="H64" s="34" t="n">
        <x:v>1</x:v>
      </x:c>
      <x:c r="I64" s="35" t="n">
        <x:v>312</x:v>
      </x:c>
      <x:c r="J64" s="35" t="n">
        <x:v>312</x:v>
      </x:c>
      <x:c r="K64" s="32" t="n">
        <x:v>218230163.06143558</x:v>
      </x:c>
      <x:c r="L64" s="32" t="n">
        <x:v>190512956.20310688</x:v>
      </x:c>
      <x:c r="M64" s="32" t="n">
        <x:v>207412846.6597897</x:v>
      </x:c>
      <x:c r="N64" s="34" t="n">
        <x:f>K64/SUM($K$2:$K$283)</x:f>
        <x:v>0.0032845126018035127</x:v>
      </x:c>
      <x:c r="O64" s="35" t="n">
        <x:f>RANK(K64,$K$2:$K$283,0)+COUNTIF($K$2:K64,K64)-1</x:f>
        <x:v>63</x:v>
      </x:c>
    </x:row>
    <x:row r="65" ht="18" customHeight="1">
      <x:c r="A65" s="25" t="str">
        <x:v>EEZ_520</x:v>
      </x:c>
      <x:c r="B65" s="25" t="str">
        <x:v>Nauru</x:v>
      </x:c>
      <x:c r="C65" s="25" t="str">
        <x:v>EEZ</x:v>
      </x:c>
      <x:c r="D65" s="31" t="n">
        <x:v>2019</x:v>
      </x:c>
      <x:c r="E65" s="32" t="n">
        <x:v>81729.3484479404</x:v>
      </x:c>
      <x:c r="F65" s="32" t="n">
        <x:v>81729.3484479404</x:v>
      </x:c>
      <x:c r="G65" s="33" t="n">
        <x:v>0</x:v>
      </x:c>
      <x:c r="H65" s="34" t="n">
        <x:v>1</x:v>
      </x:c>
      <x:c r="I65" s="35" t="n">
        <x:v>28</x:v>
      </x:c>
      <x:c r="J65" s="35" t="n">
        <x:v>28</x:v>
      </x:c>
      <x:c r="K65" s="32" t="n">
        <x:v>211818272.35681504</x:v>
      </x:c>
      <x:c r="L65" s="32" t="n">
        <x:v>211133892.17355394</x:v>
      </x:c>
      <x:c r="M65" s="32" t="n">
        <x:v>210905086.08212376</x:v>
      </x:c>
      <x:c r="N65" s="34" t="n">
        <x:f>K65/SUM($K$2:$K$283)</x:f>
        <x:v>0.0031880092792321768</x:v>
      </x:c>
      <x:c r="O65" s="35" t="n">
        <x:f>RANK(K65,$K$2:$K$283,0)+COUNTIF($K$2:K65,K65)-1</x:f>
        <x:v>64</x:v>
      </x:c>
    </x:row>
    <x:row r="66" ht="18" customHeight="1">
      <x:c r="A66" s="25" t="str">
        <x:v>EEZ_943</x:v>
      </x:c>
      <x:c r="B66" s="25" t="str">
        <x:v>Kiribati (Phoenix Islands)</x:v>
      </x:c>
      <x:c r="C66" s="25" t="str">
        <x:v>EEZ</x:v>
      </x:c>
      <x:c r="D66" s="31" t="n">
        <x:v>2019</x:v>
      </x:c>
      <x:c r="E66" s="32" t="n">
        <x:v>77760.627954773</x:v>
      </x:c>
      <x:c r="F66" s="32" t="n">
        <x:v>77760.627954773</x:v>
      </x:c>
      <x:c r="G66" s="33" t="n">
        <x:v>0</x:v>
      </x:c>
      <x:c r="H66" s="34" t="n">
        <x:v>1</x:v>
      </x:c>
      <x:c r="I66" s="35" t="n">
        <x:v>30</x:v>
      </x:c>
      <x:c r="J66" s="35" t="n">
        <x:v>30</x:v>
      </x:c>
      <x:c r="K66" s="32" t="n">
        <x:v>197891389.7807206</x:v>
      </x:c>
      <x:c r="L66" s="32" t="n">
        <x:v>196618738.02517822</x:v>
      </x:c>
      <x:c r="M66" s="32" t="n">
        <x:v>196173329.33670193</x:v>
      </x:c>
      <x:c r="N66" s="34" t="n">
        <x:f>K66/SUM($K$2:$K$283)</x:f>
        <x:v>0.0029784002101497214</x:v>
      </x:c>
      <x:c r="O66" s="35" t="n">
        <x:f>RANK(K66,$K$2:$K$283,0)+COUNTIF($K$2:K66,K66)-1</x:f>
        <x:v>65</x:v>
      </x:c>
    </x:row>
    <x:row r="67" ht="18" customHeight="1">
      <x:c r="A67" s="25" t="str">
        <x:v>EEZ_694</x:v>
      </x:c>
      <x:c r="B67" s="25" t="str">
        <x:v>Sierra Leone</x:v>
      </x:c>
      <x:c r="C67" s="25" t="str">
        <x:v>EEZ</x:v>
      </x:c>
      <x:c r="D67" s="31" t="n">
        <x:v>2019</x:v>
      </x:c>
      <x:c r="E67" s="32" t="n">
        <x:v>442517.00676733244</x:v>
      </x:c>
      <x:c r="F67" s="32" t="n">
        <x:v>442517.00676733244</x:v>
      </x:c>
      <x:c r="G67" s="33" t="n">
        <x:v>0</x:v>
      </x:c>
      <x:c r="H67" s="34" t="n">
        <x:v>1</x:v>
      </x:c>
      <x:c r="I67" s="35" t="n">
        <x:v>214</x:v>
      </x:c>
      <x:c r="J67" s="35" t="n">
        <x:v>214</x:v>
      </x:c>
      <x:c r="K67" s="32" t="n">
        <x:v>188913523.83892518</x:v>
      </x:c>
      <x:c r="L67" s="32" t="n">
        <x:v>146072990.1542673</x:v>
      </x:c>
      <x:c r="M67" s="32" t="n">
        <x:v>143010668.57291692</x:v>
      </x:c>
      <x:c r="N67" s="34" t="n">
        <x:f>K67/SUM($K$2:$K$283)</x:f>
        <x:v>0.0028432772124418917</x:v>
      </x:c>
      <x:c r="O67" s="35" t="n">
        <x:f>RANK(K67,$K$2:$K$283,0)+COUNTIF($K$2:K67,K67)-1</x:f>
        <x:v>66</x:v>
      </x:c>
    </x:row>
    <x:row r="68" ht="18" customHeight="1">
      <x:c r="A68" s="25" t="str">
        <x:v>EEZ_512</x:v>
      </x:c>
      <x:c r="B68" s="25" t="str">
        <x:v>Oman</x:v>
      </x:c>
      <x:c r="C68" s="25" t="str">
        <x:v>EEZ</x:v>
      </x:c>
      <x:c r="D68" s="31" t="n">
        <x:v>2019</x:v>
      </x:c>
      <x:c r="E68" s="32" t="n">
        <x:v>304318.44171610783</x:v>
      </x:c>
      <x:c r="F68" s="32" t="n">
        <x:v>304318.44171610783</x:v>
      </x:c>
      <x:c r="G68" s="33" t="n">
        <x:v>0</x:v>
      </x:c>
      <x:c r="H68" s="34" t="n">
        <x:v>1</x:v>
      </x:c>
      <x:c r="I68" s="35" t="n">
        <x:v>66</x:v>
      </x:c>
      <x:c r="J68" s="35" t="n">
        <x:v>66</x:v>
      </x:c>
      <x:c r="K68" s="32" t="n">
        <x:v>187008419.87587023</x:v>
      </x:c>
      <x:c r="L68" s="32" t="n">
        <x:v>157417671.79835263</x:v>
      </x:c>
      <x:c r="M68" s="32" t="n">
        <x:v>173471533.90377143</x:v>
      </x:c>
      <x:c r="N68" s="34" t="n">
        <x:f>K68/SUM($K$2:$K$283)</x:f>
        <x:v>0.002814604100134139</x:v>
      </x:c>
      <x:c r="O68" s="35" t="n">
        <x:f>RANK(K68,$K$2:$K$283,0)+COUNTIF($K$2:K68,K68)-1</x:f>
        <x:v>67</x:v>
      </x:c>
    </x:row>
    <x:row r="69" ht="18" customHeight="1">
      <x:c r="A69" s="25" t="str">
        <x:v>EEZ_219</x:v>
      </x:c>
      <x:c r="B69" s="25" t="str">
        <x:v>Galapagos Isl. (Ecuador)</x:v>
      </x:c>
      <x:c r="C69" s="25" t="str">
        <x:v>EEZ</x:v>
      </x:c>
      <x:c r="D69" s="31" t="n">
        <x:v>2019</x:v>
      </x:c>
      <x:c r="E69" s="32" t="n">
        <x:v>68947.83335948801</x:v>
      </x:c>
      <x:c r="F69" s="32" t="n">
        <x:v>68947.83335948801</x:v>
      </x:c>
      <x:c r="G69" s="33" t="n">
        <x:v>0</x:v>
      </x:c>
      <x:c r="H69" s="34" t="n">
        <x:v>1</x:v>
      </x:c>
      <x:c r="I69" s="35" t="n">
        <x:v>47</x:v>
      </x:c>
      <x:c r="J69" s="35" t="n">
        <x:v>47</x:v>
      </x:c>
      <x:c r="K69" s="32" t="n">
        <x:v>178171427.7951421</x:v>
      </x:c>
      <x:c r="L69" s="32" t="n">
        <x:v>175820957.12708527</x:v>
      </x:c>
      <x:c r="M69" s="32" t="n">
        <x:v>177166073.02531397</x:v>
      </x:c>
      <x:c r="N69" s="34" t="n">
        <x:f>K69/SUM($K$2:$K$283)</x:f>
        <x:v>0.002681601349991766</x:v>
      </x:c>
      <x:c r="O69" s="35" t="n">
        <x:f>RANK(K69,$K$2:$K$283,0)+COUNTIF($K$2:K69,K69)-1</x:f>
        <x:v>68</x:v>
      </x:c>
    </x:row>
    <x:row r="70" ht="18" customHeight="1">
      <x:c r="A70" s="25" t="str">
        <x:v>EEZ_862</x:v>
      </x:c>
      <x:c r="B70" s="25" t="str">
        <x:v>Venezuela</x:v>
      </x:c>
      <x:c r="C70" s="25" t="str">
        <x:v>EEZ</x:v>
      </x:c>
      <x:c r="D70" s="31" t="n">
        <x:v>2019</x:v>
      </x:c>
      <x:c r="E70" s="32" t="n">
        <x:v>306380.438267835</x:v>
      </x:c>
      <x:c r="F70" s="32" t="n">
        <x:v>306380.438267835</x:v>
      </x:c>
      <x:c r="G70" s="33" t="n">
        <x:v>0</x:v>
      </x:c>
      <x:c r="H70" s="34" t="n">
        <x:v>1</x:v>
      </x:c>
      <x:c r="I70" s="35" t="n">
        <x:v>153</x:v>
      </x:c>
      <x:c r="J70" s="35" t="n">
        <x:v>153</x:v>
      </x:c>
      <x:c r="K70" s="32" t="n">
        <x:v>172576491.72799766</x:v>
      </x:c>
      <x:c r="L70" s="32" t="n">
        <x:v>109361956.20020832</x:v>
      </x:c>
      <x:c r="M70" s="32" t="n">
        <x:v>152625911.82444447</x:v>
      </x:c>
      <x:c r="N70" s="34" t="n">
        <x:f>K70/SUM($K$2:$K$283)</x:f>
        <x:v>0.002597393751184045</x:v>
      </x:c>
      <x:c r="O70" s="35" t="n">
        <x:f>RANK(K70,$K$2:$K$283,0)+COUNTIF($K$2:K70,K70)-1</x:f>
        <x:v>69</x:v>
      </x:c>
    </x:row>
    <x:row r="71" ht="18" customHeight="1">
      <x:c r="A71" s="25" t="str">
        <x:v>EEZ_380</x:v>
      </x:c>
      <x:c r="B71" s="25" t="str">
        <x:v>Italy (mainland)</x:v>
      </x:c>
      <x:c r="C71" s="25" t="str">
        <x:v>EEZ</x:v>
      </x:c>
      <x:c r="D71" s="31" t="n">
        <x:v>2019</x:v>
      </x:c>
      <x:c r="E71" s="32" t="n">
        <x:v>234477.5946714614</x:v>
      </x:c>
      <x:c r="F71" s="32" t="n">
        <x:v>234477.5946714614</x:v>
      </x:c>
      <x:c r="G71" s="33" t="n">
        <x:v>0</x:v>
      </x:c>
      <x:c r="H71" s="34" t="n">
        <x:v>1</x:v>
      </x:c>
      <x:c r="I71" s="35" t="n">
        <x:v>159</x:v>
      </x:c>
      <x:c r="J71" s="35" t="n">
        <x:v>159</x:v>
      </x:c>
      <x:c r="K71" s="32" t="n">
        <x:v>166295145.49936318</x:v>
      </x:c>
      <x:c r="L71" s="32" t="n">
        <x:v>139251647.64297917</x:v>
      </x:c>
      <x:c r="M71" s="32" t="n">
        <x:v>138802843.8086451</x:v>
      </x:c>
      <x:c r="N71" s="34" t="n">
        <x:f>K71/SUM($K$2:$K$283)</x:f>
        <x:v>0.002502855211896821</x:v>
      </x:c>
      <x:c r="O71" s="35" t="n">
        <x:f>RANK(K71,$K$2:$K$283,0)+COUNTIF($K$2:K71,K71)-1</x:f>
        <x:v>70</x:v>
      </x:c>
    </x:row>
    <x:row r="72" ht="18" customHeight="1">
      <x:c r="A72" s="25" t="str">
        <x:v>EEZ_706</x:v>
      </x:c>
      <x:c r="B72" s="25" t="str">
        <x:v>Somalia</x:v>
      </x:c>
      <x:c r="C72" s="25" t="str">
        <x:v>EEZ</x:v>
      </x:c>
      <x:c r="D72" s="31" t="n">
        <x:v>2019</x:v>
      </x:c>
      <x:c r="E72" s="32" t="n">
        <x:v>139703.8091832829</x:v>
      </x:c>
      <x:c r="F72" s="32" t="n">
        <x:v>139703.8091832829</x:v>
      </x:c>
      <x:c r="G72" s="33" t="n">
        <x:v>0</x:v>
      </x:c>
      <x:c r="H72" s="34" t="n">
        <x:v>1</x:v>
      </x:c>
      <x:c r="I72" s="35" t="n">
        <x:v>121</x:v>
      </x:c>
      <x:c r="J72" s="35" t="n">
        <x:v>121</x:v>
      </x:c>
      <x:c r="K72" s="32" t="n">
        <x:v>166015194.26696122</x:v>
      </x:c>
      <x:c r="L72" s="32" t="n">
        <x:v>128484904.46261014</x:v>
      </x:c>
      <x:c r="M72" s="32" t="n">
        <x:v>148400965.22101557</x:v>
      </x:c>
      <x:c r="N72" s="34" t="n">
        <x:f>K72/SUM($K$2:$K$283)</x:f>
        <x:v>0.002498641755160064</x:v>
      </x:c>
      <x:c r="O72" s="35" t="n">
        <x:f>RANK(K72,$K$2:$K$283,0)+COUNTIF($K$2:K72,K72)-1</x:f>
        <x:v>71</x:v>
      </x:c>
    </x:row>
    <x:row r="73" ht="18" customHeight="1">
      <x:c r="A73" s="25" t="str">
        <x:v>EEZ_794</x:v>
      </x:c>
      <x:c r="B73" s="25" t="str">
        <x:v>Turkey (Black Sea)</x:v>
      </x:c>
      <x:c r="C73" s="25" t="str">
        <x:v>EEZ</x:v>
      </x:c>
      <x:c r="D73" s="31" t="n">
        <x:v>2019</x:v>
      </x:c>
      <x:c r="E73" s="32" t="n">
        <x:v>557210.7803783925</x:v>
      </x:c>
      <x:c r="F73" s="32" t="n">
        <x:v>557210.7803783925</x:v>
      </x:c>
      <x:c r="G73" s="33" t="n">
        <x:v>0</x:v>
      </x:c>
      <x:c r="H73" s="34" t="n">
        <x:v>1</x:v>
      </x:c>
      <x:c r="I73" s="35" t="n">
        <x:v>49</x:v>
      </x:c>
      <x:c r="J73" s="35" t="n">
        <x:v>49</x:v>
      </x:c>
      <x:c r="K73" s="32" t="n">
        <x:v>164051844.8986375</x:v>
      </x:c>
      <x:c r="L73" s="32" t="n">
        <x:v>154964279.53989428</x:v>
      </x:c>
      <x:c r="M73" s="32" t="n">
        <x:v>147071763.1699224</x:v>
      </x:c>
      <x:c r="N73" s="34" t="n">
        <x:f>K73/SUM($K$2:$K$283)</x:f>
        <x:v>0.0024690920098290907</x:v>
      </x:c>
      <x:c r="O73" s="35" t="n">
        <x:f>RANK(K73,$K$2:$K$283,0)+COUNTIF($K$2:K73,K73)-1</x:f>
        <x:v>72</x:v>
      </x:c>
    </x:row>
    <x:row r="74" ht="18" customHeight="1">
      <x:c r="A74" s="25" t="str">
        <x:v>EEZ_962</x:v>
      </x:c>
      <x:c r="B74" s="25" t="str">
        <x:v>Spain (mainland, Med and Gulf of Cadiz)</x:v>
      </x:c>
      <x:c r="C74" s="25" t="str">
        <x:v>EEZ</x:v>
      </x:c>
      <x:c r="D74" s="31" t="n">
        <x:v>2019</x:v>
      </x:c>
      <x:c r="E74" s="32" t="n">
        <x:v>200667.8299873407</x:v>
      </x:c>
      <x:c r="F74" s="32" t="n">
        <x:v>200667.8299873407</x:v>
      </x:c>
      <x:c r="G74" s="33" t="n">
        <x:v>0</x:v>
      </x:c>
      <x:c r="H74" s="34" t="n">
        <x:v>1</x:v>
      </x:c>
      <x:c r="I74" s="35" t="n">
        <x:v>375</x:v>
      </x:c>
      <x:c r="J74" s="35" t="n">
        <x:v>375</x:v>
      </x:c>
      <x:c r="K74" s="32" t="n">
        <x:v>161337945.08672658</x:v>
      </x:c>
      <x:c r="L74" s="32" t="n">
        <x:v>126841222.70377925</x:v>
      </x:c>
      <x:c r="M74" s="32" t="n">
        <x:v>139703638.27953878</x:v>
      </x:c>
      <x:c r="N74" s="34" t="n">
        <x:f>K74/SUM($K$2:$K$283)</x:f>
        <x:v>0.002428245969083824</x:v>
      </x:c>
      <x:c r="O74" s="35" t="n">
        <x:f>RANK(K74,$K$2:$K$283,0)+COUNTIF($K$2:K74,K74)-1</x:f>
        <x:v>73</x:v>
      </x:c>
    </x:row>
    <x:row r="75" ht="18" customHeight="1">
      <x:c r="A75" s="25" t="str">
        <x:v>EEZ_036</x:v>
      </x:c>
      <x:c r="B75" s="25" t="str">
        <x:v>Australia</x:v>
      </x:c>
      <x:c r="C75" s="25" t="str">
        <x:v>EEZ</x:v>
      </x:c>
      <x:c r="D75" s="31" t="n">
        <x:v>2019</x:v>
      </x:c>
      <x:c r="E75" s="32" t="n">
        <x:v>228804.7535442354</x:v>
      </x:c>
      <x:c r="F75" s="32" t="n">
        <x:v>228804.7535442354</x:v>
      </x:c>
      <x:c r="G75" s="33" t="n">
        <x:v>0</x:v>
      </x:c>
      <x:c r="H75" s="34" t="n">
        <x:v>1</x:v>
      </x:c>
      <x:c r="I75" s="35" t="n">
        <x:v>529</x:v>
      </x:c>
      <x:c r="J75" s="35" t="n">
        <x:v>529</x:v>
      </x:c>
      <x:c r="K75" s="32" t="n">
        <x:v>159135782.88848543</x:v>
      </x:c>
      <x:c r="L75" s="32" t="n">
        <x:v>107374397.92635019</x:v>
      </x:c>
      <x:c r="M75" s="32" t="n">
        <x:v>113696362.2670475</x:v>
      </x:c>
      <x:c r="N75" s="34" t="n">
        <x:f>K75/SUM($K$2:$K$283)</x:f>
        <x:v>0.002395101927994957</x:v>
      </x:c>
      <x:c r="O75" s="35" t="n">
        <x:f>RANK(K75,$K$2:$K$283,0)+COUNTIF($K$2:K75,K75)-1</x:f>
        <x:v>74</x:v>
      </x:c>
    </x:row>
    <x:row r="76" ht="18" customHeight="1">
      <x:c r="A76" s="25" t="str">
        <x:v>EEZ_116</x:v>
      </x:c>
      <x:c r="B76" s="25" t="str">
        <x:v>Cambodia</x:v>
      </x:c>
      <x:c r="C76" s="25" t="str">
        <x:v>EEZ</x:v>
      </x:c>
      <x:c r="D76" s="31" t="n">
        <x:v>2019</x:v>
      </x:c>
      <x:c r="E76" s="32" t="n">
        <x:v>211746.984487642</x:v>
      </x:c>
      <x:c r="F76" s="32" t="n">
        <x:v>211746.984487642</x:v>
      </x:c>
      <x:c r="G76" s="33" t="n">
        <x:v>0</x:v>
      </x:c>
      <x:c r="H76" s="34" t="n">
        <x:v>1</x:v>
      </x:c>
      <x:c r="I76" s="35" t="n">
        <x:v>110</x:v>
      </x:c>
      <x:c r="J76" s="35" t="n">
        <x:v>110</x:v>
      </x:c>
      <x:c r="K76" s="32" t="n">
        <x:v>157736807.02534643</x:v>
      </x:c>
      <x:c r="L76" s="32" t="n">
        <x:v>95406747.0645604</x:v>
      </x:c>
      <x:c r="M76" s="32" t="n">
        <x:v>134067533.23490132</x:v>
      </x:c>
      <x:c r="N76" s="34" t="n">
        <x:f>K76/SUM($K$2:$K$283)</x:f>
        <x:v>0.0023740463883406815</x:v>
      </x:c>
      <x:c r="O76" s="35" t="n">
        <x:f>RANK(K76,$K$2:$K$283,0)+COUNTIF($K$2:K76,K76)-1</x:f>
        <x:v>75</x:v>
      </x:c>
    </x:row>
    <x:row r="77" ht="18" customHeight="1">
      <x:c r="A77" s="25" t="str">
        <x:v>EEZ_218</x:v>
      </x:c>
      <x:c r="B77" s="25" t="str">
        <x:v>Ecuador (mainland)</x:v>
      </x:c>
      <x:c r="C77" s="25" t="str">
        <x:v>EEZ</x:v>
      </x:c>
      <x:c r="D77" s="31" t="n">
        <x:v>2019</x:v>
      </x:c>
      <x:c r="E77" s="32" t="n">
        <x:v>227592.59662859532</x:v>
      </x:c>
      <x:c r="F77" s="32" t="n">
        <x:v>227592.59662859532</x:v>
      </x:c>
      <x:c r="G77" s="33" t="n">
        <x:v>0</x:v>
      </x:c>
      <x:c r="H77" s="34" t="n">
        <x:v>1</x:v>
      </x:c>
      <x:c r="I77" s="35" t="n">
        <x:v>82</x:v>
      </x:c>
      <x:c r="J77" s="35" t="n">
        <x:v>82</x:v>
      </x:c>
      <x:c r="K77" s="32" t="n">
        <x:v>156635027.49107185</x:v>
      </x:c>
      <x:c r="L77" s="32" t="n">
        <x:v>115235123.32919997</x:v>
      </x:c>
      <x:c r="M77" s="32" t="n">
        <x:v>134427165.56673172</x:v>
      </x:c>
      <x:c r="N77" s="34" t="n">
        <x:f>K77/SUM($K$2:$K$283)</x:f>
        <x:v>0.0023574638558714407</x:v>
      </x:c>
      <x:c r="O77" s="35" t="n">
        <x:f>RANK(K77,$K$2:$K$283,0)+COUNTIF($K$2:K77,K77)-1</x:f>
        <x:v>76</x:v>
      </x:c>
    </x:row>
    <x:row r="78" ht="18" customHeight="1">
      <x:c r="A78" s="25" t="str">
        <x:v>EEZ_508</x:v>
      </x:c>
      <x:c r="B78" s="25" t="str">
        <x:v>Mozambique</x:v>
      </x:c>
      <x:c r="C78" s="25" t="str">
        <x:v>EEZ</x:v>
      </x:c>
      <x:c r="D78" s="31" t="n">
        <x:v>2019</x:v>
      </x:c>
      <x:c r="E78" s="32" t="n">
        <x:v>296238.55412247276</x:v>
      </x:c>
      <x:c r="F78" s="32" t="n">
        <x:v>296238.55412247276</x:v>
      </x:c>
      <x:c r="G78" s="33" t="n">
        <x:v>0</x:v>
      </x:c>
      <x:c r="H78" s="34" t="n">
        <x:v>1</x:v>
      </x:c>
      <x:c r="I78" s="35" t="n">
        <x:v>90</x:v>
      </x:c>
      <x:c r="J78" s="35" t="n">
        <x:v>90</x:v>
      </x:c>
      <x:c r="K78" s="32" t="n">
        <x:v>155171497.13322508</x:v>
      </x:c>
      <x:c r="L78" s="32" t="n">
        <x:v>102164310.31060095</x:v>
      </x:c>
      <x:c r="M78" s="32" t="n">
        <x:v>140954696.79113078</x:v>
      </x:c>
      <x:c r="N78" s="34" t="n">
        <x:f>K78/SUM($K$2:$K$283)</x:f>
        <x:v>0.0023354367271004443</x:v>
      </x:c>
      <x:c r="O78" s="35" t="n">
        <x:f>RANK(K78,$K$2:$K$283,0)+COUNTIF($K$2:K78,K78)-1</x:f>
        <x:v>77</x:v>
      </x:c>
    </x:row>
    <x:row r="79" ht="18" customHeight="1">
      <x:c r="A79" s="25" t="str">
        <x:v>EEZ_012</x:v>
      </x:c>
      <x:c r="B79" s="25" t="str">
        <x:v>Algeria</x:v>
      </x:c>
      <x:c r="C79" s="25" t="str">
        <x:v>EEZ</x:v>
      </x:c>
      <x:c r="D79" s="31" t="n">
        <x:v>2019</x:v>
      </x:c>
      <x:c r="E79" s="32" t="n">
        <x:v>236644.15639922052</x:v>
      </x:c>
      <x:c r="F79" s="32" t="n">
        <x:v>236644.15639922052</x:v>
      </x:c>
      <x:c r="G79" s="33" t="n">
        <x:v>0</x:v>
      </x:c>
      <x:c r="H79" s="34" t="n">
        <x:v>1</x:v>
      </x:c>
      <x:c r="I79" s="35" t="n">
        <x:v>187</x:v>
      </x:c>
      <x:c r="J79" s="35" t="n">
        <x:v>187</x:v>
      </x:c>
      <x:c r="K79" s="32" t="n">
        <x:v>153457037.5384049</x:v>
      </x:c>
      <x:c r="L79" s="32" t="n">
        <x:v>138879989.24559036</x:v>
      </x:c>
      <x:c r="M79" s="32" t="n">
        <x:v>135346368.60032412</x:v>
      </x:c>
      <x:c r="N79" s="34" t="n">
        <x:f>K79/SUM($K$2:$K$283)</x:f>
        <x:v>0.002309632942392258</x:v>
      </x:c>
      <x:c r="O79" s="35" t="n">
        <x:f>RANK(K79,$K$2:$K$283,0)+COUNTIF($K$2:K79,K79)-1</x:f>
        <x:v>78</x:v>
      </x:c>
    </x:row>
    <x:row r="80" ht="18" customHeight="1">
      <x:c r="A80" s="25" t="str">
        <x:v>EEZ_463</x:v>
      </x:c>
      <x:c r="B80" s="25" t="str">
        <x:v>Malaysia (Sarawak)</x:v>
      </x:c>
      <x:c r="C80" s="25" t="str">
        <x:v>EEZ</x:v>
      </x:c>
      <x:c r="D80" s="31" t="n">
        <x:v>2019</x:v>
      </x:c>
      <x:c r="E80" s="32" t="n">
        <x:v>172418.003123827</x:v>
      </x:c>
      <x:c r="F80" s="32" t="n">
        <x:v>172418.003123827</x:v>
      </x:c>
      <x:c r="G80" s="33" t="n">
        <x:v>0</x:v>
      </x:c>
      <x:c r="H80" s="34" t="n">
        <x:v>1</x:v>
      </x:c>
      <x:c r="I80" s="35" t="n">
        <x:v>142</x:v>
      </x:c>
      <x:c r="J80" s="35" t="n">
        <x:v>142</x:v>
      </x:c>
      <x:c r="K80" s="32" t="n">
        <x:v>142871346.13405973</x:v>
      </x:c>
      <x:c r="L80" s="32" t="n">
        <x:v>97811219.7385735</x:v>
      </x:c>
      <x:c r="M80" s="32" t="n">
        <x:v>116816988.36898412</x:v>
      </x:c>
      <x:c r="N80" s="34" t="n">
        <x:f>K80/SUM($K$2:$K$283)</x:f>
        <x:v>0.002150311076300874</x:v>
      </x:c>
      <x:c r="O80" s="35" t="n">
        <x:f>RANK(K80,$K$2:$K$283,0)+COUNTIF($K$2:K80,K80)-1</x:f>
        <x:v>79</x:v>
      </x:c>
    </x:row>
    <x:row r="81" ht="18" customHeight="1">
      <x:c r="A81" s="25" t="str">
        <x:v>EEZ_184</x:v>
      </x:c>
      <x:c r="B81" s="25" t="str">
        <x:v>Cook Islands</x:v>
      </x:c>
      <x:c r="C81" s="25" t="str">
        <x:v>EEZ</x:v>
      </x:c>
      <x:c r="D81" s="31" t="n">
        <x:v>2019</x:v>
      </x:c>
      <x:c r="E81" s="32" t="n">
        <x:v>57850.209005275494</x:v>
      </x:c>
      <x:c r="F81" s="32" t="n">
        <x:v>57850.209005275494</x:v>
      </x:c>
      <x:c r="G81" s="33" t="n">
        <x:v>0</x:v>
      </x:c>
      <x:c r="H81" s="34" t="n">
        <x:v>1</x:v>
      </x:c>
      <x:c r="I81" s="35" t="n">
        <x:v>38</x:v>
      </x:c>
      <x:c r="J81" s="35" t="n">
        <x:v>38</x:v>
      </x:c>
      <x:c r="K81" s="32" t="n">
        <x:v>137382390.5661584</x:v>
      </x:c>
      <x:c r="L81" s="32" t="n">
        <x:v>135375928.81434494</x:v>
      </x:c>
      <x:c r="M81" s="32" t="n">
        <x:v>135482637.65419087</x:v>
      </x:c>
      <x:c r="N81" s="34" t="n">
        <x:f>K81/SUM($K$2:$K$283)</x:f>
        <x:v>0.002067698556195502</x:v>
      </x:c>
      <x:c r="O81" s="35" t="n">
        <x:f>RANK(K81,$K$2:$K$283,0)+COUNTIF($K$2:K81,K81)-1</x:f>
        <x:v>80</x:v>
      </x:c>
    </x:row>
    <x:row r="82" ht="18" customHeight="1">
      <x:c r="A82" s="25" t="str">
        <x:v>EEZ_384</x:v>
      </x:c>
      <x:c r="B82" s="25" t="str">
        <x:v>Côte d'Ivoire</x:v>
      </x:c>
      <x:c r="C82" s="25" t="str">
        <x:v>EEZ</x:v>
      </x:c>
      <x:c r="D82" s="31" t="n">
        <x:v>2019</x:v>
      </x:c>
      <x:c r="E82" s="32" t="n">
        <x:v>239562.63863203014</x:v>
      </x:c>
      <x:c r="F82" s="32" t="n">
        <x:v>239562.63863203014</x:v>
      </x:c>
      <x:c r="G82" s="33" t="n">
        <x:v>0</x:v>
      </x:c>
      <x:c r="H82" s="34" t="n">
        <x:v>1</x:v>
      </x:c>
      <x:c r="I82" s="35" t="n">
        <x:v>194</x:v>
      </x:c>
      <x:c r="J82" s="35" t="n">
        <x:v>194</x:v>
      </x:c>
      <x:c r="K82" s="32" t="n">
        <x:v>133414622.3409288</x:v>
      </x:c>
      <x:c r="L82" s="32" t="n">
        <x:v>119396344.3349186</x:v>
      </x:c>
      <x:c r="M82" s="32" t="n">
        <x:v>118271335.48023751</x:v>
      </x:c>
      <x:c r="N82" s="34" t="n">
        <x:f>K82/SUM($K$2:$K$283)</x:f>
        <x:v>0.0020079809417558638</x:v>
      </x:c>
      <x:c r="O82" s="35" t="n">
        <x:f>RANK(K82,$K$2:$K$283,0)+COUNTIF($K$2:K82,K82)-1</x:f>
        <x:v>81</x:v>
      </x:c>
    </x:row>
    <x:row r="83" ht="18" customHeight="1">
      <x:c r="A83" s="25" t="str">
        <x:v>EEZ_584</x:v>
      </x:c>
      <x:c r="B83" s="25" t="str">
        <x:v>Marshall Isl.</x:v>
      </x:c>
      <x:c r="C83" s="25" t="str">
        <x:v>EEZ</x:v>
      </x:c>
      <x:c r="D83" s="31" t="n">
        <x:v>2019</x:v>
      </x:c>
      <x:c r="E83" s="32" t="n">
        <x:v>56340.9448327468</x:v>
      </x:c>
      <x:c r="F83" s="32" t="n">
        <x:v>56340.9448327468</x:v>
      </x:c>
      <x:c r="G83" s="33" t="n">
        <x:v>0</x:v>
      </x:c>
      <x:c r="H83" s="34" t="n">
        <x:v>1</x:v>
      </x:c>
      <x:c r="I83" s="35" t="n">
        <x:v>69</x:v>
      </x:c>
      <x:c r="J83" s="35" t="n">
        <x:v>69</x:v>
      </x:c>
      <x:c r="K83" s="32" t="n">
        <x:v>133348178.67679022</x:v>
      </x:c>
      <x:c r="L83" s="32" t="n">
        <x:v>129917071.8692781</x:v>
      </x:c>
      <x:c r="M83" s="32" t="n">
        <x:v>131136867.28438196</x:v>
      </x:c>
      <x:c r="N83" s="34" t="n">
        <x:f>K83/SUM($K$2:$K$283)</x:f>
        <x:v>0.002006980919352399</x:v>
      </x:c>
      <x:c r="O83" s="35" t="n">
        <x:f>RANK(K83,$K$2:$K$283,0)+COUNTIF($K$2:K83,K83)-1</x:f>
        <x:v>82</x:v>
      </x:c>
    </x:row>
    <x:row r="84" ht="18" customHeight="1">
      <x:c r="A84" s="25" t="str">
        <x:v>EEZ_144</x:v>
      </x:c>
      <x:c r="B84" s="25" t="str">
        <x:v>Sri Lanka</x:v>
      </x:c>
      <x:c r="C84" s="25" t="str">
        <x:v>EEZ</x:v>
      </x:c>
      <x:c r="D84" s="31" t="n">
        <x:v>2019</x:v>
      </x:c>
      <x:c r="E84" s="32" t="n">
        <x:v>312721.78206485976</x:v>
      </x:c>
      <x:c r="F84" s="32" t="n">
        <x:v>312721.78206485976</x:v>
      </x:c>
      <x:c r="G84" s="33" t="n">
        <x:v>0</x:v>
      </x:c>
      <x:c r="H84" s="34" t="n">
        <x:v>1</x:v>
      </x:c>
      <x:c r="I84" s="35" t="n">
        <x:v>79</x:v>
      </x:c>
      <x:c r="J84" s="35" t="n">
        <x:v>79</x:v>
      </x:c>
      <x:c r="K84" s="32" t="n">
        <x:v>124000252.48143452</x:v>
      </x:c>
      <x:c r="L84" s="32" t="n">
        <x:v>93655505.52803203</x:v>
      </x:c>
      <x:c r="M84" s="32" t="n">
        <x:v>108693151.46193188</x:v>
      </x:c>
      <x:c r="N84" s="34" t="n">
        <x:f>K84/SUM($K$2:$K$283)</x:f>
        <x:v>0.0018662882627615161</x:v>
      </x:c>
      <x:c r="O84" s="35" t="n">
        <x:f>RANK(K84,$K$2:$K$283,0)+COUNTIF($K$2:K84,K84)-1</x:f>
        <x:v>83</x:v>
      </x:c>
    </x:row>
    <x:row r="85" ht="18" customHeight="1">
      <x:c r="A85" s="25" t="str">
        <x:v>EEZ_462</x:v>
      </x:c>
      <x:c r="B85" s="25" t="str">
        <x:v>Maldives</x:v>
      </x:c>
      <x:c r="C85" s="25" t="str">
        <x:v>EEZ</x:v>
      </x:c>
      <x:c r="D85" s="31" t="n">
        <x:v>2019</x:v>
      </x:c>
      <x:c r="E85" s="32" t="n">
        <x:v>51028.4249362374</x:v>
      </x:c>
      <x:c r="F85" s="32" t="n">
        <x:v>51028.4249362374</x:v>
      </x:c>
      <x:c r="G85" s="33" t="n">
        <x:v>0</x:v>
      </x:c>
      <x:c r="H85" s="34" t="n">
        <x:v>1</x:v>
      </x:c>
      <x:c r="I85" s="35" t="n">
        <x:v>72</x:v>
      </x:c>
      <x:c r="J85" s="35" t="n">
        <x:v>72</x:v>
      </x:c>
      <x:c r="K85" s="32" t="n">
        <x:v>122606801.38745148</x:v>
      </x:c>
      <x:c r="L85" s="32" t="n">
        <x:v>119365084.13676476</x:v>
      </x:c>
      <x:c r="M85" s="32" t="n">
        <x:v>120239573.18308131</x:v>
      </x:c>
      <x:c r="N85" s="34" t="n">
        <x:f>K85/SUM($K$2:$K$283)</x:f>
        <x:v>0.001845315874646241</x:v>
      </x:c>
      <x:c r="O85" s="35" t="n">
        <x:f>RANK(K85,$K$2:$K$283,0)+COUNTIF($K$2:K85,K85)-1</x:f>
        <x:v>84</x:v>
      </x:c>
    </x:row>
    <x:row r="86" ht="18" customHeight="1">
      <x:c r="A86" s="25" t="str">
        <x:v>EEZ_620</x:v>
      </x:c>
      <x:c r="B86" s="25" t="str">
        <x:v>Portugal (mainland)</x:v>
      </x:c>
      <x:c r="C86" s="25" t="str">
        <x:v>EEZ</x:v>
      </x:c>
      <x:c r="D86" s="31" t="n">
        <x:v>2019</x:v>
      </x:c>
      <x:c r="E86" s="32" t="n">
        <x:v>208342.58846173977</x:v>
      </x:c>
      <x:c r="F86" s="32" t="n">
        <x:v>208342.58846173977</x:v>
      </x:c>
      <x:c r="G86" s="33" t="n">
        <x:v>0</x:v>
      </x:c>
      <x:c r="H86" s="34" t="n">
        <x:v>1</x:v>
      </x:c>
      <x:c r="I86" s="35" t="n">
        <x:v>254</x:v>
      </x:c>
      <x:c r="J86" s="35" t="n">
        <x:v>254</x:v>
      </x:c>
      <x:c r="K86" s="32" t="n">
        <x:v>114209964.99740621</x:v>
      </x:c>
      <x:c r="L86" s="32" t="n">
        <x:v>91002480.39629517</x:v>
      </x:c>
      <x:c r="M86" s="32" t="n">
        <x:v>100522142.76751196</x:v>
      </x:c>
      <x:c r="N86" s="34" t="n">
        <x:f>K86/SUM($K$2:$K$283)</x:f>
        <x:v>0.001718937767461205</x:v>
      </x:c>
      <x:c r="O86" s="35" t="n">
        <x:f>RANK(K86,$K$2:$K$283,0)+COUNTIF($K$2:K86,K86)-1</x:f>
        <x:v>85</x:v>
      </x:c>
    </x:row>
    <x:row r="87" ht="18" customHeight="1">
      <x:c r="A87" s="25" t="str">
        <x:v>EEZ_266</x:v>
      </x:c>
      <x:c r="B87" s="25" t="str">
        <x:v>Gabon</x:v>
      </x:c>
      <x:c r="C87" s="25" t="str">
        <x:v>EEZ</x:v>
      </x:c>
      <x:c r="D87" s="31" t="n">
        <x:v>2019</x:v>
      </x:c>
      <x:c r="E87" s="32" t="n">
        <x:v>158907.53279788652</x:v>
      </x:c>
      <x:c r="F87" s="32" t="n">
        <x:v>158907.53279788652</x:v>
      </x:c>
      <x:c r="G87" s="33" t="n">
        <x:v>0</x:v>
      </x:c>
      <x:c r="H87" s="34" t="n">
        <x:v>1</x:v>
      </x:c>
      <x:c r="I87" s="35" t="n">
        <x:v>184</x:v>
      </x:c>
      <x:c r="J87" s="35" t="n">
        <x:v>184</x:v>
      </x:c>
      <x:c r="K87" s="32" t="n">
        <x:v>113127683.75920805</x:v>
      </x:c>
      <x:c r="L87" s="32" t="n">
        <x:v>103957804.80366671</x:v>
      </x:c>
      <x:c r="M87" s="32" t="n">
        <x:v>100969694.24424481</x:v>
      </x:c>
      <x:c r="N87" s="34" t="n">
        <x:f>K87/SUM($K$2:$K$283)</x:f>
        <x:v>0.001702648697629201</x:v>
      </x:c>
      <x:c r="O87" s="35" t="n">
        <x:f>RANK(K87,$K$2:$K$283,0)+COUNTIF($K$2:K87,K87)-1</x:f>
        <x:v>86</x:v>
      </x:c>
    </x:row>
    <x:row r="88" ht="18" customHeight="1">
      <x:c r="A88" s="25" t="str">
        <x:v>EEZ_834</x:v>
      </x:c>
      <x:c r="B88" s="25" t="str">
        <x:v>Tanzania</x:v>
      </x:c>
      <x:c r="C88" s="25" t="str">
        <x:v>EEZ</x:v>
      </x:c>
      <x:c r="D88" s="31" t="n">
        <x:v>2019</x:v>
      </x:c>
      <x:c r="E88" s="32" t="n">
        <x:v>129515.23121131358</x:v>
      </x:c>
      <x:c r="F88" s="32" t="n">
        <x:v>129515.23121131358</x:v>
      </x:c>
      <x:c r="G88" s="33" t="n">
        <x:v>0</x:v>
      </x:c>
      <x:c r="H88" s="34" t="n">
        <x:v>1</x:v>
      </x:c>
      <x:c r="I88" s="35" t="n">
        <x:v>112</x:v>
      </x:c>
      <x:c r="J88" s="35" t="n">
        <x:v>112</x:v>
      </x:c>
      <x:c r="K88" s="32" t="n">
        <x:v>108837946.14807098</x:v>
      </x:c>
      <x:c r="L88" s="32" t="n">
        <x:v>78818215.59635648</x:v>
      </x:c>
      <x:c r="M88" s="32" t="n">
        <x:v>90208962.19375764</x:v>
      </x:c>
      <x:c r="N88" s="34" t="n">
        <x:f>K88/SUM($K$2:$K$283)</x:f>
        <x:v>0.0016380852246218342</x:v>
      </x:c>
      <x:c r="O88" s="35" t="n">
        <x:f>RANK(K88,$K$2:$K$283,0)+COUNTIF($K$2:K88,K88)-1</x:f>
        <x:v>87</x:v>
      </x:c>
    </x:row>
    <x:row r="89" ht="18" customHeight="1">
      <x:c r="A89" s="25" t="str">
        <x:v>EEZ_723</x:v>
      </x:c>
      <x:c r="B89" s="25" t="str">
        <x:v>Canary Isl. (Spain)</x:v>
      </x:c>
      <x:c r="C89" s="25" t="str">
        <x:v>EEZ</x:v>
      </x:c>
      <x:c r="D89" s="31" t="n">
        <x:v>2019</x:v>
      </x:c>
      <x:c r="E89" s="32" t="n">
        <x:v>92826.4650597252</x:v>
      </x:c>
      <x:c r="F89" s="32" t="n">
        <x:v>92826.4650597252</x:v>
      </x:c>
      <x:c r="G89" s="33" t="n">
        <x:v>0</x:v>
      </x:c>
      <x:c r="H89" s="34" t="n">
        <x:v>1</x:v>
      </x:c>
      <x:c r="I89" s="35" t="n">
        <x:v>174</x:v>
      </x:c>
      <x:c r="J89" s="35" t="n">
        <x:v>174</x:v>
      </x:c>
      <x:c r="K89" s="32" t="n">
        <x:v>101920689.58241549</x:v>
      </x:c>
      <x:c r="L89" s="32" t="n">
        <x:v>82436966.40149522</x:v>
      </x:c>
      <x:c r="M89" s="32" t="n">
        <x:v>92632535.1043963</x:v>
      </x:c>
      <x:c r="N89" s="34" t="n">
        <x:f>K89/SUM($K$2:$K$283)</x:f>
        <x:v>0.0015339758016113794</x:v>
      </x:c>
      <x:c r="O89" s="35" t="n">
        <x:f>RANK(K89,$K$2:$K$283,0)+COUNTIF($K$2:K89,K89)-1</x:f>
        <x:v>88</x:v>
      </x:c>
    </x:row>
    <x:row r="90" ht="18" customHeight="1">
      <x:c r="A90" s="25" t="str">
        <x:v>EEZ_120</x:v>
      </x:c>
      <x:c r="B90" s="25" t="str">
        <x:v>Cameroon</x:v>
      </x:c>
      <x:c r="C90" s="25" t="str">
        <x:v>EEZ</x:v>
      </x:c>
      <x:c r="D90" s="31" t="n">
        <x:v>2019</x:v>
      </x:c>
      <x:c r="E90" s="32" t="n">
        <x:v>280509.9182943578</x:v>
      </x:c>
      <x:c r="F90" s="32" t="n">
        <x:v>280509.9182943578</x:v>
      </x:c>
      <x:c r="G90" s="33" t="n">
        <x:v>0</x:v>
      </x:c>
      <x:c r="H90" s="34" t="n">
        <x:v>1</x:v>
      </x:c>
      <x:c r="I90" s="35" t="n">
        <x:v>63</x:v>
      </x:c>
      <x:c r="J90" s="35" t="n">
        <x:v>63</x:v>
      </x:c>
      <x:c r="K90" s="32" t="n">
        <x:v>101123441.33925112</x:v>
      </x:c>
      <x:c r="L90" s="32" t="n">
        <x:v>79121776.76546197</x:v>
      </x:c>
      <x:c r="M90" s="32" t="n">
        <x:v>86478242.55571876</x:v>
      </x:c>
      <x:c r="N90" s="34" t="n">
        <x:f>K90/SUM($K$2:$K$283)</x:f>
        <x:v>0.001521976672505189</x:v>
      </x:c>
      <x:c r="O90" s="35" t="n">
        <x:f>RANK(K90,$K$2:$K$283,0)+COUNTIF($K$2:K90,K90)-1</x:f>
        <x:v>89</x:v>
      </x:c>
    </x:row>
    <x:row r="91" ht="18" customHeight="1">
      <x:c r="A91" s="25" t="str">
        <x:v>EEZ_430</x:v>
      </x:c>
      <x:c r="B91" s="25" t="str">
        <x:v>Liberia</x:v>
      </x:c>
      <x:c r="C91" s="25" t="str">
        <x:v>EEZ</x:v>
      </x:c>
      <x:c r="D91" s="31" t="n">
        <x:v>2019</x:v>
      </x:c>
      <x:c r="E91" s="32" t="n">
        <x:v>179043.09265420676</x:v>
      </x:c>
      <x:c r="F91" s="32" t="n">
        <x:v>179043.09265420676</x:v>
      </x:c>
      <x:c r="G91" s="33" t="n">
        <x:v>0</x:v>
      </x:c>
      <x:c r="H91" s="34" t="n">
        <x:v>1</x:v>
      </x:c>
      <x:c r="I91" s="35" t="n">
        <x:v>239</x:v>
      </x:c>
      <x:c r="J91" s="35" t="n">
        <x:v>239</x:v>
      </x:c>
      <x:c r="K91" s="32" t="n">
        <x:v>96290641.00214319</x:v>
      </x:c>
      <x:c r="L91" s="32" t="n">
        <x:v>80575332.56567119</x:v>
      </x:c>
      <x:c r="M91" s="32" t="n">
        <x:v>89268475.32954851</x:v>
      </x:c>
      <x:c r="N91" s="34" t="n">
        <x:f>K91/SUM($K$2:$K$283)</x:f>
        <x:v>0.001449239735564155</x:v>
      </x:c>
      <x:c r="O91" s="35" t="n">
        <x:f>RANK(K91,$K$2:$K$283,0)+COUNTIF($K$2:K91,K91)-1</x:f>
        <x:v>90</x:v>
      </x:c>
    </x:row>
    <x:row r="92" ht="18" customHeight="1">
      <x:c r="A92" s="25" t="str">
        <x:v>EEZ_966</x:v>
      </x:c>
      <x:c r="B92" s="25" t="str">
        <x:v>Turkey (Marmara Sea)</x:v>
      </x:c>
      <x:c r="C92" s="25" t="str">
        <x:v>EEZ</x:v>
      </x:c>
      <x:c r="D92" s="31" t="n">
        <x:v>2019</x:v>
      </x:c>
      <x:c r="E92" s="32" t="n">
        <x:v>135279.24224138368</x:v>
      </x:c>
      <x:c r="F92" s="32" t="n">
        <x:v>135279.24224138368</x:v>
      </x:c>
      <x:c r="G92" s="33" t="n">
        <x:v>0</x:v>
      </x:c>
      <x:c r="H92" s="34" t="n">
        <x:v>1</x:v>
      </x:c>
      <x:c r="I92" s="35" t="n">
        <x:v>89</x:v>
      </x:c>
      <x:c r="J92" s="35" t="n">
        <x:v>89</x:v>
      </x:c>
      <x:c r="K92" s="32" t="n">
        <x:v>93378447.55892137</x:v>
      </x:c>
      <x:c r="L92" s="32" t="n">
        <x:v>63553118.69855156</x:v>
      </x:c>
      <x:c r="M92" s="32" t="n">
        <x:v>80264120.35753952</x:v>
      </x:c>
      <x:c r="N92" s="34" t="n">
        <x:f>K92/SUM($K$2:$K$283)</x:f>
        <x:v>0.001405409240599722</x:v>
      </x:c>
      <x:c r="O92" s="35" t="n">
        <x:f>RANK(K92,$K$2:$K$283,0)+COUNTIF($K$2:K92,K92)-1</x:f>
        <x:v>91</x:v>
      </x:c>
    </x:row>
    <x:row r="93" ht="18" customHeight="1">
      <x:c r="A93" s="25" t="str">
        <x:v>EEZ_974</x:v>
      </x:c>
      <x:c r="B93" s="25" t="str">
        <x:v>Korea (North, Sea of Japan)</x:v>
      </x:c>
      <x:c r="C93" s="25" t="str">
        <x:v>EEZ</x:v>
      </x:c>
      <x:c r="D93" s="31" t="n">
        <x:v>2019</x:v>
      </x:c>
      <x:c r="E93" s="32" t="n">
        <x:v>177084.68732310578</x:v>
      </x:c>
      <x:c r="F93" s="32" t="n">
        <x:v>177084.68732310578</x:v>
      </x:c>
      <x:c r="G93" s="33" t="n">
        <x:v>0</x:v>
      </x:c>
      <x:c r="H93" s="34" t="n">
        <x:v>1</x:v>
      </x:c>
      <x:c r="I93" s="35" t="n">
        <x:v>53</x:v>
      </x:c>
      <x:c r="J93" s="35" t="n">
        <x:v>53</x:v>
      </x:c>
      <x:c r="K93" s="32" t="n">
        <x:v>88730291.34530385</x:v>
      </x:c>
      <x:c r="L93" s="32" t="n">
        <x:v>63446825.60801261</x:v>
      </x:c>
      <x:c r="M93" s="32" t="n">
        <x:v>83510305.69856766</x:v>
      </x:c>
      <x:c r="N93" s="34" t="n">
        <x:f>K93/SUM($K$2:$K$283)</x:f>
        <x:v>0.0013354513234877774</x:v>
      </x:c>
      <x:c r="O93" s="35" t="n">
        <x:f>RANK(K93,$K$2:$K$283,0)+COUNTIF($K$2:K93,K93)-1</x:f>
        <x:v>92</x:v>
      </x:c>
    </x:row>
    <x:row r="94" ht="18" customHeight="1">
      <x:c r="A94" s="25" t="str">
        <x:v>EEZ_450</x:v>
      </x:c>
      <x:c r="B94" s="25" t="str">
        <x:v>Madagascar</x:v>
      </x:c>
      <x:c r="C94" s="25" t="str">
        <x:v>EEZ</x:v>
      </x:c>
      <x:c r="D94" s="31" t="n">
        <x:v>2019</x:v>
      </x:c>
      <x:c r="E94" s="32" t="n">
        <x:v>159996.68620932242</x:v>
      </x:c>
      <x:c r="F94" s="32" t="n">
        <x:v>159996.68620932242</x:v>
      </x:c>
      <x:c r="G94" s="33" t="n">
        <x:v>0</x:v>
      </x:c>
      <x:c r="H94" s="34" t="n">
        <x:v>1</x:v>
      </x:c>
      <x:c r="I94" s="35" t="n">
        <x:v>96</x:v>
      </x:c>
      <x:c r="J94" s="35" t="n">
        <x:v>96</x:v>
      </x:c>
      <x:c r="K94" s="32" t="n">
        <x:v>87751516.13578317</x:v>
      </x:c>
      <x:c r="L94" s="32" t="n">
        <x:v>56239923.29380205</x:v>
      </x:c>
      <x:c r="M94" s="32" t="n">
        <x:v>73763184.84527262</x:v>
      </x:c>
      <x:c r="N94" s="34" t="n">
        <x:f>K94/SUM($K$2:$K$283)</x:f>
        <x:v>0.001320720089890621</x:v>
      </x:c>
      <x:c r="O94" s="35" t="n">
        <x:f>RANK(K94,$K$2:$K$283,0)+COUNTIF($K$2:K94,K94)-1</x:f>
        <x:v>93</x:v>
      </x:c>
    </x:row>
    <x:row r="95" ht="18" customHeight="1">
      <x:c r="A95" s="25" t="str">
        <x:v>EEZ_928</x:v>
      </x:c>
      <x:c r="B95" s="25" t="str">
        <x:v>Colombia (Pacific)</x:v>
      </x:c>
      <x:c r="C95" s="25" t="str">
        <x:v>EEZ</x:v>
      </x:c>
      <x:c r="D95" s="31" t="n">
        <x:v>2019</x:v>
      </x:c>
      <x:c r="E95" s="32" t="n">
        <x:v>54847.9752029435</x:v>
      </x:c>
      <x:c r="F95" s="32" t="n">
        <x:v>54847.9752029435</x:v>
      </x:c>
      <x:c r="G95" s="33" t="n">
        <x:v>0</x:v>
      </x:c>
      <x:c r="H95" s="34" t="n">
        <x:v>1</x:v>
      </x:c>
      <x:c r="I95" s="35" t="n">
        <x:v>87</x:v>
      </x:c>
      <x:c r="J95" s="35" t="n">
        <x:v>87</x:v>
      </x:c>
      <x:c r="K95" s="32" t="n">
        <x:v>82458630.09635389</x:v>
      </x:c>
      <x:c r="L95" s="32" t="n">
        <x:v>71105374.39050384</x:v>
      </x:c>
      <x:c r="M95" s="32" t="n">
        <x:v>75675592.11803311</x:v>
      </x:c>
      <x:c r="N95" s="34" t="n">
        <x:f>K95/SUM($K$2:$K$283)</x:f>
        <x:v>0.0012410585497417404</x:v>
      </x:c>
      <x:c r="O95" s="35" t="n">
        <x:f>RANK(K95,$K$2:$K$283,0)+COUNTIF($K$2:K95,K95)-1</x:f>
        <x:v>94</x:v>
      </x:c>
    </x:row>
    <x:row r="96" ht="18" customHeight="1">
      <x:c r="A96" s="25" t="str">
        <x:v>EEZ_930</x:v>
      </x:c>
      <x:c r="B96" s="25" t="str">
        <x:v>Costa Rica (Pacific)</x:v>
      </x:c>
      <x:c r="C96" s="25" t="str">
        <x:v>EEZ</x:v>
      </x:c>
      <x:c r="D96" s="31" t="n">
        <x:v>2019</x:v>
      </x:c>
      <x:c r="E96" s="32" t="n">
        <x:v>53716.993195901494</x:v>
      </x:c>
      <x:c r="F96" s="32" t="n">
        <x:v>53716.993195901494</x:v>
      </x:c>
      <x:c r="G96" s="33" t="n">
        <x:v>0</x:v>
      </x:c>
      <x:c r="H96" s="34" t="n">
        <x:v>1</x:v>
      </x:c>
      <x:c r="I96" s="35" t="n">
        <x:v>63</x:v>
      </x:c>
      <x:c r="J96" s="35" t="n">
        <x:v>63</x:v>
      </x:c>
      <x:c r="K96" s="32" t="n">
        <x:v>80279567.24893846</x:v>
      </x:c>
      <x:c r="L96" s="32" t="n">
        <x:v>74719678.55634749</x:v>
      </x:c>
      <x:c r="M96" s="32" t="n">
        <x:v>75119400.23806289</x:v>
      </x:c>
      <x:c r="N96" s="34" t="n">
        <x:f>K96/SUM($K$2:$K$283)</x:f>
        <x:v>0.00120826216961695</x:v>
      </x:c>
      <x:c r="O96" s="35" t="n">
        <x:f>RANK(K96,$K$2:$K$283,0)+COUNTIF($K$2:K96,K96)-1</x:f>
        <x:v>95</x:v>
      </x:c>
    </x:row>
    <x:row r="97" ht="18" customHeight="1">
      <x:c r="A97" s="25" t="str">
        <x:v>EEZ_242</x:v>
      </x:c>
      <x:c r="B97" s="25" t="str">
        <x:v>Fiji</x:v>
      </x:c>
      <x:c r="C97" s="25" t="str">
        <x:v>EEZ</x:v>
      </x:c>
      <x:c r="D97" s="31" t="n">
        <x:v>2019</x:v>
      </x:c>
      <x:c r="E97" s="32" t="n">
        <x:v>57561.8277487637</x:v>
      </x:c>
      <x:c r="F97" s="32" t="n">
        <x:v>57561.8277487637</x:v>
      </x:c>
      <x:c r="G97" s="33" t="n">
        <x:v>0</x:v>
      </x:c>
      <x:c r="H97" s="34" t="n">
        <x:v>1</x:v>
      </x:c>
      <x:c r="I97" s="35" t="n">
        <x:v>57</x:v>
      </x:c>
      <x:c r="J97" s="35" t="n">
        <x:v>57</x:v>
      </x:c>
      <x:c r="K97" s="32" t="n">
        <x:v>79413036.45710625</x:v>
      </x:c>
      <x:c r="L97" s="32" t="n">
        <x:v>68827217.75327721</x:v>
      </x:c>
      <x:c r="M97" s="32" t="n">
        <x:v>74891764.60643005</x:v>
      </x:c>
      <x:c r="N97" s="34" t="n">
        <x:f>K97/SUM($K$2:$K$283)</x:f>
        <x:v>0.0011952202909614204</x:v>
      </x:c>
      <x:c r="O97" s="35" t="n">
        <x:f>RANK(K97,$K$2:$K$283,0)+COUNTIF($K$2:K97,K97)-1</x:f>
        <x:v>96</x:v>
      </x:c>
    </x:row>
    <x:row r="98" ht="18" customHeight="1">
      <x:c r="A98" s="25" t="str">
        <x:v>EEZ_204</x:v>
      </x:c>
      <x:c r="B98" s="25" t="str">
        <x:v>Benin</x:v>
      </x:c>
      <x:c r="C98" s="25" t="str">
        <x:v>EEZ</x:v>
      </x:c>
      <x:c r="D98" s="31" t="n">
        <x:v>2019</x:v>
      </x:c>
      <x:c r="E98" s="32" t="n">
        <x:v>83987.6435485869</x:v>
      </x:c>
      <x:c r="F98" s="32" t="n">
        <x:v>83987.6435485869</x:v>
      </x:c>
      <x:c r="G98" s="33" t="n">
        <x:v>0</x:v>
      </x:c>
      <x:c r="H98" s="34" t="n">
        <x:v>1</x:v>
      </x:c>
      <x:c r="I98" s="35" t="n">
        <x:v>96</x:v>
      </x:c>
      <x:c r="J98" s="35" t="n">
        <x:v>96</x:v>
      </x:c>
      <x:c r="K98" s="32" t="n">
        <x:v>78537967.78151909</x:v>
      </x:c>
      <x:c r="L98" s="32" t="n">
        <x:v>52952929.63848208</x:v>
      </x:c>
      <x:c r="M98" s="32" t="n">
        <x:v>68960954.54882826</x:v>
      </x:c>
      <x:c r="N98" s="34" t="n">
        <x:f>K98/SUM($K$2:$K$283)</x:f>
        <x:v>0.0011820499113397893</x:v>
      </x:c>
      <x:c r="O98" s="35" t="n">
        <x:f>RANK(K98,$K$2:$K$283,0)+COUNTIF($K$2:K98,K98)-1</x:f>
        <x:v>97</x:v>
      </x:c>
    </x:row>
    <x:row r="99" ht="18" customHeight="1">
      <x:c r="A99" s="25" t="str">
        <x:v>EEZ_784</x:v>
      </x:c>
      <x:c r="B99" s="25" t="str">
        <x:v>United Arab Emirates</x:v>
      </x:c>
      <x:c r="C99" s="25" t="str">
        <x:v>EEZ</x:v>
      </x:c>
      <x:c r="D99" s="31" t="n">
        <x:v>2019</x:v>
      </x:c>
      <x:c r="E99" s="32" t="n">
        <x:v>49925.3333488044</x:v>
      </x:c>
      <x:c r="F99" s="32" t="n">
        <x:v>49925.3333488044</x:v>
      </x:c>
      <x:c r="G99" s="33" t="n">
        <x:v>0</x:v>
      </x:c>
      <x:c r="H99" s="34" t="n">
        <x:v>1</x:v>
      </x:c>
      <x:c r="I99" s="35" t="n">
        <x:v>42</x:v>
      </x:c>
      <x:c r="J99" s="35" t="n">
        <x:v>42</x:v>
      </x:c>
      <x:c r="K99" s="32" t="n">
        <x:v>78213745.6926087</x:v>
      </x:c>
      <x:c r="L99" s="32" t="n">
        <x:v>51264275.88172145</x:v>
      </x:c>
      <x:c r="M99" s="32" t="n">
        <x:v>70734405.98405288</x:v>
      </x:c>
      <x:c r="N99" s="34" t="n">
        <x:f>K99/SUM($K$2:$K$283)</x:f>
        <x:v>0.0011771701480574358</x:v>
      </x:c>
      <x:c r="O99" s="35" t="n">
        <x:f>RANK(K99,$K$2:$K$283,0)+COUNTIF($K$2:K99,K99)-1</x:f>
        <x:v>98</x:v>
      </x:c>
    </x:row>
    <x:row r="100" ht="18" customHeight="1">
      <x:c r="A100" s="25" t="str">
        <x:v>EEZ_788</x:v>
      </x:c>
      <x:c r="B100" s="25" t="str">
        <x:v>Tunisia</x:v>
      </x:c>
      <x:c r="C100" s="25" t="str">
        <x:v>EEZ</x:v>
      </x:c>
      <x:c r="D100" s="31" t="n">
        <x:v>2019</x:v>
      </x:c>
      <x:c r="E100" s="32" t="n">
        <x:v>133288.5662711512</x:v>
      </x:c>
      <x:c r="F100" s="32" t="n">
        <x:v>133288.5662711512</x:v>
      </x:c>
      <x:c r="G100" s="33" t="n">
        <x:v>0</x:v>
      </x:c>
      <x:c r="H100" s="34" t="n">
        <x:v>1</x:v>
      </x:c>
      <x:c r="I100" s="35" t="n">
        <x:v>167</x:v>
      </x:c>
      <x:c r="J100" s="35" t="n">
        <x:v>167</x:v>
      </x:c>
      <x:c r="K100" s="32" t="n">
        <x:v>74633904.02001323</x:v>
      </x:c>
      <x:c r="L100" s="32" t="n">
        <x:v>52178784.33944455</x:v>
      </x:c>
      <x:c r="M100" s="32" t="n">
        <x:v>57465097.24281223</x:v>
      </x:c>
      <x:c r="N100" s="34" t="n">
        <x:f>K100/SUM($K$2:$K$283)</x:f>
        <x:v>0.001123291092471563</x:v>
      </x:c>
      <x:c r="O100" s="35" t="n">
        <x:f>RANK(K100,$K$2:$K$283,0)+COUNTIF($K$2:K100,K100)-1</x:f>
        <x:v>99</x:v>
      </x:c>
    </x:row>
    <x:row r="101" ht="18" customHeight="1">
      <x:c r="A101" s="25" t="str">
        <x:v>EEZ_357</x:v>
      </x:c>
      <x:c r="B101" s="25" t="str">
        <x:v>Andaman &amp; Nicobar Isl. (India)</x:v>
      </x:c>
      <x:c r="C101" s="25" t="str">
        <x:v>EEZ</x:v>
      </x:c>
      <x:c r="D101" s="31" t="n">
        <x:v>2019</x:v>
      </x:c>
      <x:c r="E101" s="32" t="n">
        <x:v>61303.310995657</x:v>
      </x:c>
      <x:c r="F101" s="32" t="n">
        <x:v>61303.310995657</x:v>
      </x:c>
      <x:c r="G101" s="33" t="n">
        <x:v>0</x:v>
      </x:c>
      <x:c r="H101" s="34" t="n">
        <x:v>1</x:v>
      </x:c>
      <x:c r="I101" s="35" t="n">
        <x:v>90</x:v>
      </x:c>
      <x:c r="J101" s="35" t="n">
        <x:v>90</x:v>
      </x:c>
      <x:c r="K101" s="32" t="n">
        <x:v>69444286.60999125</x:v>
      </x:c>
      <x:c r="L101" s="32" t="n">
        <x:v>53936063.19903991</x:v>
      </x:c>
      <x:c r="M101" s="32" t="n">
        <x:v>62035701.98379009</x:v>
      </x:c>
      <x:c r="N101" s="34" t="n">
        <x:f>K101/SUM($K$2:$K$283)</x:f>
        <x:v>0.001045183815536809</x:v>
      </x:c>
      <x:c r="O101" s="35" t="n">
        <x:f>RANK(K101,$K$2:$K$283,0)+COUNTIF($K$2:K101,K101)-1</x:f>
        <x:v>100</x:v>
      </x:c>
    </x:row>
    <x:row r="102" ht="18" customHeight="1">
      <x:c r="A102" s="25" t="str">
        <x:v>EEZ_132</x:v>
      </x:c>
      <x:c r="B102" s="25" t="str">
        <x:v>Cape Verde</x:v>
      </x:c>
      <x:c r="C102" s="25" t="str">
        <x:v>EEZ</x:v>
      </x:c>
      <x:c r="D102" s="31" t="n">
        <x:v>2019</x:v>
      </x:c>
      <x:c r="E102" s="32" t="n">
        <x:v>41113.6989825735</x:v>
      </x:c>
      <x:c r="F102" s="32" t="n">
        <x:v>41113.6989825735</x:v>
      </x:c>
      <x:c r="G102" s="33" t="n">
        <x:v>0</x:v>
      </x:c>
      <x:c r="H102" s="34" t="n">
        <x:v>1</x:v>
      </x:c>
      <x:c r="I102" s="35" t="n">
        <x:v>91</x:v>
      </x:c>
      <x:c r="J102" s="35" t="n">
        <x:v>91</x:v>
      </x:c>
      <x:c r="K102" s="32" t="n">
        <x:v>68290801.75380284</x:v>
      </x:c>
      <x:c r="L102" s="32" t="n">
        <x:v>65453403.432502314</x:v>
      </x:c>
      <x:c r="M102" s="32" t="n">
        <x:v>65735516.97741273</x:v>
      </x:c>
      <x:c r="N102" s="34" t="n">
        <x:f>K102/SUM($K$2:$K$283)</x:f>
        <x:v>0.0010278230827536245</x:v>
      </x:c>
      <x:c r="O102" s="35" t="n">
        <x:f>RANK(K102,$K$2:$K$283,0)+COUNTIF($K$2:K102,K102)-1</x:f>
        <x:v>101</x:v>
      </x:c>
    </x:row>
    <x:row r="103" ht="18" customHeight="1">
      <x:c r="A103" s="25" t="str">
        <x:v>EEZ_858</x:v>
      </x:c>
      <x:c r="B103" s="25" t="str">
        <x:v>Uruguay</x:v>
      </x:c>
      <x:c r="C103" s="25" t="str">
        <x:v>EEZ</x:v>
      </x:c>
      <x:c r="D103" s="31" t="n">
        <x:v>2019</x:v>
      </x:c>
      <x:c r="E103" s="32" t="n">
        <x:v>107838.9938680954</x:v>
      </x:c>
      <x:c r="F103" s="32" t="n">
        <x:v>107838.9938680954</x:v>
      </x:c>
      <x:c r="G103" s="33" t="n">
        <x:v>0</x:v>
      </x:c>
      <x:c r="H103" s="34" t="n">
        <x:v>1</x:v>
      </x:c>
      <x:c r="I103" s="35" t="n">
        <x:v>60</x:v>
      </x:c>
      <x:c r="J103" s="35" t="n">
        <x:v>60</x:v>
      </x:c>
      <x:c r="K103" s="32" t="n">
        <x:v>66273884.30512683</x:v>
      </x:c>
      <x:c r="L103" s="32" t="n">
        <x:v>58304573.990053095</x:v>
      </x:c>
      <x:c r="M103" s="32" t="n">
        <x:v>61954568.46990002</x:v>
      </x:c>
      <x:c r="N103" s="34" t="n">
        <x:f>K103/SUM($K$2:$K$283)</x:f>
        <x:v>0.000997467101325389</x:v>
      </x:c>
      <x:c r="O103" s="35" t="n">
        <x:f>RANK(K103,$K$2:$K$283,0)+COUNTIF($K$2:K103,K103)-1</x:f>
        <x:v>102</x:v>
      </x:c>
    </x:row>
    <x:row r="104" ht="18" customHeight="1">
      <x:c r="A104" s="25" t="str">
        <x:v>EEZ_914</x:v>
      </x:c>
      <x:c r="B104" s="25" t="str">
        <x:v>Sweden (Baltic)</x:v>
      </x:c>
      <x:c r="C104" s="25" t="str">
        <x:v>EEZ</x:v>
      </x:c>
      <x:c r="D104" s="31" t="n">
        <x:v>2019</x:v>
      </x:c>
      <x:c r="E104" s="32" t="n">
        <x:v>258009.42244459942</x:v>
      </x:c>
      <x:c r="F104" s="32" t="n">
        <x:v>258009.42244459942</x:v>
      </x:c>
      <x:c r="G104" s="33" t="n">
        <x:v>0</x:v>
      </x:c>
      <x:c r="H104" s="34" t="n">
        <x:v>1</x:v>
      </x:c>
      <x:c r="I104" s="35" t="n">
        <x:v>63</x:v>
      </x:c>
      <x:c r="J104" s="35" t="n">
        <x:v>63</x:v>
      </x:c>
      <x:c r="K104" s="32" t="n">
        <x:v>65614786.95071074</x:v>
      </x:c>
      <x:c r="L104" s="32" t="n">
        <x:v>58930501.54015318</x:v>
      </x:c>
      <x:c r="M104" s="32" t="n">
        <x:v>62120902.913858816</x:v>
      </x:c>
      <x:c r="N104" s="34" t="n">
        <x:f>K104/SUM($K$2:$K$283)</x:f>
        <x:v>0.0009875472371964986</x:v>
      </x:c>
      <x:c r="O104" s="35" t="n">
        <x:f>RANK(K104,$K$2:$K$283,0)+COUNTIF($K$2:K104,K104)-1</x:f>
        <x:v>103</x:v>
      </x:c>
    </x:row>
    <x:row r="105" ht="18" customHeight="1">
      <x:c r="A105" s="25" t="str">
        <x:v>EEZ_947</x:v>
      </x:c>
      <x:c r="B105" s="25" t="str">
        <x:v>Morocco (Mediterranean)</x:v>
      </x:c>
      <x:c r="C105" s="25" t="str">
        <x:v>EEZ</x:v>
      </x:c>
      <x:c r="D105" s="31" t="n">
        <x:v>2019</x:v>
      </x:c>
      <x:c r="E105" s="32" t="n">
        <x:v>66046.14815490438</x:v>
      </x:c>
      <x:c r="F105" s="32" t="n">
        <x:v>66046.14815490438</x:v>
      </x:c>
      <x:c r="G105" s="33" t="n">
        <x:v>0</x:v>
      </x:c>
      <x:c r="H105" s="34" t="n">
        <x:v>1</x:v>
      </x:c>
      <x:c r="I105" s="35" t="n">
        <x:v>110</x:v>
      </x:c>
      <x:c r="J105" s="35" t="n">
        <x:v>110</x:v>
      </x:c>
      <x:c r="K105" s="32" t="n">
        <x:v>64564291.36796549</x:v>
      </x:c>
      <x:c r="L105" s="32" t="n">
        <x:v>56427166.47699314</x:v>
      </x:c>
      <x:c r="M105" s="32" t="n">
        <x:v>53151066.53940716</x:v>
      </x:c>
      <x:c r="N105" s="34" t="n">
        <x:f>K105/SUM($K$2:$K$283)</x:f>
        <x:v>0.0009717365631298969</x:v>
      </x:c>
      <x:c r="O105" s="35" t="n">
        <x:f>RANK(K105,$K$2:$K$283,0)+COUNTIF($K$2:K105,K105)-1</x:f>
        <x:v>104</x:v>
      </x:c>
    </x:row>
    <x:row r="106" ht="18" customHeight="1">
      <x:c r="A106" s="25" t="str">
        <x:v>EEZ_268</x:v>
      </x:c>
      <x:c r="B106" s="25" t="str">
        <x:v>Georgia</x:v>
      </x:c>
      <x:c r="C106" s="25" t="str">
        <x:v>EEZ</x:v>
      </x:c>
      <x:c r="D106" s="31" t="n">
        <x:v>2019</x:v>
      </x:c>
      <x:c r="E106" s="32" t="n">
        <x:v>350092.2854428537</x:v>
      </x:c>
      <x:c r="F106" s="32" t="n">
        <x:v>350092.2854428537</x:v>
      </x:c>
      <x:c r="G106" s="33" t="n">
        <x:v>0</x:v>
      </x:c>
      <x:c r="H106" s="34" t="n">
        <x:v>1</x:v>
      </x:c>
      <x:c r="I106" s="35" t="n">
        <x:v>29</x:v>
      </x:c>
      <x:c r="J106" s="35" t="n">
        <x:v>29</x:v>
      </x:c>
      <x:c r="K106" s="32" t="n">
        <x:v>62582880.30789505</x:v>
      </x:c>
      <x:c r="L106" s="32" t="n">
        <x:v>56232930.953583054</x:v>
      </x:c>
      <x:c r="M106" s="32" t="n">
        <x:v>61867120.80999226</x:v>
      </x:c>
      <x:c r="N106" s="34" t="n">
        <x:f>K106/SUM($K$2:$K$283)</x:f>
        <x:v>0.0009419149770353931</x:v>
      </x:c>
      <x:c r="O106" s="35" t="n">
        <x:f>RANK(K106,$K$2:$K$283,0)+COUNTIF($K$2:K106,K106)-1</x:f>
        <x:v>105</x:v>
      </x:c>
    </x:row>
    <x:row r="107" ht="18" customHeight="1">
      <x:c r="A107" s="25" t="str">
        <x:v>EEZ_300</x:v>
      </x:c>
      <x:c r="B107" s="25" t="str">
        <x:v>Greece (without Crete)</x:v>
      </x:c>
      <x:c r="C107" s="25" t="str">
        <x:v>EEZ</x:v>
      </x:c>
      <x:c r="D107" s="31" t="n">
        <x:v>2019</x:v>
      </x:c>
      <x:c r="E107" s="32" t="n">
        <x:v>108516.7645129038</x:v>
      </x:c>
      <x:c r="F107" s="32" t="n">
        <x:v>108516.7645129038</x:v>
      </x:c>
      <x:c r="G107" s="33" t="n">
        <x:v>0</x:v>
      </x:c>
      <x:c r="H107" s="34" t="n">
        <x:v>1</x:v>
      </x:c>
      <x:c r="I107" s="35" t="n">
        <x:v>155</x:v>
      </x:c>
      <x:c r="J107" s="35" t="n">
        <x:v>155</x:v>
      </x:c>
      <x:c r="K107" s="32" t="n">
        <x:v>60672881.10444955</x:v>
      </x:c>
      <x:c r="L107" s="32" t="n">
        <x:v>45202170.90468926</x:v>
      </x:c>
      <x:c r="M107" s="32" t="n">
        <x:v>51972308.116400525</x:v>
      </x:c>
      <x:c r="N107" s="34" t="n">
        <x:f>K107/SUM($K$2:$K$283)</x:f>
        <x:v>0.0009131681880253636</x:v>
      </x:c>
      <x:c r="O107" s="35" t="n">
        <x:f>RANK(K107,$K$2:$K$283,0)+COUNTIF($K$2:K107,K107)-1</x:f>
        <x:v>106</x:v>
      </x:c>
    </x:row>
    <x:row r="108" ht="18" customHeight="1">
      <x:c r="A108" s="25" t="str">
        <x:v>EEZ_973</x:v>
      </x:c>
      <x:c r="B108" s="25" t="str">
        <x:v>Korea (North, Yellow Sea)</x:v>
      </x:c>
      <x:c r="C108" s="25" t="str">
        <x:v>EEZ</x:v>
      </x:c>
      <x:c r="D108" s="31" t="n">
        <x:v>2019</x:v>
      </x:c>
      <x:c r="E108" s="32" t="n">
        <x:v>89045.48046535479</x:v>
      </x:c>
      <x:c r="F108" s="32" t="n">
        <x:v>89045.48046535479</x:v>
      </x:c>
      <x:c r="G108" s="33" t="n">
        <x:v>0</x:v>
      </x:c>
      <x:c r="H108" s="34" t="n">
        <x:v>1</x:v>
      </x:c>
      <x:c r="I108" s="35" t="n">
        <x:v>58</x:v>
      </x:c>
      <x:c r="J108" s="35" t="n">
        <x:v>58</x:v>
      </x:c>
      <x:c r="K108" s="32" t="n">
        <x:v>58964164.09103803</x:v>
      </x:c>
      <x:c r="L108" s="32" t="n">
        <x:v>34035460.416067936</x:v>
      </x:c>
      <x:c r="M108" s="32" t="n">
        <x:v>52997138.40968333</x:v>
      </x:c>
      <x:c r="N108" s="34" t="n">
        <x:f>K108/SUM($K$2:$K$283)</x:f>
        <x:v>0.000887450833078943</x:v>
      </x:c>
      <x:c r="O108" s="35" t="n">
        <x:f>RANK(K108,$K$2:$K$283,0)+COUNTIF($K$2:K108,K108)-1</x:f>
        <x:v>107</x:v>
      </x:c>
    </x:row>
    <x:row r="109" ht="18" customHeight="1">
      <x:c r="A109" s="25" t="str">
        <x:v>EEZ_270</x:v>
      </x:c>
      <x:c r="B109" s="25" t="str">
        <x:v>Gambia</x:v>
      </x:c>
      <x:c r="C109" s="25" t="str">
        <x:v>EEZ</x:v>
      </x:c>
      <x:c r="D109" s="31" t="n">
        <x:v>2019</x:v>
      </x:c>
      <x:c r="E109" s="32" t="n">
        <x:v>168306.30279973362</x:v>
      </x:c>
      <x:c r="F109" s="32" t="n">
        <x:v>168306.30279973362</x:v>
      </x:c>
      <x:c r="G109" s="33" t="n">
        <x:v>0</x:v>
      </x:c>
      <x:c r="H109" s="34" t="n">
        <x:v>1</x:v>
      </x:c>
      <x:c r="I109" s="35" t="n">
        <x:v>238</x:v>
      </x:c>
      <x:c r="J109" s="35" t="n">
        <x:v>238</x:v>
      </x:c>
      <x:c r="K109" s="32" t="n">
        <x:v>52717675.19812376</x:v>
      </x:c>
      <x:c r="L109" s="32" t="n">
        <x:v>36169282.05065127</x:v>
      </x:c>
      <x:c r="M109" s="32" t="n">
        <x:v>40799827.85035961</x:v>
      </x:c>
      <x:c r="N109" s="34" t="n">
        <x:f>K109/SUM($K$2:$K$283)</x:f>
        <x:v>0.0007934369204374225</x:v>
      </x:c>
      <x:c r="O109" s="35" t="n">
        <x:f>RANK(K109,$K$2:$K$283,0)+COUNTIF($K$2:K109,K109)-1</x:f>
        <x:v>108</x:v>
      </x:c>
    </x:row>
    <x:row r="110" ht="18" customHeight="1">
      <x:c r="A110" s="25" t="str">
        <x:v>EEZ_740</x:v>
      </x:c>
      <x:c r="B110" s="25" t="str">
        <x:v>Suriname</x:v>
      </x:c>
      <x:c r="C110" s="25" t="str">
        <x:v>EEZ</x:v>
      </x:c>
      <x:c r="D110" s="31" t="n">
        <x:v>2019</x:v>
      </x:c>
      <x:c r="E110" s="32" t="n">
        <x:v>58397.2558737715</x:v>
      </x:c>
      <x:c r="F110" s="32" t="n">
        <x:v>58397.2558737715</x:v>
      </x:c>
      <x:c r="G110" s="33" t="n">
        <x:v>0</x:v>
      </x:c>
      <x:c r="H110" s="34" t="n">
        <x:v>1</x:v>
      </x:c>
      <x:c r="I110" s="35" t="n">
        <x:v>80</x:v>
      </x:c>
      <x:c r="J110" s="35" t="n">
        <x:v>80</x:v>
      </x:c>
      <x:c r="K110" s="32" t="n">
        <x:v>50180471.08869745</x:v>
      </x:c>
      <x:c r="L110" s="32" t="n">
        <x:v>38776814.36208194</x:v>
      </x:c>
      <x:c r="M110" s="32" t="n">
        <x:v>41306279.01996325</x:v>
      </x:c>
      <x:c r="N110" s="34" t="n">
        <x:f>K110/SUM($K$2:$K$283)</x:f>
        <x:v>0.0007552502703710319</x:v>
      </x:c>
      <x:c r="O110" s="35" t="n">
        <x:f>RANK(K110,$K$2:$K$283,0)+COUNTIF($K$2:K110,K110)-1</x:f>
        <x:v>109</x:v>
      </x:c>
    </x:row>
    <x:row r="111" ht="18" customHeight="1">
      <x:c r="A111" s="25" t="str">
        <x:v>EEZ_684</x:v>
      </x:c>
      <x:c r="B111" s="25" t="str">
        <x:v>Saudi Arabia (Persian Gulf)</x:v>
      </x:c>
      <x:c r="C111" s="25" t="str">
        <x:v>EEZ</x:v>
      </x:c>
      <x:c r="D111" s="31" t="n">
        <x:v>2019</x:v>
      </x:c>
      <x:c r="E111" s="32" t="n">
        <x:v>52003.642323932094</x:v>
      </x:c>
      <x:c r="F111" s="32" t="n">
        <x:v>52003.642323932094</x:v>
      </x:c>
      <x:c r="G111" s="33" t="n">
        <x:v>0</x:v>
      </x:c>
      <x:c r="H111" s="34" t="n">
        <x:v>1</x:v>
      </x:c>
      <x:c r="I111" s="35" t="n">
        <x:v>101</x:v>
      </x:c>
      <x:c r="J111" s="35" t="n">
        <x:v>101</x:v>
      </x:c>
      <x:c r="K111" s="32" t="n">
        <x:v>49497257.93937051</x:v>
      </x:c>
      <x:c r="L111" s="32" t="n">
        <x:v>27757809.108077534</x:v>
      </x:c>
      <x:c r="M111" s="32" t="n">
        <x:v>36273332.4841109</x:v>
      </x:c>
      <x:c r="N111" s="34" t="n">
        <x:f>K111/SUM($K$2:$K$283)</x:f>
        <x:v>0.0007449674471022318</x:v>
      </x:c>
      <x:c r="O111" s="35" t="n">
        <x:f>RANK(K111,$K$2:$K$283,0)+COUNTIF($K$2:K111,K111)-1</x:f>
        <x:v>110</x:v>
      </x:c>
    </x:row>
    <x:row r="112" ht="18" customHeight="1">
      <x:c r="A112" s="25" t="str">
        <x:v>EEZ_616</x:v>
      </x:c>
      <x:c r="B112" s="25" t="str">
        <x:v>Poland</x:v>
      </x:c>
      <x:c r="C112" s="25" t="str">
        <x:v>EEZ</x:v>
      </x:c>
      <x:c r="D112" s="31" t="n">
        <x:v>2019</x:v>
      </x:c>
      <x:c r="E112" s="32" t="n">
        <x:v>155232.70535576172</x:v>
      </x:c>
      <x:c r="F112" s="32" t="n">
        <x:v>155232.70535576172</x:v>
      </x:c>
      <x:c r="G112" s="33" t="n">
        <x:v>0</x:v>
      </x:c>
      <x:c r="H112" s="34" t="n">
        <x:v>1</x:v>
      </x:c>
      <x:c r="I112" s="35" t="n">
        <x:v>56</x:v>
      </x:c>
      <x:c r="J112" s="35" t="n">
        <x:v>56</x:v>
      </x:c>
      <x:c r="K112" s="32" t="n">
        <x:v>48709783.74274053</x:v>
      </x:c>
      <x:c r="L112" s="32" t="n">
        <x:v>44737293.36258347</x:v>
      </x:c>
      <x:c r="M112" s="32" t="n">
        <x:v>44613820.51525869</x:v>
      </x:c>
      <x:c r="N112" s="34" t="n">
        <x:f>K112/SUM($K$2:$K$283)</x:f>
        <x:v>0.0007331154240539872</x:v>
      </x:c>
      <x:c r="O112" s="35" t="n">
        <x:f>RANK(K112,$K$2:$K$283,0)+COUNTIF($K$2:K112,K112)-1</x:f>
        <x:v>111</x:v>
      </x:c>
    </x:row>
    <x:row r="113" ht="18" customHeight="1">
      <x:c r="A113" s="25" t="str">
        <x:v>EEZ_258</x:v>
      </x:c>
      <x:c r="B113" s="25" t="str">
        <x:v>French Polynesia</x:v>
      </x:c>
      <x:c r="C113" s="25" t="str">
        <x:v>EEZ</x:v>
      </x:c>
      <x:c r="D113" s="31" t="n">
        <x:v>2019</x:v>
      </x:c>
      <x:c r="E113" s="32" t="n">
        <x:v>30503.7776851117</x:v>
      </x:c>
      <x:c r="F113" s="32" t="n">
        <x:v>30503.7776851117</x:v>
      </x:c>
      <x:c r="G113" s="33" t="n">
        <x:v>0</x:v>
      </x:c>
      <x:c r="H113" s="34" t="n">
        <x:v>1</x:v>
      </x:c>
      <x:c r="I113" s="35" t="n">
        <x:v>63</x:v>
      </x:c>
      <x:c r="J113" s="35" t="n">
        <x:v>63</x:v>
      </x:c>
      <x:c r="K113" s="32" t="n">
        <x:v>47721884.851591855</x:v>
      </x:c>
      <x:c r="L113" s="32" t="n">
        <x:v>43868719.699264675</x:v>
      </x:c>
      <x:c r="M113" s="32" t="n">
        <x:v>45438783.845118515</x:v>
      </x:c>
      <x:c r="N113" s="34" t="n">
        <x:f>K113/SUM($K$2:$K$283)</x:f>
        <x:v>0.0007182468728337232</x:v>
      </x:c>
      <x:c r="O113" s="35" t="n">
        <x:f>RANK(K113,$K$2:$K$283,0)+COUNTIF($K$2:K113,K113)-1</x:f>
        <x:v>112</x:v>
      </x:c>
    </x:row>
    <x:row r="114" ht="18" customHeight="1">
      <x:c r="A114" s="25" t="str">
        <x:v>EEZ_842</x:v>
      </x:c>
      <x:c r="B114" s="25" t="str">
        <x:v>Hawaii Main Islands (USA)</x:v>
      </x:c>
      <x:c r="C114" s="25" t="str">
        <x:v>EEZ</x:v>
      </x:c>
      <x:c r="D114" s="31" t="n">
        <x:v>2019</x:v>
      </x:c>
      <x:c r="E114" s="32" t="n">
        <x:v>22486.1865752072</x:v>
      </x:c>
      <x:c r="F114" s="32" t="n">
        <x:v>22486.1865752072</x:v>
      </x:c>
      <x:c r="G114" s="33" t="n">
        <x:v>0</x:v>
      </x:c>
      <x:c r="H114" s="34" t="n">
        <x:v>1</x:v>
      </x:c>
      <x:c r="I114" s="35" t="n">
        <x:v>140</x:v>
      </x:c>
      <x:c r="J114" s="35" t="n">
        <x:v>140</x:v>
      </x:c>
      <x:c r="K114" s="32" t="n">
        <x:v>47556032.822993144</x:v>
      </x:c>
      <x:c r="L114" s="32" t="n">
        <x:v>43053065.938609466</x:v>
      </x:c>
      <x:c r="M114" s="32" t="n">
        <x:v>45887678.36081641</x:v>
      </x:c>
      <x:c r="N114" s="34" t="n">
        <x:f>K114/SUM($K$2:$K$283)</x:f>
        <x:v>0.0007157506868330108</x:v>
      </x:c>
      <x:c r="O114" s="35" t="n">
        <x:f>RANK(K114,$K$2:$K$283,0)+COUNTIF($K$2:K114,K114)-1</x:f>
        <x:v>113</x:v>
      </x:c>
    </x:row>
    <x:row r="115" ht="18" customHeight="1">
      <x:c r="A115" s="25" t="str">
        <x:v>EEZ_968</x:v>
      </x:c>
      <x:c r="B115" s="25" t="str">
        <x:v>United Arab Emirates (Fujairah)</x:v>
      </x:c>
      <x:c r="C115" s="25" t="str">
        <x:v>EEZ</x:v>
      </x:c>
      <x:c r="D115" s="31" t="n">
        <x:v>2019</x:v>
      </x:c>
      <x:c r="E115" s="32" t="n">
        <x:v>34815.7976770108</x:v>
      </x:c>
      <x:c r="F115" s="32" t="n">
        <x:v>34815.7976770108</x:v>
      </x:c>
      <x:c r="G115" s="33" t="n">
        <x:v>0</x:v>
      </x:c>
      <x:c r="H115" s="34" t="n">
        <x:v>1</x:v>
      </x:c>
      <x:c r="I115" s="35" t="n">
        <x:v>51</x:v>
      </x:c>
      <x:c r="J115" s="35" t="n">
        <x:v>51</x:v>
      </x:c>
      <x:c r="K115" s="32" t="n">
        <x:v>46252931.13406608</x:v>
      </x:c>
      <x:c r="L115" s="32" t="n">
        <x:v>35581724.06247574</x:v>
      </x:c>
      <x:c r="M115" s="32" t="n">
        <x:v>38845754.05190053</x:v>
      </x:c>
      <x:c r="N115" s="34" t="n">
        <x:f>K115/SUM($K$2:$K$283)</x:f>
        <x:v>0.0006961381188054303</x:v>
      </x:c>
      <x:c r="O115" s="35" t="n">
        <x:f>RANK(K115,$K$2:$K$283,0)+COUNTIF($K$2:K115,K115)-1</x:f>
        <x:v>114</x:v>
      </x:c>
    </x:row>
    <x:row r="116" ht="18" customHeight="1">
      <x:c r="A116" s="25" t="str">
        <x:v>EEZ_174</x:v>
      </x:c>
      <x:c r="B116" s="25" t="str">
        <x:v>Comoros Isl.</x:v>
      </x:c>
      <x:c r="C116" s="25" t="str">
        <x:v>EEZ</x:v>
      </x:c>
      <x:c r="D116" s="31" t="n">
        <x:v>2019</x:v>
      </x:c>
      <x:c r="E116" s="32" t="n">
        <x:v>20265.440293107604</x:v>
      </x:c>
      <x:c r="F116" s="32" t="n">
        <x:v>20265.440293107604</x:v>
      </x:c>
      <x:c r="G116" s="33" t="n">
        <x:v>0</x:v>
      </x:c>
      <x:c r="H116" s="34" t="n">
        <x:v>1</x:v>
      </x:c>
      <x:c r="I116" s="35" t="n">
        <x:v>42</x:v>
      </x:c>
      <x:c r="J116" s="35" t="n">
        <x:v>42</x:v>
      </x:c>
      <x:c r="K116" s="32" t="n">
        <x:v>42645896.13210497</x:v>
      </x:c>
      <x:c r="L116" s="32" t="n">
        <x:v>41548418.877320364</x:v>
      </x:c>
      <x:c r="M116" s="32" t="n">
        <x:v>41639538.32029089</x:v>
      </x:c>
      <x:c r="N116" s="34" t="n">
        <x:f>K116/SUM($K$2:$K$283)</x:f>
        <x:v>0.0006418497850898368</x:v>
      </x:c>
      <x:c r="O116" s="35" t="n">
        <x:f>RANK(K116,$K$2:$K$283,0)+COUNTIF($K$2:K116,K116)-1</x:f>
        <x:v>115</x:v>
      </x:c>
    </x:row>
    <x:row r="117" ht="18" customHeight="1">
      <x:c r="A117" s="25" t="str">
        <x:v>EEZ_932</x:v>
      </x:c>
      <x:c r="B117" s="25" t="str">
        <x:v>Denmark (North Sea)</x:v>
      </x:c>
      <x:c r="C117" s="25" t="str">
        <x:v>EEZ</x:v>
      </x:c>
      <x:c r="D117" s="31" t="n">
        <x:v>2019</x:v>
      </x:c>
      <x:c r="E117" s="32" t="n">
        <x:v>136822.7965781429</x:v>
      </x:c>
      <x:c r="F117" s="32" t="n">
        <x:v>136822.7965781429</x:v>
      </x:c>
      <x:c r="G117" s="33" t="n">
        <x:v>0</x:v>
      </x:c>
      <x:c r="H117" s="34" t="n">
        <x:v>1</x:v>
      </x:c>
      <x:c r="I117" s="35" t="n">
        <x:v>191</x:v>
      </x:c>
      <x:c r="J117" s="35" t="n">
        <x:v>191</x:v>
      </x:c>
      <x:c r="K117" s="32" t="n">
        <x:v>41397655.05769295</x:v>
      </x:c>
      <x:c r="L117" s="32" t="n">
        <x:v>34702699.34048979</x:v>
      </x:c>
      <x:c r="M117" s="32" t="n">
        <x:v>36930926.23826311</x:v>
      </x:c>
      <x:c r="N117" s="34" t="n">
        <x:f>K117/SUM($K$2:$K$283)</x:f>
        <x:v>0.000623062906679079</x:v>
      </x:c>
      <x:c r="O117" s="35" t="n">
        <x:f>RANK(K117,$K$2:$K$283,0)+COUNTIF($K$2:K117,K117)-1</x:f>
        <x:v>116</x:v>
      </x:c>
    </x:row>
    <x:row r="118" ht="18" customHeight="1">
      <x:c r="A118" s="25" t="str">
        <x:v>EEZ_683</x:v>
      </x:c>
      <x:c r="B118" s="25" t="str">
        <x:v>Saudi Arabia (Red Sea)</x:v>
      </x:c>
      <x:c r="C118" s="25" t="str">
        <x:v>EEZ</x:v>
      </x:c>
      <x:c r="D118" s="31" t="n">
        <x:v>2019</x:v>
      </x:c>
      <x:c r="E118" s="32" t="n">
        <x:v>39296.800791863905</x:v>
      </x:c>
      <x:c r="F118" s="32" t="n">
        <x:v>39296.800791863905</x:v>
      </x:c>
      <x:c r="G118" s="33" t="n">
        <x:v>0</x:v>
      </x:c>
      <x:c r="H118" s="34" t="n">
        <x:v>1</x:v>
      </x:c>
      <x:c r="I118" s="35" t="n">
        <x:v>122</x:v>
      </x:c>
      <x:c r="J118" s="35" t="n">
        <x:v>122</x:v>
      </x:c>
      <x:c r="K118" s="32" t="n">
        <x:v>38075252.287188336</x:v>
      </x:c>
      <x:c r="L118" s="32" t="n">
        <x:v>22624139.603720143</x:v>
      </x:c>
      <x:c r="M118" s="32" t="n">
        <x:v>30442217.503559966</x:v>
      </x:c>
      <x:c r="N118" s="34" t="n">
        <x:f>K118/SUM($K$2:$K$283)</x:f>
        <x:v>0.0005730584819244805</x:v>
      </x:c>
      <x:c r="O118" s="35" t="n">
        <x:f>RANK(K118,$K$2:$K$283,0)+COUNTIF($K$2:K118,K118)-1</x:f>
        <x:v>117</x:v>
      </x:c>
    </x:row>
    <x:row r="119" ht="18" customHeight="1">
      <x:c r="A119" s="25" t="str">
        <x:v>EEZ_918</x:v>
      </x:c>
      <x:c r="B119" s="25" t="str">
        <x:v>France (Mediterranean)</x:v>
      </x:c>
      <x:c r="C119" s="25" t="str">
        <x:v>EEZ</x:v>
      </x:c>
      <x:c r="D119" s="31" t="n">
        <x:v>2019</x:v>
      </x:c>
      <x:c r="E119" s="32" t="n">
        <x:v>49423.4057756733</x:v>
      </x:c>
      <x:c r="F119" s="32" t="n">
        <x:v>49423.4057756733</x:v>
      </x:c>
      <x:c r="G119" s="33" t="n">
        <x:v>0</x:v>
      </x:c>
      <x:c r="H119" s="34" t="n">
        <x:v>1</x:v>
      </x:c>
      <x:c r="I119" s="35" t="n">
        <x:v>159</x:v>
      </x:c>
      <x:c r="J119" s="35" t="n">
        <x:v>159</x:v>
      </x:c>
      <x:c r="K119" s="32" t="n">
        <x:v>38061004.150797874</x:v>
      </x:c>
      <x:c r="L119" s="32" t="n">
        <x:v>27105688.547792196</x:v>
      </x:c>
      <x:c r="M119" s="32" t="n">
        <x:v>31381596.30210026</x:v>
      </x:c>
      <x:c r="N119" s="34" t="n">
        <x:f>K119/SUM($K$2:$K$283)</x:f>
        <x:v>0.0005728440377666693</x:v>
      </x:c>
      <x:c r="O119" s="35" t="n">
        <x:f>RANK(K119,$K$2:$K$283,0)+COUNTIF($K$2:K119,K119)-1</x:f>
        <x:v>118</x:v>
      </x:c>
    </x:row>
    <x:row r="120" ht="18" customHeight="1">
      <x:c r="A120" s="25" t="str">
        <x:v>EEZ_793</x:v>
      </x:c>
      <x:c r="B120" s="25" t="str">
        <x:v>Turkey (Mediterranean Sea)</x:v>
      </x:c>
      <x:c r="C120" s="25" t="str">
        <x:v>EEZ</x:v>
      </x:c>
      <x:c r="D120" s="31" t="n">
        <x:v>2019</x:v>
      </x:c>
      <x:c r="E120" s="32" t="n">
        <x:v>87055.4164278193</x:v>
      </x:c>
      <x:c r="F120" s="32" t="n">
        <x:v>87055.4164278193</x:v>
      </x:c>
      <x:c r="G120" s="33" t="n">
        <x:v>0</x:v>
      </x:c>
      <x:c r="H120" s="34" t="n">
        <x:v>1</x:v>
      </x:c>
      <x:c r="I120" s="35" t="n">
        <x:v>92</x:v>
      </x:c>
      <x:c r="J120" s="35" t="n">
        <x:v>92</x:v>
      </x:c>
      <x:c r="K120" s="32" t="n">
        <x:v>37682483.74893091</x:v>
      </x:c>
      <x:c r="L120" s="32" t="n">
        <x:v>26247375.507061515</x:v>
      </x:c>
      <x:c r="M120" s="32" t="n">
        <x:v>32325468.175251145</x:v>
      </x:c>
      <x:c r="N120" s="34" t="n">
        <x:f>K120/SUM($K$2:$K$283)</x:f>
        <x:v>0.0005671470478889604</x:v>
      </x:c>
      <x:c r="O120" s="35" t="n">
        <x:f>RANK(K120,$K$2:$K$283,0)+COUNTIF($K$2:K120,K120)-1</x:f>
        <x:v>119</x:v>
      </x:c>
    </x:row>
    <x:row r="121" ht="18" customHeight="1">
      <x:c r="A121" s="25" t="str">
        <x:v>EEZ_214</x:v>
      </x:c>
      <x:c r="B121" s="25" t="str">
        <x:v>Dominican Republic</x:v>
      </x:c>
      <x:c r="C121" s="25" t="str">
        <x:v>EEZ</x:v>
      </x:c>
      <x:c r="D121" s="31" t="n">
        <x:v>2019</x:v>
      </x:c>
      <x:c r="E121" s="32" t="n">
        <x:v>54410.016272012</x:v>
      </x:c>
      <x:c r="F121" s="32" t="n">
        <x:v>54410.016272012</x:v>
      </x:c>
      <x:c r="G121" s="33" t="n">
        <x:v>0</x:v>
      </x:c>
      <x:c r="H121" s="34" t="n">
        <x:v>1</x:v>
      </x:c>
      <x:c r="I121" s="35" t="n">
        <x:v>80</x:v>
      </x:c>
      <x:c r="J121" s="35" t="n">
        <x:v>80</x:v>
      </x:c>
      <x:c r="K121" s="32" t="n">
        <x:v>37213224.13606851</x:v>
      </x:c>
      <x:c r="L121" s="32" t="n">
        <x:v>28029391.484373044</x:v>
      </x:c>
      <x:c r="M121" s="32" t="n">
        <x:v>32421356.943761438</x:v>
      </x:c>
      <x:c r="N121" s="34" t="n">
        <x:f>K121/SUM($K$2:$K$283)</x:f>
        <x:v>0.0005600843710786512</x:v>
      </x:c>
      <x:c r="O121" s="35" t="n">
        <x:f>RANK(K121,$K$2:$K$283,0)+COUNTIF($K$2:K121,K121)-1</x:f>
        <x:v>120</x:v>
      </x:c>
    </x:row>
    <x:row r="122" ht="18" customHeight="1">
      <x:c r="A122" s="25" t="str">
        <x:v>EEZ_934</x:v>
      </x:c>
      <x:c r="B122" s="25" t="str">
        <x:v>Egypt (Red Sea)</x:v>
      </x:c>
      <x:c r="C122" s="25" t="str">
        <x:v>EEZ</x:v>
      </x:c>
      <x:c r="D122" s="31" t="n">
        <x:v>2019</x:v>
      </x:c>
      <x:c r="E122" s="32" t="n">
        <x:v>65184.46302450699</x:v>
      </x:c>
      <x:c r="F122" s="32" t="n">
        <x:v>65184.46302450699</x:v>
      </x:c>
      <x:c r="G122" s="33" t="n">
        <x:v>0</x:v>
      </x:c>
      <x:c r="H122" s="34" t="n">
        <x:v>1</x:v>
      </x:c>
      <x:c r="I122" s="35" t="n">
        <x:v>57</x:v>
      </x:c>
      <x:c r="J122" s="35" t="n">
        <x:v>57</x:v>
      </x:c>
      <x:c r="K122" s="32" t="n">
        <x:v>36870962.78596789</x:v>
      </x:c>
      <x:c r="L122" s="32" t="n">
        <x:v>24237547.092674963</x:v>
      </x:c>
      <x:c r="M122" s="32" t="n">
        <x:v>25986824.216516934</x:v>
      </x:c>
      <x:c r="N122" s="34" t="n">
        <x:f>K122/SUM($K$2:$K$283)</x:f>
        <x:v>0.0005549331046279209</x:v>
      </x:c>
      <x:c r="O122" s="35" t="n">
        <x:f>RANK(K122,$K$2:$K$283,0)+COUNTIF($K$2:K122,K122)-1</x:f>
        <x:v>121</x:v>
      </x:c>
    </x:row>
    <x:row r="123" ht="18" customHeight="1">
      <x:c r="A123" s="25" t="str">
        <x:v>EEZ_621</x:v>
      </x:c>
      <x:c r="B123" s="25" t="str">
        <x:v>Madeira Isl. (Portugal)</x:v>
      </x:c>
      <x:c r="C123" s="25" t="str">
        <x:v>EEZ</x:v>
      </x:c>
      <x:c r="D123" s="31" t="n">
        <x:v>2019</x:v>
      </x:c>
      <x:c r="E123" s="32" t="n">
        <x:v>14928.145180905802</x:v>
      </x:c>
      <x:c r="F123" s="32" t="n">
        <x:v>14928.145180905802</x:v>
      </x:c>
      <x:c r="G123" s="33" t="n">
        <x:v>0</x:v>
      </x:c>
      <x:c r="H123" s="34" t="n">
        <x:v>1</x:v>
      </x:c>
      <x:c r="I123" s="35" t="n">
        <x:v>98</x:v>
      </x:c>
      <x:c r="J123" s="35" t="n">
        <x:v>98</x:v>
      </x:c>
      <x:c r="K123" s="32" t="n">
        <x:v>34811066.00645102</x:v>
      </x:c>
      <x:c r="L123" s="32" t="n">
        <x:v>32261921.518062312</x:v>
      </x:c>
      <x:c r="M123" s="32" t="n">
        <x:v>34151617.34439845</x:v>
      </x:c>
      <x:c r="N123" s="34" t="n">
        <x:f>K123/SUM($K$2:$K$283)</x:f>
        <x:v>0.0005239302549951094</x:v>
      </x:c>
      <x:c r="O123" s="35" t="n">
        <x:f>RANK(K123,$K$2:$K$283,0)+COUNTIF($K$2:K123,K123)-1</x:f>
        <x:v>122</x:v>
      </x:c>
    </x:row>
    <x:row r="124" ht="18" customHeight="1">
      <x:c r="A124" s="25" t="str">
        <x:v>EEZ_246</x:v>
      </x:c>
      <x:c r="B124" s="25" t="str">
        <x:v>Finland</x:v>
      </x:c>
      <x:c r="C124" s="25" t="str">
        <x:v>EEZ</x:v>
      </x:c>
      <x:c r="D124" s="31" t="n">
        <x:v>2019</x:v>
      </x:c>
      <x:c r="E124" s="32" t="n">
        <x:v>122751.58946063148</x:v>
      </x:c>
      <x:c r="F124" s="32" t="n">
        <x:v>122751.58946063148</x:v>
      </x:c>
      <x:c r="G124" s="33" t="n">
        <x:v>0</x:v>
      </x:c>
      <x:c r="H124" s="34" t="n">
        <x:v>1</x:v>
      </x:c>
      <x:c r="I124" s="35" t="n">
        <x:v>43</x:v>
      </x:c>
      <x:c r="J124" s="35" t="n">
        <x:v>43</x:v>
      </x:c>
      <x:c r="K124" s="32" t="n">
        <x:v>33509013.98870027</x:v>
      </x:c>
      <x:c r="L124" s="32" t="n">
        <x:v>30445812.056477316</x:v>
      </x:c>
      <x:c r="M124" s="32" t="n">
        <x:v>30675380.581763048</x:v>
      </x:c>
      <x:c r="N124" s="34" t="n">
        <x:f>K124/SUM($K$2:$K$283)</x:f>
        <x:v>0.0005043334852337173</x:v>
      </x:c>
      <x:c r="O124" s="35" t="n">
        <x:f>RANK(K124,$K$2:$K$283,0)+COUNTIF($K$2:K124,K124)-1</x:f>
        <x:v>123</x:v>
      </x:c>
    </x:row>
    <x:row r="125" ht="18" customHeight="1">
      <x:c r="A125" s="25" t="str">
        <x:v>EEZ_690</x:v>
      </x:c>
      <x:c r="B125" s="25" t="str">
        <x:v>Seychelles</x:v>
      </x:c>
      <x:c r="C125" s="25" t="str">
        <x:v>EEZ</x:v>
      </x:c>
      <x:c r="D125" s="31" t="n">
        <x:v>2019</x:v>
      </x:c>
      <x:c r="E125" s="32" t="n">
        <x:v>18710.237207483602</x:v>
      </x:c>
      <x:c r="F125" s="32" t="n">
        <x:v>18710.237207483602</x:v>
      </x:c>
      <x:c r="G125" s="33" t="n">
        <x:v>0</x:v>
      </x:c>
      <x:c r="H125" s="34" t="n">
        <x:v>1</x:v>
      </x:c>
      <x:c r="I125" s="35" t="n">
        <x:v>118</x:v>
      </x:c>
      <x:c r="J125" s="35" t="n">
        <x:v>118</x:v>
      </x:c>
      <x:c r="K125" s="32" t="n">
        <x:v>32871376.210854456</x:v>
      </x:c>
      <x:c r="L125" s="32" t="n">
        <x:v>27077113.811881226</x:v>
      </x:c>
      <x:c r="M125" s="32" t="n">
        <x:v>28959993.568596356</x:v>
      </x:c>
      <x:c r="N125" s="34" t="n">
        <x:f>K125/SUM($K$2:$K$283)</x:f>
        <x:v>0.0004947366023494252</x:v>
      </x:c>
      <x:c r="O125" s="35" t="n">
        <x:f>RANK(K125,$K$2:$K$283,0)+COUNTIF($K$2:K125,K125)-1</x:f>
        <x:v>124</x:v>
      </x:c>
    </x:row>
    <x:row r="126" ht="18" customHeight="1">
      <x:c r="A126" s="25" t="str">
        <x:v>EEZ_548</x:v>
      </x:c>
      <x:c r="B126" s="25" t="str">
        <x:v>Vanuatu</x:v>
      </x:c>
      <x:c r="C126" s="25" t="str">
        <x:v>EEZ</x:v>
      </x:c>
      <x:c r="D126" s="31" t="n">
        <x:v>2019</x:v>
      </x:c>
      <x:c r="E126" s="32" t="n">
        <x:v>19630.861294589602</x:v>
      </x:c>
      <x:c r="F126" s="32" t="n">
        <x:v>19630.861294589602</x:v>
      </x:c>
      <x:c r="G126" s="33" t="n">
        <x:v>0</x:v>
      </x:c>
      <x:c r="H126" s="34" t="n">
        <x:v>1</x:v>
      </x:c>
      <x:c r="I126" s="35" t="n">
        <x:v>68</x:v>
      </x:c>
      <x:c r="J126" s="35" t="n">
        <x:v>68</x:v>
      </x:c>
      <x:c r="K126" s="32" t="n">
        <x:v>32659015.20720978</x:v>
      </x:c>
      <x:c r="L126" s="32" t="n">
        <x:v>31019175.376190137</x:v>
      </x:c>
      <x:c r="M126" s="32" t="n">
        <x:v>31340132.170963</x:v>
      </x:c>
      <x:c r="N126" s="34" t="n">
        <x:f>K126/SUM($K$2:$K$283)</x:f>
        <x:v>0.0004915404245946286</x:v>
      </x:c>
      <x:c r="O126" s="35" t="n">
        <x:f>RANK(K126,$K$2:$K$283,0)+COUNTIF($K$2:K126,K126)-1</x:f>
        <x:v>125</x:v>
      </x:c>
    </x:row>
    <x:row r="127" ht="18" customHeight="1">
      <x:c r="A127" s="25" t="str">
        <x:v>EEZ_434</x:v>
      </x:c>
      <x:c r="B127" s="25" t="str">
        <x:v>Libya</x:v>
      </x:c>
      <x:c r="C127" s="25" t="str">
        <x:v>EEZ</x:v>
      </x:c>
      <x:c r="D127" s="31" t="n">
        <x:v>2019</x:v>
      </x:c>
      <x:c r="E127" s="32" t="n">
        <x:v>46065.4690766525</x:v>
      </x:c>
      <x:c r="F127" s="32" t="n">
        <x:v>46065.4690766525</x:v>
      </x:c>
      <x:c r="G127" s="33" t="n">
        <x:v>0</x:v>
      </x:c>
      <x:c r="H127" s="34" t="n">
        <x:v>1</x:v>
      </x:c>
      <x:c r="I127" s="35" t="n">
        <x:v>147</x:v>
      </x:c>
      <x:c r="J127" s="35" t="n">
        <x:v>147</x:v>
      </x:c>
      <x:c r="K127" s="32" t="n">
        <x:v>32589026.701867957</x:v>
      </x:c>
      <x:c r="L127" s="32" t="n">
        <x:v>23407105.4909815</x:v>
      </x:c>
      <x:c r="M127" s="32" t="n">
        <x:v>29149313.176975008</x:v>
      </x:c>
      <x:c r="N127" s="34" t="n">
        <x:f>K127/SUM($K$2:$K$283)</x:f>
        <x:v>0.0004904870499164825</x:v>
      </x:c>
      <x:c r="O127" s="35" t="n">
        <x:f>RANK(K127,$K$2:$K$283,0)+COUNTIF($K$2:K127,K127)-1</x:f>
        <x:v>126</x:v>
      </x:c>
    </x:row>
    <x:row r="128" ht="18" customHeight="1">
      <x:c r="A128" s="25" t="str">
        <x:v>EEZ_528</x:v>
      </x:c>
      <x:c r="B128" s="25" t="str">
        <x:v>Netherlands</x:v>
      </x:c>
      <x:c r="C128" s="25" t="str">
        <x:v>EEZ</x:v>
      </x:c>
      <x:c r="D128" s="31" t="n">
        <x:v>2019</x:v>
      </x:c>
      <x:c r="E128" s="32" t="n">
        <x:v>101104.7566313979</x:v>
      </x:c>
      <x:c r="F128" s="32" t="n">
        <x:v>101104.7566313979</x:v>
      </x:c>
      <x:c r="G128" s="33" t="n">
        <x:v>0</x:v>
      </x:c>
      <x:c r="H128" s="34" t="n">
        <x:v>1</x:v>
      </x:c>
      <x:c r="I128" s="35" t="n">
        <x:v>182</x:v>
      </x:c>
      <x:c r="J128" s="35" t="n">
        <x:v>182</x:v>
      </x:c>
      <x:c r="K128" s="32" t="n">
        <x:v>32412118.312102888</x:v>
      </x:c>
      <x:c r="L128" s="32" t="n">
        <x:v>28372581.604711153</x:v>
      </x:c>
      <x:c r="M128" s="32" t="n">
        <x:v>29121670.551329825</x:v>
      </x:c>
      <x:c r="N128" s="34" t="n">
        <x:f>K128/SUM($K$2:$K$283)</x:f>
        <x:v>0.0004878244581491632</x:v>
      </x:c>
      <x:c r="O128" s="35" t="n">
        <x:f>RANK(K128,$K$2:$K$283,0)+COUNTIF($K$2:K128,K128)-1</x:f>
        <x:v>127</x:v>
      </x:c>
    </x:row>
    <x:row r="129" ht="18" customHeight="1">
      <x:c r="A129" s="25" t="str">
        <x:v>EEZ_933</x:v>
      </x:c>
      <x:c r="B129" s="25" t="str">
        <x:v>Egypt (Mediterranean)</x:v>
      </x:c>
      <x:c r="C129" s="25" t="str">
        <x:v>EEZ</x:v>
      </x:c>
      <x:c r="D129" s="31" t="n">
        <x:v>2019</x:v>
      </x:c>
      <x:c r="E129" s="32" t="n">
        <x:v>55812.690645263196</x:v>
      </x:c>
      <x:c r="F129" s="32" t="n">
        <x:v>55812.690645263196</x:v>
      </x:c>
      <x:c r="G129" s="33" t="n">
        <x:v>0</x:v>
      </x:c>
      <x:c r="H129" s="34" t="n">
        <x:v>1</x:v>
      </x:c>
      <x:c r="I129" s="35" t="n">
        <x:v>88</x:v>
      </x:c>
      <x:c r="J129" s="35" t="n">
        <x:v>88</x:v>
      </x:c>
      <x:c r="K129" s="32" t="n">
        <x:v>31057514.964360286</x:v>
      </x:c>
      <x:c r="L129" s="32" t="n">
        <x:v>20349748.172774687</x:v>
      </x:c>
      <x:c r="M129" s="32" t="n">
        <x:v>28131616.40013305</x:v>
      </x:c>
      <x:c r="N129" s="34" t="n">
        <x:f>K129/SUM($K$2:$K$283)</x:f>
        <x:v>0.00046743675507599414</x:v>
      </x:c>
      <x:c r="O129" s="35" t="n">
        <x:f>RANK(K129,$K$2:$K$283,0)+COUNTIF($K$2:K129,K129)-1</x:f>
        <x:v>128</x:v>
      </x:c>
    </x:row>
    <x:row r="130" ht="18" customHeight="1">
      <x:c r="A130" s="25" t="str">
        <x:v>EEZ_647</x:v>
      </x:c>
      <x:c r="B130" s="25" t="str">
        <x:v>Russia (Black Sea)</x:v>
      </x:c>
      <x:c r="C130" s="25" t="str">
        <x:v>EEZ</x:v>
      </x:c>
      <x:c r="D130" s="31" t="n">
        <x:v>2019</x:v>
      </x:c>
      <x:c r="E130" s="32" t="n">
        <x:v>151771.4553513236</x:v>
      </x:c>
      <x:c r="F130" s="32" t="n">
        <x:v>151771.4553513236</x:v>
      </x:c>
      <x:c r="G130" s="33" t="n">
        <x:v>0</x:v>
      </x:c>
      <x:c r="H130" s="34" t="n">
        <x:v>1</x:v>
      </x:c>
      <x:c r="I130" s="35" t="n">
        <x:v>40</x:v>
      </x:c>
      <x:c r="J130" s="35" t="n">
        <x:v>40</x:v>
      </x:c>
      <x:c r="K130" s="32" t="n">
        <x:v>30470880.239130165</x:v>
      </x:c>
      <x:c r="L130" s="32" t="n">
        <x:v>26641731.874007963</x:v>
      </x:c>
      <x:c r="M130" s="32" t="n">
        <x:v>26908430.4472515</x:v>
      </x:c>
      <x:c r="N130" s="34" t="n">
        <x:f>K130/SUM($K$2:$K$283)</x:f>
        <x:v>0.0004586075028743568</x:v>
      </x:c>
      <x:c r="O130" s="35" t="n">
        <x:f>RANK(K130,$K$2:$K$283,0)+COUNTIF($K$2:K130,K130)-1</x:f>
        <x:v>129</x:v>
      </x:c>
    </x:row>
    <x:row r="131" ht="18" customHeight="1">
      <x:c r="A131" s="25" t="str">
        <x:v>EEZ_393</x:v>
      </x:c>
      <x:c r="B131" s="25" t="str">
        <x:v>Japan (Daito Islands)</x:v>
      </x:c>
      <x:c r="C131" s="25" t="str">
        <x:v>EEZ</x:v>
      </x:c>
      <x:c r="D131" s="31" t="n">
        <x:v>2019</x:v>
      </x:c>
      <x:c r="E131" s="32" t="n">
        <x:v>17808.098251388197</x:v>
      </x:c>
      <x:c r="F131" s="32" t="n">
        <x:v>17808.098251388197</x:v>
      </x:c>
      <x:c r="G131" s="33" t="n">
        <x:v>0</x:v>
      </x:c>
      <x:c r="H131" s="34" t="n">
        <x:v>1</x:v>
      </x:c>
      <x:c r="I131" s="35" t="n">
        <x:v>29</x:v>
      </x:c>
      <x:c r="J131" s="35" t="n">
        <x:v>29</x:v>
      </x:c>
      <x:c r="K131" s="32" t="n">
        <x:v>29495755.19813662</x:v>
      </x:c>
      <x:c r="L131" s="32" t="n">
        <x:v>28111203.838282995</x:v>
      </x:c>
      <x:c r="M131" s="32" t="n">
        <x:v>29214345.597610462</x:v>
      </x:c>
      <x:c r="N131" s="34" t="n">
        <x:f>K131/SUM($K$2:$K$283)</x:f>
        <x:v>0.00044393120679985025</x:v>
      </x:c>
      <x:c r="O131" s="35" t="n">
        <x:f>RANK(K131,$K$2:$K$283,0)+COUNTIF($K$2:K131,K131)-1</x:f>
        <x:v>130</x:v>
      </x:c>
    </x:row>
    <x:row r="132" ht="18" customHeight="1">
      <x:c r="A132" s="25" t="str">
        <x:v>EEZ_952</x:v>
      </x:c>
      <x:c r="B132" s="25" t="str">
        <x:v>Panama (Pacific)</x:v>
      </x:c>
      <x:c r="C132" s="25" t="str">
        <x:v>EEZ</x:v>
      </x:c>
      <x:c r="D132" s="31" t="n">
        <x:v>2019</x:v>
      </x:c>
      <x:c r="E132" s="32" t="n">
        <x:v>303382.62349392334</x:v>
      </x:c>
      <x:c r="F132" s="32" t="n">
        <x:v>303382.62349392334</x:v>
      </x:c>
      <x:c r="G132" s="33" t="n">
        <x:v>0</x:v>
      </x:c>
      <x:c r="H132" s="34" t="n">
        <x:v>1</x:v>
      </x:c>
      <x:c r="I132" s="35" t="n">
        <x:v>67</x:v>
      </x:c>
      <x:c r="J132" s="35" t="n">
        <x:v>67</x:v>
      </x:c>
      <x:c r="K132" s="32" t="n">
        <x:v>28957741.549752913</x:v>
      </x:c>
      <x:c r="L132" s="32" t="n">
        <x:v>27245483.3785698</x:v>
      </x:c>
      <x:c r="M132" s="32" t="n">
        <x:v>27717386.731267262</x:v>
      </x:c>
      <x:c r="N132" s="34" t="n">
        <x:f>K132/SUM($K$2:$K$283)</x:f>
        <x:v>0.00043583373492305427</x:v>
      </x:c>
      <x:c r="O132" s="35" t="n">
        <x:f>RANK(K132,$K$2:$K$283,0)+COUNTIF($K$2:K132,K132)-1</x:f>
        <x:v>131</x:v>
      </x:c>
    </x:row>
    <x:row r="133" ht="18" customHeight="1">
      <x:c r="A133" s="25" t="str">
        <x:v>EEZ_903</x:v>
      </x:c>
      <x:c r="B133" s="25" t="str">
        <x:v>Balearic Islands (Spain)</x:v>
      </x:c>
      <x:c r="C133" s="25" t="str">
        <x:v>EEZ</x:v>
      </x:c>
      <x:c r="D133" s="31" t="n">
        <x:v>2019</x:v>
      </x:c>
      <x:c r="E133" s="32" t="n">
        <x:v>15335.9862376629</x:v>
      </x:c>
      <x:c r="F133" s="32" t="n">
        <x:v>15335.9862376629</x:v>
      </x:c>
      <x:c r="G133" s="33" t="n">
        <x:v>0</x:v>
      </x:c>
      <x:c r="H133" s="34" t="n">
        <x:v>1</x:v>
      </x:c>
      <x:c r="I133" s="35" t="n">
        <x:v>187</x:v>
      </x:c>
      <x:c r="J133" s="35" t="n">
        <x:v>187</x:v>
      </x:c>
      <x:c r="K133" s="32" t="n">
        <x:v>28287148.88364155</x:v>
      </x:c>
      <x:c r="L133" s="32" t="n">
        <x:v>26410037.30568266</x:v>
      </x:c>
      <x:c r="M133" s="32" t="n">
        <x:v>27236813.42580577</x:v>
      </x:c>
      <x:c r="N133" s="34" t="n">
        <x:f>K133/SUM($K$2:$K$283)</x:f>
        <x:v>0.00042574085852310523</x:v>
      </x:c>
      <x:c r="O133" s="35" t="n">
        <x:f>RANK(K133,$K$2:$K$283,0)+COUNTIF($K$2:K133,K133)-1</x:f>
        <x:v>132</x:v>
      </x:c>
    </x:row>
    <x:row r="134" ht="18" customHeight="1">
      <x:c r="A134" s="25" t="str">
        <x:v>EEZ_950</x:v>
      </x:c>
      <x:c r="B134" s="25" t="str">
        <x:v>Nicaragua (Pacific)</x:v>
      </x:c>
      <x:c r="C134" s="25" t="str">
        <x:v>EEZ</x:v>
      </x:c>
      <x:c r="D134" s="31" t="n">
        <x:v>2019</x:v>
      </x:c>
      <x:c r="E134" s="32" t="n">
        <x:v>24556.3459940686</x:v>
      </x:c>
      <x:c r="F134" s="32" t="n">
        <x:v>24556.3459940686</x:v>
      </x:c>
      <x:c r="G134" s="33" t="n">
        <x:v>0</x:v>
      </x:c>
      <x:c r="H134" s="34" t="n">
        <x:v>1</x:v>
      </x:c>
      <x:c r="I134" s="35" t="n">
        <x:v>46</x:v>
      </x:c>
      <x:c r="J134" s="35" t="n">
        <x:v>46</x:v>
      </x:c>
      <x:c r="K134" s="32" t="n">
        <x:v>28085727.266922668</x:v>
      </x:c>
      <x:c r="L134" s="32" t="n">
        <x:v>26566117.21852223</x:v>
      </x:c>
      <x:c r="M134" s="32" t="n">
        <x:v>27677506.00575713</x:v>
      </x:c>
      <x:c r="N134" s="34" t="n">
        <x:f>K134/SUM($K$2:$K$283)</x:f>
        <x:v>0.00042270932599291805</x:v>
      </x:c>
      <x:c r="O134" s="35" t="n">
        <x:f>RANK(K134,$K$2:$K$283,0)+COUNTIF($K$2:K134,K134)-1</x:f>
        <x:v>133</x:v>
      </x:c>
    </x:row>
    <x:row r="135" ht="18" customHeight="1">
      <x:c r="A135" s="25" t="str">
        <x:v>EEZ_622</x:v>
      </x:c>
      <x:c r="B135" s="25" t="str">
        <x:v>Azores Isl. (Portugal)</x:v>
      </x:c>
      <x:c r="C135" s="25" t="str">
        <x:v>EEZ</x:v>
      </x:c>
      <x:c r="D135" s="31" t="n">
        <x:v>2019</x:v>
      </x:c>
      <x:c r="E135" s="32" t="n">
        <x:v>21195.0352962868</x:v>
      </x:c>
      <x:c r="F135" s="32" t="n">
        <x:v>21195.0352962868</x:v>
      </x:c>
      <x:c r="G135" s="33" t="n">
        <x:v>0</x:v>
      </x:c>
      <x:c r="H135" s="34" t="n">
        <x:v>1</x:v>
      </x:c>
      <x:c r="I135" s="35" t="n">
        <x:v>132</x:v>
      </x:c>
      <x:c r="J135" s="35" t="n">
        <x:v>132</x:v>
      </x:c>
      <x:c r="K135" s="32" t="n">
        <x:v>27576431.66877207</x:v>
      </x:c>
      <x:c r="L135" s="32" t="n">
        <x:v>24900064.89058782</x:v>
      </x:c>
      <x:c r="M135" s="32" t="n">
        <x:v>26059454.854341455</x:v>
      </x:c>
      <x:c r="N135" s="34" t="n">
        <x:f>K135/SUM($K$2:$K$283)</x:f>
        <x:v>0.00041504408033346367</x:v>
      </x:c>
      <x:c r="O135" s="35" t="n">
        <x:f>RANK(K135,$K$2:$K$283,0)+COUNTIF($K$2:K135,K135)-1</x:f>
        <x:v>134</x:v>
      </x:c>
    </x:row>
    <x:row r="136" ht="18" customHeight="1">
      <x:c r="A136" s="25" t="str">
        <x:v>EEZ_328</x:v>
      </x:c>
      <x:c r="B136" s="25" t="str">
        <x:v>Guyana</x:v>
      </x:c>
      <x:c r="C136" s="25" t="str">
        <x:v>EEZ</x:v>
      </x:c>
      <x:c r="D136" s="31" t="n">
        <x:v>2019</x:v>
      </x:c>
      <x:c r="E136" s="32" t="n">
        <x:v>57488.00087232851</x:v>
      </x:c>
      <x:c r="F136" s="32" t="n">
        <x:v>57488.00087232851</x:v>
      </x:c>
      <x:c r="G136" s="33" t="n">
        <x:v>0</x:v>
      </x:c>
      <x:c r="H136" s="34" t="n">
        <x:v>1</x:v>
      </x:c>
      <x:c r="I136" s="35" t="n">
        <x:v>73</x:v>
      </x:c>
      <x:c r="J136" s="35" t="n">
        <x:v>73</x:v>
      </x:c>
      <x:c r="K136" s="32" t="n">
        <x:v>27398478.76825124</x:v>
      </x:c>
      <x:c r="L136" s="32" t="n">
        <x:v>19988048.525769576</x:v>
      </x:c>
      <x:c r="M136" s="32" t="n">
        <x:v>20927821.099836014</x:v>
      </x:c>
      <x:c r="N136" s="34" t="n">
        <x:f>K136/SUM($K$2:$K$283)</x:f>
        <x:v>0.00041236576796780034</x:v>
      </x:c>
      <x:c r="O136" s="35" t="n">
        <x:f>RANK(K136,$K$2:$K$283,0)+COUNTIF($K$2:K136,K136)-1</x:f>
        <x:v>135</x:v>
      </x:c>
    </x:row>
    <x:row r="137" ht="18" customHeight="1">
      <x:c r="A137" s="25" t="str">
        <x:v>EEZ_901</x:v>
      </x:c>
      <x:c r="B137" s="25" t="str">
        <x:v>Sicily (Italy)</x:v>
      </x:c>
      <x:c r="C137" s="25" t="str">
        <x:v>EEZ</x:v>
      </x:c>
      <x:c r="D137" s="31" t="n">
        <x:v>2019</x:v>
      </x:c>
      <x:c r="E137" s="32" t="n">
        <x:v>39568.555548646895</x:v>
      </x:c>
      <x:c r="F137" s="32" t="n">
        <x:v>39568.555548646895</x:v>
      </x:c>
      <x:c r="G137" s="33" t="n">
        <x:v>0</x:v>
      </x:c>
      <x:c r="H137" s="34" t="n">
        <x:v>1</x:v>
      </x:c>
      <x:c r="I137" s="35" t="n">
        <x:v>152</x:v>
      </x:c>
      <x:c r="J137" s="35" t="n">
        <x:v>152</x:v>
      </x:c>
      <x:c r="K137" s="32" t="n">
        <x:v>27016327.359729037</x:v>
      </x:c>
      <x:c r="L137" s="32" t="n">
        <x:v>21399990.68593382</x:v>
      </x:c>
      <x:c r="M137" s="32" t="n">
        <x:v>22897615.638034843</x:v>
      </x:c>
      <x:c r="N137" s="34" t="n">
        <x:f>K137/SUM($K$2:$K$283)</x:f>
        <x:v>0.00040661412896666566</x:v>
      </x:c>
      <x:c r="O137" s="35" t="n">
        <x:f>RANK(K137,$K$2:$K$283,0)+COUNTIF($K$2:K137,K137)-1</x:f>
        <x:v>136</x:v>
      </x:c>
    </x:row>
    <x:row r="138" ht="18" customHeight="1">
      <x:c r="A138" s="25" t="str">
        <x:v>EEZ_648</x:v>
      </x:c>
      <x:c r="B138" s="25" t="str">
        <x:v>Russia (Baltic Sea)</x:v>
      </x:c>
      <x:c r="C138" s="25" t="str">
        <x:v>EEZ</x:v>
      </x:c>
      <x:c r="D138" s="31" t="n">
        <x:v>2019</x:v>
      </x:c>
      <x:c r="E138" s="32" t="n">
        <x:v>111294.2692790642</x:v>
      </x:c>
      <x:c r="F138" s="32" t="n">
        <x:v>111294.2692790642</x:v>
      </x:c>
      <x:c r="G138" s="33" t="n">
        <x:v>0</x:v>
      </x:c>
      <x:c r="H138" s="34" t="n">
        <x:v>1</x:v>
      </x:c>
      <x:c r="I138" s="35" t="n">
        <x:v>47</x:v>
      </x:c>
      <x:c r="J138" s="35" t="n">
        <x:v>47</x:v>
      </x:c>
      <x:c r="K138" s="32" t="n">
        <x:v>25778605.82277208</x:v>
      </x:c>
      <x:c r="L138" s="32" t="n">
        <x:v>23733257.182470594</x:v>
      </x:c>
      <x:c r="M138" s="32" t="n">
        <x:v>25211716.740608588</x:v>
      </x:c>
      <x:c r="N138" s="34" t="n">
        <x:f>K138/SUM($K$2:$K$283)</x:f>
        <x:v>0.0003879855767600017</x:v>
      </x:c>
      <x:c r="O138" s="35" t="n">
        <x:f>RANK(K138,$K$2:$K$283,0)+COUNTIF($K$2:K138,K138)-1</x:f>
        <x:v>137</x:v>
      </x:c>
    </x:row>
    <x:row r="139" ht="18" customHeight="1">
      <x:c r="A139" s="25" t="str">
        <x:v>EEZ_916</x:v>
      </x:c>
      <x:c r="B139" s="25" t="str">
        <x:v>Yemen (Red Sea)</x:v>
      </x:c>
      <x:c r="C139" s="25" t="str">
        <x:v>EEZ</x:v>
      </x:c>
      <x:c r="D139" s="31" t="n">
        <x:v>2019</x:v>
      </x:c>
      <x:c r="E139" s="32" t="n">
        <x:v>27521.2468767345</x:v>
      </x:c>
      <x:c r="F139" s="32" t="n">
        <x:v>27521.2468767345</x:v>
      </x:c>
      <x:c r="G139" s="33" t="n">
        <x:v>0</x:v>
      </x:c>
      <x:c r="H139" s="34" t="n">
        <x:v>1</x:v>
      </x:c>
      <x:c r="I139" s="35" t="n">
        <x:v>41</x:v>
      </x:c>
      <x:c r="J139" s="35" t="n">
        <x:v>41</x:v>
      </x:c>
      <x:c r="K139" s="32" t="n">
        <x:v>24990523.481711373</x:v>
      </x:c>
      <x:c r="L139" s="32" t="n">
        <x:v>21806466.79740134</x:v>
      </x:c>
      <x:c r="M139" s="32" t="n">
        <x:v>22964829.02371655</x:v>
      </x:c>
      <x:c r="N139" s="34" t="n">
        <x:f>K139/SUM($K$2:$K$283)</x:f>
        <x:v>0.0003761244007238366</x:v>
      </x:c>
      <x:c r="O139" s="35" t="n">
        <x:f>RANK(K139,$K$2:$K$283,0)+COUNTIF($K$2:K139,K139)-1</x:f>
        <x:v>138</x:v>
      </x:c>
    </x:row>
    <x:row r="140" ht="18" customHeight="1">
      <x:c r="A140" s="25" t="str">
        <x:v>EEZ_804</x:v>
      </x:c>
      <x:c r="B140" s="25" t="str">
        <x:v>Ukraine</x:v>
      </x:c>
      <x:c r="C140" s="25" t="str">
        <x:v>EEZ</x:v>
      </x:c>
      <x:c r="D140" s="31" t="n">
        <x:v>2019</x:v>
      </x:c>
      <x:c r="E140" s="32" t="n">
        <x:v>65903.72402365689</x:v>
      </x:c>
      <x:c r="F140" s="32" t="n">
        <x:v>65903.72402365689</x:v>
      </x:c>
      <x:c r="G140" s="33" t="n">
        <x:v>0</x:v>
      </x:c>
      <x:c r="H140" s="34" t="n">
        <x:v>1</x:v>
      </x:c>
      <x:c r="I140" s="35" t="n">
        <x:v>28</x:v>
      </x:c>
      <x:c r="J140" s="35" t="n">
        <x:v>28</x:v>
      </x:c>
      <x:c r="K140" s="32" t="n">
        <x:v>24463611.249558166</x:v>
      </x:c>
      <x:c r="L140" s="32" t="n">
        <x:v>20051518.324218698</x:v>
      </x:c>
      <x:c r="M140" s="32" t="n">
        <x:v>23665034.901305072</x:v>
      </x:c>
      <x:c r="N140" s="34" t="n">
        <x:f>K140/SUM($K$2:$K$283)</x:f>
        <x:v>0.00036819401272305223</x:v>
      </x:c>
      <x:c r="O140" s="35" t="n">
        <x:f>RANK(K140,$K$2:$K$283,0)+COUNTIF($K$2:K140,K140)-1</x:f>
        <x:v>139</x:v>
      </x:c>
    </x:row>
    <x:row r="141" ht="18" customHeight="1">
      <x:c r="A141" s="25" t="str">
        <x:v>EEZ_936</x:v>
      </x:c>
      <x:c r="B141" s="25" t="str">
        <x:v>Guatemala (Pacific)</x:v>
      </x:c>
      <x:c r="C141" s="25" t="str">
        <x:v>EEZ</x:v>
      </x:c>
      <x:c r="D141" s="31" t="n">
        <x:v>2019</x:v>
      </x:c>
      <x:c r="E141" s="32" t="n">
        <x:v>32146.82570390479</x:v>
      </x:c>
      <x:c r="F141" s="32" t="n">
        <x:v>32146.82570390479</x:v>
      </x:c>
      <x:c r="G141" s="33" t="n">
        <x:v>0</x:v>
      </x:c>
      <x:c r="H141" s="34" t="n">
        <x:v>1</x:v>
      </x:c>
      <x:c r="I141" s="35" t="n">
        <x:v>77</x:v>
      </x:c>
      <x:c r="J141" s="35" t="n">
        <x:v>77</x:v>
      </x:c>
      <x:c r="K141" s="32" t="n">
        <x:v>23984917.380311072</x:v>
      </x:c>
      <x:c r="L141" s="32" t="n">
        <x:v>18708329.468436148</x:v>
      </x:c>
      <x:c r="M141" s="32" t="n">
        <x:v>21685992.365911804</x:v>
      </x:c>
      <x:c r="N141" s="34" t="n">
        <x:f>K141/SUM($K$2:$K$283)</x:f>
        <x:v>0.0003609893439279987</x:v>
      </x:c>
      <x:c r="O141" s="35" t="n">
        <x:f>RANK(K141,$K$2:$K$283,0)+COUNTIF($K$2:K141,K141)-1</x:f>
        <x:v>140</x:v>
      </x:c>
    </x:row>
    <x:row r="142" ht="18" customHeight="1">
      <x:c r="A142" s="25" t="str">
        <x:v>EEZ_332</x:v>
      </x:c>
      <x:c r="B142" s="25" t="str">
        <x:v>Haiti</x:v>
      </x:c>
      <x:c r="C142" s="25" t="str">
        <x:v>EEZ</x:v>
      </x:c>
      <x:c r="D142" s="31" t="n">
        <x:v>2019</x:v>
      </x:c>
      <x:c r="E142" s="32" t="n">
        <x:v>25123.6699543932</x:v>
      </x:c>
      <x:c r="F142" s="32" t="n">
        <x:v>25123.6699543932</x:v>
      </x:c>
      <x:c r="G142" s="33" t="n">
        <x:v>0</x:v>
      </x:c>
      <x:c r="H142" s="34" t="n">
        <x:v>1</x:v>
      </x:c>
      <x:c r="I142" s="35" t="n">
        <x:v>57</x:v>
      </x:c>
      <x:c r="J142" s="35" t="n">
        <x:v>57</x:v>
      </x:c>
      <x:c r="K142" s="32" t="n">
        <x:v>23832130.00848978</x:v>
      </x:c>
      <x:c r="L142" s="32" t="n">
        <x:v>16932952.80603383</x:v>
      </x:c>
      <x:c r="M142" s="32" t="n">
        <x:v>19193633.199441336</x:v>
      </x:c>
      <x:c r="N142" s="34" t="n">
        <x:f>K142/SUM($K$2:$K$283)</x:f>
        <x:v>0.00035868978991079257</x:v>
      </x:c>
      <x:c r="O142" s="35" t="n">
        <x:f>RANK(K142,$K$2:$K$283,0)+COUNTIF($K$2:K142,K142)-1</x:f>
        <x:v>141</x:v>
      </x:c>
    </x:row>
    <x:row r="143" ht="18" customHeight="1">
      <x:c r="A143" s="25" t="str">
        <x:v>EEZ_772</x:v>
      </x:c>
      <x:c r="B143" s="25" t="str">
        <x:v>Tokelau (New Zealand)</x:v>
      </x:c>
      <x:c r="C143" s="25" t="str">
        <x:v>EEZ</x:v>
      </x:c>
      <x:c r="D143" s="31" t="n">
        <x:v>2019</x:v>
      </x:c>
      <x:c r="E143" s="32" t="n">
        <x:v>9835.363687701802</x:v>
      </x:c>
      <x:c r="F143" s="32" t="n">
        <x:v>9835.363687701802</x:v>
      </x:c>
      <x:c r="G143" s="33" t="n">
        <x:v>0</x:v>
      </x:c>
      <x:c r="H143" s="34" t="n">
        <x:v>1</x:v>
      </x:c>
      <x:c r="I143" s="35" t="n">
        <x:v>29</x:v>
      </x:c>
      <x:c r="J143" s="35" t="n">
        <x:v>29</x:v>
      </x:c>
      <x:c r="K143" s="32" t="n">
        <x:v>23763562.20958886</x:v>
      </x:c>
      <x:c r="L143" s="32" t="n">
        <x:v>23465804.42043172</x:v>
      </x:c>
      <x:c r="M143" s="32" t="n">
        <x:v>23559458.571684595</x:v>
      </x:c>
      <x:c r="N143" s="34" t="n">
        <x:f>K143/SUM($K$2:$K$283)</x:f>
        <x:v>0.0003576577978322979</x:v>
      </x:c>
      <x:c r="O143" s="35" t="n">
        <x:f>RANK(K143,$K$2:$K$283,0)+COUNTIF($K$2:K143,K143)-1</x:f>
        <x:v>142</x:v>
      </x:c>
    </x:row>
    <x:row r="144" ht="18" customHeight="1">
      <x:c r="A144" s="25" t="str">
        <x:v>EEZ_277</x:v>
      </x:c>
      <x:c r="B144" s="25" t="str">
        <x:v>Germany (North Sea)</x:v>
      </x:c>
      <x:c r="C144" s="25" t="str">
        <x:v>EEZ</x:v>
      </x:c>
      <x:c r="D144" s="31" t="n">
        <x:v>2019</x:v>
      </x:c>
      <x:c r="E144" s="32" t="n">
        <x:v>93934.39639776108</x:v>
      </x:c>
      <x:c r="F144" s="32" t="n">
        <x:v>93934.39639776108</x:v>
      </x:c>
      <x:c r="G144" s="33" t="n">
        <x:v>0</x:v>
      </x:c>
      <x:c r="H144" s="34" t="n">
        <x:v>1</x:v>
      </x:c>
      <x:c r="I144" s="35" t="n">
        <x:v>181</x:v>
      </x:c>
      <x:c r="J144" s="35" t="n">
        <x:v>181</x:v>
      </x:c>
      <x:c r="K144" s="32" t="n">
        <x:v>22262518.47000501</x:v>
      </x:c>
      <x:c r="L144" s="32" t="n">
        <x:v>19233207.47995193</x:v>
      </x:c>
      <x:c r="M144" s="32" t="n">
        <x:v>20008624.253656026</x:v>
      </x:c>
      <x:c r="N144" s="34" t="n">
        <x:f>K144/SUM($K$2:$K$283)</x:f>
        <x:v>0.00033506606711387524</x:v>
      </x:c>
      <x:c r="O144" s="35" t="n">
        <x:f>RANK(K144,$K$2:$K$283,0)+COUNTIF($K$2:K144,K144)-1</x:f>
        <x:v>143</x:v>
      </x:c>
    </x:row>
    <x:row r="145" ht="18" customHeight="1">
      <x:c r="A145" s="25" t="str">
        <x:v>EEZ_768</x:v>
      </x:c>
      <x:c r="B145" s="25" t="str">
        <x:v>Togo</x:v>
      </x:c>
      <x:c r="C145" s="25" t="str">
        <x:v>EEZ</x:v>
      </x:c>
      <x:c r="D145" s="31" t="n">
        <x:v>2019</x:v>
      </x:c>
      <x:c r="E145" s="32" t="n">
        <x:v>51334.51177780791</x:v>
      </x:c>
      <x:c r="F145" s="32" t="n">
        <x:v>51334.51177780791</x:v>
      </x:c>
      <x:c r="G145" s="33" t="n">
        <x:v>0</x:v>
      </x:c>
      <x:c r="H145" s="34" t="n">
        <x:v>1</x:v>
      </x:c>
      <x:c r="I145" s="35" t="n">
        <x:v>129</x:v>
      </x:c>
      <x:c r="J145" s="35" t="n">
        <x:v>129</x:v>
      </x:c>
      <x:c r="K145" s="32" t="n">
        <x:v>22085853.6318601</x:v>
      </x:c>
      <x:c r="L145" s="32" t="n">
        <x:v>19613595.78582249</x:v>
      </x:c>
      <x:c r="M145" s="32" t="n">
        <x:v>21138321.64229359</x:v>
      </x:c>
      <x:c r="N145" s="34" t="n">
        <x:f>K145/SUM($K$2:$K$283)</x:f>
        <x:v>0.00033240714096433477</x:v>
      </x:c>
      <x:c r="O145" s="35" t="n">
        <x:f>RANK(K145,$K$2:$K$283,0)+COUNTIF($K$2:K145,K145)-1</x:f>
        <x:v>144</x:v>
      </x:c>
    </x:row>
    <x:row r="146" ht="18" customHeight="1">
      <x:c r="A146" s="25" t="str">
        <x:v>EEZ_931</x:v>
      </x:c>
      <x:c r="B146" s="25" t="str">
        <x:v>Denmark (Baltic Sea)</x:v>
      </x:c>
      <x:c r="C146" s="25" t="str">
        <x:v>EEZ</x:v>
      </x:c>
      <x:c r="D146" s="31" t="n">
        <x:v>2019</x:v>
      </x:c>
      <x:c r="E146" s="32" t="n">
        <x:v>66565.8646210142</x:v>
      </x:c>
      <x:c r="F146" s="32" t="n">
        <x:v>66565.8646210142</x:v>
      </x:c>
      <x:c r="G146" s="33" t="n">
        <x:v>0</x:v>
      </x:c>
      <x:c r="H146" s="34" t="n">
        <x:v>1</x:v>
      </x:c>
      <x:c r="I146" s="35" t="n">
        <x:v>67</x:v>
      </x:c>
      <x:c r="J146" s="35" t="n">
        <x:v>67</x:v>
      </x:c>
      <x:c r="K146" s="32" t="n">
        <x:v>22017567.609833583</x:v>
      </x:c>
      <x:c r="L146" s="32" t="n">
        <x:v>20086651.322055914</x:v>
      </x:c>
      <x:c r="M146" s="32" t="n">
        <x:v>19845788.949558187</x:v>
      </x:c>
      <x:c r="N146" s="34" t="n">
        <x:f>K146/SUM($K$2:$K$283)</x:f>
        <x:v>0.0003313793898197325</x:v>
      </x:c>
      <x:c r="O146" s="35" t="n">
        <x:f>RANK(K146,$K$2:$K$283,0)+COUNTIF($K$2:K146,K146)-1</x:f>
        <x:v>145</x:v>
      </x:c>
    </x:row>
    <x:row r="147" ht="18" customHeight="1">
      <x:c r="A147" s="25" t="str">
        <x:v>EEZ_585</x:v>
      </x:c>
      <x:c r="B147" s="25" t="str">
        <x:v>Palau</x:v>
      </x:c>
      <x:c r="C147" s="25" t="str">
        <x:v>EEZ</x:v>
      </x:c>
      <x:c r="D147" s="31" t="n">
        <x:v>2019</x:v>
      </x:c>
      <x:c r="E147" s="32" t="n">
        <x:v>10527.122073695098</x:v>
      </x:c>
      <x:c r="F147" s="32" t="n">
        <x:v>10527.122073695098</x:v>
      </x:c>
      <x:c r="G147" s="33" t="n">
        <x:v>0</x:v>
      </x:c>
      <x:c r="H147" s="34" t="n">
        <x:v>1</x:v>
      </x:c>
      <x:c r="I147" s="35" t="n">
        <x:v>56</x:v>
      </x:c>
      <x:c r="J147" s="35" t="n">
        <x:v>56</x:v>
      </x:c>
      <x:c r="K147" s="32" t="n">
        <x:v>21756489.01330104</x:v>
      </x:c>
      <x:c r="L147" s="32" t="n">
        <x:v>20459857.100980364</x:v>
      </x:c>
      <x:c r="M147" s="32" t="n">
        <x:v>20847627.440702245</x:v>
      </x:c>
      <x:c r="N147" s="34" t="n">
        <x:f>K147/SUM($K$2:$K$283)</x:f>
        <x:v>0.00032744997910792863</x:v>
      </x:c>
      <x:c r="O147" s="35" t="n">
        <x:f>RANK(K147,$K$2:$K$283,0)+COUNTIF($K$2:K147,K147)-1</x:f>
        <x:v>146</x:v>
      </x:c>
    </x:row>
    <x:row r="148" ht="18" customHeight="1">
      <x:c r="A148" s="25" t="str">
        <x:v>EEZ_404</x:v>
      </x:c>
      <x:c r="B148" s="25" t="str">
        <x:v>Kenya</x:v>
      </x:c>
      <x:c r="C148" s="25" t="str">
        <x:v>EEZ</x:v>
      </x:c>
      <x:c r="D148" s="31" t="n">
        <x:v>2019</x:v>
      </x:c>
      <x:c r="E148" s="32" t="n">
        <x:v>30334.335852588403</x:v>
      </x:c>
      <x:c r="F148" s="32" t="n">
        <x:v>30334.335852588403</x:v>
      </x:c>
      <x:c r="G148" s="33" t="n">
        <x:v>0</x:v>
      </x:c>
      <x:c r="H148" s="34" t="n">
        <x:v>1</x:v>
      </x:c>
      <x:c r="I148" s="35" t="n">
        <x:v>120</x:v>
      </x:c>
      <x:c r="J148" s="35" t="n">
        <x:v>120</x:v>
      </x:c>
      <x:c r="K148" s="32" t="n">
        <x:v>21699341.79872701</x:v>
      </x:c>
      <x:c r="L148" s="32" t="n">
        <x:v>12319282.267539116</x:v>
      </x:c>
      <x:c r="M148" s="32" t="n">
        <x:v>15970987.67798396</x:v>
      </x:c>
      <x:c r="N148" s="34" t="n">
        <x:f>K148/SUM($K$2:$K$283)</x:f>
        <x:v>0.0003265898746026979</x:v>
      </x:c>
      <x:c r="O148" s="35" t="n">
        <x:f>RANK(K148,$K$2:$K$283,0)+COUNTIF($K$2:K148,K148)-1</x:f>
        <x:v>147</x:v>
      </x:c>
    </x:row>
    <x:row r="149" ht="18" customHeight="1">
      <x:c r="A149" s="25" t="str">
        <x:v>EEZ_428</x:v>
      </x:c>
      <x:c r="B149" s="25" t="str">
        <x:v>Latvia</x:v>
      </x:c>
      <x:c r="C149" s="25" t="str">
        <x:v>EEZ</x:v>
      </x:c>
      <x:c r="D149" s="31" t="n">
        <x:v>2019</x:v>
      </x:c>
      <x:c r="E149" s="32" t="n">
        <x:v>100360.1351648573</x:v>
      </x:c>
      <x:c r="F149" s="32" t="n">
        <x:v>100360.1351648573</x:v>
      </x:c>
      <x:c r="G149" s="33" t="n">
        <x:v>0</x:v>
      </x:c>
      <x:c r="H149" s="34" t="n">
        <x:v>1</x:v>
      </x:c>
      <x:c r="I149" s="35" t="n">
        <x:v>45</x:v>
      </x:c>
      <x:c r="J149" s="35" t="n">
        <x:v>45</x:v>
      </x:c>
      <x:c r="K149" s="32" t="n">
        <x:v>21329723.262881607</x:v>
      </x:c>
      <x:c r="L149" s="32" t="n">
        <x:v>19085893.87546863</x:v>
      </x:c>
      <x:c r="M149" s="32" t="n">
        <x:v>20586662.395192724</x:v>
      </x:c>
      <x:c r="N149" s="34" t="n">
        <x:f>K149/SUM($K$2:$K$283)</x:f>
        <x:v>0.00032102686387212984</x:v>
      </x:c>
      <x:c r="O149" s="35" t="n">
        <x:f>RANK(K149,$K$2:$K$283,0)+COUNTIF($K$2:K149,K149)-1</x:f>
        <x:v>148</x:v>
      </x:c>
    </x:row>
    <x:row r="150" ht="18" customHeight="1">
      <x:c r="A150" s="25" t="str">
        <x:v>EEZ_191</x:v>
      </x:c>
      <x:c r="B150" s="25" t="str">
        <x:v>Croatia</x:v>
      </x:c>
      <x:c r="C150" s="25" t="str">
        <x:v>EEZ</x:v>
      </x:c>
      <x:c r="D150" s="31" t="n">
        <x:v>2019</x:v>
      </x:c>
      <x:c r="E150" s="32" t="n">
        <x:v>77072.9733877067</x:v>
      </x:c>
      <x:c r="F150" s="32" t="n">
        <x:v>77072.9733877067</x:v>
      </x:c>
      <x:c r="G150" s="33" t="n">
        <x:v>0</x:v>
      </x:c>
      <x:c r="H150" s="34" t="n">
        <x:v>1</x:v>
      </x:c>
      <x:c r="I150" s="35" t="n">
        <x:v>45</x:v>
      </x:c>
      <x:c r="J150" s="35" t="n">
        <x:v>45</x:v>
      </x:c>
      <x:c r="K150" s="32" t="n">
        <x:v>21110760.218235113</x:v>
      </x:c>
      <x:c r="L150" s="32" t="n">
        <x:v>19747737.5377062</x:v>
      </x:c>
      <x:c r="M150" s="32" t="n">
        <x:v>20518792.64284078</x:v>
      </x:c>
      <x:c r="N150" s="34" t="n">
        <x:f>K150/SUM($K$2:$K$283)</x:f>
        <x:v>0.00031773132090326807</x:v>
      </x:c>
      <x:c r="O150" s="35" t="n">
        <x:f>RANK(K150,$K$2:$K$283,0)+COUNTIF($K$2:K150,K150)-1</x:f>
        <x:v>149</x:v>
      </x:c>
    </x:row>
    <x:row r="151" ht="18" customHeight="1">
      <x:c r="A151" s="25" t="str">
        <x:v>EEZ_911</x:v>
      </x:c>
      <x:c r="B151" s="25" t="str">
        <x:v>Musandam (Oman)</x:v>
      </x:c>
      <x:c r="C151" s="25" t="str">
        <x:v>EEZ</x:v>
      </x:c>
      <x:c r="D151" s="31" t="n">
        <x:v>2019</x:v>
      </x:c>
      <x:c r="E151" s="32" t="n">
        <x:v>22403.744509357803</x:v>
      </x:c>
      <x:c r="F151" s="32" t="n">
        <x:v>22403.744509357803</x:v>
      </x:c>
      <x:c r="G151" s="33" t="n">
        <x:v>0</x:v>
      </x:c>
      <x:c r="H151" s="34" t="n">
        <x:v>1</x:v>
      </x:c>
      <x:c r="I151" s="35" t="n">
        <x:v>40</x:v>
      </x:c>
      <x:c r="J151" s="35" t="n">
        <x:v>40</x:v>
      </x:c>
      <x:c r="K151" s="32" t="n">
        <x:v>20905875.58165651</x:v>
      </x:c>
      <x:c r="L151" s="32" t="n">
        <x:v>14640018.664670475</x:v>
      </x:c>
      <x:c r="M151" s="32" t="n">
        <x:v>16683601.962322408</x:v>
      </x:c>
      <x:c r="N151" s="34" t="n">
        <x:f>K151/SUM($K$2:$K$283)</x:f>
        <x:v>0.000314647667565352</x:v>
      </x:c>
      <x:c r="O151" s="35" t="n">
        <x:f>RANK(K151,$K$2:$K$283,0)+COUNTIF($K$2:K151,K151)-1</x:f>
        <x:v>150</x:v>
      </x:c>
    </x:row>
    <x:row r="152" ht="18" customHeight="1">
      <x:c r="A152" s="25" t="str">
        <x:v>EEZ_780</x:v>
      </x:c>
      <x:c r="B152" s="25" t="str">
        <x:v>Trinidad &amp; Tobago</x:v>
      </x:c>
      <x:c r="C152" s="25" t="str">
        <x:v>EEZ</x:v>
      </x:c>
      <x:c r="D152" s="31" t="n">
        <x:v>2019</x:v>
      </x:c>
      <x:c r="E152" s="32" t="n">
        <x:v>19523.2185592658</x:v>
      </x:c>
      <x:c r="F152" s="32" t="n">
        <x:v>19523.2185592658</x:v>
      </x:c>
      <x:c r="G152" s="33" t="n">
        <x:v>0</x:v>
      </x:c>
      <x:c r="H152" s="34" t="n">
        <x:v>1</x:v>
      </x:c>
      <x:c r="I152" s="35" t="n">
        <x:v>97</x:v>
      </x:c>
      <x:c r="J152" s="35" t="n">
        <x:v>97</x:v>
      </x:c>
      <x:c r="K152" s="32" t="n">
        <x:v>20381932.081780106</x:v>
      </x:c>
      <x:c r="L152" s="32" t="n">
        <x:v>16725448.86862569</x:v>
      </x:c>
      <x:c r="M152" s="32" t="n">
        <x:v>17371133.672092713</x:v>
      </x:c>
      <x:c r="N152" s="34" t="n">
        <x:f>K152/SUM($K$2:$K$283)</x:f>
        <x:v>0.000306761961007489</x:v>
      </x:c>
      <x:c r="O152" s="35" t="n">
        <x:f>RANK(K152,$K$2:$K$283,0)+COUNTIF($K$2:K152,K152)-1</x:f>
        <x:v>151</x:v>
      </x:c>
    </x:row>
    <x:row r="153" ht="18" customHeight="1">
      <x:c r="A153" s="25" t="str">
        <x:v>EEZ_178</x:v>
      </x:c>
      <x:c r="B153" s="25" t="str">
        <x:v>Congo, R. of</x:v>
      </x:c>
      <x:c r="C153" s="25" t="str">
        <x:v>EEZ</x:v>
      </x:c>
      <x:c r="D153" s="31" t="n">
        <x:v>2019</x:v>
      </x:c>
      <x:c r="E153" s="32" t="n">
        <x:v>43444.3810041495</x:v>
      </x:c>
      <x:c r="F153" s="32" t="n">
        <x:v>43444.3810041495</x:v>
      </x:c>
      <x:c r="G153" s="33" t="n">
        <x:v>0</x:v>
      </x:c>
      <x:c r="H153" s="34" t="n">
        <x:v>1</x:v>
      </x:c>
      <x:c r="I153" s="35" t="n">
        <x:v>56</x:v>
      </x:c>
      <x:c r="J153" s="35" t="n">
        <x:v>56</x:v>
      </x:c>
      <x:c r="K153" s="32" t="n">
        <x:v>19991660.548274387</x:v>
      </x:c>
      <x:c r="L153" s="32" t="n">
        <x:v>14978805.28126635</x:v>
      </x:c>
      <x:c r="M153" s="32" t="n">
        <x:v>17945908.04055065</x:v>
      </x:c>
      <x:c r="N153" s="34" t="n">
        <x:f>K153/SUM($K$2:$K$283)</x:f>
        <x:v>0.0003008881085943198</x:v>
      </x:c>
      <x:c r="O153" s="35" t="n">
        <x:f>RANK(K153,$K$2:$K$283,0)+COUNTIF($K$2:K153,K153)-1</x:f>
        <x:v>152</x:v>
      </x:c>
    </x:row>
    <x:row r="154" ht="18" customHeight="1">
      <x:c r="A154" s="25" t="str">
        <x:v>EEZ_388</x:v>
      </x:c>
      <x:c r="B154" s="25" t="str">
        <x:v>Jamaica</x:v>
      </x:c>
      <x:c r="C154" s="25" t="str">
        <x:v>EEZ</x:v>
      </x:c>
      <x:c r="D154" s="31" t="n">
        <x:v>2019</x:v>
      </x:c>
      <x:c r="E154" s="32" t="n">
        <x:v>24803.119502512</x:v>
      </x:c>
      <x:c r="F154" s="32" t="n">
        <x:v>24803.119502512</x:v>
      </x:c>
      <x:c r="G154" s="33" t="n">
        <x:v>0</x:v>
      </x:c>
      <x:c r="H154" s="34" t="n">
        <x:v>1</x:v>
      </x:c>
      <x:c r="I154" s="35" t="n">
        <x:v>58</x:v>
      </x:c>
      <x:c r="J154" s="35" t="n">
        <x:v>58</x:v>
      </x:c>
      <x:c r="K154" s="32" t="n">
        <x:v>19358996.526972868</x:v>
      </x:c>
      <x:c r="L154" s="32" t="n">
        <x:v>11342146.771208175</x:v>
      </x:c>
      <x:c r="M154" s="32" t="n">
        <x:v>12851474.296845695</x:v>
      </x:c>
      <x:c r="N154" s="34" t="n">
        <x:f>K154/SUM($K$2:$K$283)</x:f>
        <x:v>0.0002913660841338994</x:v>
      </x:c>
      <x:c r="O154" s="35" t="n">
        <x:f>RANK(K154,$K$2:$K$283,0)+COUNTIF($K$2:K154,K154)-1</x:f>
        <x:v>153</x:v>
      </x:c>
    </x:row>
    <x:row r="155" ht="18" customHeight="1">
      <x:c r="A155" s="25" t="str">
        <x:v>EEZ_971</x:v>
      </x:c>
      <x:c r="B155" s="25" t="str">
        <x:v>Japan (Ogasawara Islands)</x:v>
      </x:c>
      <x:c r="C155" s="25" t="str">
        <x:v>EEZ</x:v>
      </x:c>
      <x:c r="D155" s="31" t="n">
        <x:v>2019</x:v>
      </x:c>
      <x:c r="E155" s="32" t="n">
        <x:v>18442.8655651381</x:v>
      </x:c>
      <x:c r="F155" s="32" t="n">
        <x:v>18442.8655651381</x:v>
      </x:c>
      <x:c r="G155" s="33" t="n">
        <x:v>0</x:v>
      </x:c>
      <x:c r="H155" s="34" t="n">
        <x:v>1</x:v>
      </x:c>
      <x:c r="I155" s="35" t="n">
        <x:v>29</x:v>
      </x:c>
      <x:c r="J155" s="35" t="n">
        <x:v>29</x:v>
      </x:c>
      <x:c r="K155" s="32" t="n">
        <x:v>19260173.04848056</x:v>
      </x:c>
      <x:c r="L155" s="32" t="n">
        <x:v>16880715.86263973</x:v>
      </x:c>
      <x:c r="M155" s="32" t="n">
        <x:v>18790740.353105024</x:v>
      </x:c>
      <x:c r="N155" s="34" t="n">
        <x:f>K155/SUM($K$2:$K$283)</x:f>
        <x:v>0.00028987872346886303</x:v>
      </x:c>
      <x:c r="O155" s="35" t="n">
        <x:f>RANK(K155,$K$2:$K$283,0)+COUNTIF($K$2:K155,K155)-1</x:f>
        <x:v>154</x:v>
      </x:c>
    </x:row>
    <x:row r="156" ht="18" customHeight="1">
      <x:c r="A156" s="25" t="str">
        <x:v>EEZ_882</x:v>
      </x:c>
      <x:c r="B156" s="25" t="str">
        <x:v>Samoa</x:v>
      </x:c>
      <x:c r="C156" s="25" t="str">
        <x:v>EEZ</x:v>
      </x:c>
      <x:c r="D156" s="31" t="n">
        <x:v>2019</x:v>
      </x:c>
      <x:c r="E156" s="32" t="n">
        <x:v>13979.020508821603</x:v>
      </x:c>
      <x:c r="F156" s="32" t="n">
        <x:v>13979.020508821603</x:v>
      </x:c>
      <x:c r="G156" s="33" t="n">
        <x:v>0</x:v>
      </x:c>
      <x:c r="H156" s="34" t="n">
        <x:v>1</x:v>
      </x:c>
      <x:c r="I156" s="35" t="n">
        <x:v>72</x:v>
      </x:c>
      <x:c r="J156" s="35" t="n">
        <x:v>72</x:v>
      </x:c>
      <x:c r="K156" s="32" t="n">
        <x:v>18932962.27433015</x:v>
      </x:c>
      <x:c r="L156" s="32" t="n">
        <x:v>16126140.922584653</x:v>
      </x:c>
      <x:c r="M156" s="32" t="n">
        <x:v>17497593.51827132</x:v>
      </x:c>
      <x:c r="N156" s="34" t="n">
        <x:f>K156/SUM($K$2:$K$283)</x:f>
        <x:v>0.00028495397843790075</x:v>
      </x:c>
      <x:c r="O156" s="35" t="n">
        <x:f>RANK(K156,$K$2:$K$283,0)+COUNTIF($K$2:K156,K156)-1</x:f>
        <x:v>155</x:v>
      </x:c>
    </x:row>
    <x:row r="157" ht="18" customHeight="1">
      <x:c r="A157" s="25" t="str">
        <x:v>EEZ_634</x:v>
      </x:c>
      <x:c r="B157" s="25" t="str">
        <x:v>Qatar</x:v>
      </x:c>
      <x:c r="C157" s="25" t="str">
        <x:v>EEZ</x:v>
      </x:c>
      <x:c r="D157" s="31" t="n">
        <x:v>2019</x:v>
      </x:c>
      <x:c r="E157" s="32" t="n">
        <x:v>18300.125898307102</x:v>
      </x:c>
      <x:c r="F157" s="32" t="n">
        <x:v>18300.125898307102</x:v>
      </x:c>
      <x:c r="G157" s="33" t="n">
        <x:v>0</x:v>
      </x:c>
      <x:c r="H157" s="34" t="n">
        <x:v>1</x:v>
      </x:c>
      <x:c r="I157" s="35" t="n">
        <x:v>47</x:v>
      </x:c>
      <x:c r="J157" s="35" t="n">
        <x:v>47</x:v>
      </x:c>
      <x:c r="K157" s="32" t="n">
        <x:v>17533760.271710783</x:v>
      </x:c>
      <x:c r="L157" s="32" t="n">
        <x:v>9745305.186637845</x:v>
      </x:c>
      <x:c r="M157" s="32" t="n">
        <x:v>14158026.384637725</x:v>
      </x:c>
      <x:c r="N157" s="34" t="n">
        <x:f>K157/SUM($K$2:$K$283)</x:f>
        <x:v>0.00026389503523041087</x:v>
      </x:c>
      <x:c r="O157" s="35" t="n">
        <x:f>RANK(K157,$K$2:$K$283,0)+COUNTIF($K$2:K157,K157)-1</x:f>
        <x:v>156</x:v>
      </x:c>
    </x:row>
    <x:row r="158" ht="18" customHeight="1">
      <x:c r="A158" s="25" t="str">
        <x:v>EEZ_776</x:v>
      </x:c>
      <x:c r="B158" s="25" t="str">
        <x:v>Tonga</x:v>
      </x:c>
      <x:c r="C158" s="25" t="str">
        <x:v>EEZ</x:v>
      </x:c>
      <x:c r="D158" s="31" t="n">
        <x:v>2019</x:v>
      </x:c>
      <x:c r="E158" s="32" t="n">
        <x:v>14542.412200733399</x:v>
      </x:c>
      <x:c r="F158" s="32" t="n">
        <x:v>14542.412200733399</x:v>
      </x:c>
      <x:c r="G158" s="33" t="n">
        <x:v>0</x:v>
      </x:c>
      <x:c r="H158" s="34" t="n">
        <x:v>1</x:v>
      </x:c>
      <x:c r="I158" s="35" t="n">
        <x:v>86</x:v>
      </x:c>
      <x:c r="J158" s="35" t="n">
        <x:v>86</x:v>
      </x:c>
      <x:c r="K158" s="32" t="n">
        <x:v>17016818.719265178</x:v>
      </x:c>
      <x:c r="L158" s="32" t="n">
        <x:v>15387263.798386406</x:v>
      </x:c>
      <x:c r="M158" s="32" t="n">
        <x:v>15773312.444911908</x:v>
      </x:c>
      <x:c r="N158" s="34" t="n">
        <x:f>K158/SUM($K$2:$K$283)</x:f>
        <x:v>0.00025611471275076595</x:v>
      </x:c>
      <x:c r="O158" s="35" t="n">
        <x:f>RANK(K158,$K$2:$K$283,0)+COUNTIF($K$2:K158,K158)-1</x:f>
        <x:v>157</x:v>
      </x:c>
    </x:row>
    <x:row r="159" ht="18" customHeight="1">
      <x:c r="A159" s="25" t="str">
        <x:v>EEZ_480</x:v>
      </x:c>
      <x:c r="B159" s="25" t="str">
        <x:v>Mauritius</x:v>
      </x:c>
      <x:c r="C159" s="25" t="str">
        <x:v>EEZ</x:v>
      </x:c>
      <x:c r="D159" s="31" t="n">
        <x:v>2019</x:v>
      </x:c>
      <x:c r="E159" s="32" t="n">
        <x:v>15255.362035387398</x:v>
      </x:c>
      <x:c r="F159" s="32" t="n">
        <x:v>15255.362035387398</x:v>
      </x:c>
      <x:c r="G159" s="33" t="n">
        <x:v>0</x:v>
      </x:c>
      <x:c r="H159" s="34" t="n">
        <x:v>1</x:v>
      </x:c>
      <x:c r="I159" s="35" t="n">
        <x:v>70</x:v>
      </x:c>
      <x:c r="J159" s="35" t="n">
        <x:v>70</x:v>
      </x:c>
      <x:c r="K159" s="32" t="n">
        <x:v>16709126.407168973</x:v>
      </x:c>
      <x:c r="L159" s="32" t="n">
        <x:v>15342067.503346395</x:v>
      </x:c>
      <x:c r="M159" s="32" t="n">
        <x:v>15660733.47585427</x:v>
      </x:c>
      <x:c r="N159" s="34" t="n">
        <x:f>K159/SUM($K$2:$K$283)</x:f>
        <x:v>0.0002514837338687425</x:v>
      </x:c>
      <x:c r="O159" s="35" t="n">
        <x:f>RANK(K159,$K$2:$K$283,0)+COUNTIF($K$2:K159,K159)-1</x:f>
        <x:v>158</x:v>
      </x:c>
    </x:row>
    <x:row r="160" ht="18" customHeight="1">
      <x:c r="A160" s="25" t="str">
        <x:v>EEZ_470</x:v>
      </x:c>
      <x:c r="B160" s="25" t="str">
        <x:v>Malta</x:v>
      </x:c>
      <x:c r="C160" s="25" t="str">
        <x:v>EEZ</x:v>
      </x:c>
      <x:c r="D160" s="31" t="n">
        <x:v>2019</x:v>
      </x:c>
      <x:c r="E160" s="32" t="n">
        <x:v>7732.9980884831</x:v>
      </x:c>
      <x:c r="F160" s="32" t="n">
        <x:v>7732.9980884831</x:v>
      </x:c>
      <x:c r="G160" s="33" t="n">
        <x:v>0</x:v>
      </x:c>
      <x:c r="H160" s="34" t="n">
        <x:v>1</x:v>
      </x:c>
      <x:c r="I160" s="35" t="n">
        <x:v>213</x:v>
      </x:c>
      <x:c r="J160" s="35" t="n">
        <x:v>213</x:v>
      </x:c>
      <x:c r="K160" s="32" t="n">
        <x:v>16447013.960324993</x:v>
      </x:c>
      <x:c r="L160" s="32" t="n">
        <x:v>15037040.322183833</x:v>
      </x:c>
      <x:c r="M160" s="32" t="n">
        <x:v>15493537.20996647</x:v>
      </x:c>
      <x:c r="N160" s="34" t="n">
        <x:f>K160/SUM($K$2:$K$283)</x:f>
        <x:v>0.00024753876300554313</x:v>
      </x:c>
      <x:c r="O160" s="35" t="n">
        <x:f>RANK(K160,$K$2:$K$283,0)+COUNTIF($K$2:K160,K160)-1</x:f>
        <x:v>159</x:v>
      </x:c>
    </x:row>
    <x:row r="161" ht="18" customHeight="1">
      <x:c r="A161" s="25" t="str">
        <x:v>EEZ_927</x:v>
      </x:c>
      <x:c r="B161" s="25" t="str">
        <x:v>Colombia (Caribbean)</x:v>
      </x:c>
      <x:c r="C161" s="25" t="str">
        <x:v>EEZ</x:v>
      </x:c>
      <x:c r="D161" s="31" t="n">
        <x:v>2019</x:v>
      </x:c>
      <x:c r="E161" s="32" t="n">
        <x:v>20344.1120639465</x:v>
      </x:c>
      <x:c r="F161" s="32" t="n">
        <x:v>20344.1120639465</x:v>
      </x:c>
      <x:c r="G161" s="33" t="n">
        <x:v>0</x:v>
      </x:c>
      <x:c r="H161" s="34" t="n">
        <x:v>1</x:v>
      </x:c>
      <x:c r="I161" s="35" t="n">
        <x:v>89</x:v>
      </x:c>
      <x:c r="J161" s="35" t="n">
        <x:v>89</x:v>
      </x:c>
      <x:c r="K161" s="32" t="n">
        <x:v>16307477.884539278</x:v>
      </x:c>
      <x:c r="L161" s="32" t="n">
        <x:v>11365880.576522898</x:v>
      </x:c>
      <x:c r="M161" s="32" t="n">
        <x:v>12781366.802599043</x:v>
      </x:c>
      <x:c r="N161" s="34" t="n">
        <x:f>K161/SUM($K$2:$K$283)</x:f>
        <x:v>0.0002454386500198081</x:v>
      </x:c>
      <x:c r="O161" s="35" t="n">
        <x:f>RANK(K161,$K$2:$K$283,0)+COUNTIF($K$2:K161,K161)-1</x:f>
        <x:v>160</x:v>
      </x:c>
    </x:row>
    <x:row r="162" ht="18" customHeight="1">
      <x:c r="A162" s="25" t="str">
        <x:v>EEZ_233</x:v>
      </x:c>
      <x:c r="B162" s="25" t="str">
        <x:v>Estonia</x:v>
      </x:c>
      <x:c r="C162" s="25" t="str">
        <x:v>EEZ</x:v>
      </x:c>
      <x:c r="D162" s="31" t="n">
        <x:v>2019</x:v>
      </x:c>
      <x:c r="E162" s="32" t="n">
        <x:v>79757.30638750728</x:v>
      </x:c>
      <x:c r="F162" s="32" t="n">
        <x:v>79757.30638750728</x:v>
      </x:c>
      <x:c r="G162" s="33" t="n">
        <x:v>0</x:v>
      </x:c>
      <x:c r="H162" s="34" t="n">
        <x:v>1</x:v>
      </x:c>
      <x:c r="I162" s="35" t="n">
        <x:v>46</x:v>
      </x:c>
      <x:c r="J162" s="35" t="n">
        <x:v>46</x:v>
      </x:c>
      <x:c r="K162" s="32" t="n">
        <x:v>16197878.05939343</x:v>
      </x:c>
      <x:c r="L162" s="32" t="n">
        <x:v>14312701.838149164</x:v>
      </x:c>
      <x:c r="M162" s="32" t="n">
        <x:v>15527713.484062083</x:v>
      </x:c>
      <x:c r="N162" s="34" t="n">
        <x:f>K162/SUM($K$2:$K$283)</x:f>
        <x:v>0.000243789097997315</x:v>
      </x:c>
      <x:c r="O162" s="35" t="n">
        <x:f>RANK(K162,$K$2:$K$283,0)+COUNTIF($K$2:K162,K162)-1</x:f>
        <x:v>161</x:v>
      </x:c>
    </x:row>
    <x:row r="163" ht="18" customHeight="1">
      <x:c r="A163" s="25" t="str">
        <x:v>EEZ_898</x:v>
      </x:c>
      <x:c r="B163" s="25" t="str">
        <x:v>Clipperton Isl. (France)</x:v>
      </x:c>
      <x:c r="C163" s="25" t="str">
        <x:v>EEZ</x:v>
      </x:c>
      <x:c r="D163" s="31" t="n">
        <x:v>2019</x:v>
      </x:c>
      <x:c r="E163" s="32" t="n">
        <x:v>5821.5688911778</x:v>
      </x:c>
      <x:c r="F163" s="32" t="n">
        <x:v>5821.5688911778</x:v>
      </x:c>
      <x:c r="G163" s="33" t="n">
        <x:v>0</x:v>
      </x:c>
      <x:c r="H163" s="34" t="n">
        <x:v>1</x:v>
      </x:c>
      <x:c r="I163" s="35" t="n">
        <x:v>17</x:v>
      </x:c>
      <x:c r="J163" s="35" t="n">
        <x:v>17</x:v>
      </x:c>
      <x:c r="K163" s="32" t="n">
        <x:v>14841352.716606868</x:v>
      </x:c>
      <x:c r="L163" s="32" t="n">
        <x:v>14828974.37312331</x:v>
      </x:c>
      <x:c r="M163" s="32" t="n">
        <x:v>14827387.856212014</x:v>
      </x:c>
      <x:c r="N163" s="34" t="n">
        <x:f>K163/SUM($K$2:$K$283)</x:f>
        <x:v>0.00022337246758956524</x:v>
      </x:c>
      <x:c r="O163" s="35" t="n">
        <x:f>RANK(K163,$K$2:$K$283,0)+COUNTIF($K$2:K163,K163)-1</x:f>
        <x:v>162</x:v>
      </x:c>
    </x:row>
    <x:row r="164" ht="18" customHeight="1">
      <x:c r="A164" s="25" t="str">
        <x:v>EEZ_540</x:v>
      </x:c>
      <x:c r="B164" s="25" t="str">
        <x:v>New Caledonia (France)</x:v>
      </x:c>
      <x:c r="C164" s="25" t="str">
        <x:v>EEZ</x:v>
      </x:c>
      <x:c r="D164" s="31" t="n">
        <x:v>2019</x:v>
      </x:c>
      <x:c r="E164" s="32" t="n">
        <x:v>11907.664433573698</x:v>
      </x:c>
      <x:c r="F164" s="32" t="n">
        <x:v>11907.664433573698</x:v>
      </x:c>
      <x:c r="G164" s="33" t="n">
        <x:v>0</x:v>
      </x:c>
      <x:c r="H164" s="34" t="n">
        <x:v>1</x:v>
      </x:c>
      <x:c r="I164" s="35" t="n">
        <x:v>55</x:v>
      </x:c>
      <x:c r="J164" s="35" t="n">
        <x:v>55</x:v>
      </x:c>
      <x:c r="K164" s="32" t="n">
        <x:v>14486808.543640152</x:v>
      </x:c>
      <x:c r="L164" s="32" t="n">
        <x:v>10397068.404729191</x:v>
      </x:c>
      <x:c r="M164" s="32" t="n">
        <x:v>12334079.80178462</x:v>
      </x:c>
      <x:c r="N164" s="34" t="n">
        <x:f>K164/SUM($K$2:$K$283)</x:f>
        <x:v>0.00021803633628824116</x:v>
      </x:c>
      <x:c r="O164" s="35" t="n">
        <x:f>RANK(K164,$K$2:$K$283,0)+COUNTIF($K$2:K164,K164)-1</x:f>
        <x:v>163</x:v>
      </x:c>
    </x:row>
    <x:row r="165" ht="18" customHeight="1">
      <x:c r="A165" s="25" t="str">
        <x:v>EEZ_044</x:v>
      </x:c>
      <x:c r="B165" s="25" t="str">
        <x:v>Bahamas</x:v>
      </x:c>
      <x:c r="C165" s="25" t="str">
        <x:v>EEZ</x:v>
      </x:c>
      <x:c r="D165" s="31" t="n">
        <x:v>2019</x:v>
      </x:c>
      <x:c r="E165" s="32" t="n">
        <x:v>18392.7135678369</x:v>
      </x:c>
      <x:c r="F165" s="32" t="n">
        <x:v>18392.7135678369</x:v>
      </x:c>
      <x:c r="G165" s="33" t="n">
        <x:v>0</x:v>
      </x:c>
      <x:c r="H165" s="34" t="n">
        <x:v>1</x:v>
      </x:c>
      <x:c r="I165" s="35" t="n">
        <x:v>43</x:v>
      </x:c>
      <x:c r="J165" s="35" t="n">
        <x:v>43</x:v>
      </x:c>
      <x:c r="K165" s="32" t="n">
        <x:v>14068447.015522763</x:v>
      </x:c>
      <x:c r="L165" s="32" t="n">
        <x:v>12808177.744283037</x:v>
      </x:c>
      <x:c r="M165" s="32" t="n">
        <x:v>13494444.73998258</x:v>
      </x:c>
      <x:c r="N165" s="34" t="n">
        <x:f>K165/SUM($K$2:$K$283)</x:f>
        <x:v>0.00021173971032263392</x:v>
      </x:c>
      <x:c r="O165" s="35" t="n">
        <x:f>RANK(K165,$K$2:$K$283,0)+COUNTIF($K$2:K165,K165)-1</x:f>
        <x:v>164</x:v>
      </x:c>
    </x:row>
    <x:row r="166" ht="18" customHeight="1">
      <x:c r="A166" s="25" t="str">
        <x:v>EEZ_226</x:v>
      </x:c>
      <x:c r="B166" s="25" t="str">
        <x:v>Equatorial Guinea</x:v>
      </x:c>
      <x:c r="C166" s="25" t="str">
        <x:v>EEZ</x:v>
      </x:c>
      <x:c r="D166" s="31" t="n">
        <x:v>2019</x:v>
      </x:c>
      <x:c r="E166" s="32" t="n">
        <x:v>23094.1925275575</x:v>
      </x:c>
      <x:c r="F166" s="32" t="n">
        <x:v>23094.1925275575</x:v>
      </x:c>
      <x:c r="G166" s="33" t="n">
        <x:v>0</x:v>
      </x:c>
      <x:c r="H166" s="34" t="n">
        <x:v>1</x:v>
      </x:c>
      <x:c r="I166" s="35" t="n">
        <x:v>66</x:v>
      </x:c>
      <x:c r="J166" s="35" t="n">
        <x:v>66</x:v>
      </x:c>
      <x:c r="K166" s="32" t="n">
        <x:v>13733577.498158086</x:v>
      </x:c>
      <x:c r="L166" s="32" t="n">
        <x:v>11871421.201981438</x:v>
      </x:c>
      <x:c r="M166" s="32" t="n">
        <x:v>13198646.387086893</x:v>
      </x:c>
      <x:c r="N166" s="34" t="n">
        <x:f>K166/SUM($K$2:$K$283)</x:f>
        <x:v>0.00020669969598953504</x:v>
      </x:c>
      <x:c r="O166" s="35" t="n">
        <x:f>RANK(K166,$K$2:$K$283,0)+COUNTIF($K$2:K166,K166)-1</x:f>
        <x:v>165</x:v>
      </x:c>
    </x:row>
    <x:row r="167" ht="18" customHeight="1">
      <x:c r="A167" s="25" t="str">
        <x:v>EEZ_180</x:v>
      </x:c>
      <x:c r="B167" s="25" t="str">
        <x:v>Congo (ex-Zaire)</x:v>
      </x:c>
      <x:c r="C167" s="25" t="str">
        <x:v>EEZ</x:v>
      </x:c>
      <x:c r="D167" s="31" t="n">
        <x:v>2019</x:v>
      </x:c>
      <x:c r="E167" s="32" t="n">
        <x:v>23378.3558839915</x:v>
      </x:c>
      <x:c r="F167" s="32" t="n">
        <x:v>23378.3558839915</x:v>
      </x:c>
      <x:c r="G167" s="33" t="n">
        <x:v>0</x:v>
      </x:c>
      <x:c r="H167" s="34" t="n">
        <x:v>1</x:v>
      </x:c>
      <x:c r="I167" s="35" t="n">
        <x:v>34</x:v>
      </x:c>
      <x:c r="J167" s="35" t="n">
        <x:v>34</x:v>
      </x:c>
      <x:c r="K167" s="32" t="n">
        <x:v>13711656.088833181</x:v>
      </x:c>
      <x:c r="L167" s="32" t="n">
        <x:v>10401757.13049382</x:v>
      </x:c>
      <x:c r="M167" s="32" t="n">
        <x:v>12802584.122159634</x:v>
      </x:c>
      <x:c r="N167" s="34" t="n">
        <x:f>K167/SUM($K$2:$K$283)</x:f>
        <x:v>0.0002063697638474018</x:v>
      </x:c>
      <x:c r="O167" s="35" t="n">
        <x:f>RANK(K167,$K$2:$K$283,0)+COUNTIF($K$2:K167,K167)-1</x:f>
        <x:v>166</x:v>
      </x:c>
    </x:row>
    <x:row r="168" ht="18" customHeight="1">
      <x:c r="A168" s="25" t="str">
        <x:v>EEZ_954</x:v>
      </x:c>
      <x:c r="B168" s="25" t="str">
        <x:v>South Africa (Indian Ocean Coast)</x:v>
      </x:c>
      <x:c r="C168" s="25" t="str">
        <x:v>EEZ</x:v>
      </x:c>
      <x:c r="D168" s="31" t="n">
        <x:v>2019</x:v>
      </x:c>
      <x:c r="E168" s="32" t="n">
        <x:v>11740.798835807702</x:v>
      </x:c>
      <x:c r="F168" s="32" t="n">
        <x:v>11740.798835807702</x:v>
      </x:c>
      <x:c r="G168" s="33" t="n">
        <x:v>0</x:v>
      </x:c>
      <x:c r="H168" s="34" t="n">
        <x:v>1</x:v>
      </x:c>
      <x:c r="I168" s="35" t="n">
        <x:v>74</x:v>
      </x:c>
      <x:c r="J168" s="35" t="n">
        <x:v>74</x:v>
      </x:c>
      <x:c r="K168" s="32" t="n">
        <x:v>13513947.448119681</x:v>
      </x:c>
      <x:c r="L168" s="32" t="n">
        <x:v>9917710.889332749</x:v>
      </x:c>
      <x:c r="M168" s="32" t="n">
        <x:v>12770241.948723067</x:v>
      </x:c>
      <x:c r="N168" s="34" t="n">
        <x:f>K168/SUM($K$2:$K$283)</x:f>
        <x:v>0.00020339411413519348</x:v>
      </x:c>
      <x:c r="O168" s="35" t="n">
        <x:f>RANK(K168,$K$2:$K$283,0)+COUNTIF($K$2:K168,K168)-1</x:f>
        <x:v>167</x:v>
      </x:c>
    </x:row>
    <x:row r="169" ht="18" customHeight="1">
      <x:c r="A169" s="25" t="str">
        <x:v>EEZ_902</x:v>
      </x:c>
      <x:c r="B169" s="25" t="str">
        <x:v>Sardinia (Italy)</x:v>
      </x:c>
      <x:c r="C169" s="25" t="str">
        <x:v>EEZ</x:v>
      </x:c>
      <x:c r="D169" s="31" t="n">
        <x:v>2019</x:v>
      </x:c>
      <x:c r="E169" s="32" t="n">
        <x:v>15737.091301901197</x:v>
      </x:c>
      <x:c r="F169" s="32" t="n">
        <x:v>15737.091301901197</x:v>
      </x:c>
      <x:c r="G169" s="33" t="n">
        <x:v>0</x:v>
      </x:c>
      <x:c r="H169" s="34" t="n">
        <x:v>1</x:v>
      </x:c>
      <x:c r="I169" s="35" t="n">
        <x:v>145</x:v>
      </x:c>
      <x:c r="J169" s="35" t="n">
        <x:v>145</x:v>
      </x:c>
      <x:c r="K169" s="32" t="n">
        <x:v>13470007.001124758</x:v>
      </x:c>
      <x:c r="L169" s="32" t="n">
        <x:v>9902046.85245751</x:v>
      </x:c>
      <x:c r="M169" s="32" t="n">
        <x:v>10683465.39783505</x:v>
      </x:c>
      <x:c r="N169" s="34" t="n">
        <x:f>K169/SUM($K$2:$K$283)</x:f>
        <x:v>0.0002027327804778334</x:v>
      </x:c>
      <x:c r="O169" s="35" t="n">
        <x:f>RANK(K169,$K$2:$K$283,0)+COUNTIF($K$2:K169,K169)-1</x:f>
        <x:v>168</x:v>
      </x:c>
    </x:row>
    <x:row r="170" ht="18" customHeight="1">
      <x:c r="A170" s="25" t="str">
        <x:v>EEZ_678</x:v>
      </x:c>
      <x:c r="B170" s="25" t="str">
        <x:v>Sao Tome &amp; Principe</x:v>
      </x:c>
      <x:c r="C170" s="25" t="str">
        <x:v>EEZ</x:v>
      </x:c>
      <x:c r="D170" s="31" t="n">
        <x:v>2019</x:v>
      </x:c>
      <x:c r="E170" s="32" t="n">
        <x:v>11530.348500865499</x:v>
      </x:c>
      <x:c r="F170" s="32" t="n">
        <x:v>11530.348500865499</x:v>
      </x:c>
      <x:c r="G170" s="33" t="n">
        <x:v>0</x:v>
      </x:c>
      <x:c r="H170" s="34" t="n">
        <x:v>1</x:v>
      </x:c>
      <x:c r="I170" s="35" t="n">
        <x:v>115</x:v>
      </x:c>
      <x:c r="J170" s="35" t="n">
        <x:v>115</x:v>
      </x:c>
      <x:c r="K170" s="32" t="n">
        <x:v>13253757.621874493</x:v>
      </x:c>
      <x:c r="L170" s="32" t="n">
        <x:v>12239742.278498132</x:v>
      </x:c>
      <x:c r="M170" s="32" t="n">
        <x:v>12346995.80337172</x:v>
      </x:c>
      <x:c r="N170" s="34" t="n">
        <x:f>K170/SUM($K$2:$K$283)</x:f>
        <x:v>0.00019947808002160122</x:v>
      </x:c>
      <x:c r="O170" s="35" t="n">
        <x:f>RANK(K170,$K$2:$K$283,0)+COUNTIF($K$2:K170,K170)-1</x:f>
        <x:v>169</x:v>
      </x:c>
    </x:row>
    <x:row r="171" ht="18" customHeight="1">
      <x:c r="A171" s="25" t="str">
        <x:v>EEZ_222</x:v>
      </x:c>
      <x:c r="B171" s="25" t="str">
        <x:v>El Salvador</x:v>
      </x:c>
      <x:c r="C171" s="25" t="str">
        <x:v>EEZ</x:v>
      </x:c>
      <x:c r="D171" s="31" t="n">
        <x:v>2019</x:v>
      </x:c>
      <x:c r="E171" s="32" t="n">
        <x:v>19144.466243662904</x:v>
      </x:c>
      <x:c r="F171" s="32" t="n">
        <x:v>19144.466243662904</x:v>
      </x:c>
      <x:c r="G171" s="33" t="n">
        <x:v>0</x:v>
      </x:c>
      <x:c r="H171" s="34" t="n">
        <x:v>1</x:v>
      </x:c>
      <x:c r="I171" s="35" t="n">
        <x:v>59</x:v>
      </x:c>
      <x:c r="J171" s="35" t="n">
        <x:v>59</x:v>
      </x:c>
      <x:c r="K171" s="32" t="n">
        <x:v>12763185.689767089</x:v>
      </x:c>
      <x:c r="L171" s="32" t="n">
        <x:v>11638267.52708928</x:v>
      </x:c>
      <x:c r="M171" s="32" t="n">
        <x:v>12067122.731464569</x:v>
      </x:c>
      <x:c r="N171" s="34" t="n">
        <x:f>K171/SUM($K$2:$K$283)</x:f>
        <x:v>0.00019209463828974373</x:v>
      </x:c>
      <x:c r="O171" s="35" t="n">
        <x:f>RANK(K171,$K$2:$K$283,0)+COUNTIF($K$2:K171,K171)-1</x:f>
        <x:v>170</x:v>
      </x:c>
    </x:row>
    <x:row r="172" ht="18" customHeight="1">
      <x:c r="A172" s="25" t="str">
        <x:v>EEZ_192</x:v>
      </x:c>
      <x:c r="B172" s="25" t="str">
        <x:v>Cuba</x:v>
      </x:c>
      <x:c r="C172" s="25" t="str">
        <x:v>EEZ</x:v>
      </x:c>
      <x:c r="D172" s="31" t="n">
        <x:v>2019</x:v>
      </x:c>
      <x:c r="E172" s="32" t="n">
        <x:v>24306.8393757785</x:v>
      </x:c>
      <x:c r="F172" s="32" t="n">
        <x:v>24306.8393757785</x:v>
      </x:c>
      <x:c r="G172" s="33" t="n">
        <x:v>0</x:v>
      </x:c>
      <x:c r="H172" s="34" t="n">
        <x:v>1</x:v>
      </x:c>
      <x:c r="I172" s="35" t="n">
        <x:v>33</x:v>
      </x:c>
      <x:c r="J172" s="35" t="n">
        <x:v>33</x:v>
      </x:c>
      <x:c r="K172" s="32" t="n">
        <x:v>12737892.20413025</x:v>
      </x:c>
      <x:c r="L172" s="32" t="n">
        <x:v>7466352.495718972</x:v>
      </x:c>
      <x:c r="M172" s="32" t="n">
        <x:v>9593404.459549818</x:v>
      </x:c>
      <x:c r="N172" s="34" t="n">
        <x:f>K172/SUM($K$2:$K$283)</x:f>
        <x:v>0.00019171395410222218</x:v>
      </x:c>
      <x:c r="O172" s="35" t="n">
        <x:f>RANK(K172,$K$2:$K$283,0)+COUNTIF($K$2:K172,K172)-1</x:f>
        <x:v>171</x:v>
      </x:c>
    </x:row>
    <x:row r="173" ht="18" customHeight="1">
      <x:c r="A173" s="25" t="str">
        <x:v>EEZ_278</x:v>
      </x:c>
      <x:c r="B173" s="25" t="str">
        <x:v>Germany (Baltic Sea)</x:v>
      </x:c>
      <x:c r="C173" s="25" t="str">
        <x:v>EEZ</x:v>
      </x:c>
      <x:c r="D173" s="31" t="n">
        <x:v>2019</x:v>
      </x:c>
      <x:c r="E173" s="32" t="n">
        <x:v>26188.5128491544</x:v>
      </x:c>
      <x:c r="F173" s="32" t="n">
        <x:v>26188.5128491544</x:v>
      </x:c>
      <x:c r="G173" s="33" t="n">
        <x:v>0</x:v>
      </x:c>
      <x:c r="H173" s="34" t="n">
        <x:v>1</x:v>
      </x:c>
      <x:c r="I173" s="35" t="n">
        <x:v>59</x:v>
      </x:c>
      <x:c r="J173" s="35" t="n">
        <x:v>59</x:v>
      </x:c>
      <x:c r="K173" s="32" t="n">
        <x:v>12082330.078822175</x:v>
      </x:c>
      <x:c r="L173" s="32" t="n">
        <x:v>11496799.626263414</x:v>
      </x:c>
      <x:c r="M173" s="32" t="n">
        <x:v>11129550.316418964</x:v>
      </x:c>
      <x:c r="N173" s="34" t="n">
        <x:f>K173/SUM($K$2:$K$283)</x:f>
        <x:v>0.000181847297579433</x:v>
      </x:c>
      <x:c r="O173" s="35" t="n">
        <x:f>RANK(K173,$K$2:$K$283,0)+COUNTIF($K$2:K173,K173)-1</x:f>
        <x:v>172</x:v>
      </x:c>
    </x:row>
    <x:row r="174" ht="18" customHeight="1">
      <x:c r="A174" s="25" t="str">
        <x:v>EEZ_016</x:v>
      </x:c>
      <x:c r="B174" s="25" t="str">
        <x:v>American Samoa</x:v>
      </x:c>
      <x:c r="C174" s="25" t="str">
        <x:v>EEZ</x:v>
      </x:c>
      <x:c r="D174" s="31" t="n">
        <x:v>2019</x:v>
      </x:c>
      <x:c r="E174" s="32" t="n">
        <x:v>5598.672346021601</x:v>
      </x:c>
      <x:c r="F174" s="32" t="n">
        <x:v>5598.672346021601</x:v>
      </x:c>
      <x:c r="G174" s="33" t="n">
        <x:v>0</x:v>
      </x:c>
      <x:c r="H174" s="34" t="n">
        <x:v>1</x:v>
      </x:c>
      <x:c r="I174" s="35" t="n">
        <x:v>109</x:v>
      </x:c>
      <x:c r="J174" s="35" t="n">
        <x:v>109</x:v>
      </x:c>
      <x:c r="K174" s="32" t="n">
        <x:v>11609368.971725864</x:v>
      </x:c>
      <x:c r="L174" s="32" t="n">
        <x:v>11322458.65979737</x:v>
      </x:c>
      <x:c r="M174" s="32" t="n">
        <x:v>11341339.862241525</x:v>
      </x:c>
      <x:c r="N174" s="34" t="n">
        <x:f>K174/SUM($K$2:$K$283)</x:f>
        <x:v>0.00017472891075962638</x:v>
      </x:c>
      <x:c r="O174" s="35" t="n">
        <x:f>RANK(K174,$K$2:$K$283,0)+COUNTIF($K$2:K174,K174)-1</x:f>
        <x:v>173</x:v>
      </x:c>
    </x:row>
    <x:row r="175" ht="18" customHeight="1">
      <x:c r="A175" s="25" t="str">
        <x:v>EEZ_197</x:v>
      </x:c>
      <x:c r="B175" s="25" t="str">
        <x:v>Cyprus (North)</x:v>
      </x:c>
      <x:c r="C175" s="25" t="str">
        <x:v>EEZ</x:v>
      </x:c>
      <x:c r="D175" s="31" t="n">
        <x:v>2019</x:v>
      </x:c>
      <x:c r="E175" s="32" t="n">
        <x:v>4715.927611698601</x:v>
      </x:c>
      <x:c r="F175" s="32" t="n">
        <x:v>4715.927611698601</x:v>
      </x:c>
      <x:c r="G175" s="33" t="n">
        <x:v>0</x:v>
      </x:c>
      <x:c r="H175" s="34" t="n">
        <x:v>1</x:v>
      </x:c>
      <x:c r="I175" s="35" t="n">
        <x:v>45</x:v>
      </x:c>
      <x:c r="J175" s="35" t="n">
        <x:v>45</x:v>
      </x:c>
      <x:c r="K175" s="32" t="n">
        <x:v>11569295.26355968</x:v>
      </x:c>
      <x:c r="L175" s="32" t="n">
        <x:v>10868762.794189973</x:v>
      </x:c>
      <x:c r="M175" s="32" t="n">
        <x:v>11028655.177494759</x:v>
      </x:c>
      <x:c r="N175" s="34" t="n">
        <x:f>K175/SUM($K$2:$K$283)</x:f>
        <x:v>0.00017412577415547247</x:v>
      </x:c>
      <x:c r="O175" s="35" t="n">
        <x:f>RANK(K175,$K$2:$K$283,0)+COUNTIF($K$2:K175,K175)-1</x:f>
        <x:v>174</x:v>
      </x:c>
    </x:row>
    <x:row r="176" ht="18" customHeight="1">
      <x:c r="A176" s="25" t="str">
        <x:v>EEZ_155</x:v>
      </x:c>
      <x:c r="B176" s="25" t="str">
        <x:v>Juan Fernandez Islands (Chile)</x:v>
      </x:c>
      <x:c r="C176" s="25" t="str">
        <x:v>EEZ</x:v>
      </x:c>
      <x:c r="D176" s="31" t="n">
        <x:v>2019</x:v>
      </x:c>
      <x:c r="E176" s="32" t="n">
        <x:v>42555.52794494491</x:v>
      </x:c>
      <x:c r="F176" s="32" t="n">
        <x:v>42555.52794494491</x:v>
      </x:c>
      <x:c r="G176" s="33" t="n">
        <x:v>0</x:v>
      </x:c>
      <x:c r="H176" s="34" t="n">
        <x:v>1</x:v>
      </x:c>
      <x:c r="I176" s="35" t="n">
        <x:v>22</x:v>
      </x:c>
      <x:c r="J176" s="35" t="n">
        <x:v>22</x:v>
      </x:c>
      <x:c r="K176" s="32" t="n">
        <x:v>10134000.51502535</x:v>
      </x:c>
      <x:c r="L176" s="32" t="n">
        <x:v>9872422.321179826</x:v>
      </x:c>
      <x:c r="M176" s="32" t="n">
        <x:v>9922996.107974112</x:v>
      </x:c>
      <x:c r="N176" s="34" t="n">
        <x:f>K176/SUM($K$2:$K$283)</x:f>
        <x:v>0.00015252361053734662</x:v>
      </x:c>
      <x:c r="O176" s="35" t="n">
        <x:f>RANK(K176,$K$2:$K$283,0)+COUNTIF($K$2:K176,K176)-1</x:f>
        <x:v>175</x:v>
      </x:c>
    </x:row>
    <x:row r="177" ht="18" customHeight="1">
      <x:c r="A177" s="25" t="str">
        <x:v>EEZ_949</x:v>
      </x:c>
      <x:c r="B177" s="25" t="str">
        <x:v>Nicaragua (Caribbean)</x:v>
      </x:c>
      <x:c r="C177" s="25" t="str">
        <x:v>EEZ</x:v>
      </x:c>
      <x:c r="D177" s="31" t="n">
        <x:v>2019</x:v>
      </x:c>
      <x:c r="E177" s="32" t="n">
        <x:v>34605.779645753995</x:v>
      </x:c>
      <x:c r="F177" s="32" t="n">
        <x:v>34605.779645753995</x:v>
      </x:c>
      <x:c r="G177" s="33" t="n">
        <x:v>0</x:v>
      </x:c>
      <x:c r="H177" s="34" t="n">
        <x:v>1</x:v>
      </x:c>
      <x:c r="I177" s="35" t="n">
        <x:v>27</x:v>
      </x:c>
      <x:c r="J177" s="35" t="n">
        <x:v>27</x:v>
      </x:c>
      <x:c r="K177" s="32" t="n">
        <x:v>10055225.175638834</x:v>
      </x:c>
      <x:c r="L177" s="32" t="n">
        <x:v>9541946.973488096</x:v>
      </x:c>
      <x:c r="M177" s="32" t="n">
        <x:v>9795688.338512633</x:v>
      </x:c>
      <x:c r="N177" s="34" t="n">
        <x:f>K177/SUM($K$2:$K$283)</x:f>
        <x:v>0.0001513379880216657</x:v>
      </x:c>
      <x:c r="O177" s="35" t="n">
        <x:f>RANK(K177,$K$2:$K$283,0)+COUNTIF($K$2:K177,K177)-1</x:f>
        <x:v>176</x:v>
      </x:c>
    </x:row>
    <x:row r="178" ht="18" customHeight="1">
      <x:c r="A178" s="25" t="str">
        <x:v>EEZ_440</x:v>
      </x:c>
      <x:c r="B178" s="25" t="str">
        <x:v>Lithuania</x:v>
      </x:c>
      <x:c r="C178" s="25" t="str">
        <x:v>EEZ</x:v>
      </x:c>
      <x:c r="D178" s="31" t="n">
        <x:v>2019</x:v>
      </x:c>
      <x:c r="E178" s="32" t="n">
        <x:v>34707.5616911521</x:v>
      </x:c>
      <x:c r="F178" s="32" t="n">
        <x:v>34707.5616911521</x:v>
      </x:c>
      <x:c r="G178" s="33" t="n">
        <x:v>0</x:v>
      </x:c>
      <x:c r="H178" s="34" t="n">
        <x:v>1</x:v>
      </x:c>
      <x:c r="I178" s="35" t="n">
        <x:v>43</x:v>
      </x:c>
      <x:c r="J178" s="35" t="n">
        <x:v>43</x:v>
      </x:c>
      <x:c r="K178" s="32" t="n">
        <x:v>9837795.65518664</x:v>
      </x:c>
      <x:c r="L178" s="32" t="n">
        <x:v>9327889.657551447</x:v>
      </x:c>
      <x:c r="M178" s="32" t="n">
        <x:v>9697324.015540378</x:v>
      </x:c>
      <x:c r="N178" s="34" t="n">
        <x:f>K178/SUM($K$2:$K$283)</x:f>
        <x:v>0.00014806552563648991</x:v>
      </x:c>
      <x:c r="O178" s="35" t="n">
        <x:f>RANK(K178,$K$2:$K$283,0)+COUNTIF($K$2:K178,K178)-1</x:f>
        <x:v>177</x:v>
      </x:c>
    </x:row>
    <x:row r="179" ht="18" customHeight="1">
      <x:c r="A179" s="25" t="str">
        <x:v>EEZ_846</x:v>
      </x:c>
      <x:c r="B179" s="25" t="str">
        <x:v>Howland &amp; Baker Isl. (USA)</x:v>
      </x:c>
      <x:c r="C179" s="25" t="str">
        <x:v>EEZ</x:v>
      </x:c>
      <x:c r="D179" s="31" t="n">
        <x:v>2019</x:v>
      </x:c>
      <x:c r="E179" s="32" t="n">
        <x:v>4352.1546382121005</x:v>
      </x:c>
      <x:c r="F179" s="32" t="n">
        <x:v>4352.1546382121005</x:v>
      </x:c>
      <x:c r="G179" s="33" t="n">
        <x:v>0</x:v>
      </x:c>
      <x:c r="H179" s="34" t="n">
        <x:v>1</x:v>
      </x:c>
      <x:c r="I179" s="35" t="n">
        <x:v>18</x:v>
      </x:c>
      <x:c r="J179" s="35" t="n">
        <x:v>18</x:v>
      </x:c>
      <x:c r="K179" s="32" t="n">
        <x:v>9583004.046822514</x:v>
      </x:c>
      <x:c r="L179" s="32" t="n">
        <x:v>9506637.802266642</x:v>
      </x:c>
      <x:c r="M179" s="32" t="n">
        <x:v>9477228.694487184</x:v>
      </x:c>
      <x:c r="N179" s="34" t="n">
        <x:f>K179/SUM($K$2:$K$283)</x:f>
        <x:v>0.00014423073837901</x:v>
      </x:c>
      <x:c r="O179" s="35" t="n">
        <x:f>RANK(K179,$K$2:$K$283,0)+COUNTIF($K$2:K179,K179)-1</x:f>
        <x:v>178</x:v>
      </x:c>
    </x:row>
    <x:row r="180" ht="18" customHeight="1">
      <x:c r="A180" s="25" t="str">
        <x:v>EEZ_096</x:v>
      </x:c>
      <x:c r="B180" s="25" t="str">
        <x:v>Brunei Darussalam</x:v>
      </x:c>
      <x:c r="C180" s="25" t="str">
        <x:v>EEZ</x:v>
      </x:c>
      <x:c r="D180" s="31" t="n">
        <x:v>2019</x:v>
      </x:c>
      <x:c r="E180" s="32" t="n">
        <x:v>16692.4609859602</x:v>
      </x:c>
      <x:c r="F180" s="32" t="n">
        <x:v>16692.4609859602</x:v>
      </x:c>
      <x:c r="G180" s="33" t="n">
        <x:v>0</x:v>
      </x:c>
      <x:c r="H180" s="34" t="n">
        <x:v>1</x:v>
      </x:c>
      <x:c r="I180" s="35" t="n">
        <x:v>97</x:v>
      </x:c>
      <x:c r="J180" s="35" t="n">
        <x:v>97</x:v>
      </x:c>
      <x:c r="K180" s="32" t="n">
        <x:v>9457192.928452253</x:v>
      </x:c>
      <x:c r="L180" s="32" t="n">
        <x:v>6450698.669000201</x:v>
      </x:c>
      <x:c r="M180" s="32" t="n">
        <x:v>7752166.790152376</x:v>
      </x:c>
      <x:c r="N180" s="34" t="n">
        <x:f>K180/SUM($K$2:$K$283)</x:f>
        <x:v>0.00014233719535114824</x:v>
      </x:c>
      <x:c r="O180" s="35" t="n">
        <x:f>RANK(K180,$K$2:$K$283,0)+COUNTIF($K$2:K180,K180)-1</x:f>
        <x:v>179</x:v>
      </x:c>
    </x:row>
    <x:row r="181" ht="18" customHeight="1">
      <x:c r="A181" s="25" t="str">
        <x:v>EEZ_251</x:v>
      </x:c>
      <x:c r="B181" s="25" t="str">
        <x:v>Mozambique Channel Isl. (France)</x:v>
      </x:c>
      <x:c r="C181" s="25" t="str">
        <x:v>EEZ</x:v>
      </x:c>
      <x:c r="D181" s="31" t="n">
        <x:v>2019</x:v>
      </x:c>
      <x:c r="E181" s="32" t="n">
        <x:v>3801.8421879604</x:v>
      </x:c>
      <x:c r="F181" s="32" t="n">
        <x:v>3801.8421879604</x:v>
      </x:c>
      <x:c r="G181" s="33" t="n">
        <x:v>0</x:v>
      </x:c>
      <x:c r="H181" s="34" t="n">
        <x:v>1</x:v>
      </x:c>
      <x:c r="I181" s="35" t="n">
        <x:v>27</x:v>
      </x:c>
      <x:c r="J181" s="35" t="n">
        <x:v>27</x:v>
      </x:c>
      <x:c r="K181" s="32" t="n">
        <x:v>9217280.300397815</x:v>
      </x:c>
      <x:c r="L181" s="32" t="n">
        <x:v>9145338.936293395</x:v>
      </x:c>
      <x:c r="M181" s="32" t="n">
        <x:v>9129597.461660808</x:v>
      </x:c>
      <x:c r="N181" s="34" t="n">
        <x:f>K181/SUM($K$2:$K$283)</x:f>
        <x:v>0.00013872634688216385</x:v>
      </x:c>
      <x:c r="O181" s="35" t="n">
        <x:f>RANK(K181,$K$2:$K$283,0)+COUNTIF($K$2:K181,K181)-1</x:f>
        <x:v>180</x:v>
      </x:c>
    </x:row>
    <x:row r="182" ht="18" customHeight="1">
      <x:c r="A182" s="25" t="str">
        <x:v>EEZ_048</x:v>
      </x:c>
      <x:c r="B182" s="25" t="str">
        <x:v>Bahrain</x:v>
      </x:c>
      <x:c r="C182" s="25" t="str">
        <x:v>EEZ</x:v>
      </x:c>
      <x:c r="D182" s="31" t="n">
        <x:v>2019</x:v>
      </x:c>
      <x:c r="E182" s="32" t="n">
        <x:v>40820.826476502996</x:v>
      </x:c>
      <x:c r="F182" s="32" t="n">
        <x:v>40820.826476502996</x:v>
      </x:c>
      <x:c r="G182" s="33" t="n">
        <x:v>0</x:v>
      </x:c>
      <x:c r="H182" s="34" t="n">
        <x:v>1</x:v>
      </x:c>
      <x:c r="I182" s="35" t="n">
        <x:v>55</x:v>
      </x:c>
      <x:c r="J182" s="35" t="n">
        <x:v>55</x:v>
      </x:c>
      <x:c r="K182" s="32" t="n">
        <x:v>9187447.205934381</x:v>
      </x:c>
      <x:c r="L182" s="32" t="n">
        <x:v>5932186.718613792</x:v>
      </x:c>
      <x:c r="M182" s="32" t="n">
        <x:v>7932052.627750317</x:v>
      </x:c>
      <x:c r="N182" s="34" t="n">
        <x:f>K182/SUM($K$2:$K$283)</x:f>
        <x:v>0.00013827733848964223</x:v>
      </x:c>
      <x:c r="O182" s="35" t="n">
        <x:f>RANK(K182,$K$2:$K$283,0)+COUNTIF($K$2:K182,K182)-1</x:f>
        <x:v>181</x:v>
      </x:c>
    </x:row>
    <x:row r="183" ht="18" customHeight="1">
      <x:c r="A183" s="25" t="str">
        <x:v>EEZ_414</x:v>
      </x:c>
      <x:c r="B183" s="25" t="str">
        <x:v>Kuwait</x:v>
      </x:c>
      <x:c r="C183" s="25" t="str">
        <x:v>EEZ</x:v>
      </x:c>
      <x:c r="D183" s="31" t="n">
        <x:v>2019</x:v>
      </x:c>
      <x:c r="E183" s="32" t="n">
        <x:v>23587.724537113005</x:v>
      </x:c>
      <x:c r="F183" s="32" t="n">
        <x:v>23587.724537113005</x:v>
      </x:c>
      <x:c r="G183" s="33" t="n">
        <x:v>0</x:v>
      </x:c>
      <x:c r="H183" s="34" t="n">
        <x:v>1</x:v>
      </x:c>
      <x:c r="I183" s="35" t="n">
        <x:v>22</x:v>
      </x:c>
      <x:c r="J183" s="35" t="n">
        <x:v>22</x:v>
      </x:c>
      <x:c r="K183" s="32" t="n">
        <x:v>8850802.026816877</x:v>
      </x:c>
      <x:c r="L183" s="32" t="n">
        <x:v>8234956.306908464</x:v>
      </x:c>
      <x:c r="M183" s="32" t="n">
        <x:v>8613150.653751288</x:v>
      </x:c>
      <x:c r="N183" s="34" t="n">
        <x:f>K183/SUM($K$2:$K$283)</x:f>
        <x:v>0.00013321059923766923</x:v>
      </x:c>
      <x:c r="O183" s="35" t="n">
        <x:f>RANK(K183,$K$2:$K$283,0)+COUNTIF($K$2:K183,K183)-1</x:f>
        <x:v>182</x:v>
      </x:c>
    </x:row>
    <x:row r="184" ht="18" customHeight="1">
      <x:c r="A184" s="25" t="str">
        <x:v>EEZ_111</x:v>
      </x:c>
      <x:c r="B184" s="25" t="str">
        <x:v>Eritrea</x:v>
      </x:c>
      <x:c r="C184" s="25" t="str">
        <x:v>EEZ</x:v>
      </x:c>
      <x:c r="D184" s="31" t="n">
        <x:v>2019</x:v>
      </x:c>
      <x:c r="E184" s="32" t="n">
        <x:v>10673.441493973301</x:v>
      </x:c>
      <x:c r="F184" s="32" t="n">
        <x:v>10673.441493973301</x:v>
      </x:c>
      <x:c r="G184" s="33" t="n">
        <x:v>0</x:v>
      </x:c>
      <x:c r="H184" s="34" t="n">
        <x:v>1</x:v>
      </x:c>
      <x:c r="I184" s="35" t="n">
        <x:v>58</x:v>
      </x:c>
      <x:c r="J184" s="35" t="n">
        <x:v>58</x:v>
      </x:c>
      <x:c r="K184" s="32" t="n">
        <x:v>8796685.401941154</x:v>
      </x:c>
      <x:c r="L184" s="32" t="n">
        <x:v>2898023.2958751377</x:v>
      </x:c>
      <x:c r="M184" s="32" t="n">
        <x:v>6605497.291251106</x:v>
      </x:c>
      <x:c r="N184" s="34" t="n">
        <x:f>K184/SUM($K$2:$K$283)</x:f>
        <x:v>0.00013239610717168774</x:v>
      </x:c>
      <x:c r="O184" s="35" t="n">
        <x:f>RANK(K184,$K$2:$K$283,0)+COUNTIF($K$2:K184,K184)-1</x:f>
        <x:v>183</x:v>
      </x:c>
    </x:row>
    <x:row r="185" ht="18" customHeight="1">
      <x:c r="A185" s="25" t="str">
        <x:v>EEZ_845</x:v>
      </x:c>
      <x:c r="B185" s="25" t="str">
        <x:v>Jarvis Isl. (USA)</x:v>
      </x:c>
      <x:c r="C185" s="25" t="str">
        <x:v>EEZ</x:v>
      </x:c>
      <x:c r="D185" s="31" t="n">
        <x:v>2019</x:v>
      </x:c>
      <x:c r="E185" s="32" t="n">
        <x:v>3423.5308595899996</x:v>
      </x:c>
      <x:c r="F185" s="32" t="n">
        <x:v>3423.5308595899996</x:v>
      </x:c>
      <x:c r="G185" s="33" t="n">
        <x:v>0</x:v>
      </x:c>
      <x:c r="H185" s="34" t="n">
        <x:v>1</x:v>
      </x:c>
      <x:c r="I185" s="35" t="n">
        <x:v>17</x:v>
      </x:c>
      <x:c r="J185" s="35" t="n">
        <x:v>17</x:v>
      </x:c>
      <x:c r="K185" s="32" t="n">
        <x:v>7929382.82878491</x:v>
      </x:c>
      <x:c r="L185" s="32" t="n">
        <x:v>7877968.920842708</x:v>
      </x:c>
      <x:c r="M185" s="32" t="n">
        <x:v>7884666.365376899</x:v>
      </x:c>
      <x:c r="N185" s="34" t="n">
        <x:f>K185/SUM($K$2:$K$283)</x:f>
        <x:v>0.00011934261268153174</x:v>
      </x:c>
      <x:c r="O185" s="35" t="n">
        <x:f>RANK(K185,$K$2:$K$283,0)+COUNTIF($K$2:K185,K185)-1</x:f>
        <x:v>184</x:v>
      </x:c>
    </x:row>
    <x:row r="186" ht="18" customHeight="1">
      <x:c r="A186" s="25" t="str">
        <x:v>EEZ_906</x:v>
      </x:c>
      <x:c r="B186" s="25" t="str">
        <x:v>Curaçao (Netherlands)</x:v>
      </x:c>
      <x:c r="C186" s="25" t="str">
        <x:v>EEZ</x:v>
      </x:c>
      <x:c r="D186" s="31" t="n">
        <x:v>2019</x:v>
      </x:c>
      <x:c r="E186" s="32" t="n">
        <x:v>4837.787794606899</x:v>
      </x:c>
      <x:c r="F186" s="32" t="n">
        <x:v>4837.787794606899</x:v>
      </x:c>
      <x:c r="G186" s="33" t="n">
        <x:v>0</x:v>
      </x:c>
      <x:c r="H186" s="34" t="n">
        <x:v>1</x:v>
      </x:c>
      <x:c r="I186" s="35" t="n">
        <x:v>37</x:v>
      </x:c>
      <x:c r="J186" s="35" t="n">
        <x:v>37</x:v>
      </x:c>
      <x:c r="K186" s="32" t="n">
        <x:v>7826249.292403802</x:v>
      </x:c>
      <x:c r="L186" s="32" t="n">
        <x:v>7745679.6449990645</x:v>
      </x:c>
      <x:c r="M186" s="32" t="n">
        <x:v>7707048.136192446</x:v>
      </x:c>
      <x:c r="N186" s="34" t="n">
        <x:f>K186/SUM($K$2:$K$283)</x:f>
        <x:v>0.00011779038270946805</x:v>
      </x:c>
      <x:c r="O186" s="35" t="n">
        <x:f>RANK(K186,$K$2:$K$283,0)+COUNTIF($K$2:K186,K186)-1</x:f>
        <x:v>185</x:v>
      </x:c>
    </x:row>
    <x:row r="187" ht="18" customHeight="1">
      <x:c r="A187" s="25" t="str">
        <x:v>EEZ_830</x:v>
      </x:c>
      <x:c r="B187" s="25" t="str">
        <x:v>Channel Isl. (UK)</x:v>
      </x:c>
      <x:c r="C187" s="25" t="str">
        <x:v>EEZ</x:v>
      </x:c>
      <x:c r="D187" s="31" t="n">
        <x:v>2019</x:v>
      </x:c>
      <x:c r="E187" s="32" t="n">
        <x:v>13336.3851663309</x:v>
      </x:c>
      <x:c r="F187" s="32" t="n">
        <x:v>13336.3851663309</x:v>
      </x:c>
      <x:c r="G187" s="33" t="n">
        <x:v>0</x:v>
      </x:c>
      <x:c r="H187" s="34" t="n">
        <x:v>1</x:v>
      </x:c>
      <x:c r="I187" s="35" t="n">
        <x:v>263</x:v>
      </x:c>
      <x:c r="J187" s="35" t="n">
        <x:v>263</x:v>
      </x:c>
      <x:c r="K187" s="32" t="n">
        <x:v>7600928.524628068</x:v>
      </x:c>
      <x:c r="L187" s="32" t="n">
        <x:v>4776585.493115955</x:v>
      </x:c>
      <x:c r="M187" s="32" t="n">
        <x:v>5751505.527055379</x:v>
      </x:c>
      <x:c r="N187" s="34" t="n">
        <x:f>K187/SUM($K$2:$K$283)</x:f>
        <x:v>0.0001143991516769407</x:v>
      </x:c>
      <x:c r="O187" s="35" t="n">
        <x:f>RANK(K187,$K$2:$K$283,0)+COUNTIF($K$2:K187,K187)-1</x:f>
        <x:v>186</x:v>
      </x:c>
    </x:row>
    <x:row r="188" ht="18" customHeight="1">
      <x:c r="A188" s="25" t="str">
        <x:v>EEZ_308</x:v>
      </x:c>
      <x:c r="B188" s="25" t="str">
        <x:v>Grenada</x:v>
      </x:c>
      <x:c r="C188" s="25" t="str">
        <x:v>EEZ</x:v>
      </x:c>
      <x:c r="D188" s="31" t="n">
        <x:v>2019</x:v>
      </x:c>
      <x:c r="E188" s="32" t="n">
        <x:v>3717.1043054865995</x:v>
      </x:c>
      <x:c r="F188" s="32" t="n">
        <x:v>3717.1043054865995</x:v>
      </x:c>
      <x:c r="G188" s="33" t="n">
        <x:v>0</x:v>
      </x:c>
      <x:c r="H188" s="34" t="n">
        <x:v>1</x:v>
      </x:c>
      <x:c r="I188" s="35" t="n">
        <x:v>60</x:v>
      </x:c>
      <x:c r="J188" s="35" t="n">
        <x:v>60</x:v>
      </x:c>
      <x:c r="K188" s="32" t="n">
        <x:v>7313275.919097777</x:v>
      </x:c>
      <x:c r="L188" s="32" t="n">
        <x:v>6585721.149872309</x:v>
      </x:c>
      <x:c r="M188" s="32" t="n">
        <x:v>7228573.0042002555</x:v>
      </x:c>
      <x:c r="N188" s="34" t="n">
        <x:f>K188/SUM($K$2:$K$283)</x:f>
        <x:v>0.00011006978402880364</x:v>
      </x:c>
      <x:c r="O188" s="35" t="n">
        <x:f>RANK(K188,$K$2:$K$283,0)+COUNTIF($K$2:K188,K188)-1</x:f>
        <x:v>187</x:v>
      </x:c>
    </x:row>
    <x:row r="189" ht="18" customHeight="1">
      <x:c r="A189" s="25" t="str">
        <x:v>EEZ_153</x:v>
      </x:c>
      <x:c r="B189" s="25" t="str">
        <x:v>Easter Isl. (Chile)</x:v>
      </x:c>
      <x:c r="C189" s="25" t="str">
        <x:v>EEZ</x:v>
      </x:c>
      <x:c r="D189" s="31" t="n">
        <x:v>2019</x:v>
      </x:c>
      <x:c r="E189" s="32" t="n">
        <x:v>3582.4039295135995</x:v>
      </x:c>
      <x:c r="F189" s="32" t="n">
        <x:v>3582.4039295135995</x:v>
      </x:c>
      <x:c r="G189" s="33" t="n">
        <x:v>0</x:v>
      </x:c>
      <x:c r="H189" s="34" t="n">
        <x:v>1</x:v>
      </x:c>
      <x:c r="I189" s="35" t="n">
        <x:v>36</x:v>
      </x:c>
      <x:c r="J189" s="35" t="n">
        <x:v>36</x:v>
      </x:c>
      <x:c r="K189" s="32" t="n">
        <x:v>7297323.667236304</x:v>
      </x:c>
      <x:c r="L189" s="32" t="n">
        <x:v>6917234.642278184</x:v>
      </x:c>
      <x:c r="M189" s="32" t="n">
        <x:v>6957741.323394586</x:v>
      </x:c>
      <x:c r="N189" s="34" t="n">
        <x:f>K189/SUM($K$2:$K$283)</x:f>
        <x:v>0.0001098296917723936</x:v>
      </x:c>
      <x:c r="O189" s="35" t="n">
        <x:f>RANK(K189,$K$2:$K$283,0)+COUNTIF($K$2:K189,K189)-1</x:f>
        <x:v>188</x:v>
      </x:c>
    </x:row>
    <x:row r="190" ht="18" customHeight="1">
      <x:c r="A190" s="25" t="str">
        <x:v>EEZ_915</x:v>
      </x:c>
      <x:c r="B190" s="25" t="str">
        <x:v>Sweden (West Coast)</x:v>
      </x:c>
      <x:c r="C190" s="25" t="str">
        <x:v>EEZ</x:v>
      </x:c>
      <x:c r="D190" s="31" t="n">
        <x:v>2019</x:v>
      </x:c>
      <x:c r="E190" s="32" t="n">
        <x:v>14482.041987962604</x:v>
      </x:c>
      <x:c r="F190" s="32" t="n">
        <x:v>14482.041987962604</x:v>
      </x:c>
      <x:c r="G190" s="33" t="n">
        <x:v>0</x:v>
      </x:c>
      <x:c r="H190" s="34" t="n">
        <x:v>1</x:v>
      </x:c>
      <x:c r="I190" s="35" t="n">
        <x:v>117</x:v>
      </x:c>
      <x:c r="J190" s="35" t="n">
        <x:v>117</x:v>
      </x:c>
      <x:c r="K190" s="32" t="n">
        <x:v>7256163.265204381</x:v>
      </x:c>
      <x:c r="L190" s="32" t="n">
        <x:v>6314670.509263973</x:v>
      </x:c>
      <x:c r="M190" s="32" t="n">
        <x:v>6783703.22676787</x:v>
      </x:c>
      <x:c r="N190" s="34" t="n">
        <x:f>K190/SUM($K$2:$K$283)</x:f>
        <x:v>0.00010921019968535753</x:v>
      </x:c>
      <x:c r="O190" s="35" t="n">
        <x:f>RANK(K190,$K$2:$K$283,0)+COUNTIF($K$2:K190,K190)-1</x:f>
        <x:v>189</x:v>
      </x:c>
    </x:row>
    <x:row r="191" ht="18" customHeight="1">
      <x:c r="A191" s="25" t="str">
        <x:v>EEZ_921</x:v>
      </x:c>
      <x:c r="B191" s="25" t="str">
        <x:v>Honduras (Caribbean)</x:v>
      </x:c>
      <x:c r="C191" s="25" t="str">
        <x:v>EEZ</x:v>
      </x:c>
      <x:c r="D191" s="31" t="n">
        <x:v>2019</x:v>
      </x:c>
      <x:c r="E191" s="32" t="n">
        <x:v>21241.895209552</x:v>
      </x:c>
      <x:c r="F191" s="32" t="n">
        <x:v>21241.895209552</x:v>
      </x:c>
      <x:c r="G191" s="33" t="n">
        <x:v>0</x:v>
      </x:c>
      <x:c r="H191" s="34" t="n">
        <x:v>1</x:v>
      </x:c>
      <x:c r="I191" s="35" t="n">
        <x:v>88</x:v>
      </x:c>
      <x:c r="J191" s="35" t="n">
        <x:v>88</x:v>
      </x:c>
      <x:c r="K191" s="32" t="n">
        <x:v>7201096.133289953</x:v>
      </x:c>
      <x:c r="L191" s="32" t="n">
        <x:v>5339937.558466862</x:v>
      </x:c>
      <x:c r="M191" s="32" t="n">
        <x:v>5975624.65757964</x:v>
      </x:c>
      <x:c r="N191" s="34" t="n">
        <x:f>K191/SUM($K$2:$K$283)</x:f>
        <x:v>0.00010838140184100455</x:v>
      </x:c>
      <x:c r="O191" s="35" t="n">
        <x:f>RANK(K191,$K$2:$K$283,0)+COUNTIF($K$2:K191,K191)-1</x:f>
        <x:v>190</x:v>
      </x:c>
    </x:row>
    <x:row r="192" ht="18" customHeight="1">
      <x:c r="A192" s="25" t="str">
        <x:v>EEZ_626</x:v>
      </x:c>
      <x:c r="B192" s="25" t="str">
        <x:v>Timor Leste</x:v>
      </x:c>
      <x:c r="C192" s="25" t="str">
        <x:v>EEZ</x:v>
      </x:c>
      <x:c r="D192" s="31" t="n">
        <x:v>2019</x:v>
      </x:c>
      <x:c r="E192" s="32" t="n">
        <x:v>6740.4405352820995</x:v>
      </x:c>
      <x:c r="F192" s="32" t="n">
        <x:v>6740.4405352820995</x:v>
      </x:c>
      <x:c r="G192" s="33" t="n">
        <x:v>0</x:v>
      </x:c>
      <x:c r="H192" s="34" t="n">
        <x:v>1</x:v>
      </x:c>
      <x:c r="I192" s="35" t="n">
        <x:v>28</x:v>
      </x:c>
      <x:c r="J192" s="35" t="n">
        <x:v>28</x:v>
      </x:c>
      <x:c r="K192" s="32" t="n">
        <x:v>7104836.656840956</x:v>
      </x:c>
      <x:c r="L192" s="32" t="n">
        <x:v>5825364.341053546</x:v>
      </x:c>
      <x:c r="M192" s="32" t="n">
        <x:v>6128911.235511971</x:v>
      </x:c>
      <x:c r="N192" s="34" t="n">
        <x:f>K192/SUM($K$2:$K$283)</x:f>
        <x:v>0.00010693263115319302</x:v>
      </x:c>
      <x:c r="O192" s="35" t="n">
        <x:f>RANK(K192,$K$2:$K$283,0)+COUNTIF($K$2:K192,K192)-1</x:f>
        <x:v>191</x:v>
      </x:c>
    </x:row>
    <x:row r="193" ht="18" customHeight="1">
      <x:c r="A193" s="25" t="str">
        <x:v>EEZ_368</x:v>
      </x:c>
      <x:c r="B193" s="25" t="str">
        <x:v>Iraq</x:v>
      </x:c>
      <x:c r="C193" s="25" t="str">
        <x:v>EEZ</x:v>
      </x:c>
      <x:c r="D193" s="31" t="n">
        <x:v>2019</x:v>
      </x:c>
      <x:c r="E193" s="32" t="n">
        <x:v>17378.277221609</x:v>
      </x:c>
      <x:c r="F193" s="32" t="n">
        <x:v>17378.277221609</x:v>
      </x:c>
      <x:c r="G193" s="33" t="n">
        <x:v>0</x:v>
      </x:c>
      <x:c r="H193" s="34" t="n">
        <x:v>1</x:v>
      </x:c>
      <x:c r="I193" s="35" t="n">
        <x:v>50</x:v>
      </x:c>
      <x:c r="J193" s="35" t="n">
        <x:v>50</x:v>
      </x:c>
      <x:c r="K193" s="32" t="n">
        <x:v>6545752.48582018</x:v>
      </x:c>
      <x:c r="L193" s="32" t="n">
        <x:v>2297231.475028478</x:v>
      </x:c>
      <x:c r="M193" s="32" t="n">
        <x:v>3443843.0572204525</x:v>
      </x:c>
      <x:c r="N193" s="34" t="n">
        <x:f>K193/SUM($K$2:$K$283)</x:f>
        <x:v>0.00009851803355849822</x:v>
      </x:c>
      <x:c r="O193" s="35" t="n">
        <x:f>RANK(K193,$K$2:$K$283,0)+COUNTIF($K$2:K193,K193)-1</x:f>
        <x:v>192</x:v>
      </x:c>
    </x:row>
    <x:row r="194" ht="18" customHeight="1">
      <x:c r="A194" s="25" t="str">
        <x:v>EEZ_262</x:v>
      </x:c>
      <x:c r="B194" s="25" t="str">
        <x:v>Djibouti</x:v>
      </x:c>
      <x:c r="C194" s="25" t="str">
        <x:v>EEZ</x:v>
      </x:c>
      <x:c r="D194" s="31" t="n">
        <x:v>2019</x:v>
      </x:c>
      <x:c r="E194" s="32" t="n">
        <x:v>3605.053587344</x:v>
      </x:c>
      <x:c r="F194" s="32" t="n">
        <x:v>3605.053587344</x:v>
      </x:c>
      <x:c r="G194" s="33" t="n">
        <x:v>0</x:v>
      </x:c>
      <x:c r="H194" s="34" t="n">
        <x:v>1</x:v>
      </x:c>
      <x:c r="I194" s="35" t="n">
        <x:v>41</x:v>
      </x:c>
      <x:c r="J194" s="35" t="n">
        <x:v>41</x:v>
      </x:c>
      <x:c r="K194" s="32" t="n">
        <x:v>6543782.7076633</x:v>
      </x:c>
      <x:c r="L194" s="32" t="n">
        <x:v>5472646.548147077</x:v>
      </x:c>
      <x:c r="M194" s="32" t="n">
        <x:v>5937417.360052854</x:v>
      </x:c>
      <x:c r="N194" s="34" t="n">
        <x:f>K194/SUM($K$2:$K$283)</x:f>
        <x:v>0.00009848838705552051</x:v>
      </x:c>
      <x:c r="O194" s="35" t="n">
        <x:f>RANK(K194,$K$2:$K$283,0)+COUNTIF($K$2:K194,K194)-1</x:f>
        <x:v>193</x:v>
      </x:c>
    </x:row>
    <x:row r="195" ht="18" customHeight="1">
      <x:c r="A195" s="25" t="str">
        <x:v>EEZ_344</x:v>
      </x:c>
      <x:c r="B195" s="25" t="str">
        <x:v>Hong Kong (China)</x:v>
      </x:c>
      <x:c r="C195" s="25" t="str">
        <x:v>EEZ</x:v>
      </x:c>
      <x:c r="D195" s="31" t="n">
        <x:v>2019</x:v>
      </x:c>
      <x:c r="E195" s="32" t="n">
        <x:v>13460.850930421202</x:v>
      </x:c>
      <x:c r="F195" s="32" t="n">
        <x:v>13460.850930421202</x:v>
      </x:c>
      <x:c r="G195" s="33" t="n">
        <x:v>0</x:v>
      </x:c>
      <x:c r="H195" s="34" t="n">
        <x:v>1</x:v>
      </x:c>
      <x:c r="I195" s="35" t="n">
        <x:v>49</x:v>
      </x:c>
      <x:c r="J195" s="35" t="n">
        <x:v>49</x:v>
      </x:c>
      <x:c r="K195" s="32" t="n">
        <x:v>5045326.844836413</x:v>
      </x:c>
      <x:c r="L195" s="32" t="n">
        <x:v>3532998.8063877104</x:v>
      </x:c>
      <x:c r="M195" s="32" t="n">
        <x:v>4545123.895361967</x:v>
      </x:c>
      <x:c r="N195" s="34" t="n">
        <x:f>K195/SUM($K$2:$K$283)</x:f>
        <x:v>0.00007593560564502537</x:v>
      </x:c>
      <x:c r="O195" s="35" t="n">
        <x:f>RANK(K195,$K$2:$K$283,0)+COUNTIF($K$2:K195,K195)-1</x:f>
        <x:v>194</x:v>
      </x:c>
    </x:row>
    <x:row r="196" ht="18" customHeight="1">
      <x:c r="A196" s="25" t="str">
        <x:v>EEZ_100</x:v>
      </x:c>
      <x:c r="B196" s="25" t="str">
        <x:v>Bulgaria</x:v>
      </x:c>
      <x:c r="C196" s="25" t="str">
        <x:v>EEZ</x:v>
      </x:c>
      <x:c r="D196" s="31" t="n">
        <x:v>2019</x:v>
      </x:c>
      <x:c r="E196" s="32" t="n">
        <x:v>17051.512653486603</x:v>
      </x:c>
      <x:c r="F196" s="32" t="n">
        <x:v>17051.512653486603</x:v>
      </x:c>
      <x:c r="G196" s="33" t="n">
        <x:v>0</x:v>
      </x:c>
      <x:c r="H196" s="34" t="n">
        <x:v>1</x:v>
      </x:c>
      <x:c r="I196" s="35" t="n">
        <x:v>34</x:v>
      </x:c>
      <x:c r="J196" s="35" t="n">
        <x:v>34</x:v>
      </x:c>
      <x:c r="K196" s="32" t="n">
        <x:v>4947572.629646991</x:v>
      </x:c>
      <x:c r="L196" s="32" t="n">
        <x:v>4299706.83993417</x:v>
      </x:c>
      <x:c r="M196" s="32" t="n">
        <x:v>4900919.807556647</x:v>
      </x:c>
      <x:c r="N196" s="34" t="n">
        <x:f>K196/SUM($K$2:$K$283)</x:f>
        <x:v>0.00007446433812102742</x:v>
      </x:c>
      <x:c r="O196" s="35" t="n">
        <x:f>RANK(K196,$K$2:$K$283,0)+COUNTIF($K$2:K196,K196)-1</x:f>
        <x:v>195</x:v>
      </x:c>
    </x:row>
    <x:row r="197" ht="18" customHeight="1">
      <x:c r="A197" s="25" t="str">
        <x:v>EEZ_254</x:v>
      </x:c>
      <x:c r="B197" s="25" t="str">
        <x:v>French Guiana</x:v>
      </x:c>
      <x:c r="C197" s="25" t="str">
        <x:v>EEZ</x:v>
      </x:c>
      <x:c r="D197" s="31" t="n">
        <x:v>2019</x:v>
      </x:c>
      <x:c r="E197" s="32" t="n">
        <x:v>6463.6550972397</x:v>
      </x:c>
      <x:c r="F197" s="32" t="n">
        <x:v>6463.6550972397</x:v>
      </x:c>
      <x:c r="G197" s="33" t="n">
        <x:v>0</x:v>
      </x:c>
      <x:c r="H197" s="34" t="n">
        <x:v>1</x:v>
      </x:c>
      <x:c r="I197" s="35" t="n">
        <x:v>65</x:v>
      </x:c>
      <x:c r="J197" s="35" t="n">
        <x:v>65</x:v>
      </x:c>
      <x:c r="K197" s="32" t="n">
        <x:v>4898958.650204303</x:v>
      </x:c>
      <x:c r="L197" s="32" t="n">
        <x:v>3759036.2749106656</x:v>
      </x:c>
      <x:c r="M197" s="32" t="n">
        <x:v>3968148.359222739</x:v>
      </x:c>
      <x:c r="N197" s="34" t="n">
        <x:f>K197/SUM($K$2:$K$283)</x:f>
        <x:v>0.00007373266461694642</x:v>
      </x:c>
      <x:c r="O197" s="35" t="n">
        <x:f>RANK(K197,$K$2:$K$283,0)+COUNTIF($K$2:K197,K197)-1</x:f>
        <x:v>196</x:v>
      </x:c>
    </x:row>
    <x:row r="198" ht="18" customHeight="1">
      <x:c r="A198" s="25" t="str">
        <x:v>EEZ_910</x:v>
      </x:c>
      <x:c r="B198" s="25" t="str">
        <x:v>South Orkney Islands (UK)</x:v>
      </x:c>
      <x:c r="C198" s="25" t="str">
        <x:v>EEZ</x:v>
      </x:c>
      <x:c r="D198" s="31" t="n">
        <x:v>2019</x:v>
      </x:c>
      <x:c r="E198" s="32" t="n">
        <x:v>267149.7089344195</x:v>
      </x:c>
      <x:c r="F198" s="32" t="n">
        <x:v>267149.7089344195</x:v>
      </x:c>
      <x:c r="G198" s="33" t="n">
        <x:v>0</x:v>
      </x:c>
      <x:c r="H198" s="34" t="n">
        <x:v>1</x:v>
      </x:c>
      <x:c r="I198" s="35" t="n">
        <x:v>30</x:v>
      </x:c>
      <x:c r="J198" s="35" t="n">
        <x:v>30</x:v>
      </x:c>
      <x:c r="K198" s="32" t="n">
        <x:v>4841842.867915373</x:v>
      </x:c>
      <x:c r="L198" s="32" t="n">
        <x:v>4829985.802878814</x:v>
      </x:c>
      <x:c r="M198" s="32" t="n">
        <x:v>4841801.612785952</x:v>
      </x:c>
      <x:c r="N198" s="34" t="n">
        <x:f>K198/SUM($K$2:$K$283)</x:f>
        <x:v>0.00007287303318901662</x:v>
      </x:c>
      <x:c r="O198" s="35" t="n">
        <x:f>RANK(K198,$K$2:$K$283,0)+COUNTIF($K$2:K198,K198)-1</x:f>
        <x:v>197</x:v>
      </x:c>
    </x:row>
    <x:row r="199" ht="18" customHeight="1">
      <x:c r="A199" s="25" t="str">
        <x:v>EEZ_897</x:v>
      </x:c>
      <x:c r="B199" s="25" t="str">
        <x:v>Kerguelen Isl. (France)</x:v>
      </x:c>
      <x:c r="C199" s="25" t="str">
        <x:v>EEZ</x:v>
      </x:c>
      <x:c r="D199" s="31" t="n">
        <x:v>2019</x:v>
      </x:c>
      <x:c r="E199" s="32" t="n">
        <x:v>5596.068903000001</x:v>
      </x:c>
      <x:c r="F199" s="32" t="n">
        <x:v>5596.068903000001</x:v>
      </x:c>
      <x:c r="G199" s="33" t="n">
        <x:v>0</x:v>
      </x:c>
      <x:c r="H199" s="34" t="n">
        <x:v>1</x:v>
      </x:c>
      <x:c r="I199" s="35" t="n">
        <x:v>6</x:v>
      </x:c>
      <x:c r="J199" s="35" t="n">
        <x:v>6</x:v>
      </x:c>
      <x:c r="K199" s="32" t="n">
        <x:v>4822911.269595499</x:v>
      </x:c>
      <x:c r="L199" s="32" t="n">
        <x:v>4822317.842140515</x:v>
      </x:c>
      <x:c r="M199" s="32" t="n">
        <x:v>4822911.269595504</x:v>
      </x:c>
      <x:c r="N199" s="34" t="n">
        <x:f>K199/SUM($K$2:$K$283)</x:f>
        <x:v>0.00007258809973902234</x:v>
      </x:c>
      <x:c r="O199" s="35" t="n">
        <x:f>RANK(K199,$K$2:$K$283,0)+COUNTIF($K$2:K199,K199)-1</x:f>
        <x:v>198</x:v>
      </x:c>
    </x:row>
    <x:row r="200" ht="18" customHeight="1">
      <x:c r="A200" s="25" t="str">
        <x:v>EEZ_920</x:v>
      </x:c>
      <x:c r="B200" s="25" t="str">
        <x:v>Honduras (Pacific)</x:v>
      </x:c>
      <x:c r="C200" s="25" t="str">
        <x:v>EEZ</x:v>
      </x:c>
      <x:c r="D200" s="31" t="n">
        <x:v>2019</x:v>
      </x:c>
      <x:c r="E200" s="32" t="n">
        <x:v>6195.853813315599</x:v>
      </x:c>
      <x:c r="F200" s="32" t="n">
        <x:v>6195.853813315599</x:v>
      </x:c>
      <x:c r="G200" s="33" t="n">
        <x:v>0</x:v>
      </x:c>
      <x:c r="H200" s="34" t="n">
        <x:v>1</x:v>
      </x:c>
      <x:c r="I200" s="35" t="n">
        <x:v>25</x:v>
      </x:c>
      <x:c r="J200" s="35" t="n">
        <x:v>25</x:v>
      </x:c>
      <x:c r="K200" s="32" t="n">
        <x:v>4673613.720149462</x:v>
      </x:c>
      <x:c r="L200" s="32" t="n">
        <x:v>2891752.9802262196</x:v>
      </x:c>
      <x:c r="M200" s="32" t="n">
        <x:v>3502192.278722067</x:v>
      </x:c>
      <x:c r="N200" s="34" t="n">
        <x:f>K200/SUM($K$2:$K$283)</x:f>
        <x:v>0.00007034106992566036</x:v>
      </x:c>
      <x:c r="O200" s="35" t="n">
        <x:f>RANK(K200,$K$2:$K$283,0)+COUNTIF($K$2:K200,K200)-1</x:f>
        <x:v>199</x:v>
      </x:c>
    </x:row>
    <x:row r="201" ht="18" customHeight="1">
      <x:c r="A201" s="25" t="str">
        <x:v>EEZ_239</x:v>
      </x:c>
      <x:c r="B201" s="25" t="str">
        <x:v>South Georgia &amp; Sandwich Isl. (UK)</x:v>
      </x:c>
      <x:c r="C201" s="25" t="str">
        <x:v>EEZ</x:v>
      </x:c>
      <x:c r="D201" s="31" t="n">
        <x:v>2019</x:v>
      </x:c>
      <x:c r="E201" s="32" t="n">
        <x:v>142823.95840618768</x:v>
      </x:c>
      <x:c r="F201" s="32" t="n">
        <x:v>142823.95840618768</x:v>
      </x:c>
      <x:c r="G201" s="33" t="n">
        <x:v>0</x:v>
      </x:c>
      <x:c r="H201" s="34" t="n">
        <x:v>1</x:v>
      </x:c>
      <x:c r="I201" s="35" t="n">
        <x:v>33</x:v>
      </x:c>
      <x:c r="J201" s="35" t="n">
        <x:v>33</x:v>
      </x:c>
      <x:c r="K201" s="32" t="n">
        <x:v>4624410.7040542485</x:v>
      </x:c>
      <x:c r="L201" s="32" t="n">
        <x:v>4600691.82463027</x:v>
      </x:c>
      <x:c r="M201" s="32" t="n">
        <x:v>4624140.932766819</x:v>
      </x:c>
      <x:c r="N201" s="34" t="n">
        <x:f>K201/SUM($K$2:$K$283)</x:f>
        <x:v>0.00006960053101873587</x:v>
      </x:c>
      <x:c r="O201" s="35" t="n">
        <x:f>RANK(K201,$K$2:$K$283,0)+COUNTIF($K$2:K201,K201)-1</x:f>
        <x:v>200</x:v>
      </x:c>
    </x:row>
    <x:row r="202" ht="18" customHeight="1">
      <x:c r="A202" s="25" t="str">
        <x:v>EEZ_175</x:v>
      </x:c>
      <x:c r="B202" s="25" t="str">
        <x:v>Mayotte (France)</x:v>
      </x:c>
      <x:c r="C202" s="25" t="str">
        <x:v>EEZ</x:v>
      </x:c>
      <x:c r="D202" s="31" t="n">
        <x:v>2019</x:v>
      </x:c>
      <x:c r="E202" s="32" t="n">
        <x:v>2674.2376296267003</x:v>
      </x:c>
      <x:c r="F202" s="32" t="n">
        <x:v>2674.2376296267003</x:v>
      </x:c>
      <x:c r="G202" s="33" t="n">
        <x:v>0</x:v>
      </x:c>
      <x:c r="H202" s="34" t="n">
        <x:v>1</x:v>
      </x:c>
      <x:c r="I202" s="35" t="n">
        <x:v>104</x:v>
      </x:c>
      <x:c r="J202" s="35" t="n">
        <x:v>104</x:v>
      </x:c>
      <x:c r="K202" s="32" t="n">
        <x:v>4420008.906455407</x:v>
      </x:c>
      <x:c r="L202" s="32" t="n">
        <x:v>3744885.6635713265</x:v>
      </x:c>
      <x:c r="M202" s="32" t="n">
        <x:v>4023581.6593649206</x:v>
      </x:c>
      <x:c r="N202" s="34" t="n">
        <x:f>K202/SUM($K$2:$K$283)</x:f>
        <x:v>0.00006652414473635158</x:v>
      </x:c>
      <x:c r="O202" s="35" t="n">
        <x:f>RANK(K202,$K$2:$K$283,0)+COUNTIF($K$2:K202,K202)-1</x:f>
        <x:v>201</x:v>
      </x:c>
    </x:row>
    <x:row r="203" ht="18" customHeight="1">
      <x:c r="A203" s="25" t="str">
        <x:v>EEZ_970</x:v>
      </x:c>
      <x:c r="B203" s="25" t="str">
        <x:v>St Paul and St. Peter Archipelago (Brazil)</x:v>
      </x:c>
      <x:c r="C203" s="25" t="str">
        <x:v>EEZ</x:v>
      </x:c>
      <x:c r="D203" s="31" t="n">
        <x:v>2019</x:v>
      </x:c>
      <x:c r="E203" s="32" t="n">
        <x:v>6274.562444918601</x:v>
      </x:c>
      <x:c r="F203" s="32" t="n">
        <x:v>6274.562444918601</x:v>
      </x:c>
      <x:c r="G203" s="33" t="n">
        <x:v>0</x:v>
      </x:c>
      <x:c r="H203" s="34" t="n">
        <x:v>1</x:v>
      </x:c>
      <x:c r="I203" s="35" t="n">
        <x:v>16</x:v>
      </x:c>
      <x:c r="J203" s="35" t="n">
        <x:v>16</x:v>
      </x:c>
      <x:c r="K203" s="32" t="n">
        <x:v>4397891.451362429</x:v>
      </x:c>
      <x:c r="L203" s="32" t="n">
        <x:v>4385926.956974429</x:v>
      </x:c>
      <x:c r="M203" s="32" t="n">
        <x:v>4364349.855989877</x:v>
      </x:c>
      <x:c r="N203" s="34" t="n">
        <x:f>K203/SUM($K$2:$K$283)</x:f>
        <x:v>0.00006619126197187206</x:v>
      </x:c>
      <x:c r="O203" s="35" t="n">
        <x:f>RANK(K203,$K$2:$K$283,0)+COUNTIF($K$2:K203,K203)-1</x:f>
        <x:v>202</x:v>
      </x:c>
    </x:row>
    <x:row r="204" ht="18" customHeight="1">
      <x:c r="A204" s="25" t="str">
        <x:v>EEZ_422</x:v>
      </x:c>
      <x:c r="B204" s="25" t="str">
        <x:v>Lebanon</x:v>
      </x:c>
      <x:c r="C204" s="25" t="str">
        <x:v>EEZ</x:v>
      </x:c>
      <x:c r="D204" s="31" t="n">
        <x:v>2019</x:v>
      </x:c>
      <x:c r="E204" s="32" t="n">
        <x:v>6487.446754114901</x:v>
      </x:c>
      <x:c r="F204" s="32" t="n">
        <x:v>6487.446754114901</x:v>
      </x:c>
      <x:c r="G204" s="33" t="n">
        <x:v>0</x:v>
      </x:c>
      <x:c r="H204" s="34" t="n">
        <x:v>1</x:v>
      </x:c>
      <x:c r="I204" s="35" t="n">
        <x:v>107</x:v>
      </x:c>
      <x:c r="J204" s="35" t="n">
        <x:v>107</x:v>
      </x:c>
      <x:c r="K204" s="32" t="n">
        <x:v>4354101.235520945</x:v>
      </x:c>
      <x:c r="L204" s="32" t="n">
        <x:v>2964399.180842338</x:v>
      </x:c>
      <x:c r="M204" s="32" t="n">
        <x:v>3901732.118175007</x:v>
      </x:c>
      <x:c r="N204" s="34" t="n">
        <x:f>K204/SUM($K$2:$K$283)</x:f>
        <x:v>0.00006553218939570136</x:v>
      </x:c>
      <x:c r="O204" s="35" t="n">
        <x:f>RANK(K204,$K$2:$K$283,0)+COUNTIF($K$2:K204,K204)-1</x:f>
        <x:v>203</x:v>
      </x:c>
    </x:row>
    <x:row r="205" ht="18" customHeight="1">
      <x:c r="A205" s="25" t="str">
        <x:v>EEZ_977</x:v>
      </x:c>
      <x:c r="B205" s="25" t="str">
        <x:v>Yemen (Socotra)</x:v>
      </x:c>
      <x:c r="C205" s="25" t="str">
        <x:v>EEZ</x:v>
      </x:c>
      <x:c r="D205" s="31" t="n">
        <x:v>2019</x:v>
      </x:c>
      <x:c r="E205" s="32" t="n">
        <x:v>5568.2319259029</x:v>
      </x:c>
      <x:c r="F205" s="32" t="n">
        <x:v>5568.2319259029</x:v>
      </x:c>
      <x:c r="G205" s="33" t="n">
        <x:v>0</x:v>
      </x:c>
      <x:c r="H205" s="34" t="n">
        <x:v>1</x:v>
      </x:c>
      <x:c r="I205" s="35" t="n">
        <x:v>73</x:v>
      </x:c>
      <x:c r="J205" s="35" t="n">
        <x:v>73</x:v>
      </x:c>
      <x:c r="K205" s="32" t="n">
        <x:v>4326547.356832713</x:v>
      </x:c>
      <x:c r="L205" s="32" t="n">
        <x:v>3696362.0147488937</x:v>
      </x:c>
      <x:c r="M205" s="32" t="n">
        <x:v>4055689.3224935452</x:v>
      </x:c>
      <x:c r="N205" s="34" t="n">
        <x:f>K205/SUM($K$2:$K$283)</x:f>
        <x:v>0.00006511748475308702</x:v>
      </x:c>
      <x:c r="O205" s="35" t="n">
        <x:f>RANK(K205,$K$2:$K$283,0)+COUNTIF($K$2:K205,K205)-1</x:f>
        <x:v>204</x:v>
      </x:c>
    </x:row>
    <x:row r="206" ht="18" customHeight="1">
      <x:c r="A206" s="25" t="str">
        <x:v>EEZ_967</x:v>
      </x:c>
      <x:c r="B206" s="25" t="str">
        <x:v>Aruba (Netherlands)</x:v>
      </x:c>
      <x:c r="C206" s="25" t="str">
        <x:v>EEZ</x:v>
      </x:c>
      <x:c r="D206" s="31" t="n">
        <x:v>2019</x:v>
      </x:c>
      <x:c r="E206" s="32" t="n">
        <x:v>2447.9523494379</x:v>
      </x:c>
      <x:c r="F206" s="32" t="n">
        <x:v>2447.9523494379</x:v>
      </x:c>
      <x:c r="G206" s="33" t="n">
        <x:v>0</x:v>
      </x:c>
      <x:c r="H206" s="34" t="n">
        <x:v>1</x:v>
      </x:c>
      <x:c r="I206" s="35" t="n">
        <x:v>63</x:v>
      </x:c>
      <x:c r="J206" s="35" t="n">
        <x:v>63</x:v>
      </x:c>
      <x:c r="K206" s="32" t="n">
        <x:v>4042215.932560779</x:v>
      </x:c>
      <x:c r="L206" s="32" t="n">
        <x:v>3563435.644190549</x:v>
      </x:c>
      <x:c r="M206" s="32" t="n">
        <x:v>3775080.6743692975</x:v>
      </x:c>
      <x:c r="N206" s="34" t="n">
        <x:f>K206/SUM($K$2:$K$283)</x:f>
        <x:v>0.0000608381031451147</x:v>
      </x:c>
      <x:c r="O206" s="35" t="n">
        <x:f>RANK(K206,$K$2:$K$283,0)+COUNTIF($K$2:K206,K206)-1</x:f>
        <x:v>205</x:v>
      </x:c>
    </x:row>
    <x:row r="207" ht="18" customHeight="1">
      <x:c r="A207" s="25" t="str">
        <x:v>EEZ_077</x:v>
      </x:c>
      <x:c r="B207" s="25" t="str">
        <x:v>Trindade &amp; Martim Vaz Isl. (Brazil)</x:v>
      </x:c>
      <x:c r="C207" s="25" t="str">
        <x:v>EEZ</x:v>
      </x:c>
      <x:c r="D207" s="31" t="n">
        <x:v>2019</x:v>
      </x:c>
      <x:c r="E207" s="32" t="n">
        <x:v>6471.8616207145</x:v>
      </x:c>
      <x:c r="F207" s="32" t="n">
        <x:v>6471.8616207145</x:v>
      </x:c>
      <x:c r="G207" s="33" t="n">
        <x:v>0</x:v>
      </x:c>
      <x:c r="H207" s="34" t="n">
        <x:v>1</x:v>
      </x:c>
      <x:c r="I207" s="35" t="n">
        <x:v>17</x:v>
      </x:c>
      <x:c r="J207" s="35" t="n">
        <x:v>17</x:v>
      </x:c>
      <x:c r="K207" s="32" t="n">
        <x:v>3959781.188899115</x:v>
      </x:c>
      <x:c r="L207" s="32" t="n">
        <x:v>3949283.8349958705</x:v>
      </x:c>
      <x:c r="M207" s="32" t="n">
        <x:v>3945602.9935944914</x:v>
      </x:c>
      <x:c r="N207" s="34" t="n">
        <x:f>K207/SUM($K$2:$K$283)</x:f>
        <x:v>0.00005959740410248531</x:v>
      </x:c>
      <x:c r="O207" s="35" t="n">
        <x:f>RANK(K207,$K$2:$K$283,0)+COUNTIF($K$2:K207,K207)-1</x:f>
        <x:v>206</x:v>
      </x:c>
    </x:row>
    <x:row r="208" ht="18" customHeight="1">
      <x:c r="A208" s="25" t="str">
        <x:v>EEZ_316</x:v>
      </x:c>
      <x:c r="B208" s="25" t="str">
        <x:v>Guam (USA)</x:v>
      </x:c>
      <x:c r="C208" s="25" t="str">
        <x:v>EEZ</x:v>
      </x:c>
      <x:c r="D208" s="31" t="n">
        <x:v>2019</x:v>
      </x:c>
      <x:c r="E208" s="32" t="n">
        <x:v>1385.0534596170999</x:v>
      </x:c>
      <x:c r="F208" s="32" t="n">
        <x:v>1385.0534596170999</x:v>
      </x:c>
      <x:c r="G208" s="33" t="n">
        <x:v>0</x:v>
      </x:c>
      <x:c r="H208" s="34" t="n">
        <x:v>1</x:v>
      </x:c>
      <x:c r="I208" s="35" t="n">
        <x:v>90</x:v>
      </x:c>
      <x:c r="J208" s="35" t="n">
        <x:v>90</x:v>
      </x:c>
      <x:c r="K208" s="32" t="n">
        <x:v>3197466.711028016</x:v>
      </x:c>
      <x:c r="L208" s="32" t="n">
        <x:v>3101087.696039224</x:v>
      </x:c>
      <x:c r="M208" s="32" t="n">
        <x:v>3143967.365198676</x:v>
      </x:c>
      <x:c r="N208" s="34" t="n">
        <x:f>K208/SUM($K$2:$K$283)</x:f>
        <x:v>0.00004812405195913372</x:v>
      </x:c>
      <x:c r="O208" s="35" t="n">
        <x:f>RANK(K208,$K$2:$K$283,0)+COUNTIF($K$2:K208,K208)-1</x:f>
        <x:v>207</x:v>
      </x:c>
    </x:row>
    <x:row r="209" ht="18" customHeight="1">
      <x:c r="A209" s="25" t="str">
        <x:v>EEZ_084</x:v>
      </x:c>
      <x:c r="B209" s="25" t="str">
        <x:v>Belize</x:v>
      </x:c>
      <x:c r="C209" s="25" t="str">
        <x:v>EEZ</x:v>
      </x:c>
      <x:c r="D209" s="31" t="n">
        <x:v>2019</x:v>
      </x:c>
      <x:c r="E209" s="32" t="n">
        <x:v>7918.6908172124995</x:v>
      </x:c>
      <x:c r="F209" s="32" t="n">
        <x:v>7918.6908172124995</x:v>
      </x:c>
      <x:c r="G209" s="33" t="n">
        <x:v>0</x:v>
      </x:c>
      <x:c r="H209" s="34" t="n">
        <x:v>1</x:v>
      </x:c>
      <x:c r="I209" s="35" t="n">
        <x:v>54</x:v>
      </x:c>
      <x:c r="J209" s="35" t="n">
        <x:v>54</x:v>
      </x:c>
      <x:c r="K209" s="32" t="n">
        <x:v>3161605.34747039</x:v>
      </x:c>
      <x:c r="L209" s="32" t="n">
        <x:v>2681146.946846443</x:v>
      </x:c>
      <x:c r="M209" s="32" t="n">
        <x:v>2937913.2601305516</x:v>
      </x:c>
      <x:c r="N209" s="34" t="n">
        <x:f>K209/SUM($K$2:$K$283)</x:f>
        <x:v>0.000047584314010582026</x:v>
      </x:c>
      <x:c r="O209" s="35" t="n">
        <x:f>RANK(K209,$K$2:$K$283,0)+COUNTIF($K$2:K209,K209)-1</x:f>
        <x:v>208</x:v>
      </x:c>
    </x:row>
    <x:row r="210" ht="18" customHeight="1">
      <x:c r="A210" s="25" t="str">
        <x:v>EEZ_212</x:v>
      </x:c>
      <x:c r="B210" s="25" t="str">
        <x:v>Dominica</x:v>
      </x:c>
      <x:c r="C210" s="25" t="str">
        <x:v>EEZ</x:v>
      </x:c>
      <x:c r="D210" s="31" t="n">
        <x:v>2019</x:v>
      </x:c>
      <x:c r="E210" s="32" t="n">
        <x:v>1874.1702079981997</x:v>
      </x:c>
      <x:c r="F210" s="32" t="n">
        <x:v>1874.1702079981997</x:v>
      </x:c>
      <x:c r="G210" s="33" t="n">
        <x:v>0</x:v>
      </x:c>
      <x:c r="H210" s="34" t="n">
        <x:v>1</x:v>
      </x:c>
      <x:c r="I210" s="35" t="n">
        <x:v>40</x:v>
      </x:c>
      <x:c r="J210" s="35" t="n">
        <x:v>40</x:v>
      </x:c>
      <x:c r="K210" s="32" t="n">
        <x:v>3053112.649782929</x:v>
      </x:c>
      <x:c r="L210" s="32" t="n">
        <x:v>2854880.1953996676</x:v>
      </x:c>
      <x:c r="M210" s="32" t="n">
        <x:v>2889152.4813644695</x:v>
      </x:c>
      <x:c r="N210" s="34" t="n">
        <x:f>K210/SUM($K$2:$K$283)</x:f>
        <x:v>0.00004595142501045877</x:v>
      </x:c>
      <x:c r="O210" s="35" t="n">
        <x:f>RANK(K210,$K$2:$K$283,0)+COUNTIF($K$2:K210,K210)-1</x:f>
        <x:v>209</x:v>
      </x:c>
    </x:row>
    <x:row r="211" ht="18" customHeight="1">
      <x:c r="A211" s="25" t="str">
        <x:v>EEZ_312</x:v>
      </x:c>
      <x:c r="B211" s="25" t="str">
        <x:v>Guadeloupe  (France)</x:v>
      </x:c>
      <x:c r="C211" s="25" t="str">
        <x:v>EEZ</x:v>
      </x:c>
      <x:c r="D211" s="31" t="n">
        <x:v>2019</x:v>
      </x:c>
      <x:c r="E211" s="32" t="n">
        <x:v>5032.7505711547</x:v>
      </x:c>
      <x:c r="F211" s="32" t="n">
        <x:v>5032.7505711547</x:v>
      </x:c>
      <x:c r="G211" s="33" t="n">
        <x:v>0</x:v>
      </x:c>
      <x:c r="H211" s="34" t="n">
        <x:v>1</x:v>
      </x:c>
      <x:c r="I211" s="35" t="n">
        <x:v>23</x:v>
      </x:c>
      <x:c r="J211" s="35" t="n">
        <x:v>23</x:v>
      </x:c>
      <x:c r="K211" s="32" t="n">
        <x:v>3035680.419758</x:v>
      </x:c>
      <x:c r="L211" s="32" t="n">
        <x:v>2603562.4172396865</x:v>
      </x:c>
      <x:c r="M211" s="32" t="n">
        <x:v>2366212.625378204</x:v>
      </x:c>
      <x:c r="N211" s="34" t="n">
        <x:f>K211/SUM($K$2:$K$283)</x:f>
        <x:v>0.00004568905807459986</x:v>
      </x:c>
      <x:c r="O211" s="35" t="n">
        <x:f>RANK(K211,$K$2:$K$283,0)+COUNTIF($K$2:K211,K211)-1</x:f>
        <x:v>210</x:v>
      </x:c>
    </x:row>
    <x:row r="212" ht="18" customHeight="1">
      <x:c r="A212" s="25" t="str">
        <x:v>EEZ_334</x:v>
      </x:c>
      <x:c r="B212" s="25" t="str">
        <x:v>Heard &amp; McDonald Isl. (Australia)</x:v>
      </x:c>
      <x:c r="C212" s="25" t="str">
        <x:v>EEZ</x:v>
      </x:c>
      <x:c r="D212" s="31" t="n">
        <x:v>2019</x:v>
      </x:c>
      <x:c r="E212" s="32" t="n">
        <x:v>4250.4902151652</x:v>
      </x:c>
      <x:c r="F212" s="32" t="n">
        <x:v>4250.4902151652</x:v>
      </x:c>
      <x:c r="G212" s="33" t="n">
        <x:v>0</x:v>
      </x:c>
      <x:c r="H212" s="34" t="n">
        <x:v>1</x:v>
      </x:c>
      <x:c r="I212" s="35" t="n">
        <x:v>33</x:v>
      </x:c>
      <x:c r="J212" s="35" t="n">
        <x:v>33</x:v>
      </x:c>
      <x:c r="K212" s="32" t="n">
        <x:v>3029959.8663934683</x:v>
      </x:c>
      <x:c r="L212" s="32" t="n">
        <x:v>2592325.882496666</x:v>
      </x:c>
      <x:c r="M212" s="32" t="n">
        <x:v>3028833.774266184</x:v>
      </x:c>
      <x:c r="N212" s="34" t="n">
        <x:f>K212/SUM($K$2:$K$283)</x:f>
        <x:v>0.0000456029598499021</x:v>
      </x:c>
      <x:c r="O212" s="35" t="n">
        <x:f>RANK(K212,$K$2:$K$283,0)+COUNTIF($K$2:K212,K212)-1</x:f>
        <x:v>211</x:v>
      </x:c>
    </x:row>
    <x:row r="213" ht="18" customHeight="1">
      <x:c r="A213" s="25" t="str">
        <x:v>EEZ_760</x:v>
      </x:c>
      <x:c r="B213" s="25" t="str">
        <x:v>Syria</x:v>
      </x:c>
      <x:c r="C213" s="25" t="str">
        <x:v>EEZ</x:v>
      </x:c>
      <x:c r="D213" s="31" t="n">
        <x:v>2019</x:v>
      </x:c>
      <x:c r="E213" s="32" t="n">
        <x:v>4003.3374784953</x:v>
      </x:c>
      <x:c r="F213" s="32" t="n">
        <x:v>4003.3374784953</x:v>
      </x:c>
      <x:c r="G213" s="33" t="n">
        <x:v>0</x:v>
      </x:c>
      <x:c r="H213" s="34" t="n">
        <x:v>1</x:v>
      </x:c>
      <x:c r="I213" s="35" t="n">
        <x:v>51</x:v>
      </x:c>
      <x:c r="J213" s="35" t="n">
        <x:v>51</x:v>
      </x:c>
      <x:c r="K213" s="32" t="n">
        <x:v>3019943.8712182636</x:v>
      </x:c>
      <x:c r="L213" s="32" t="n">
        <x:v>2273637.0677929926</x:v>
      </x:c>
      <x:c r="M213" s="32" t="n">
        <x:v>2542874.7689883593</x:v>
      </x:c>
      <x:c r="N213" s="34" t="n">
        <x:f>K213/SUM($K$2:$K$283)</x:f>
        <x:v>0.00004545221230010853</x:v>
      </x:c>
      <x:c r="O213" s="35" t="n">
        <x:f>RANK(K213,$K$2:$K$283,0)+COUNTIF($K$2:K213,K213)-1</x:f>
        <x:v>212</x:v>
      </x:c>
    </x:row>
    <x:row r="214" ht="18" customHeight="1">
      <x:c r="A214" s="25" t="str">
        <x:v>EEZ_900</x:v>
      </x:c>
      <x:c r="B214" s="25" t="str">
        <x:v>Crete (Greece)</x:v>
      </x:c>
      <x:c r="C214" s="25" t="str">
        <x:v>EEZ</x:v>
      </x:c>
      <x:c r="D214" s="31" t="n">
        <x:v>2019</x:v>
      </x:c>
      <x:c r="E214" s="32" t="n">
        <x:v>3619.1201016587997</x:v>
      </x:c>
      <x:c r="F214" s="32" t="n">
        <x:v>3619.1201016587997</x:v>
      </x:c>
      <x:c r="G214" s="33" t="n">
        <x:v>0</x:v>
      </x:c>
      <x:c r="H214" s="34" t="n">
        <x:v>1</x:v>
      </x:c>
      <x:c r="I214" s="35" t="n">
        <x:v>73</x:v>
      </x:c>
      <x:c r="J214" s="35" t="n">
        <x:v>73</x:v>
      </x:c>
      <x:c r="K214" s="32" t="n">
        <x:v>2926602.3167501483</x:v>
      </x:c>
      <x:c r="L214" s="32" t="n">
        <x:v>2082504.0435939096</x:v>
      </x:c>
      <x:c r="M214" s="32" t="n">
        <x:v>2597538.3403803934</x:v>
      </x:c>
      <x:c r="N214" s="34" t="n">
        <x:f>K214/SUM($K$2:$K$283)</x:f>
        <x:v>0.000044047358325655206</x:v>
      </x:c>
      <x:c r="O214" s="35" t="n">
        <x:f>RANK(K214,$K$2:$K$283,0)+COUNTIF($K$2:K214,K214)-1</x:f>
        <x:v>213</x:v>
      </x:c>
    </x:row>
    <x:row r="215" ht="18" customHeight="1">
      <x:c r="A215" s="25" t="str">
        <x:v>EEZ_052</x:v>
      </x:c>
      <x:c r="B215" s="25" t="str">
        <x:v>Barbados</x:v>
      </x:c>
      <x:c r="C215" s="25" t="str">
        <x:v>EEZ</x:v>
      </x:c>
      <x:c r="D215" s="31" t="n">
        <x:v>2019</x:v>
      </x:c>
      <x:c r="E215" s="32" t="n">
        <x:v>3109.8835019505</x:v>
      </x:c>
      <x:c r="F215" s="32" t="n">
        <x:v>3109.8835019505</x:v>
      </x:c>
      <x:c r="G215" s="33" t="n">
        <x:v>0</x:v>
      </x:c>
      <x:c r="H215" s="34" t="n">
        <x:v>1</x:v>
      </x:c>
      <x:c r="I215" s="35" t="n">
        <x:v>47</x:v>
      </x:c>
      <x:c r="J215" s="35" t="n">
        <x:v>47</x:v>
      </x:c>
      <x:c r="K215" s="32" t="n">
        <x:v>2898747.7148155924</x:v>
      </x:c>
      <x:c r="L215" s="32" t="n">
        <x:v>1886140.035361133</x:v>
      </x:c>
      <x:c r="M215" s="32" t="n">
        <x:v>2710902.456865951</x:v>
      </x:c>
      <x:c r="N215" s="34" t="n">
        <x:f>K215/SUM($K$2:$K$283)</x:f>
        <x:v>0.000043628127593345696</x:v>
      </x:c>
      <x:c r="O215" s="35" t="n">
        <x:f>RANK(K215,$K$2:$K$283,0)+COUNTIF($K$2:K215,K215)-1</x:f>
        <x:v>214</x:v>
      </x:c>
    </x:row>
    <x:row r="216" ht="18" customHeight="1">
      <x:c r="A216" s="25" t="str">
        <x:v>EEZ_092</x:v>
      </x:c>
      <x:c r="B216" s="25" t="str">
        <x:v>British Virgin Isl. (UK)</x:v>
      </x:c>
      <x:c r="C216" s="25" t="str">
        <x:v>EEZ</x:v>
      </x:c>
      <x:c r="D216" s="31" t="n">
        <x:v>2019</x:v>
      </x:c>
      <x:c r="E216" s="32" t="n">
        <x:v>4102.3911591021</x:v>
      </x:c>
      <x:c r="F216" s="32" t="n">
        <x:v>4102.3911591021</x:v>
      </x:c>
      <x:c r="G216" s="33" t="n">
        <x:v>0</x:v>
      </x:c>
      <x:c r="H216" s="34" t="n">
        <x:v>1</x:v>
      </x:c>
      <x:c r="I216" s="35" t="n">
        <x:v>32</x:v>
      </x:c>
      <x:c r="J216" s="35" t="n">
        <x:v>32</x:v>
      </x:c>
      <x:c r="K216" s="32" t="n">
        <x:v>2636688.6764859944</x:v>
      </x:c>
      <x:c r="L216" s="32" t="n">
        <x:v>2025517.2767306413</x:v>
      </x:c>
      <x:c r="M216" s="32" t="n">
        <x:v>2239219.47983291</x:v>
      </x:c>
      <x:c r="N216" s="34" t="n">
        <x:f>K216/SUM($K$2:$K$283)</x:f>
        <x:v>0.000039683960564667066</x:v>
      </x:c>
      <x:c r="O216" s="35" t="n">
        <x:f>RANK(K216,$K$2:$K$283,0)+COUNTIF($K$2:K216,K216)-1</x:f>
        <x:v>215</x:v>
      </x:c>
    </x:row>
    <x:row r="217" ht="18" customHeight="1">
      <x:c r="A217" s="25" t="str">
        <x:v>EEZ_924</x:v>
      </x:c>
      <x:c r="B217" s="25" t="str">
        <x:v>Canada (Arctic)</x:v>
      </x:c>
      <x:c r="C217" s="25" t="str">
        <x:v>EEZ</x:v>
      </x:c>
      <x:c r="D217" s="31" t="n">
        <x:v>2019</x:v>
      </x:c>
      <x:c r="E217" s="32" t="n">
        <x:v>1114.2683023097</x:v>
      </x:c>
      <x:c r="F217" s="32" t="n">
        <x:v>1114.2683023097</x:v>
      </x:c>
      <x:c r="G217" s="33" t="n">
        <x:v>0</x:v>
      </x:c>
      <x:c r="H217" s="34" t="n">
        <x:v>1</x:v>
      </x:c>
      <x:c r="I217" s="35" t="n">
        <x:v>16</x:v>
      </x:c>
      <x:c r="J217" s="35" t="n">
        <x:v>16</x:v>
      </x:c>
      <x:c r="K217" s="32" t="n">
        <x:v>2536391.012531463</x:v>
      </x:c>
      <x:c r="L217" s="32" t="n">
        <x:v>2345669.8422986367</x:v>
      </x:c>
      <x:c r="M217" s="32" t="n">
        <x:v>2532325.7705398905</x:v>
      </x:c>
      <x:c r="N217" s="34" t="n">
        <x:f>K217/SUM($K$2:$K$283)</x:f>
        <x:v>0.00003817441240428114</x:v>
      </x:c>
      <x:c r="O217" s="35" t="n">
        <x:f>RANK(K217,$K$2:$K$283,0)+COUNTIF($K$2:K217,K217)-1</x:f>
        <x:v>216</x:v>
      </x:c>
    </x:row>
    <x:row r="218" ht="18" customHeight="1">
      <x:c r="A218" s="25" t="str">
        <x:v>EEZ_642</x:v>
      </x:c>
      <x:c r="B218" s="25" t="str">
        <x:v>Romania</x:v>
      </x:c>
      <x:c r="C218" s="25" t="str">
        <x:v>EEZ</x:v>
      </x:c>
      <x:c r="D218" s="31" t="n">
        <x:v>2019</x:v>
      </x:c>
      <x:c r="E218" s="32" t="n">
        <x:v>8116.5109813192985</x:v>
      </x:c>
      <x:c r="F218" s="32" t="n">
        <x:v>8116.5109813192985</x:v>
      </x:c>
      <x:c r="G218" s="33" t="n">
        <x:v>0</x:v>
      </x:c>
      <x:c r="H218" s="34" t="n">
        <x:v>1</x:v>
      </x:c>
      <x:c r="I218" s="35" t="n">
        <x:v>16</x:v>
      </x:c>
      <x:c r="J218" s="35" t="n">
        <x:v>16</x:v>
      </x:c>
      <x:c r="K218" s="32" t="n">
        <x:v>2431527.305444525</x:v>
      </x:c>
      <x:c r="L218" s="32" t="n">
        <x:v>2346234.9205780765</x:v>
      </x:c>
      <x:c r="M218" s="32" t="n">
        <x:v>2409941.2696078424</x:v>
      </x:c>
      <x:c r="N218" s="34" t="n">
        <x:f>K218/SUM($K$2:$K$283)</x:f>
        <x:v>0.000036596142184586906</x:v>
      </x:c>
      <x:c r="O218" s="35" t="n">
        <x:f>RANK(K218,$K$2:$K$283,0)+COUNTIF($K$2:K218,K218)-1</x:f>
        <x:v>217</x:v>
      </x:c>
    </x:row>
    <x:row r="219" ht="18" customHeight="1">
      <x:c r="A219" s="25" t="str">
        <x:v>EEZ_198</x:v>
      </x:c>
      <x:c r="B219" s="25" t="str">
        <x:v>Cyprus (South)</x:v>
      </x:c>
      <x:c r="C219" s="25" t="str">
        <x:v>EEZ</x:v>
      </x:c>
      <x:c r="D219" s="31" t="n">
        <x:v>2019</x:v>
      </x:c>
      <x:c r="E219" s="32" t="n">
        <x:v>2236.2086502548996</x:v>
      </x:c>
      <x:c r="F219" s="32" t="n">
        <x:v>2236.2086502548996</x:v>
      </x:c>
      <x:c r="G219" s="33" t="n">
        <x:v>0</x:v>
      </x:c>
      <x:c r="H219" s="34" t="n">
        <x:v>1</x:v>
      </x:c>
      <x:c r="I219" s="35" t="n">
        <x:v>90</x:v>
      </x:c>
      <x:c r="J219" s="35" t="n">
        <x:v>90</x:v>
      </x:c>
      <x:c r="K219" s="32" t="n">
        <x:v>2155727.606393967</x:v>
      </x:c>
      <x:c r="L219" s="32" t="n">
        <x:v>1838666.2815867038</x:v>
      </x:c>
      <x:c r="M219" s="32" t="n">
        <x:v>1926519.177215979</x:v>
      </x:c>
      <x:c r="N219" s="34" t="n">
        <x:f>K219/SUM($K$2:$K$283)</x:f>
        <x:v>0.00003244516885259082</x:v>
      </x:c>
      <x:c r="O219" s="35" t="n">
        <x:f>RANK(K219,$K$2:$K$283,0)+COUNTIF($K$2:K219,K219)-1</x:f>
        <x:v>218</x:v>
      </x:c>
    </x:row>
    <x:row r="220" ht="18" customHeight="1">
      <x:c r="A220" s="25" t="str">
        <x:v>EEZ_274</x:v>
      </x:c>
      <x:c r="B220" s="25" t="str">
        <x:v>Gaza Strip</x:v>
      </x:c>
      <x:c r="C220" s="25" t="str">
        <x:v>EEZ</x:v>
      </x:c>
      <x:c r="D220" s="31" t="n">
        <x:v>2019</x:v>
      </x:c>
      <x:c r="E220" s="32" t="n">
        <x:v>6410.774318524</x:v>
      </x:c>
      <x:c r="F220" s="32" t="n">
        <x:v>6410.774318524</x:v>
      </x:c>
      <x:c r="G220" s="33" t="n">
        <x:v>0</x:v>
      </x:c>
      <x:c r="H220" s="34" t="n">
        <x:v>1</x:v>
      </x:c>
      <x:c r="I220" s="35" t="n">
        <x:v>36</x:v>
      </x:c>
      <x:c r="J220" s="35" t="n">
        <x:v>36</x:v>
      </x:c>
      <x:c r="K220" s="32" t="n">
        <x:v>2138099.0195414764</x:v>
      </x:c>
      <x:c r="L220" s="32" t="n">
        <x:v>1828535.1939779224</x:v>
      </x:c>
      <x:c r="M220" s="32" t="n">
        <x:v>2053169.7933534263</x:v>
      </x:c>
      <x:c r="N220" s="34" t="n">
        <x:f>K220/SUM($K$2:$K$283)</x:f>
        <x:v>0.00003217984661272845</x:v>
      </x:c>
      <x:c r="O220" s="35" t="n">
        <x:f>RANK(K220,$K$2:$K$283,0)+COUNTIF($K$2:K220,K220)-1</x:f>
        <x:v>219</x:v>
      </x:c>
    </x:row>
    <x:row r="221" ht="18" customHeight="1">
      <x:c r="A221" s="25" t="str">
        <x:v>EEZ_056</x:v>
      </x:c>
      <x:c r="B221" s="25" t="str">
        <x:v>Belgium</x:v>
      </x:c>
      <x:c r="C221" s="25" t="str">
        <x:v>EEZ</x:v>
      </x:c>
      <x:c r="D221" s="31" t="n">
        <x:v>2019</x:v>
      </x:c>
      <x:c r="E221" s="32" t="n">
        <x:v>4482.8223030263</x:v>
      </x:c>
      <x:c r="F221" s="32" t="n">
        <x:v>4482.8223030263</x:v>
      </x:c>
      <x:c r="G221" s="33" t="n">
        <x:v>0</x:v>
      </x:c>
      <x:c r="H221" s="34" t="n">
        <x:v>1</x:v>
      </x:c>
      <x:c r="I221" s="35" t="n">
        <x:v>153</x:v>
      </x:c>
      <x:c r="J221" s="35" t="n">
        <x:v>153</x:v>
      </x:c>
      <x:c r="K221" s="32" t="n">
        <x:v>2108407.8501594816</x:v>
      </x:c>
      <x:c r="L221" s="32" t="n">
        <x:v>1812010.9218323133</x:v>
      </x:c>
      <x:c r="M221" s="32" t="n">
        <x:v>1905854.5519366036</x:v>
      </x:c>
      <x:c r="N221" s="34" t="n">
        <x:f>K221/SUM($K$2:$K$283)</x:f>
        <x:v>0.00003173297428935493</x:v>
      </x:c>
      <x:c r="O221" s="35" t="n">
        <x:f>RANK(K221,$K$2:$K$283,0)+COUNTIF($K$2:K221,K221)-1</x:f>
        <x:v>220</x:v>
      </x:c>
    </x:row>
    <x:row r="222" ht="18" customHeight="1">
      <x:c r="A222" s="25" t="str">
        <x:v>EEZ_969</x:v>
      </x:c>
      <x:c r="B222" s="25" t="str">
        <x:v>Fernando de Noronha (Brazil)</x:v>
      </x:c>
      <x:c r="C222" s="25" t="str">
        <x:v>EEZ</x:v>
      </x:c>
      <x:c r="D222" s="31" t="n">
        <x:v>2019</x:v>
      </x:c>
      <x:c r="E222" s="32" t="n">
        <x:v>7461.650372688001</x:v>
      </x:c>
      <x:c r="F222" s="32" t="n">
        <x:v>7461.650372688001</x:v>
      </x:c>
      <x:c r="G222" s="33" t="n">
        <x:v>0</x:v>
      </x:c>
      <x:c r="H222" s="34" t="n">
        <x:v>1</x:v>
      </x:c>
      <x:c r="I222" s="35" t="n">
        <x:v>39</x:v>
      </x:c>
      <x:c r="J222" s="35" t="n">
        <x:v>39</x:v>
      </x:c>
      <x:c r="K222" s="32" t="n">
        <x:v>2047092.4737868535</x:v>
      </x:c>
      <x:c r="L222" s="32" t="n">
        <x:v>2037405.1001789358</x:v>
      </x:c>
      <x:c r="M222" s="32" t="n">
        <x:v>2041401.5790448596</x:v>
      </x:c>
      <x:c r="N222" s="34" t="n">
        <x:f>K222/SUM($K$2:$K$283)</x:f>
        <x:v>0.00003081013610990708</x:v>
      </x:c>
      <x:c r="O222" s="35" t="n">
        <x:f>RANK(K222,$K$2:$K$283,0)+COUNTIF($K$2:K222,K222)-1</x:f>
        <x:v>221</x:v>
      </x:c>
    </x:row>
    <x:row r="223" ht="18" customHeight="1">
      <x:c r="A223" s="25" t="str">
        <x:v>EEZ_702</x:v>
      </x:c>
      <x:c r="B223" s="25" t="str">
        <x:v>Singapore</x:v>
      </x:c>
      <x:c r="C223" s="25" t="str">
        <x:v>EEZ</x:v>
      </x:c>
      <x:c r="D223" s="31" t="n">
        <x:v>2019</x:v>
      </x:c>
      <x:c r="E223" s="32" t="n">
        <x:v>3539.5904974153</x:v>
      </x:c>
      <x:c r="F223" s="32" t="n">
        <x:v>3539.5904974153</x:v>
      </x:c>
      <x:c r="G223" s="33" t="n">
        <x:v>0</x:v>
      </x:c>
      <x:c r="H223" s="34" t="n">
        <x:v>1</x:v>
      </x:c>
      <x:c r="I223" s="35" t="n">
        <x:v>28</x:v>
      </x:c>
      <x:c r="J223" s="35" t="n">
        <x:v>28</x:v>
      </x:c>
      <x:c r="K223" s="32" t="n">
        <x:v>1866751.9294676457</x:v>
      </x:c>
      <x:c r="L223" s="32" t="n">
        <x:v>1355193.8352168016</x:v>
      </x:c>
      <x:c r="M223" s="32" t="n">
        <x:v>1557480.524856959</x:v>
      </x:c>
      <x:c r="N223" s="34" t="n">
        <x:f>K223/SUM($K$2:$K$283)</x:f>
        <x:v>0.00002809588807873189</x:v>
      </x:c>
      <x:c r="O223" s="35" t="n">
        <x:f>RANK(K223,$K$2:$K$283,0)+COUNTIF($K$2:K223,K223)-1</x:f>
        <x:v>222</x:v>
      </x:c>
    </x:row>
    <x:row r="224" ht="18" customHeight="1">
      <x:c r="A224" s="25" t="str">
        <x:v>EEZ_570</x:v>
      </x:c>
      <x:c r="B224" s="25" t="str">
        <x:v>Niue (New Zealand)</x:v>
      </x:c>
      <x:c r="C224" s="25" t="str">
        <x:v>EEZ</x:v>
      </x:c>
      <x:c r="D224" s="31" t="n">
        <x:v>2019</x:v>
      </x:c>
      <x:c r="E224" s="32" t="n">
        <x:v>949.5273417068</x:v>
      </x:c>
      <x:c r="F224" s="32" t="n">
        <x:v>949.5273417068</x:v>
      </x:c>
      <x:c r="G224" s="33" t="n">
        <x:v>0</x:v>
      </x:c>
      <x:c r="H224" s="34" t="n">
        <x:v>1</x:v>
      </x:c>
      <x:c r="I224" s="35" t="n">
        <x:v>70</x:v>
      </x:c>
      <x:c r="J224" s="35" t="n">
        <x:v>70</x:v>
      </x:c>
      <x:c r="K224" s="32" t="n">
        <x:v>1828455.3453385285</x:v>
      </x:c>
      <x:c r="L224" s="32" t="n">
        <x:v>1762683.3254188441</x:v>
      </x:c>
      <x:c r="M224" s="32" t="n">
        <x:v>1789147.115883973</x:v>
      </x:c>
      <x:c r="N224" s="34" t="n">
        <x:f>K224/SUM($K$2:$K$283)</x:f>
        <x:v>0.00002751949840182594</x:v>
      </x:c>
      <x:c r="O224" s="35" t="n">
        <x:f>RANK(K224,$K$2:$K$283,0)+COUNTIF($K$2:K224,K224)-1</x:f>
        <x:v>223</x:v>
      </x:c>
    </x:row>
    <x:row r="225" ht="18" customHeight="1">
      <x:c r="A225" s="25" t="str">
        <x:v>EEZ_670</x:v>
      </x:c>
      <x:c r="B225" s="25" t="str">
        <x:v>Saint Vincent &amp; the Grenadines</x:v>
      </x:c>
      <x:c r="C225" s="25" t="str">
        <x:v>EEZ</x:v>
      </x:c>
      <x:c r="D225" s="31" t="n">
        <x:v>2019</x:v>
      </x:c>
      <x:c r="E225" s="32" t="n">
        <x:v>1694.7906050879</x:v>
      </x:c>
      <x:c r="F225" s="32" t="n">
        <x:v>1694.7906050879</x:v>
      </x:c>
      <x:c r="G225" s="33" t="n">
        <x:v>0</x:v>
      </x:c>
      <x:c r="H225" s="34" t="n">
        <x:v>1</x:v>
      </x:c>
      <x:c r="I225" s="35" t="n">
        <x:v>93</x:v>
      </x:c>
      <x:c r="J225" s="35" t="n">
        <x:v>93</x:v>
      </x:c>
      <x:c r="K225" s="32" t="n">
        <x:v>1747160.988916773</x:v>
      </x:c>
      <x:c r="L225" s="32" t="n">
        <x:v>1429597.53318564</x:v>
      </x:c>
      <x:c r="M225" s="32" t="n">
        <x:v>1649077.8247641998</x:v>
      </x:c>
      <x:c r="N225" s="34" t="n">
        <x:f>K225/SUM($K$2:$K$283)</x:f>
        <x:v>0.000026295962963933272</x:v>
      </x:c>
      <x:c r="O225" s="35" t="n">
        <x:f>RANK(K225,$K$2:$K$283,0)+COUNTIF($K$2:K225,K225)-1</x:f>
        <x:v>224</x:v>
      </x:c>
    </x:row>
    <x:row r="226" ht="18" customHeight="1">
      <x:c r="A226" s="25" t="str">
        <x:v>EEZ_796</x:v>
      </x:c>
      <x:c r="B226" s="25" t="str">
        <x:v>Turks &amp; Caicos Isl. (UK)</x:v>
      </x:c>
      <x:c r="C226" s="25" t="str">
        <x:v>EEZ</x:v>
      </x:c>
      <x:c r="D226" s="31" t="n">
        <x:v>2019</x:v>
      </x:c>
      <x:c r="E226" s="32" t="n">
        <x:v>7446.679016808498</x:v>
      </x:c>
      <x:c r="F226" s="32" t="n">
        <x:v>7446.679016808498</x:v>
      </x:c>
      <x:c r="G226" s="33" t="n">
        <x:v>0</x:v>
      </x:c>
      <x:c r="H226" s="34" t="n">
        <x:v>1</x:v>
      </x:c>
      <x:c r="I226" s="35" t="n">
        <x:v>21</x:v>
      </x:c>
      <x:c r="J226" s="35" t="n">
        <x:v>21</x:v>
      </x:c>
      <x:c r="K226" s="32" t="n">
        <x:v>1613035.7630321903</x:v>
      </x:c>
      <x:c r="L226" s="32" t="n">
        <x:v>1304793.9255695636</x:v>
      </x:c>
      <x:c r="M226" s="32" t="n">
        <x:v>1524077.7870978552</x:v>
      </x:c>
      <x:c r="N226" s="34" t="n">
        <x:f>K226/SUM($K$2:$K$283)</x:f>
        <x:v>0.000024277286954816986</x:v>
      </x:c>
      <x:c r="O226" s="35" t="n">
        <x:f>RANK(K226,$K$2:$K$283,0)+COUNTIF($K$2:K226,K226)-1</x:f>
        <x:v>225</x:v>
      </x:c>
    </x:row>
    <x:row r="227" ht="18" customHeight="1">
      <x:c r="A227" s="25" t="str">
        <x:v>EEZ_939</x:v>
      </x:c>
      <x:c r="B227" s="25" t="str">
        <x:v>Israel (Mediterranean)</x:v>
      </x:c>
      <x:c r="C227" s="25" t="str">
        <x:v>EEZ</x:v>
      </x:c>
      <x:c r="D227" s="31" t="n">
        <x:v>2019</x:v>
      </x:c>
      <x:c r="E227" s="32" t="n">
        <x:v>2520.914048787</x:v>
      </x:c>
      <x:c r="F227" s="32" t="n">
        <x:v>2520.914048787</x:v>
      </x:c>
      <x:c r="G227" s="33" t="n">
        <x:v>0</x:v>
      </x:c>
      <x:c r="H227" s="34" t="n">
        <x:v>1</x:v>
      </x:c>
      <x:c r="I227" s="35" t="n">
        <x:v>50</x:v>
      </x:c>
      <x:c r="J227" s="35" t="n">
        <x:v>50</x:v>
      </x:c>
      <x:c r="K227" s="32" t="n">
        <x:v>1575058.5166056717</x:v>
      </x:c>
      <x:c r="L227" s="32" t="n">
        <x:v>1062997.3594332822</x:v>
      </x:c>
      <x:c r="M227" s="32" t="n">
        <x:v>1351393.9268614114</x:v>
      </x:c>
      <x:c r="N227" s="34" t="n">
        <x:f>K227/SUM($K$2:$K$283)</x:f>
        <x:v>0.00002370570352785239</x:v>
      </x:c>
      <x:c r="O227" s="35" t="n">
        <x:f>RANK(K227,$K$2:$K$283,0)+COUNTIF($K$2:K227,K227)-1</x:f>
        <x:v>226</x:v>
      </x:c>
    </x:row>
    <x:row r="228" ht="18" customHeight="1">
      <x:c r="A228" s="25" t="str">
        <x:v>EEZ_008</x:v>
      </x:c>
      <x:c r="B228" s="25" t="str">
        <x:v>Albania</x:v>
      </x:c>
      <x:c r="C228" s="25" t="str">
        <x:v>EEZ</x:v>
      </x:c>
      <x:c r="D228" s="31" t="n">
        <x:v>2019</x:v>
      </x:c>
      <x:c r="E228" s="32" t="n">
        <x:v>7591.6342411198</x:v>
      </x:c>
      <x:c r="F228" s="32" t="n">
        <x:v>7591.6342411198</x:v>
      </x:c>
      <x:c r="G228" s="33" t="n">
        <x:v>0</x:v>
      </x:c>
      <x:c r="H228" s="34" t="n">
        <x:v>1</x:v>
      </x:c>
      <x:c r="I228" s="35" t="n">
        <x:v>16</x:v>
      </x:c>
      <x:c r="J228" s="35" t="n">
        <x:v>16</x:v>
      </x:c>
      <x:c r="K228" s="32" t="n">
        <x:v>1553417.1552911263</x:v>
      </x:c>
      <x:c r="L228" s="32" t="n">
        <x:v>1441544.1717010585</x:v>
      </x:c>
      <x:c r="M228" s="32" t="n">
        <x:v>1519679.3415048786</x:v>
      </x:c>
      <x:c r="N228" s="34" t="n">
        <x:f>K228/SUM($K$2:$K$283)</x:f>
        <x:v>0.0000233799862990301</x:v>
      </x:c>
      <x:c r="O228" s="35" t="n">
        <x:f>RANK(K228,$K$2:$K$283,0)+COUNTIF($K$2:K228,K228)-1</x:f>
        <x:v>227</x:v>
      </x:c>
    </x:row>
    <x:row r="229" ht="18" customHeight="1">
      <x:c r="A229" s="25" t="str">
        <x:v>EEZ_630</x:v>
      </x:c>
      <x:c r="B229" s="25" t="str">
        <x:v>Puerto Rico (USA)</x:v>
      </x:c>
      <x:c r="C229" s="25" t="str">
        <x:v>EEZ</x:v>
      </x:c>
      <x:c r="D229" s="31" t="n">
        <x:v>2019</x:v>
      </x:c>
      <x:c r="E229" s="32" t="n">
        <x:v>1866.1053035134998</x:v>
      </x:c>
      <x:c r="F229" s="32" t="n">
        <x:v>1866.1053035134998</x:v>
      </x:c>
      <x:c r="G229" s="33" t="n">
        <x:v>0</x:v>
      </x:c>
      <x:c r="H229" s="34" t="n">
        <x:v>1</x:v>
      </x:c>
      <x:c r="I229" s="35" t="n">
        <x:v>36</x:v>
      </x:c>
      <x:c r="J229" s="35" t="n">
        <x:v>36</x:v>
      </x:c>
      <x:c r="K229" s="32" t="n">
        <x:v>1514296.9073134165</x:v>
      </x:c>
      <x:c r="L229" s="32" t="n">
        <x:v>1278081.2516040145</x:v>
      </x:c>
      <x:c r="M229" s="32" t="n">
        <x:v>1446815.3783786865</x:v>
      </x:c>
      <x:c r="N229" s="34" t="n">
        <x:f>K229/SUM($K$2:$K$283)</x:f>
        <x:v>0.000022791199920163245</x:v>
      </x:c>
      <x:c r="O229" s="35" t="n">
        <x:f>RANK(K229,$K$2:$K$283,0)+COUNTIF($K$2:K229,K229)-1</x:f>
        <x:v>228</x:v>
      </x:c>
    </x:row>
    <x:row r="230" ht="18" customHeight="1">
      <x:c r="A230" s="25" t="str">
        <x:v>EEZ_474</x:v>
      </x:c>
      <x:c r="B230" s="25" t="str">
        <x:v>Martinique (France)</x:v>
      </x:c>
      <x:c r="C230" s="25" t="str">
        <x:v>EEZ</x:v>
      </x:c>
      <x:c r="D230" s="31" t="n">
        <x:v>2019</x:v>
      </x:c>
      <x:c r="E230" s="32" t="n">
        <x:v>2440.9497922337</x:v>
      </x:c>
      <x:c r="F230" s="32" t="n">
        <x:v>2440.9497922337</x:v>
      </x:c>
      <x:c r="G230" s="33" t="n">
        <x:v>0</x:v>
      </x:c>
      <x:c r="H230" s="34" t="n">
        <x:v>1</x:v>
      </x:c>
      <x:c r="I230" s="35" t="n">
        <x:v>65</x:v>
      </x:c>
      <x:c r="J230" s="35" t="n">
        <x:v>65</x:v>
      </x:c>
      <x:c r="K230" s="32" t="n">
        <x:v>1473241.0944450698</x:v>
      </x:c>
      <x:c r="L230" s="32" t="n">
        <x:v>1143596.8788195786</x:v>
      </x:c>
      <x:c r="M230" s="32" t="n">
        <x:v>1353237.9877384163</x:v>
      </x:c>
      <x:c r="N230" s="34" t="n">
        <x:f>K230/SUM($K$2:$K$283)</x:f>
        <x:v>0.00002217328197128003</x:v>
      </x:c>
      <x:c r="O230" s="35" t="n">
        <x:f>RANK(K230,$K$2:$K$283,0)+COUNTIF($K$2:K230,K230)-1</x:f>
        <x:v>229</x:v>
      </x:c>
    </x:row>
    <x:row r="231" ht="18" customHeight="1">
      <x:c r="A231" s="25" t="str">
        <x:v>EEZ_913</x:v>
      </x:c>
      <x:c r="B231" s="25" t="str">
        <x:v>Russia (Laptev to Chukchi Sea)</x:v>
      </x:c>
      <x:c r="C231" s="25" t="str">
        <x:v>EEZ</x:v>
      </x:c>
      <x:c r="D231" s="31" t="n">
        <x:v>2019</x:v>
      </x:c>
      <x:c r="E231" s="32" t="n">
        <x:v>6727.8088462</x:v>
      </x:c>
      <x:c r="F231" s="32" t="n">
        <x:v>6727.8088462</x:v>
      </x:c>
      <x:c r="G231" s="33" t="n">
        <x:v>0</x:v>
      </x:c>
      <x:c r="H231" s="34" t="n">
        <x:v>1</x:v>
      </x:c>
      <x:c r="I231" s="35" t="n">
        <x:v>5</x:v>
      </x:c>
      <x:c r="J231" s="35" t="n">
        <x:v>5</x:v>
      </x:c>
      <x:c r="K231" s="32" t="n">
        <x:v>1455106.3058478127</x:v>
      </x:c>
      <x:c r="L231" s="32" t="n">
        <x:v>1359973.6795253814</x:v>
      </x:c>
      <x:c r="M231" s="32" t="n">
        <x:v>1360702.4574267645</x:v>
      </x:c>
      <x:c r="N231" s="34" t="n">
        <x:f>K231/SUM($K$2:$K$283)</x:f>
        <x:v>0.000021900341050359005</x:v>
      </x:c>
      <x:c r="O231" s="35" t="n">
        <x:f>RANK(K231,$K$2:$K$283,0)+COUNTIF($K$2:K231,K231)-1</x:f>
        <x:v>230</x:v>
      </x:c>
    </x:row>
    <x:row r="232" ht="18" customHeight="1">
      <x:c r="A232" s="25" t="str">
        <x:v>EEZ_662</x:v>
      </x:c>
      <x:c r="B232" s="25" t="str">
        <x:v>Saint Lucia</x:v>
      </x:c>
      <x:c r="C232" s="25" t="str">
        <x:v>EEZ</x:v>
      </x:c>
      <x:c r="D232" s="31" t="n">
        <x:v>2019</x:v>
      </x:c>
      <x:c r="E232" s="32" t="n">
        <x:v>1454.7830351649</x:v>
      </x:c>
      <x:c r="F232" s="32" t="n">
        <x:v>1454.7830351649</x:v>
      </x:c>
      <x:c r="G232" s="33" t="n">
        <x:v>0</x:v>
      </x:c>
      <x:c r="H232" s="34" t="n">
        <x:v>1</x:v>
      </x:c>
      <x:c r="I232" s="35" t="n">
        <x:v>72</x:v>
      </x:c>
      <x:c r="J232" s="35" t="n">
        <x:v>72</x:v>
      </x:c>
      <x:c r="K232" s="32" t="n">
        <x:v>1369040.7680055425</x:v>
      </x:c>
      <x:c r="L232" s="32" t="n">
        <x:v>1048677.6806679727</x:v>
      </x:c>
      <x:c r="M232" s="32" t="n">
        <x:v>1251891.6250043544</x:v>
      </x:c>
      <x:c r="N232" s="34" t="n">
        <x:f>K232/SUM($K$2:$K$283)</x:f>
        <x:v>0.000020604996082191828</x:v>
      </x:c>
      <x:c r="O232" s="35" t="n">
        <x:f>RANK(K232,$K$2:$K$283,0)+COUNTIF($K$2:K232,K232)-1</x:f>
        <x:v>231</x:v>
      </x:c>
    </x:row>
    <x:row r="233" ht="18" customHeight="1">
      <x:c r="A233" s="25" t="str">
        <x:v>EEZ_060</x:v>
      </x:c>
      <x:c r="B233" s="25" t="str">
        <x:v>Bermuda (UK)</x:v>
      </x:c>
      <x:c r="C233" s="25" t="str">
        <x:v>EEZ</x:v>
      </x:c>
      <x:c r="D233" s="31" t="n">
        <x:v>2019</x:v>
      </x:c>
      <x:c r="E233" s="32" t="n">
        <x:v>873.7608096846</x:v>
      </x:c>
      <x:c r="F233" s="32" t="n">
        <x:v>873.7608096846</x:v>
      </x:c>
      <x:c r="G233" s="33" t="n">
        <x:v>0</x:v>
      </x:c>
      <x:c r="H233" s="34" t="n">
        <x:v>1</x:v>
      </x:c>
      <x:c r="I233" s="35" t="n">
        <x:v>37</x:v>
      </x:c>
      <x:c r="J233" s="35" t="n">
        <x:v>37</x:v>
      </x:c>
      <x:c r="K233" s="32" t="n">
        <x:v>1333927.0877780484</x:v>
      </x:c>
      <x:c r="L233" s="32" t="n">
        <x:v>1251944.594745224</x:v>
      </x:c>
      <x:c r="M233" s="32" t="n">
        <x:v>1293320.29206535</x:v>
      </x:c>
      <x:c r="N233" s="34" t="n">
        <x:f>K233/SUM($K$2:$K$283)</x:f>
        <x:v>0.00002007651127704399</x:v>
      </x:c>
      <x:c r="O233" s="35" t="n">
        <x:f>RANK(K233,$K$2:$K$283,0)+COUNTIF($K$2:K233,K233)-1</x:f>
        <x:v>232</x:v>
      </x:c>
    </x:row>
    <x:row r="234" ht="18" customHeight="1">
      <x:c r="A234" s="25" t="str">
        <x:v>EEZ_711</x:v>
      </x:c>
      <x:c r="B234" s="25" t="str">
        <x:v>Prince Edward Isl. (South Africa)</x:v>
      </x:c>
      <x:c r="C234" s="25" t="str">
        <x:v>EEZ</x:v>
      </x:c>
      <x:c r="D234" s="31" t="n">
        <x:v>2019</x:v>
      </x:c>
      <x:c r="E234" s="32" t="n">
        <x:v>974.4787150097001</x:v>
      </x:c>
      <x:c r="F234" s="32" t="n">
        <x:v>974.4787150097001</x:v>
      </x:c>
      <x:c r="G234" s="33" t="n">
        <x:v>0</x:v>
      </x:c>
      <x:c r="H234" s="34" t="n">
        <x:v>1</x:v>
      </x:c>
      <x:c r="I234" s="35" t="n">
        <x:v>18</x:v>
      </x:c>
      <x:c r="J234" s="35" t="n">
        <x:v>18</x:v>
      </x:c>
      <x:c r="K234" s="32" t="n">
        <x:v>1225800.4341437374</x:v>
      </x:c>
      <x:c r="L234" s="32" t="n">
        <x:v>1188081.6649972731</x:v>
      </x:c>
      <x:c r="M234" s="32" t="n">
        <x:v>1222776.7918840728</x:v>
      </x:c>
      <x:c r="N234" s="34" t="n">
        <x:f>K234/SUM($K$2:$K$283)</x:f>
        <x:v>0.000018449131489251967</x:v>
      </x:c>
      <x:c r="O234" s="35" t="n">
        <x:f>RANK(K234,$K$2:$K$283,0)+COUNTIF($K$2:K234,K234)-1</x:f>
        <x:v>233</x:v>
      </x:c>
    </x:row>
    <x:row r="235" ht="18" customHeight="1">
      <x:c r="A235" s="25" t="str">
        <x:v>EEZ_929</x:v>
      </x:c>
      <x:c r="B235" s="25" t="str">
        <x:v>Costa Rica (Caribbean)</x:v>
      </x:c>
      <x:c r="C235" s="25" t="str">
        <x:v>EEZ</x:v>
      </x:c>
      <x:c r="D235" s="31" t="n">
        <x:v>2019</x:v>
      </x:c>
      <x:c r="E235" s="32" t="n">
        <x:v>601.562955336</x:v>
      </x:c>
      <x:c r="F235" s="32" t="n">
        <x:v>601.562955336</x:v>
      </x:c>
      <x:c r="G235" s="33" t="n">
        <x:v>0</x:v>
      </x:c>
      <x:c r="H235" s="34" t="n">
        <x:v>1</x:v>
      </x:c>
      <x:c r="I235" s="35" t="n">
        <x:v>14</x:v>
      </x:c>
      <x:c r="J235" s="35" t="n">
        <x:v>14</x:v>
      </x:c>
      <x:c r="K235" s="32" t="n">
        <x:v>1207332.0916196196</x:v>
      </x:c>
      <x:c r="L235" s="32" t="n">
        <x:v>1120825.6491819876</x:v>
      </x:c>
      <x:c r="M235" s="32" t="n">
        <x:v>1147064.2961897752</x:v>
      </x:c>
      <x:c r="N235" s="34" t="n">
        <x:f>K235/SUM($K$2:$K$283)</x:f>
        <x:v>0.000018171170354531045</x:v>
      </x:c>
      <x:c r="O235" s="35" t="n">
        <x:f>RANK(K235,$K$2:$K$283,0)+COUNTIF($K$2:K235,K235)-1</x:f>
        <x:v>234</x:v>
      </x:c>
    </x:row>
    <x:row r="236" ht="18" customHeight="1">
      <x:c r="A236" s="25" t="str">
        <x:v>EEZ_958</x:v>
      </x:c>
      <x:c r="B236" s="25" t="str">
        <x:v>USA (Alaska, Arctic)</x:v>
      </x:c>
      <x:c r="C236" s="25" t="str">
        <x:v>EEZ</x:v>
      </x:c>
      <x:c r="D236" s="31" t="n">
        <x:v>2019</x:v>
      </x:c>
      <x:c r="E236" s="32" t="n">
        <x:v>1473.428362565</x:v>
      </x:c>
      <x:c r="F236" s="32" t="n">
        <x:v>1473.428362565</x:v>
      </x:c>
      <x:c r="G236" s="33" t="n">
        <x:v>0</x:v>
      </x:c>
      <x:c r="H236" s="34" t="n">
        <x:v>1</x:v>
      </x:c>
      <x:c r="I236" s="35" t="n">
        <x:v>19</x:v>
      </x:c>
      <x:c r="J236" s="35" t="n">
        <x:v>19</x:v>
      </x:c>
      <x:c r="K236" s="32" t="n">
        <x:v>1202804.8239992876</x:v>
      </x:c>
      <x:c r="L236" s="32" t="n">
        <x:v>894497.4422962421</x:v>
      </x:c>
      <x:c r="M236" s="32" t="n">
        <x:v>1051004.570512995</x:v>
      </x:c>
      <x:c r="N236" s="34" t="n">
        <x:f>K236/SUM($K$2:$K$283)</x:f>
        <x:v>0.000018103031893091452</x:v>
      </x:c>
      <x:c r="O236" s="35" t="n">
        <x:f>RANK(K236,$K$2:$K$283,0)+COUNTIF($K$2:K236,K236)-1</x:f>
        <x:v>235</x:v>
      </x:c>
    </x:row>
    <x:row r="237" ht="18" customHeight="1">
      <x:c r="A237" s="25" t="str">
        <x:v>EEZ_028</x:v>
      </x:c>
      <x:c r="B237" s="25" t="str">
        <x:v>Antigua &amp; Barbuda</x:v>
      </x:c>
      <x:c r="C237" s="25" t="str">
        <x:v>EEZ</x:v>
      </x:c>
      <x:c r="D237" s="31" t="n">
        <x:v>2019</x:v>
      </x:c>
      <x:c r="E237" s="32" t="n">
        <x:v>3754.318094694</x:v>
      </x:c>
      <x:c r="F237" s="32" t="n">
        <x:v>3754.318094694</x:v>
      </x:c>
      <x:c r="G237" s="33" t="n">
        <x:v>0</x:v>
      </x:c>
      <x:c r="H237" s="34" t="n">
        <x:v>1</x:v>
      </x:c>
      <x:c r="I237" s="35" t="n">
        <x:v>19</x:v>
      </x:c>
      <x:c r="J237" s="35" t="n">
        <x:v>19</x:v>
      </x:c>
      <x:c r="K237" s="32" t="n">
        <x:v>1185125.45188696</x:v>
      </x:c>
      <x:c r="L237" s="32" t="n">
        <x:v>811432.4498269468</x:v>
      </x:c>
      <x:c r="M237" s="32" t="n">
        <x:v>1051711.3816635697</x:v>
      </x:c>
      <x:c r="N237" s="34" t="n">
        <x:f>K237/SUM($K$2:$K$283)</x:f>
        <x:v>0.000017836945300476083</x:v>
      </x:c>
      <x:c r="O237" s="35" t="n">
        <x:f>RANK(K237,$K$2:$K$283,0)+COUNTIF($K$2:K237,K237)-1</x:f>
        <x:v>236</x:v>
      </x:c>
    </x:row>
    <x:row r="238" ht="18" customHeight="1">
      <x:c r="A238" s="25" t="str">
        <x:v>EEZ_899</x:v>
      </x:c>
      <x:c r="B238" s="25" t="str">
        <x:v>Corsica (France)</x:v>
      </x:c>
      <x:c r="C238" s="25" t="str">
        <x:v>EEZ</x:v>
      </x:c>
      <x:c r="D238" s="31" t="n">
        <x:v>2019</x:v>
      </x:c>
      <x:c r="E238" s="32" t="n">
        <x:v>1565.0256591657</x:v>
      </x:c>
      <x:c r="F238" s="32" t="n">
        <x:v>1565.0256591657</x:v>
      </x:c>
      <x:c r="G238" s="33" t="n">
        <x:v>0</x:v>
      </x:c>
      <x:c r="H238" s="34" t="n">
        <x:v>1</x:v>
      </x:c>
      <x:c r="I238" s="35" t="n">
        <x:v>114</x:v>
      </x:c>
      <x:c r="J238" s="35" t="n">
        <x:v>114</x:v>
      </x:c>
      <x:c r="K238" s="32" t="n">
        <x:v>1161094.7737815653</x:v>
      </x:c>
      <x:c r="L238" s="32" t="n">
        <x:v>672221.425033969</x:v>
      </x:c>
      <x:c r="M238" s="32" t="n">
        <x:v>890598.3747902303</x:v>
      </x:c>
      <x:c r="N238" s="34" t="n">
        <x:f>K238/SUM($K$2:$K$283)</x:f>
        <x:v>0.000017475267226465604</x:v>
      </x:c>
      <x:c r="O238" s="35" t="n">
        <x:f>RANK(K238,$K$2:$K$283,0)+COUNTIF($K$2:K238,K238)-1</x:f>
        <x:v>237</x:v>
      </x:c>
    </x:row>
    <x:row r="239" ht="18" customHeight="1">
      <x:c r="A239" s="25" t="str">
        <x:v>EEZ_876</x:v>
      </x:c>
      <x:c r="B239" s="25" t="str">
        <x:v>Wallis &amp; Futuna Isl. (France)</x:v>
      </x:c>
      <x:c r="C239" s="25" t="str">
        <x:v>EEZ</x:v>
      </x:c>
      <x:c r="D239" s="31" t="n">
        <x:v>2019</x:v>
      </x:c>
      <x:c r="E239" s="32" t="n">
        <x:v>971.0058082377002</x:v>
      </x:c>
      <x:c r="F239" s="32" t="n">
        <x:v>971.0058082377002</x:v>
      </x:c>
      <x:c r="G239" s="33" t="n">
        <x:v>0</x:v>
      </x:c>
      <x:c r="H239" s="34" t="n">
        <x:v>1</x:v>
      </x:c>
      <x:c r="I239" s="35" t="n">
        <x:v>71</x:v>
      </x:c>
      <x:c r="J239" s="35" t="n">
        <x:v>71</x:v>
      </x:c>
      <x:c r="K239" s="32" t="n">
        <x:v>1119183.1426833072</x:v>
      </x:c>
      <x:c r="L239" s="32" t="n">
        <x:v>813598.6194393582</x:v>
      </x:c>
      <x:c r="M239" s="32" t="n">
        <x:v>947449.3641487672</x:v>
      </x:c>
      <x:c r="N239" s="34" t="n">
        <x:f>K239/SUM($K$2:$K$283)</x:f>
        <x:v>0.00001684446863028064</x:v>
      </x:c>
      <x:c r="O239" s="35" t="n">
        <x:f>RANK(K239,$K$2:$K$283,0)+COUNTIF($K$2:K239,K239)-1</x:f>
        <x:v>238</x:v>
      </x:c>
    </x:row>
    <x:row r="240" ht="18" customHeight="1">
      <x:c r="A240" s="25" t="str">
        <x:v>EEZ_935</x:v>
      </x:c>
      <x:c r="B240" s="25" t="str">
        <x:v>Guatemala (Caribbean)</x:v>
      </x:c>
      <x:c r="C240" s="25" t="str">
        <x:v>EEZ</x:v>
      </x:c>
      <x:c r="D240" s="31" t="n">
        <x:v>2019</x:v>
      </x:c>
      <x:c r="E240" s="32" t="n">
        <x:v>4694.347823299001</x:v>
      </x:c>
      <x:c r="F240" s="32" t="n">
        <x:v>4694.347823299001</x:v>
      </x:c>
      <x:c r="G240" s="33" t="n">
        <x:v>0</x:v>
      </x:c>
      <x:c r="H240" s="34" t="n">
        <x:v>1</x:v>
      </x:c>
      <x:c r="I240" s="35" t="n">
        <x:v>23</x:v>
      </x:c>
      <x:c r="J240" s="35" t="n">
        <x:v>23</x:v>
      </x:c>
      <x:c r="K240" s="32" t="n">
        <x:v>1114718.28132553</x:v>
      </x:c>
      <x:c r="L240" s="32" t="n">
        <x:v>941904.1815302117</x:v>
      </x:c>
      <x:c r="M240" s="32" t="n">
        <x:v>1085609.8610575816</x:v>
      </x:c>
      <x:c r="N240" s="34" t="n">
        <x:f>K240/SUM($K$2:$K$283)</x:f>
        <x:v>0.0000167772694256006</x:v>
      </x:c>
      <x:c r="O240" s="35" t="n">
        <x:f>RANK(K240,$K$2:$K$283,0)+COUNTIF($K$2:K240,K240)-1</x:f>
        <x:v>239</x:v>
      </x:c>
    </x:row>
    <x:row r="241" ht="18" customHeight="1">
      <x:c r="A241" s="25" t="str">
        <x:v>EEZ_659</x:v>
      </x:c>
      <x:c r="B241" s="25" t="str">
        <x:v>Saint Kitts &amp; Nevis</x:v>
      </x:c>
      <x:c r="C241" s="25" t="str">
        <x:v>EEZ</x:v>
      </x:c>
      <x:c r="D241" s="31" t="n">
        <x:v>2019</x:v>
      </x:c>
      <x:c r="E241" s="32" t="n">
        <x:v>1724.273887369</x:v>
      </x:c>
      <x:c r="F241" s="32" t="n">
        <x:v>1724.273887369</x:v>
      </x:c>
      <x:c r="G241" s="33" t="n">
        <x:v>0</x:v>
      </x:c>
      <x:c r="H241" s="34" t="n">
        <x:v>1</x:v>
      </x:c>
      <x:c r="I241" s="35" t="n">
        <x:v>19</x:v>
      </x:c>
      <x:c r="J241" s="35" t="n">
        <x:v>19</x:v>
      </x:c>
      <x:c r="K241" s="32" t="n">
        <x:v>1106283.6685462072</x:v>
      </x:c>
      <x:c r="L241" s="32" t="n">
        <x:v>699631.8379555495</x:v>
      </x:c>
      <x:c r="M241" s="32" t="n">
        <x:v>1006125.3220770671</x:v>
      </x:c>
      <x:c r="N241" s="34" t="n">
        <x:f>K241/SUM($K$2:$K$283)</x:f>
        <x:v>0.000016650322758025508</x:v>
      </x:c>
      <x:c r="O241" s="35" t="n">
        <x:f>RANK(K241,$K$2:$K$283,0)+COUNTIF($K$2:K241,K241)-1</x:f>
        <x:v>240</x:v>
      </x:c>
    </x:row>
    <x:row r="242" ht="18" customHeight="1">
      <x:c r="A242" s="25" t="str">
        <x:v>EEZ_736</x:v>
      </x:c>
      <x:c r="B242" s="25" t="str">
        <x:v>Sudan</x:v>
      </x:c>
      <x:c r="C242" s="25" t="str">
        <x:v>EEZ</x:v>
      </x:c>
      <x:c r="D242" s="31" t="n">
        <x:v>2019</x:v>
      </x:c>
      <x:c r="E242" s="32" t="n">
        <x:v>1903.800910461</x:v>
      </x:c>
      <x:c r="F242" s="32" t="n">
        <x:v>1903.800910461</x:v>
      </x:c>
      <x:c r="G242" s="33" t="n">
        <x:v>0</x:v>
      </x:c>
      <x:c r="H242" s="34" t="n">
        <x:v>1</x:v>
      </x:c>
      <x:c r="I242" s="35" t="n">
        <x:v>9</x:v>
      </x:c>
      <x:c r="J242" s="35" t="n">
        <x:v>9</x:v>
      </x:c>
      <x:c r="K242" s="32" t="n">
        <x:v>1065191.496904894</x:v>
      </x:c>
      <x:c r="L242" s="32" t="n">
        <x:v>630296.4033463453</x:v>
      </x:c>
      <x:c r="M242" s="32" t="n">
        <x:v>630624.815329453</x:v>
      </x:c>
      <x:c r="N242" s="34" t="n">
        <x:f>K242/SUM($K$2:$K$283)</x:f>
        <x:v>0.000016031857584843325</x:v>
      </x:c>
      <x:c r="O242" s="35" t="n">
        <x:f>RANK(K242,$K$2:$K$283,0)+COUNTIF($K$2:K242,K242)-1</x:f>
        <x:v>241</x:v>
      </x:c>
    </x:row>
    <x:row r="243" ht="18" customHeight="1">
      <x:c r="A243" s="25" t="str">
        <x:v>EEZ_638</x:v>
      </x:c>
      <x:c r="B243" s="25" t="str">
        <x:v>Réunion (France)</x:v>
      </x:c>
      <x:c r="C243" s="25" t="str">
        <x:v>EEZ</x:v>
      </x:c>
      <x:c r="D243" s="31" t="n">
        <x:v>2019</x:v>
      </x:c>
      <x:c r="E243" s="32" t="n">
        <x:v>537.9865677244</x:v>
      </x:c>
      <x:c r="F243" s="32" t="n">
        <x:v>537.9865677244</x:v>
      </x:c>
      <x:c r="G243" s="33" t="n">
        <x:v>0</x:v>
      </x:c>
      <x:c r="H243" s="34" t="n">
        <x:v>1</x:v>
      </x:c>
      <x:c r="I243" s="35" t="n">
        <x:v>26</x:v>
      </x:c>
      <x:c r="J243" s="35" t="n">
        <x:v>26</x:v>
      </x:c>
      <x:c r="K243" s="32" t="n">
        <x:v>1039295.5371920002</x:v>
      </x:c>
      <x:c r="L243" s="32" t="n">
        <x:v>1016429.7210691373</x:v>
      </x:c>
      <x:c r="M243" s="32" t="n">
        <x:v>1029294.7264742714</x:v>
      </x:c>
      <x:c r="N243" s="34" t="n">
        <x:f>K243/SUM($K$2:$K$283)</x:f>
        <x:v>0.000015642105752101253</x:v>
      </x:c>
      <x:c r="O243" s="35" t="n">
        <x:f>RANK(K243,$K$2:$K$283,0)+COUNTIF($K$2:K243,K243)-1</x:f>
        <x:v>242</x:v>
      </x:c>
    </x:row>
    <x:row r="244" ht="18" customHeight="1">
      <x:c r="A244" s="25" t="str">
        <x:v>EEZ_580</x:v>
      </x:c>
      <x:c r="B244" s="25" t="str">
        <x:v>Northern Marianas (USA)</x:v>
      </x:c>
      <x:c r="C244" s="25" t="str">
        <x:v>EEZ</x:v>
      </x:c>
      <x:c r="D244" s="31" t="n">
        <x:v>2019</x:v>
      </x:c>
      <x:c r="E244" s="32" t="n">
        <x:v>498.5314401099</x:v>
      </x:c>
      <x:c r="F244" s="32" t="n">
        <x:v>498.5314401099</x:v>
      </x:c>
      <x:c r="G244" s="33" t="n">
        <x:v>0</x:v>
      </x:c>
      <x:c r="H244" s="34" t="n">
        <x:v>1</x:v>
      </x:c>
      <x:c r="I244" s="35" t="n">
        <x:v>62</x:v>
      </x:c>
      <x:c r="J244" s="35" t="n">
        <x:v>62</x:v>
      </x:c>
      <x:c r="K244" s="32" t="n">
        <x:v>1005725.4354424982</x:v>
      </x:c>
      <x:c r="L244" s="32" t="n">
        <x:v>880955.370346406</x:v>
      </x:c>
      <x:c r="M244" s="32" t="n">
        <x:v>979405.8520027468</x:v>
      </x:c>
      <x:c r="N244" s="34" t="n">
        <x:f>K244/SUM($K$2:$K$283)</x:f>
        <x:v>0.00001513685285445747</x:v>
      </x:c>
      <x:c r="O244" s="35" t="n">
        <x:f>RANK(K244,$K$2:$K$283,0)+COUNTIF($K$2:K244,K244)-1</x:f>
        <x:v>243</x:v>
      </x:c>
    </x:row>
    <x:row r="245" ht="18" customHeight="1">
      <x:c r="A245" s="25" t="str">
        <x:v>EEZ_654</x:v>
      </x:c>
      <x:c r="B245" s="25" t="str">
        <x:v>Saint Helena (UK)</x:v>
      </x:c>
      <x:c r="C245" s="25" t="str">
        <x:v>EEZ</x:v>
      </x:c>
      <x:c r="D245" s="31" t="n">
        <x:v>2019</x:v>
      </x:c>
      <x:c r="E245" s="32" t="n">
        <x:v>515.4002517916999</x:v>
      </x:c>
      <x:c r="F245" s="32" t="n">
        <x:v>515.4002517916999</x:v>
      </x:c>
      <x:c r="G245" s="33" t="n">
        <x:v>0</x:v>
      </x:c>
      <x:c r="H245" s="34" t="n">
        <x:v>1</x:v>
      </x:c>
      <x:c r="I245" s="35" t="n">
        <x:v>20</x:v>
      </x:c>
      <x:c r="J245" s="35" t="n">
        <x:v>20</x:v>
      </x:c>
      <x:c r="K245" s="32" t="n">
        <x:v>982147.5503922047</x:v>
      </x:c>
      <x:c r="L245" s="32" t="n">
        <x:v>973106.9444326712</x:v>
      </x:c>
      <x:c r="M245" s="32" t="n">
        <x:v>979520.3046732456</x:v>
      </x:c>
      <x:c r="N245" s="34" t="n">
        <x:f>K245/SUM($K$2:$K$283)</x:f>
        <x:v>0.000014781989624346781</x:v>
      </x:c>
      <x:c r="O245" s="35" t="n">
        <x:f>RANK(K245,$K$2:$K$283,0)+COUNTIF($K$2:K245,K245)-1</x:f>
        <x:v>244</x:v>
      </x:c>
    </x:row>
    <x:row r="246" ht="18" customHeight="1">
      <x:c r="A246" s="25" t="str">
        <x:v>EEZ_896</x:v>
      </x:c>
      <x:c r="B246" s="25" t="str">
        <x:v>Crozet Isl. (France)</x:v>
      </x:c>
      <x:c r="C246" s="25" t="str">
        <x:v>EEZ</x:v>
      </x:c>
      <x:c r="D246" s="31" t="n">
        <x:v>2019</x:v>
      </x:c>
      <x:c r="E246" s="32" t="n">
        <x:v>962.1183434891</x:v>
      </x:c>
      <x:c r="F246" s="32" t="n">
        <x:v>962.1183434891</x:v>
      </x:c>
      <x:c r="G246" s="33" t="n">
        <x:v>0</x:v>
      </x:c>
      <x:c r="H246" s="34" t="n">
        <x:v>1</x:v>
      </x:c>
      <x:c r="I246" s="35" t="n">
        <x:v>7</x:v>
      </x:c>
      <x:c r="J246" s="35" t="n">
        <x:v>7</x:v>
      </x:c>
      <x:c r="K246" s="32" t="n">
        <x:v>829294.7328154038</x:v>
      </x:c>
      <x:c r="L246" s="32" t="n">
        <x:v>826966.3924129192</x:v>
      </x:c>
      <x:c r="M246" s="32" t="n">
        <x:v>829294.7328154031</x:v>
      </x:c>
      <x:c r="N246" s="34" t="n">
        <x:f>K246/SUM($K$2:$K$283)</x:f>
        <x:v>0.000012481450603941792</x:v>
      </x:c>
      <x:c r="O246" s="35" t="n">
        <x:f>RANK(K246,$K$2:$K$283,0)+COUNTIF($K$2:K246,K246)-1</x:f>
        <x:v>245</x:v>
      </x:c>
    </x:row>
    <x:row r="247" ht="18" customHeight="1">
      <x:c r="A247" s="25" t="str">
        <x:v>EEZ_488</x:v>
      </x:c>
      <x:c r="B247" s="25" t="str">
        <x:v>Hawaii Northwest Islands (USA)</x:v>
      </x:c>
      <x:c r="C247" s="25" t="str">
        <x:v>EEZ</x:v>
      </x:c>
      <x:c r="D247" s="31" t="n">
        <x:v>2019</x:v>
      </x:c>
      <x:c r="E247" s="32" t="n">
        <x:v>456.1205398731</x:v>
      </x:c>
      <x:c r="F247" s="32" t="n">
        <x:v>456.1205398731</x:v>
      </x:c>
      <x:c r="G247" s="33" t="n">
        <x:v>0</x:v>
      </x:c>
      <x:c r="H247" s="34" t="n">
        <x:v>1</x:v>
      </x:c>
      <x:c r="I247" s="35" t="n">
        <x:v>16</x:v>
      </x:c>
      <x:c r="J247" s="35" t="n">
        <x:v>16</x:v>
      </x:c>
      <x:c r="K247" s="32" t="n">
        <x:v>790459.7617226113</x:v>
      </x:c>
      <x:c r="L247" s="32" t="n">
        <x:v>712474.0450342633</x:v>
      </x:c>
      <x:c r="M247" s="32" t="n">
        <x:v>775338.5781839541</x:v>
      </x:c>
      <x:c r="N247" s="34" t="n">
        <x:f>K247/SUM($K$2:$K$283)</x:f>
        <x:v>0.000011896957836509622</x:v>
      </x:c>
      <x:c r="O247" s="35" t="n">
        <x:f>RANK(K247,$K$2:$K$283,0)+COUNTIF($K$2:K247,K247)-1</x:f>
        <x:v>246</x:v>
      </x:c>
    </x:row>
    <x:row r="248" ht="18" customHeight="1">
      <x:c r="A248" s="25" t="str">
        <x:v>EEZ_396</x:v>
      </x:c>
      <x:c r="B248" s="25" t="str">
        <x:v>Johnston Atoll (USA)</x:v>
      </x:c>
      <x:c r="C248" s="25" t="str">
        <x:v>EEZ</x:v>
      </x:c>
      <x:c r="D248" s="31" t="n">
        <x:v>2019</x:v>
      </x:c>
      <x:c r="E248" s="32" t="n">
        <x:v>308.29794792170003</x:v>
      </x:c>
      <x:c r="F248" s="32" t="n">
        <x:v>308.29794792170003</x:v>
      </x:c>
      <x:c r="G248" s="33" t="n">
        <x:v>0</x:v>
      </x:c>
      <x:c r="H248" s="34" t="n">
        <x:v>1</x:v>
      </x:c>
      <x:c r="I248" s="35" t="n">
        <x:v>19</x:v>
      </x:c>
      <x:c r="J248" s="35" t="n">
        <x:v>19</x:v>
      </x:c>
      <x:c r="K248" s="32" t="n">
        <x:v>709090.631793451</x:v>
      </x:c>
      <x:c r="L248" s="32" t="n">
        <x:v>703685.9380181376</x:v>
      </x:c>
      <x:c r="M248" s="32" t="n">
        <x:v>694535.5648760073</x:v>
      </x:c>
      <x:c r="N248" s="34" t="n">
        <x:f>K248/SUM($K$2:$K$283)</x:f>
        <x:v>0.00001067229700639845</x:v>
      </x:c>
      <x:c r="O248" s="35" t="n">
        <x:f>RANK(K248,$K$2:$K$283,0)+COUNTIF($K$2:K248,K248)-1</x:f>
        <x:v>247</x:v>
      </x:c>
    </x:row>
    <x:row r="249" ht="18" customHeight="1">
      <x:c r="A249" s="25" t="str">
        <x:v>EEZ_907</x:v>
      </x:c>
      <x:c r="B249" s="25" t="str">
        <x:v>Bonaire (Netherlands)</x:v>
      </x:c>
      <x:c r="C249" s="25" t="str">
        <x:v>EEZ</x:v>
      </x:c>
      <x:c r="D249" s="31" t="n">
        <x:v>2019</x:v>
      </x:c>
      <x:c r="E249" s="32" t="n">
        <x:v>400.2133530319</x:v>
      </x:c>
      <x:c r="F249" s="32" t="n">
        <x:v>400.2133530319</x:v>
      </x:c>
      <x:c r="G249" s="33" t="n">
        <x:v>0</x:v>
      </x:c>
      <x:c r="H249" s="34" t="n">
        <x:v>1</x:v>
      </x:c>
      <x:c r="I249" s="35" t="n">
        <x:v>39</x:v>
      </x:c>
      <x:c r="J249" s="35" t="n">
        <x:v>39</x:v>
      </x:c>
      <x:c r="K249" s="32" t="n">
        <x:v>677238.29384602</x:v>
      </x:c>
      <x:c r="L249" s="32" t="n">
        <x:v>655588.4639698595</x:v>
      </x:c>
      <x:c r="M249" s="32" t="n">
        <x:v>657496.3418869387</x:v>
      </x:c>
      <x:c r="N249" s="34" t="n">
        <x:f>K249/SUM($K$2:$K$283)</x:f>
        <x:v>0.000010192897624032644</x:v>
      </x:c>
      <x:c r="O249" s="35" t="n">
        <x:f>RANK(K249,$K$2:$K$283,0)+COUNTIF($K$2:K249,K249)-1</x:f>
        <x:v>248</x:v>
      </x:c>
    </x:row>
    <x:row r="250" ht="18" customHeight="1">
      <x:c r="A250" s="25" t="str">
        <x:v>EEZ_844</x:v>
      </x:c>
      <x:c r="B250" s="25" t="str">
        <x:v>Palmyra Atoll &amp; Kingman Reef (USA)</x:v>
      </x:c>
      <x:c r="C250" s="25" t="str">
        <x:v>EEZ</x:v>
      </x:c>
      <x:c r="D250" s="31" t="n">
        <x:v>2019</x:v>
      </x:c>
      <x:c r="E250" s="32" t="n">
        <x:v>280.5961402573</x:v>
      </x:c>
      <x:c r="F250" s="32" t="n">
        <x:v>280.5961402573</x:v>
      </x:c>
      <x:c r="G250" s="33" t="n">
        <x:v>0</x:v>
      </x:c>
      <x:c r="H250" s="34" t="n">
        <x:v>1</x:v>
      </x:c>
      <x:c r="I250" s="35" t="n">
        <x:v>17</x:v>
      </x:c>
      <x:c r="J250" s="35" t="n">
        <x:v>17</x:v>
      </x:c>
      <x:c r="K250" s="32" t="n">
        <x:v>628775.9881433196</x:v>
      </x:c>
      <x:c r="L250" s="32" t="n">
        <x:v>625356.8693576443</x:v>
      </x:c>
      <x:c r="M250" s="32" t="n">
        <x:v>625610.4941218644</x:v>
      </x:c>
      <x:c r="N250" s="34" t="n">
        <x:f>K250/SUM($K$2:$K$283)</x:f>
        <x:v>0.000009463506913051213</x:v>
      </x:c>
      <x:c r="O250" s="35" t="n">
        <x:f>RANK(K250,$K$2:$K$283,0)+COUNTIF($K$2:K250,K250)-1</x:f>
        <x:v>249</x:v>
      </x:c>
    </x:row>
    <x:row r="251" ht="18" customHeight="1">
      <x:c r="A251" s="25" t="str">
        <x:v>EEZ_891</x:v>
      </x:c>
      <x:c r="B251" s="25" t="str">
        <x:v>Montenegro</x:v>
      </x:c>
      <x:c r="C251" s="25" t="str">
        <x:v>EEZ</x:v>
      </x:c>
      <x:c r="D251" s="31" t="n">
        <x:v>2019</x:v>
      </x:c>
      <x:c r="E251" s="32" t="n">
        <x:v>1698.0118630171</x:v>
      </x:c>
      <x:c r="F251" s="32" t="n">
        <x:v>1698.0118630171</x:v>
      </x:c>
      <x:c r="G251" s="33" t="n">
        <x:v>0</x:v>
      </x:c>
      <x:c r="H251" s="34" t="n">
        <x:v>1</x:v>
      </x:c>
      <x:c r="I251" s="35" t="n">
        <x:v>70</x:v>
      </x:c>
      <x:c r="J251" s="35" t="n">
        <x:v>70</x:v>
      </x:c>
      <x:c r="K251" s="32" t="n">
        <x:v>575664.3429432232</x:v>
      </x:c>
      <x:c r="L251" s="32" t="n">
        <x:v>413329.1264975754</x:v>
      </x:c>
      <x:c r="M251" s="32" t="n">
        <x:v>477113.8574983947</x:v>
      </x:c>
      <x:c r="N251" s="34" t="n">
        <x:f>K251/SUM($K$2:$K$283)</x:f>
        <x:v>0.00000866414047573098</x:v>
      </x:c>
      <x:c r="O251" s="35" t="n">
        <x:f>RANK(K251,$K$2:$K$283,0)+COUNTIF($K$2:K251,K251)-1</x:f>
        <x:v>250</x:v>
      </x:c>
    </x:row>
    <x:row r="252" ht="18" customHeight="1">
      <x:c r="A252" s="25" t="str">
        <x:v>EEZ_666</x:v>
      </x:c>
      <x:c r="B252" s="25" t="str">
        <x:v>Saint Pierre &amp; Miquelon (France)</x:v>
      </x:c>
      <x:c r="C252" s="25" t="str">
        <x:v>EEZ</x:v>
      </x:c>
      <x:c r="D252" s="31" t="n">
        <x:v>2019</x:v>
      </x:c>
      <x:c r="E252" s="32" t="n">
        <x:v>1766.086618522</x:v>
      </x:c>
      <x:c r="F252" s="32" t="n">
        <x:v>1766.086618522</x:v>
      </x:c>
      <x:c r="G252" s="33" t="n">
        <x:v>0</x:v>
      </x:c>
      <x:c r="H252" s="34" t="n">
        <x:v>1</x:v>
      </x:c>
      <x:c r="I252" s="35" t="n">
        <x:v>21</x:v>
      </x:c>
      <x:c r="J252" s="35" t="n">
        <x:v>21</x:v>
      </x:c>
      <x:c r="K252" s="32" t="n">
        <x:v>574386.8852731779</x:v>
      </x:c>
      <x:c r="L252" s="32" t="n">
        <x:v>532431.3474728933</x:v>
      </x:c>
      <x:c r="M252" s="32" t="n">
        <x:v>538876.9446376901</x:v>
      </x:c>
      <x:c r="N252" s="34" t="n">
        <x:f>K252/SUM($K$2:$K$283)</x:f>
        <x:v>0.000008644913867655023</x:v>
      </x:c>
      <x:c r="O252" s="35" t="n">
        <x:f>RANK(K252,$K$2:$K$283,0)+COUNTIF($K$2:K252,K252)-1</x:f>
        <x:v>251</x:v>
      </x:c>
    </x:row>
    <x:row r="253" ht="18" customHeight="1">
      <x:c r="A253" s="25" t="str">
        <x:v>EEZ_905</x:v>
      </x:c>
      <x:c r="B253" s="25" t="str">
        <x:v>St Martin (France)</x:v>
      </x:c>
      <x:c r="C253" s="25" t="str">
        <x:v>EEZ</x:v>
      </x:c>
      <x:c r="D253" s="31" t="n">
        <x:v>2019</x:v>
      </x:c>
      <x:c r="E253" s="32" t="n">
        <x:v>547.9161662649999</x:v>
      </x:c>
      <x:c r="F253" s="32" t="n">
        <x:v>547.9161662649999</x:v>
      </x:c>
      <x:c r="G253" s="33" t="n">
        <x:v>0</x:v>
      </x:c>
      <x:c r="H253" s="34" t="n">
        <x:v>1</x:v>
      </x:c>
      <x:c r="I253" s="35" t="n">
        <x:v>29</x:v>
      </x:c>
      <x:c r="J253" s="35" t="n">
        <x:v>29</x:v>
      </x:c>
      <x:c r="K253" s="32" t="n">
        <x:v>499593.895973369</x:v>
      </x:c>
      <x:c r="L253" s="32" t="n">
        <x:v>403687.3066362591</x:v>
      </x:c>
      <x:c r="M253" s="32" t="n">
        <x:v>447140.9327517793</x:v>
      </x:c>
      <x:c r="N253" s="34" t="n">
        <x:f>K253/SUM($K$2:$K$283)</x:f>
        <x:v>0.000007519228433361412</x:v>
      </x:c>
      <x:c r="O253" s="35" t="n">
        <x:f>RANK(K253,$K$2:$K$283,0)+COUNTIF($K$2:K253,K253)-1</x:f>
        <x:v>252</x:v>
      </x:c>
    </x:row>
    <x:row r="254" ht="18" customHeight="1">
      <x:c r="A254" s="25" t="str">
        <x:v>EEZ_400</x:v>
      </x:c>
      <x:c r="B254" s="25" t="str">
        <x:v>Jordan</x:v>
      </x:c>
      <x:c r="C254" s="25" t="str">
        <x:v>EEZ</x:v>
      </x:c>
      <x:c r="D254" s="31" t="n">
        <x:v>2019</x:v>
      </x:c>
      <x:c r="E254" s="32" t="n">
        <x:v>387.759999999</x:v>
      </x:c>
      <x:c r="F254" s="32" t="n">
        <x:v>387.759999999</x:v>
      </x:c>
      <x:c r="G254" s="33" t="n">
        <x:v>0</x:v>
      </x:c>
      <x:c r="H254" s="34" t="n">
        <x:v>1</x:v>
      </x:c>
      <x:c r="I254" s="35" t="n">
        <x:v>12</x:v>
      </x:c>
      <x:c r="J254" s="35" t="n">
        <x:v>12</x:v>
      </x:c>
      <x:c r="K254" s="32" t="n">
        <x:v>448341.8758726021</x:v>
      </x:c>
      <x:c r="L254" s="32" t="n">
        <x:v>383868.65814178856</x:v>
      </x:c>
      <x:c r="M254" s="32" t="n">
        <x:v>425852.62560659816</x:v>
      </x:c>
      <x:c r="N254" s="34" t="n">
        <x:f>K254/SUM($K$2:$K$283)</x:f>
        <x:v>0.0000067478506204718815</x:v>
      </x:c>
      <x:c r="O254" s="35" t="n">
        <x:f>RANK(K254,$K$2:$K$283,0)+COUNTIF($K$2:K254,K254)-1</x:f>
        <x:v>253</x:v>
      </x:c>
    </x:row>
    <x:row r="255" ht="18" customHeight="1">
      <x:c r="A255" s="25" t="str">
        <x:v>EEZ_660</x:v>
      </x:c>
      <x:c r="B255" s="25" t="str">
        <x:v>Anguilla (UK)</x:v>
      </x:c>
      <x:c r="C255" s="25" t="str">
        <x:v>EEZ</x:v>
      </x:c>
      <x:c r="D255" s="31" t="n">
        <x:v>2019</x:v>
      </x:c>
      <x:c r="E255" s="32" t="n">
        <x:v>1027.036715517</x:v>
      </x:c>
      <x:c r="F255" s="32" t="n">
        <x:v>1027.036715517</x:v>
      </x:c>
      <x:c r="G255" s="33" t="n">
        <x:v>0</x:v>
      </x:c>
      <x:c r="H255" s="34" t="n">
        <x:v>1</x:v>
      </x:c>
      <x:c r="I255" s="35" t="n">
        <x:v>24</x:v>
      </x:c>
      <x:c r="J255" s="35" t="n">
        <x:v>24</x:v>
      </x:c>
      <x:c r="K255" s="32" t="n">
        <x:v>448305.9886107153</x:v>
      </x:c>
      <x:c r="L255" s="32" t="n">
        <x:v>333813.7039874791</x:v>
      </x:c>
      <x:c r="M255" s="32" t="n">
        <x:v>414194.8589122577</x:v>
      </x:c>
      <x:c r="N255" s="34" t="n">
        <x:f>K255/SUM($K$2:$K$283)</x:f>
        <x:v>0.000006747310492735835</x:v>
      </x:c>
      <x:c r="O255" s="35" t="n">
        <x:f>RANK(K255,$K$2:$K$283,0)+COUNTIF($K$2:K255,K255)-1</x:f>
        <x:v>254</x:v>
      </x:c>
    </x:row>
    <x:row r="256" ht="18" customHeight="1">
      <x:c r="A256" s="25" t="str">
        <x:v>EEZ_579</x:v>
      </x:c>
      <x:c r="B256" s="25" t="str">
        <x:v>Jan Mayen Isl. (Norway)</x:v>
      </x:c>
      <x:c r="C256" s="25" t="str">
        <x:v>EEZ</x:v>
      </x:c>
      <x:c r="D256" s="31" t="n">
        <x:v>2019</x:v>
      </x:c>
      <x:c r="E256" s="32" t="n">
        <x:v>534.1534584534</x:v>
      </x:c>
      <x:c r="F256" s="32" t="n">
        <x:v>534.1534584534</x:v>
      </x:c>
      <x:c r="G256" s="33" t="n">
        <x:v>0</x:v>
      </x:c>
      <x:c r="H256" s="34" t="n">
        <x:v>1</x:v>
      </x:c>
      <x:c r="I256" s="35" t="n">
        <x:v>6</x:v>
      </x:c>
      <x:c r="J256" s="35" t="n">
        <x:v>6</x:v>
      </x:c>
      <x:c r="K256" s="32" t="n">
        <x:v>433429.22305330844</x:v>
      </x:c>
      <x:c r="L256" s="32" t="n">
        <x:v>433129.47100038576</x:v>
      </x:c>
      <x:c r="M256" s="32" t="n">
        <x:v>422791.40566658013</x:v>
      </x:c>
      <x:c r="N256" s="34" t="n">
        <x:f>K256/SUM($K$2:$K$283)</x:f>
        <x:v>0.000006523405037770732</x:v>
      </x:c>
      <x:c r="O256" s="35" t="n">
        <x:f>RANK(K256,$K$2:$K$283,0)+COUNTIF($K$2:K256,K256)-1</x:f>
        <x:v>255</x:v>
      </x:c>
    </x:row>
    <x:row r="257" ht="18" customHeight="1">
      <x:c r="A257" s="25" t="str">
        <x:v>EEZ_904</x:v>
      </x:c>
      <x:c r="B257" s="25" t="str">
        <x:v>St Barthelemy (France)</x:v>
      </x:c>
      <x:c r="C257" s="25" t="str">
        <x:v>EEZ</x:v>
      </x:c>
      <x:c r="D257" s="31" t="n">
        <x:v>2019</x:v>
      </x:c>
      <x:c r="E257" s="32" t="n">
        <x:v>526.0359177130001</x:v>
      </x:c>
      <x:c r="F257" s="32" t="n">
        <x:v>526.0359177130001</x:v>
      </x:c>
      <x:c r="G257" s="33" t="n">
        <x:v>0</x:v>
      </x:c>
      <x:c r="H257" s="34" t="n">
        <x:v>1</x:v>
      </x:c>
      <x:c r="I257" s="35" t="n">
        <x:v>29</x:v>
      </x:c>
      <x:c r="J257" s="35" t="n">
        <x:v>29</x:v>
      </x:c>
      <x:c r="K257" s="32" t="n">
        <x:v>405068.1217651294</x:v>
      </x:c>
      <x:c r="L257" s="32" t="n">
        <x:v>327867.426132599</x:v>
      </x:c>
      <x:c r="M257" s="32" t="n">
        <x:v>354580.58677155705</x:v>
      </x:c>
      <x:c r="N257" s="34" t="n">
        <x:f>K257/SUM($K$2:$K$283)</x:f>
        <x:v>0.000006096551145186571</x:v>
      </x:c>
      <x:c r="O257" s="35" t="n">
        <x:f>RANK(K257,$K$2:$K$283,0)+COUNTIF($K$2:K257,K257)-1</x:f>
        <x:v>256</x:v>
      </x:c>
    </x:row>
    <x:row r="258" ht="18" customHeight="1">
      <x:c r="A258" s="25" t="str">
        <x:v>EEZ_037</x:v>
      </x:c>
      <x:c r="B258" s="25" t="str">
        <x:v>Macquarie Isl. (Australia)</x:v>
      </x:c>
      <x:c r="C258" s="25" t="str">
        <x:v>EEZ</x:v>
      </x:c>
      <x:c r="D258" s="31" t="n">
        <x:v>2019</x:v>
      </x:c>
      <x:c r="E258" s="32" t="n">
        <x:v>434.33</x:v>
      </x:c>
      <x:c r="F258" s="32" t="n">
        <x:v>434.33</x:v>
      </x:c>
      <x:c r="G258" s="33" t="n">
        <x:v>0</x:v>
      </x:c>
      <x:c r="H258" s="34" t="n">
        <x:v>1</x:v>
      </x:c>
      <x:c r="I258" s="35" t="n">
        <x:v>1</x:v>
      </x:c>
      <x:c r="J258" s="35" t="n">
        <x:v>1</x:v>
      </x:c>
      <x:c r="K258" s="32" t="n">
        <x:v>396113.66785745224</x:v>
      </x:c>
      <x:c r="L258" s="32" t="n">
        <x:v>396113.66785745224</x:v>
      </x:c>
      <x:c r="M258" s="32" t="n">
        <x:v>396113.66785745224</x:v>
      </x:c>
      <x:c r="N258" s="34" t="n">
        <x:f>K258/SUM($K$2:$K$283)</x:f>
        <x:v>0.0000059617805145393555</x:v>
      </x:c>
      <x:c r="O258" s="35" t="n">
        <x:f>RANK(K258,$K$2:$K$283,0)+COUNTIF($K$2:K258,K258)-1</x:f>
        <x:v>257</x:v>
      </x:c>
    </x:row>
    <x:row r="259" ht="18" customHeight="1">
      <x:c r="A259" s="25" t="str">
        <x:v>EEZ_951</x:v>
      </x:c>
      <x:c r="B259" s="25" t="str">
        <x:v>Panama (Caribbean)</x:v>
      </x:c>
      <x:c r="C259" s="25" t="str">
        <x:v>EEZ</x:v>
      </x:c>
      <x:c r="D259" s="31" t="n">
        <x:v>2019</x:v>
      </x:c>
      <x:c r="E259" s="32" t="n">
        <x:v>1550.4602980178997</x:v>
      </x:c>
      <x:c r="F259" s="32" t="n">
        <x:v>1550.4602980178997</x:v>
      </x:c>
      <x:c r="G259" s="33" t="n">
        <x:v>0</x:v>
      </x:c>
      <x:c r="H259" s="34" t="n">
        <x:v>1</x:v>
      </x:c>
      <x:c r="I259" s="35" t="n">
        <x:v>12</x:v>
      </x:c>
      <x:c r="J259" s="35" t="n">
        <x:v>12</x:v>
      </x:c>
      <x:c r="K259" s="32" t="n">
        <x:v>395402.3380561242</x:v>
      </x:c>
      <x:c r="L259" s="32" t="n">
        <x:v>389516.0933646631</x:v>
      </x:c>
      <x:c r="M259" s="32" t="n">
        <x:v>395278.1639613288</x:v>
      </x:c>
      <x:c r="N259" s="34" t="n">
        <x:f>K259/SUM($K$2:$K$283)</x:f>
        <x:v>0.0000059510745165062495</x:v>
      </x:c>
      <x:c r="O259" s="35" t="n">
        <x:f>RANK(K259,$K$2:$K$283,0)+COUNTIF($K$2:K259,K259)-1</x:f>
        <x:v>258</x:v>
      </x:c>
    </x:row>
    <x:row r="260" ht="18" customHeight="1">
      <x:c r="A260" s="25" t="str">
        <x:v>EEZ_850</x:v>
      </x:c>
      <x:c r="B260" s="25" t="str">
        <x:v>US Virgin Isl.</x:v>
      </x:c>
      <x:c r="C260" s="25" t="str">
        <x:v>EEZ</x:v>
      </x:c>
      <x:c r="D260" s="31" t="n">
        <x:v>2019</x:v>
      </x:c>
      <x:c r="E260" s="32" t="n">
        <x:v>385.4790666690001</x:v>
      </x:c>
      <x:c r="F260" s="32" t="n">
        <x:v>385.4790666690001</x:v>
      </x:c>
      <x:c r="G260" s="33" t="n">
        <x:v>0</x:v>
      </x:c>
      <x:c r="H260" s="34" t="n">
        <x:v>1</x:v>
      </x:c>
      <x:c r="I260" s="35" t="n">
        <x:v>21</x:v>
      </x:c>
      <x:c r="J260" s="35" t="n">
        <x:v>21</x:v>
      </x:c>
      <x:c r="K260" s="32" t="n">
        <x:v>359796.24203482084</x:v>
      </x:c>
      <x:c r="L260" s="32" t="n">
        <x:v>294117.7068980834</x:v>
      </x:c>
      <x:c r="M260" s="32" t="n">
        <x:v>338872.332180039</x:v>
      </x:c>
      <x:c r="N260" s="34" t="n">
        <x:f>K260/SUM($K$2:$K$283)</x:f>
        <x:v>0.0000054151785182519945</x:v>
      </x:c>
      <x:c r="O260" s="35" t="n">
        <x:f>RANK(K260,$K$2:$K$283,0)+COUNTIF($K$2:K260,K260)-1</x:f>
        <x:v>259</x:v>
      </x:c>
    </x:row>
    <x:row r="261" ht="18" customHeight="1">
      <x:c r="A261" s="25" t="str">
        <x:v>EEZ_086</x:v>
      </x:c>
      <x:c r="B261" s="25" t="str">
        <x:v>Chagos Archipelago (UK)</x:v>
      </x:c>
      <x:c r="C261" s="25" t="str">
        <x:v>EEZ</x:v>
      </x:c>
      <x:c r="D261" s="31" t="n">
        <x:v>2019</x:v>
      </x:c>
      <x:c r="E261" s="32" t="n">
        <x:v>135.2489756326</x:v>
      </x:c>
      <x:c r="F261" s="32" t="n">
        <x:v>135.2489756326</x:v>
      </x:c>
      <x:c r="G261" s="33" t="n">
        <x:v>0</x:v>
      </x:c>
      <x:c r="H261" s="34" t="n">
        <x:v>1</x:v>
      </x:c>
      <x:c r="I261" s="35" t="n">
        <x:v>22</x:v>
      </x:c>
      <x:c r="J261" s="35" t="n">
        <x:v>22</x:v>
      </x:c>
      <x:c r="K261" s="32" t="n">
        <x:v>263025.75586093066</x:v>
      </x:c>
      <x:c r="L261" s="32" t="n">
        <x:v>259211.53634591453</x:v>
      </x:c>
      <x:c r="M261" s="32" t="n">
        <x:v>256840.26155903548</x:v>
      </x:c>
      <x:c r="N261" s="34" t="n">
        <x:f>K261/SUM($K$2:$K$283)</x:f>
        <x:v>0.000003958716786005951</x:v>
      </x:c>
      <x:c r="O261" s="35" t="n">
        <x:f>RANK(K261,$K$2:$K$283,0)+COUNTIF($K$2:K261,K261)-1</x:f>
        <x:v>260</x:v>
      </x:c>
    </x:row>
    <x:row r="262" ht="18" customHeight="1">
      <x:c r="A262" s="25" t="str">
        <x:v>EEZ_038</x:v>
      </x:c>
      <x:c r="B262" s="25" t="str">
        <x:v>Lord Howe Isl. (Australia)</x:v>
      </x:c>
      <x:c r="C262" s="25" t="str">
        <x:v>EEZ</x:v>
      </x:c>
      <x:c r="D262" s="31" t="n">
        <x:v>2019</x:v>
      </x:c>
      <x:c r="E262" s="32" t="n">
        <x:v>111.5646524811</x:v>
      </x:c>
      <x:c r="F262" s="32" t="n">
        <x:v>111.5646524811</x:v>
      </x:c>
      <x:c r="G262" s="33" t="n">
        <x:v>0</x:v>
      </x:c>
      <x:c r="H262" s="34" t="n">
        <x:v>1</x:v>
      </x:c>
      <x:c r="I262" s="35" t="n">
        <x:v>18</x:v>
      </x:c>
      <x:c r="J262" s="35" t="n">
        <x:v>18</x:v>
      </x:c>
      <x:c r="K262" s="32" t="n">
        <x:v>237070.8824424346</x:v>
      </x:c>
      <x:c r="L262" s="32" t="n">
        <x:v>229416.92982461693</x:v>
      </x:c>
      <x:c r="M262" s="32" t="n">
        <x:v>230650.7929449992</x:v>
      </x:c>
      <x:c r="N262" s="34" t="n">
        <x:f>K262/SUM($K$2:$K$283)</x:f>
        <x:v>0.0000035680782618654263</x:v>
      </x:c>
      <x:c r="O262" s="35" t="n">
        <x:f>RANK(K262,$K$2:$K$283,0)+COUNTIF($K$2:K262,K262)-1</x:f>
        <x:v>261</x:v>
      </x:c>
    </x:row>
    <x:row r="263" ht="18" customHeight="1">
      <x:c r="A263" s="25" t="str">
        <x:v>EEZ_166</x:v>
      </x:c>
      <x:c r="B263" s="25" t="str">
        <x:v>Cocos (Keeling) Isl. (Australia)</x:v>
      </x:c>
      <x:c r="C263" s="25" t="str">
        <x:v>EEZ</x:v>
      </x:c>
      <x:c r="D263" s="31" t="n">
        <x:v>2019</x:v>
      </x:c>
      <x:c r="E263" s="32" t="n">
        <x:v>268.594720107</x:v>
      </x:c>
      <x:c r="F263" s="32" t="n">
        <x:v>268.594720107</x:v>
      </x:c>
      <x:c r="G263" s="33" t="n">
        <x:v>0</x:v>
      </x:c>
      <x:c r="H263" s="34" t="n">
        <x:v>1</x:v>
      </x:c>
      <x:c r="I263" s="35" t="n">
        <x:v>10</x:v>
      </x:c>
      <x:c r="J263" s="35" t="n">
        <x:v>10</x:v>
      </x:c>
      <x:c r="K263" s="32" t="n">
        <x:v>192511.2290212681</x:v>
      </x:c>
      <x:c r="L263" s="32" t="n">
        <x:v>129506.11473900735</x:v>
      </x:c>
      <x:c r="M263" s="32" t="n">
        <x:v>182353.21410370438</x:v>
      </x:c>
      <x:c r="N263" s="34" t="n">
        <x:f>K263/SUM($K$2:$K$283)</x:f>
        <x:v>0.0000028974251260172145</x:v>
      </x:c>
      <x:c r="O263" s="35" t="n">
        <x:f>RANK(K263,$K$2:$K$283,0)+COUNTIF($K$2:K263,K263)-1</x:f>
        <x:v>262</x:v>
      </x:c>
    </x:row>
    <x:row r="264" ht="18" customHeight="1">
      <x:c r="A264" s="25" t="str">
        <x:v>EEZ_136</x:v>
      </x:c>
      <x:c r="B264" s="25" t="str">
        <x:v>Cayman Isl. (UK)</x:v>
      </x:c>
      <x:c r="C264" s="25" t="str">
        <x:v>EEZ</x:v>
      </x:c>
      <x:c r="D264" s="31" t="n">
        <x:v>2019</x:v>
      </x:c>
      <x:c r="E264" s="32" t="n">
        <x:v>244.37965271110005</x:v>
      </x:c>
      <x:c r="F264" s="32" t="n">
        <x:v>244.37965271110005</x:v>
      </x:c>
      <x:c r="G264" s="33" t="n">
        <x:v>0</x:v>
      </x:c>
      <x:c r="H264" s="34" t="n">
        <x:v>1</x:v>
      </x:c>
      <x:c r="I264" s="35" t="n">
        <x:v>13</x:v>
      </x:c>
      <x:c r="J264" s="35" t="n">
        <x:v>13</x:v>
      </x:c>
      <x:c r="K264" s="32" t="n">
        <x:v>174518.88545299374</x:v>
      </x:c>
      <x:c r="L264" s="32" t="n">
        <x:v>168159.99955340067</x:v>
      </x:c>
      <x:c r="M264" s="32" t="n">
        <x:v>174253.67994425655</x:v>
      </x:c>
      <x:c r="N264" s="34" t="n">
        <x:f>K264/SUM($K$2:$K$283)</x:f>
        <x:v>0.0000026266280998089765</x:v>
      </x:c>
      <x:c r="O264" s="35" t="n">
        <x:f>RANK(K264,$K$2:$K$283,0)+COUNTIF($K$2:K264,K264)-1</x:f>
        <x:v>263</x:v>
      </x:c>
    </x:row>
    <x:row r="265" ht="18" customHeight="1">
      <x:c r="A265" s="25" t="str">
        <x:v>EEZ_912</x:v>
      </x:c>
      <x:c r="B265" s="25" t="str">
        <x:v>Russia (Kara Sea)</x:v>
      </x:c>
      <x:c r="C265" s="25" t="str">
        <x:v>EEZ</x:v>
      </x:c>
      <x:c r="D265" s="31" t="n">
        <x:v>2019</x:v>
      </x:c>
      <x:c r="E265" s="32" t="n">
        <x:v>747.53431635</x:v>
      </x:c>
      <x:c r="F265" s="32" t="n">
        <x:v>747.53431635</x:v>
      </x:c>
      <x:c r="G265" s="33" t="n">
        <x:v>0</x:v>
      </x:c>
      <x:c r="H265" s="34" t="n">
        <x:v>1</x:v>
      </x:c>
      <x:c r="I265" s="35" t="n">
        <x:v>5</x:v>
      </x:c>
      <x:c r="J265" s="35" t="n">
        <x:v>5</x:v>
      </x:c>
      <x:c r="K265" s="32" t="n">
        <x:v>142441.20996613824</x:v>
      </x:c>
      <x:c r="L265" s="32" t="n">
        <x:v>140909.15387773627</x:v>
      </x:c>
      <x:c r="M265" s="32" t="n">
        <x:v>140910.01929509558</x:v>
      </x:c>
      <x:c r="N265" s="34" t="n">
        <x:f>K265/SUM($K$2:$K$283)</x:f>
        <x:v>0.0000021438372339859052</x:v>
      </x:c>
      <x:c r="O265" s="35" t="n">
        <x:f>RANK(K265,$K$2:$K$283,0)+COUNTIF($K$2:K265,K265)-1</x:f>
        <x:v>264</x:v>
      </x:c>
    </x:row>
    <x:row r="266" ht="18" customHeight="1">
      <x:c r="A266" s="25" t="str">
        <x:v>EEZ_705</x:v>
      </x:c>
      <x:c r="B266" s="25" t="str">
        <x:v>Slovenia</x:v>
      </x:c>
      <x:c r="C266" s="25" t="str">
        <x:v>EEZ</x:v>
      </x:c>
      <x:c r="D266" s="31" t="n">
        <x:v>2019</x:v>
      </x:c>
      <x:c r="E266" s="32" t="n">
        <x:v>203.5210142398</x:v>
      </x:c>
      <x:c r="F266" s="32" t="n">
        <x:v>203.5210142398</x:v>
      </x:c>
      <x:c r="G266" s="33" t="n">
        <x:v>0</x:v>
      </x:c>
      <x:c r="H266" s="34" t="n">
        <x:v>1</x:v>
      </x:c>
      <x:c r="I266" s="35" t="n">
        <x:v>80</x:v>
      </x:c>
      <x:c r="J266" s="35" t="n">
        <x:v>80</x:v>
      </x:c>
      <x:c r="K266" s="32" t="n">
        <x:v>130224.70736268716</x:v>
      </x:c>
      <x:c r="L266" s="32" t="n">
        <x:v>111916.27879652377</x:v>
      </x:c>
      <x:c r="M266" s="32" t="n">
        <x:v>105628.72766938074</x:v>
      </x:c>
      <x:c r="N266" s="34" t="n">
        <x:f>K266/SUM($K$2:$K$283)</x:f>
        <x:v>0.0000019599705485190366</x:v>
      </x:c>
      <x:c r="O266" s="35" t="n">
        <x:f>RANK(K266,$K$2:$K$283,0)+COUNTIF($K$2:K266,K266)-1</x:f>
        <x:v>265</x:v>
      </x:c>
    </x:row>
    <x:row r="267" ht="18" customHeight="1">
      <x:c r="A267" s="25" t="str">
        <x:v>EEZ_908</x:v>
      </x:c>
      <x:c r="B267" s="25" t="str">
        <x:v>Saba and Sint Eustatius (Netherlands)</x:v>
      </x:c>
      <x:c r="C267" s="25" t="str">
        <x:v>EEZ</x:v>
      </x:c>
      <x:c r="D267" s="31" t="n">
        <x:v>2019</x:v>
      </x:c>
      <x:c r="E267" s="32" t="n">
        <x:v>496.3226371927999</x:v>
      </x:c>
      <x:c r="F267" s="32" t="n">
        <x:v>496.3226371927999</x:v>
      </x:c>
      <x:c r="G267" s="33" t="n">
        <x:v>0</x:v>
      </x:c>
      <x:c r="H267" s="34" t="n">
        <x:v>1</x:v>
      </x:c>
      <x:c r="I267" s="35" t="n">
        <x:v>21</x:v>
      </x:c>
      <x:c r="J267" s="35" t="n">
        <x:v>21</x:v>
      </x:c>
      <x:c r="K267" s="32" t="n">
        <x:v>123182.09188878365</x:v>
      </x:c>
      <x:c r="L267" s="32" t="n">
        <x:v>104853.90355870302</x:v>
      </x:c>
      <x:c r="M267" s="32" t="n">
        <x:v>118608.18836075625</x:v>
      </x:c>
      <x:c r="N267" s="34" t="n">
        <x:f>K267/SUM($K$2:$K$283)</x:f>
        <x:v>0.0000018539743885510828</x:v>
      </x:c>
      <x:c r="O267" s="35" t="n">
        <x:f>RANK(K267,$K$2:$K$283,0)+COUNTIF($K$2:K267,K267)-1</x:f>
        <x:v>266</x:v>
      </x:c>
    </x:row>
    <x:row r="268" ht="18" customHeight="1">
      <x:c r="A268" s="25" t="str">
        <x:v>EEZ_856</x:v>
      </x:c>
      <x:c r="B268" s="25" t="str">
        <x:v>Tristan da Cunha Isl. (UK)</x:v>
      </x:c>
      <x:c r="C268" s="25" t="str">
        <x:v>EEZ</x:v>
      </x:c>
      <x:c r="D268" s="31" t="n">
        <x:v>2019</x:v>
      </x:c>
      <x:c r="E268" s="32" t="n">
        <x:v>733.0059081887999</x:v>
      </x:c>
      <x:c r="F268" s="32" t="n">
        <x:v>733.0059081887999</x:v>
      </x:c>
      <x:c r="G268" s="33" t="n">
        <x:v>0</x:v>
      </x:c>
      <x:c r="H268" s="34" t="n">
        <x:v>1</x:v>
      </x:c>
      <x:c r="I268" s="35" t="n">
        <x:v>9</x:v>
      </x:c>
      <x:c r="J268" s="35" t="n">
        <x:v>9</x:v>
      </x:c>
      <x:c r="K268" s="32" t="n">
        <x:v>117455.8801231217</x:v>
      </x:c>
      <x:c r="L268" s="32" t="n">
        <x:v>109505.83745715352</x:v>
      </x:c>
      <x:c r="M268" s="32" t="n">
        <x:v>112169.43428010574</x:v>
      </x:c>
      <x:c r="N268" s="34" t="n">
        <x:f>K268/SUM($K$2:$K$283)</x:f>
        <x:v>0.000001767791001062079</x:v>
      </x:c>
      <x:c r="O268" s="35" t="n">
        <x:f>RANK(K268,$K$2:$K$283,0)+COUNTIF($K$2:K268,K268)-1</x:f>
        <x:v>267</x:v>
      </x:c>
    </x:row>
    <x:row r="269" ht="18" customHeight="1">
      <x:c r="A269" s="25" t="str">
        <x:v>EEZ_895</x:v>
      </x:c>
      <x:c r="B269" s="25" t="str">
        <x:v>St Paul &amp; Amsterdam Isl. (France)</x:v>
      </x:c>
      <x:c r="C269" s="25" t="str">
        <x:v>EEZ</x:v>
      </x:c>
      <x:c r="D269" s="31" t="n">
        <x:v>2019</x:v>
      </x:c>
      <x:c r="E269" s="32" t="n">
        <x:v>497.3573467841</x:v>
      </x:c>
      <x:c r="F269" s="32" t="n">
        <x:v>497.3573467841</x:v>
      </x:c>
      <x:c r="G269" s="33" t="n">
        <x:v>0</x:v>
      </x:c>
      <x:c r="H269" s="34" t="n">
        <x:v>1</x:v>
      </x:c>
      <x:c r="I269" s="35" t="n">
        <x:v>3</x:v>
      </x:c>
      <x:c r="J269" s="35" t="n">
        <x:v>3</x:v>
      </x:c>
      <x:c r="K269" s="32" t="n">
        <x:v>97675.0183717673</x:v>
      </x:c>
      <x:c r="L269" s="32" t="n">
        <x:v>97606.74330792503</x:v>
      </x:c>
      <x:c r="M269" s="32" t="n">
        <x:v>97606.74330792503</x:v>
      </x:c>
      <x:c r="N269" s="34" t="n">
        <x:f>K269/SUM($K$2:$K$283)</x:f>
        <x:v>0.0000014700755579472504</x:v>
      </x:c>
      <x:c r="O269" s="35" t="n">
        <x:f>RANK(K269,$K$2:$K$283,0)+COUNTIF($K$2:K269,K269)-1</x:f>
        <x:v>268</x:v>
      </x:c>
    </x:row>
    <x:row r="270" ht="18" customHeight="1">
      <x:c r="A270" s="25" t="str">
        <x:v>EEZ_909</x:v>
      </x:c>
      <x:c r="B270" s="25" t="str">
        <x:v>Sint Maarten (Netherlands)</x:v>
      </x:c>
      <x:c r="C270" s="25" t="str">
        <x:v>EEZ</x:v>
      </x:c>
      <x:c r="D270" s="31" t="n">
        <x:v>2019</x:v>
      </x:c>
      <x:c r="E270" s="32" t="n">
        <x:v>83.0733507754</x:v>
      </x:c>
      <x:c r="F270" s="32" t="n">
        <x:v>83.0733507754</x:v>
      </x:c>
      <x:c r="G270" s="33" t="n">
        <x:v>0</x:v>
      </x:c>
      <x:c r="H270" s="34" t="n">
        <x:v>1</x:v>
      </x:c>
      <x:c r="I270" s="35" t="n">
        <x:v>33</x:v>
      </x:c>
      <x:c r="J270" s="35" t="n">
        <x:v>33</x:v>
      </x:c>
      <x:c r="K270" s="32" t="n">
        <x:v>85688.12663919516</x:v>
      </x:c>
      <x:c r="L270" s="32" t="n">
        <x:v>66484.84336629405</x:v>
      </x:c>
      <x:c r="M270" s="32" t="n">
        <x:v>81786.52075625946</x:v>
      </x:c>
      <x:c r="N270" s="34" t="n">
        <x:f>K270/SUM($K$2:$K$283)</x:f>
        <x:v>0.0000012896646724868206</x:v>
      </x:c>
      <x:c r="O270" s="35" t="n">
        <x:f>RANK(K270,$K$2:$K$283,0)+COUNTIF($K$2:K270,K270)-1</x:f>
        <x:v>269</x:v>
      </x:c>
    </x:row>
    <x:row r="271" ht="18" customHeight="1">
      <x:c r="A271" s="25" t="str">
        <x:v>EEZ_940</x:v>
      </x:c>
      <x:c r="B271" s="25" t="str">
        <x:v>Israel (Red Sea)</x:v>
      </x:c>
      <x:c r="C271" s="25" t="str">
        <x:v>EEZ</x:v>
      </x:c>
      <x:c r="D271" s="31" t="n">
        <x:v>2019</x:v>
      </x:c>
      <x:c r="E271" s="32" t="n">
        <x:v>111.23519999999999</x:v>
      </x:c>
      <x:c r="F271" s="32" t="n">
        <x:v>111.23519999999999</x:v>
      </x:c>
      <x:c r="G271" s="33" t="n">
        <x:v>0</x:v>
      </x:c>
      <x:c r="H271" s="34" t="n">
        <x:v>1</x:v>
      </x:c>
      <x:c r="I271" s="35" t="n">
        <x:v>10</x:v>
      </x:c>
      <x:c r="J271" s="35" t="n">
        <x:v>10</x:v>
      </x:c>
      <x:c r="K271" s="32" t="n">
        <x:v>82932.78705570377</x:v>
      </x:c>
      <x:c r="L271" s="32" t="n">
        <x:v>62898.858676323885</x:v>
      </x:c>
      <x:c r="M271" s="32" t="n">
        <x:v>78629.52496018549</x:v>
      </x:c>
      <x:c r="N271" s="34" t="n">
        <x:f>K271/SUM($K$2:$K$283)</x:f>
        <x:v>0.0000012481949349525193</x:v>
      </x:c>
      <x:c r="O271" s="35" t="n">
        <x:f>RANK(K271,$K$2:$K$283,0)+COUNTIF($K$2:K271,K271)-1</x:f>
        <x:v>270</x:v>
      </x:c>
    </x:row>
    <x:row r="272" ht="18" customHeight="1">
      <x:c r="A272" s="25" t="str">
        <x:v>EEZ_555</x:v>
      </x:c>
      <x:c r="B272" s="25" t="str">
        <x:v>Kermadec Isl. (New Zealand)</x:v>
      </x:c>
      <x:c r="C272" s="25" t="str">
        <x:v>EEZ</x:v>
      </x:c>
      <x:c r="D272" s="31" t="n">
        <x:v>2019</x:v>
      </x:c>
      <x:c r="E272" s="32" t="n">
        <x:v>66.11770604899998</x:v>
      </x:c>
      <x:c r="F272" s="32" t="n">
        <x:v>66.11770604899998</x:v>
      </x:c>
      <x:c r="G272" s="33" t="n">
        <x:v>0</x:v>
      </x:c>
      <x:c r="H272" s="34" t="n">
        <x:v>1</x:v>
      </x:c>
      <x:c r="I272" s="35" t="n">
        <x:v>22</x:v>
      </x:c>
      <x:c r="J272" s="35" t="n">
        <x:v>22</x:v>
      </x:c>
      <x:c r="K272" s="32" t="n">
        <x:v>78824.46595983862</x:v>
      </x:c>
      <x:c r="L272" s="32" t="n">
        <x:v>76414.6188665428</x:v>
      </x:c>
      <x:c r="M272" s="32" t="n">
        <x:v>76220.69490016132</x:v>
      </x:c>
      <x:c r="N272" s="34" t="n">
        <x:f>K272/SUM($K$2:$K$283)</x:f>
        <x:v>0.0000011863619040720652</x:v>
      </x:c>
      <x:c r="O272" s="35" t="n">
        <x:f>RANK(K272,$K$2:$K$283,0)+COUNTIF($K$2:K272,K272)-1</x:f>
        <x:v>271</x:v>
      </x:c>
    </x:row>
    <x:row r="273" ht="18" customHeight="1">
      <x:c r="A273" s="25" t="str">
        <x:v>EEZ_872</x:v>
      </x:c>
      <x:c r="B273" s="25" t="str">
        <x:v>Wake Isl. (USA)</x:v>
      </x:c>
      <x:c r="C273" s="25" t="str">
        <x:v>EEZ</x:v>
      </x:c>
      <x:c r="D273" s="31" t="n">
        <x:v>2019</x:v>
      </x:c>
      <x:c r="E273" s="32" t="n">
        <x:v>34.633787389199995</x:v>
      </x:c>
      <x:c r="F273" s="32" t="n">
        <x:v>34.633787389199995</x:v>
      </x:c>
      <x:c r="G273" s="33" t="n">
        <x:v>0</x:v>
      </x:c>
      <x:c r="H273" s="34" t="n">
        <x:v>1</x:v>
      </x:c>
      <x:c r="I273" s="35" t="n">
        <x:v>13</x:v>
      </x:c>
      <x:c r="J273" s="35" t="n">
        <x:v>13</x:v>
      </x:c>
      <x:c r="K273" s="32" t="n">
        <x:v>68115.70486681667</x:v>
      </x:c>
      <x:c r="L273" s="32" t="n">
        <x:v>66421.52675498716</x:v>
      </x:c>
      <x:c r="M273" s="32" t="n">
        <x:v>66179.49666981628</x:v>
      </x:c>
      <x:c r="N273" s="34" t="n">
        <x:f>K273/SUM($K$2:$K$283)</x:f>
        <x:v>0.0000010251877553370347</x:v>
      </x:c>
      <x:c r="O273" s="35" t="n">
        <x:f>RANK(K273,$K$2:$K$283,0)+COUNTIF($K$2:K273,K273)-1</x:f>
        <x:v>272</x:v>
      </x:c>
    </x:row>
    <x:row r="274" ht="18" customHeight="1">
      <x:c r="A274" s="25" t="str">
        <x:v>EEZ_855</x:v>
      </x:c>
      <x:c r="B274" s="25" t="str">
        <x:v>Ascension Isl. (UK)</x:v>
      </x:c>
      <x:c r="C274" s="25" t="str">
        <x:v>EEZ</x:v>
      </x:c>
      <x:c r="D274" s="31" t="n">
        <x:v>2019</x:v>
      </x:c>
      <x:c r="E274" s="32" t="n">
        <x:v>32.764000004</x:v>
      </x:c>
      <x:c r="F274" s="32" t="n">
        <x:v>32.764000004</x:v>
      </x:c>
      <x:c r="G274" s="33" t="n">
        <x:v>0</x:v>
      </x:c>
      <x:c r="H274" s="34" t="n">
        <x:v>1</x:v>
      </x:c>
      <x:c r="I274" s="35" t="n">
        <x:v>10</x:v>
      </x:c>
      <x:c r="J274" s="35" t="n">
        <x:v>10</x:v>
      </x:c>
      <x:c r="K274" s="32" t="n">
        <x:v>46972.74183264927</x:v>
      </x:c>
      <x:c r="L274" s="32" t="n">
        <x:v>42193.08993420277</x:v>
      </x:c>
      <x:c r="M274" s="32" t="n">
        <x:v>46811.80789808783</x:v>
      </x:c>
      <x:c r="N274" s="34" t="n">
        <x:f>K274/SUM($K$2:$K$283)</x:f>
        <x:v>7.069717601190003e-7</x:v>
      </x:c>
      <x:c r="O274" s="35" t="n">
        <x:f>RANK(K274,$K$2:$K$283,0)+COUNTIF($K$2:K274,K274)-1</x:f>
        <x:v>273</x:v>
      </x:c>
    </x:row>
    <x:row r="275" ht="18" customHeight="1">
      <x:c r="A275" s="25" t="str">
        <x:v>EEZ_500</x:v>
      </x:c>
      <x:c r="B275" s="25" t="str">
        <x:v>Montserrat (UK)</x:v>
      </x:c>
      <x:c r="C275" s="25" t="str">
        <x:v>EEZ</x:v>
      </x:c>
      <x:c r="D275" s="31" t="n">
        <x:v>2019</x:v>
      </x:c>
      <x:c r="E275" s="32" t="n">
        <x:v>49.412650413</x:v>
      </x:c>
      <x:c r="F275" s="32" t="n">
        <x:v>49.412650413</x:v>
      </x:c>
      <x:c r="G275" s="33" t="n">
        <x:v>0</x:v>
      </x:c>
      <x:c r="H275" s="34" t="n">
        <x:v>1</x:v>
      </x:c>
      <x:c r="I275" s="35" t="n">
        <x:v>87</x:v>
      </x:c>
      <x:c r="J275" s="35" t="n">
        <x:v>87</x:v>
      </x:c>
      <x:c r="K275" s="32" t="n">
        <x:v>41219.71043073506</x:v>
      </x:c>
      <x:c r="L275" s="32" t="n">
        <x:v>25584.35045020414</x:v>
      </x:c>
      <x:c r="M275" s="32" t="n">
        <x:v>37899.92789428181</x:v>
      </x:c>
      <x:c r="N275" s="34" t="n">
        <x:f>K275/SUM($K$2:$K$283)</x:f>
        <x:v>6.203847188361735e-7</x:v>
      </x:c>
      <x:c r="O275" s="35" t="n">
        <x:f>RANK(K275,$K$2:$K$283,0)+COUNTIF($K$2:K275,K275)-1</x:f>
        <x:v>274</x:v>
      </x:c>
    </x:row>
    <x:row r="276" ht="18" customHeight="1">
      <x:c r="A276" s="25" t="str">
        <x:v>EEZ_252</x:v>
      </x:c>
      <x:c r="B276" s="25" t="str">
        <x:v>Tromelin Isl. (France)</x:v>
      </x:c>
      <x:c r="C276" s="25" t="str">
        <x:v>EEZ</x:v>
      </x:c>
      <x:c r="D276" s="31" t="n">
        <x:v>2019</x:v>
      </x:c>
      <x:c r="E276" s="32" t="n">
        <x:v>20.057971261000002</x:v>
      </x:c>
      <x:c r="F276" s="32" t="n">
        <x:v>20.057971261000002</x:v>
      </x:c>
      <x:c r="G276" s="33" t="n">
        <x:v>0</x:v>
      </x:c>
      <x:c r="H276" s="34" t="n">
        <x:v>1</x:v>
      </x:c>
      <x:c r="I276" s="35" t="n">
        <x:v>16</x:v>
      </x:c>
      <x:c r="J276" s="35" t="n">
        <x:v>16</x:v>
      </x:c>
      <x:c r="K276" s="32" t="n">
        <x:v>40630.07009385537</x:v>
      </x:c>
      <x:c r="L276" s="32" t="n">
        <x:v>39751.77255060211</x:v>
      </x:c>
      <x:c r="M276" s="32" t="n">
        <x:v>40142.98870266437</x:v>
      </x:c>
      <x:c r="N276" s="34" t="n">
        <x:f>K276/SUM($K$2:$K$283)</x:f>
        <x:v>6.115102301319342e-7</x:v>
      </x:c>
      <x:c r="O276" s="35" t="n">
        <x:f>RANK(K276,$K$2:$K$283,0)+COUNTIF($K$2:K276,K276)-1</x:f>
        <x:v>275</x:v>
      </x:c>
    </x:row>
    <x:row r="277" ht="18" customHeight="1">
      <x:c r="A277" s="25" t="str">
        <x:v>EEZ_972</x:v>
      </x:c>
      <x:c r="B277" s="25" t="str">
        <x:v>Glorieuse Islands (France)</x:v>
      </x:c>
      <x:c r="C277" s="25" t="str">
        <x:v>EEZ</x:v>
      </x:c>
      <x:c r="D277" s="31" t="n">
        <x:v>2019</x:v>
      </x:c>
      <x:c r="E277" s="32" t="n">
        <x:v>102.5142017896</x:v>
      </x:c>
      <x:c r="F277" s="32" t="n">
        <x:v>102.5142017896</x:v>
      </x:c>
      <x:c r="G277" s="33" t="n">
        <x:v>0</x:v>
      </x:c>
      <x:c r="H277" s="34" t="n">
        <x:v>1</x:v>
      </x:c>
      <x:c r="I277" s="35" t="n">
        <x:v>9</x:v>
      </x:c>
      <x:c r="J277" s="35" t="n">
        <x:v>9</x:v>
      </x:c>
      <x:c r="K277" s="32" t="n">
        <x:v>35371.82907577973</x:v>
      </x:c>
      <x:c r="L277" s="32" t="n">
        <x:v>34924.33228511821</x:v>
      </x:c>
      <x:c r="M277" s="32" t="n">
        <x:v>34924.33228511821</x:v>
      </x:c>
      <x:c r="N277" s="34" t="n">
        <x:f>K277/SUM($K$2:$K$283)</x:f>
        <x:v>5.323701211529222e-7</x:v>
      </x:c>
      <x:c r="O277" s="35" t="n">
        <x:f>RANK(K277,$K$2:$K$283,0)+COUNTIF($K$2:K277,K277)-1</x:f>
        <x:v>276</x:v>
      </x:c>
    </x:row>
    <x:row r="278" ht="18" customHeight="1">
      <x:c r="A278" s="25" t="str">
        <x:v>EEZ_574</x:v>
      </x:c>
      <x:c r="B278" s="25" t="str">
        <x:v>Norfolk Isl. (Australia)</x:v>
      </x:c>
      <x:c r="C278" s="25" t="str">
        <x:v>EEZ</x:v>
      </x:c>
      <x:c r="D278" s="31" t="n">
        <x:v>2019</x:v>
      </x:c>
      <x:c r="E278" s="32" t="n">
        <x:v>17.4978128176</x:v>
      </x:c>
      <x:c r="F278" s="32" t="n">
        <x:v>17.4978128176</x:v>
      </x:c>
      <x:c r="G278" s="33" t="n">
        <x:v>0</x:v>
      </x:c>
      <x:c r="H278" s="34" t="n">
        <x:v>1</x:v>
      </x:c>
      <x:c r="I278" s="35" t="n">
        <x:v>17</x:v>
      </x:c>
      <x:c r="J278" s="35" t="n">
        <x:v>17</x:v>
      </x:c>
      <x:c r="K278" s="32" t="n">
        <x:v>32366.394255930376</x:v>
      </x:c>
      <x:c r="L278" s="32" t="n">
        <x:v>31042.37927514005</x:v>
      </x:c>
      <x:c r="M278" s="32" t="n">
        <x:v>31081.884719876965</x:v>
      </x:c>
      <x:c r="N278" s="34" t="n">
        <x:f>K278/SUM($K$2:$K$283)</x:f>
        <x:v>4.87136279958773e-7</x:v>
      </x:c>
      <x:c r="O278" s="35" t="n">
        <x:f>RANK(K278,$K$2:$K$283,0)+COUNTIF($K$2:K278,K278)-1</x:f>
        <x:v>277</x:v>
      </x:c>
    </x:row>
    <x:row r="279" ht="18" customHeight="1">
      <x:c r="A279" s="25" t="str">
        <x:v>EEZ_074</x:v>
      </x:c>
      <x:c r="B279" s="25" t="str">
        <x:v>Bouvet Isl. (Norway)</x:v>
      </x:c>
      <x:c r="C279" s="25" t="str">
        <x:v>EEZ</x:v>
      </x:c>
      <x:c r="D279" s="31" t="n">
        <x:v>2019</x:v>
      </x:c>
      <x:c r="E279" s="32" t="n">
        <x:v>133.56110065549998</x:v>
      </x:c>
      <x:c r="F279" s="32" t="n">
        <x:v>133.56110065549998</x:v>
      </x:c>
      <x:c r="G279" s="33" t="n">
        <x:v>0</x:v>
      </x:c>
      <x:c r="H279" s="34" t="n">
        <x:v>1</x:v>
      </x:c>
      <x:c r="I279" s="35" t="n">
        <x:v>10</x:v>
      </x:c>
      <x:c r="J279" s="35" t="n">
        <x:v>10</x:v>
      </x:c>
      <x:c r="K279" s="32" t="n">
        <x:v>25983.663702706264</x:v>
      </x:c>
      <x:c r="L279" s="32" t="n">
        <x:v>25983.597329467488</x:v>
      </x:c>
      <x:c r="M279" s="32" t="n">
        <x:v>25983.51206298795</x:v>
      </x:c>
      <x:c r="N279" s="34" t="n">
        <x:f>K279/SUM($K$2:$K$283)</x:f>
        <x:v>3.9107183752842416e-7</x:v>
      </x:c>
      <x:c r="O279" s="35" t="n">
        <x:f>RANK(K279,$K$2:$K$283,0)+COUNTIF($K$2:K279,K279)-1</x:f>
        <x:v>278</x:v>
      </x:c>
    </x:row>
    <x:row r="280" ht="18" customHeight="1">
      <x:c r="A280" s="25" t="str">
        <x:v>EEZ_162</x:v>
      </x:c>
      <x:c r="B280" s="25" t="str">
        <x:v>Christmas Isl. (Australia)</x:v>
      </x:c>
      <x:c r="C280" s="25" t="str">
        <x:v>EEZ</x:v>
      </x:c>
      <x:c r="D280" s="31" t="n">
        <x:v>2019</x:v>
      </x:c>
      <x:c r="E280" s="32" t="n">
        <x:v>25.629903931</x:v>
      </x:c>
      <x:c r="F280" s="32" t="n">
        <x:v>25.629903931</x:v>
      </x:c>
      <x:c r="G280" s="33" t="n">
        <x:v>0</x:v>
      </x:c>
      <x:c r="H280" s="34" t="n">
        <x:v>1</x:v>
      </x:c>
      <x:c r="I280" s="35" t="n">
        <x:v>13</x:v>
      </x:c>
      <x:c r="J280" s="35" t="n">
        <x:v>13</x:v>
      </x:c>
      <x:c r="K280" s="32" t="n">
        <x:v>22536.376227926667</x:v>
      </x:c>
      <x:c r="L280" s="32" t="n">
        <x:v>16565.76244561606</x:v>
      </x:c>
      <x:c r="M280" s="32" t="n">
        <x:v>21870.251374306274</x:v>
      </x:c>
      <x:c r="N280" s="34" t="n">
        <x:f>K280/SUM($K$2:$K$283)</x:f>
        <x:v>3.391878129091259e-7</x:v>
      </x:c>
      <x:c r="O280" s="35" t="n">
        <x:f>RANK(K280,$K$2:$K$283,0)+COUNTIF($K$2:K280,K280)-1</x:f>
        <x:v>279</x:v>
      </x:c>
    </x:row>
    <x:row r="281" ht="18" customHeight="1">
      <x:c r="A281" s="25" t="str">
        <x:v>EEZ_070</x:v>
      </x:c>
      <x:c r="B281" s="25" t="str">
        <x:v>Bosnia &amp; Herzegovina</x:v>
      </x:c>
      <x:c r="C281" s="25" t="str">
        <x:v>EEZ</x:v>
      </x:c>
      <x:c r="D281" s="31" t="n">
        <x:v>2019</x:v>
      </x:c>
      <x:c r="E281" s="32" t="n">
        <x:v>61.02055729300001</x:v>
      </x:c>
      <x:c r="F281" s="32" t="n">
        <x:v>61.02055729300001</x:v>
      </x:c>
      <x:c r="G281" s="33" t="n">
        <x:v>0</x:v>
      </x:c>
      <x:c r="H281" s="34" t="n">
        <x:v>1</x:v>
      </x:c>
      <x:c r="I281" s="35" t="n">
        <x:v>45</x:v>
      </x:c>
      <x:c r="J281" s="35" t="n">
        <x:v>45</x:v>
      </x:c>
      <x:c r="K281" s="32" t="n">
        <x:v>12983.384180443847</x:v>
      </x:c>
      <x:c r="L281" s="32" t="n">
        <x:v>11634.024343338317</x:v>
      </x:c>
      <x:c r="M281" s="32" t="n">
        <x:v>12652.496947797641</x:v>
      </x:c>
      <x:c r="N281" s="34" t="n">
        <x:f>K281/SUM($K$2:$K$283)</x:f>
        <x:v>1.9540877556288648e-7</x:v>
      </x:c>
      <x:c r="O281" s="35" t="n">
        <x:f>RANK(K281,$K$2:$K$283,0)+COUNTIF($K$2:K281,K281)-1</x:f>
        <x:v>280</x:v>
      </x:c>
    </x:row>
    <x:row r="282" ht="18" customHeight="1">
      <x:c r="A282" s="25" t="str">
        <x:v>EEZ_154</x:v>
      </x:c>
      <x:c r="B282" s="25" t="str">
        <x:v>Desventuradas Isl. (Chile)</x:v>
      </x:c>
      <x:c r="C282" s="25" t="str">
        <x:v>EEZ</x:v>
      </x:c>
      <x:c r="D282" s="31" t="n">
        <x:v>2019</x:v>
      </x:c>
      <x:c r="E282" s="32" t="n">
        <x:v>21.535833428</x:v>
      </x:c>
      <x:c r="F282" s="32" t="n">
        <x:v>21.535833428</x:v>
      </x:c>
      <x:c r="G282" s="33" t="n">
        <x:v>0</x:v>
      </x:c>
      <x:c r="H282" s="34" t="n">
        <x:v>1</x:v>
      </x:c>
      <x:c r="I282" s="35" t="n">
        <x:v>12</x:v>
      </x:c>
      <x:c r="J282" s="35" t="n">
        <x:v>12</x:v>
      </x:c>
      <x:c r="K282" s="32" t="n">
        <x:v>4740.625617241974</x:v>
      </x:c>
      <x:c r="L282" s="32" t="n">
        <x:v>4634.427692116524</x:v>
      </x:c>
      <x:c r="M282" s="32" t="n">
        <x:v>4730.844234245481</x:v>
      </x:c>
      <x:c r="N282" s="34" t="n">
        <x:f>K282/SUM($K$2:$K$283)</x:f>
        <x:v>7.134964462213418e-8</x:v>
      </x:c>
      <x:c r="O282" s="35" t="n">
        <x:f>RANK(K282,$K$2:$K$283,0)+COUNTIF($K$2:K282,K282)-1</x:f>
        <x:v>281</x:v>
      </x:c>
    </x:row>
    <x:row r="283" ht="18" customHeight="1">
      <x:c r="A283" s="25" t="str">
        <x:v>EEZ_612</x:v>
      </x:c>
      <x:c r="B283" s="25" t="str">
        <x:v>Pitcairn (UK)</x:v>
      </x:c>
      <x:c r="C283" s="25" t="str">
        <x:v>EEZ</x:v>
      </x:c>
      <x:c r="D283" s="31" t="n">
        <x:v>2019</x:v>
      </x:c>
      <x:c r="E283" s="32" t="n">
        <x:v>3.0000000000000004</x:v>
      </x:c>
      <x:c r="F283" s="32" t="n">
        <x:v>3.0000000000000004</x:v>
      </x:c>
      <x:c r="G283" s="33" t="n">
        <x:v>0</x:v>
      </x:c>
      <x:c r="H283" s="34" t="n">
        <x:v>1</x:v>
      </x:c>
      <x:c r="I283" s="35" t="n">
        <x:v>3</x:v>
      </x:c>
      <x:c r="J283" s="35" t="n">
        <x:v>3</x:v>
      </x:c>
      <x:c r="K283" s="32" t="n">
        <x:v>1014.8820128320708</x:v>
      </x:c>
      <x:c r="L283" s="32" t="n">
        <x:v>977.999850774341</x:v>
      </x:c>
      <x:c r="M283" s="32" t="n">
        <x:v>1014.8820128320714</x:v>
      </x:c>
      <x:c r="N283" s="34" t="n">
        <x:f>K283/SUM($K$2:$K$283)</x:f>
        <x:v>1.5274665581183857e-8</x:v>
      </x:c>
      <x:c r="O283" s="35" t="n">
        <x:f>RANK(K283,$K$2:$K$283,0)+COUNTIF($K$2:K283,K283)-1</x:f>
        <x:v>282</x:v>
      </x:c>
    </x:row>
  </x:sheetData>
  <x:conditionalFormatting sqref="H2:H283">
    <x:cfRule type="cellIs" dxfId="0" priority="1" operator="lessThan">
      <x:formula>0.9</x:formula>
    </x:cfRule>
  </x:conditionalFormatting>
  <x:pageMargins left="0.7" right="0.7" top="0.75" bottom="0.75" header="0.3" footer="0.3"/>
  <x:drawing xmlns:r="http://schemas.openxmlformats.org/officeDocument/2006/relationships" r:id="R1147cda6d2f94d5f"/>
  <x:tableParts count="1">
    <x:tablePart xmlns:r="http://schemas.openxmlformats.org/officeDocument/2006/relationships" r:id="R169107c3975f45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42" hidden="0" customWidth="1"/>
  </x:cols>
  <x:sheetData>
    <x:row r="1" ht="32" customHeight="1">
      <x:c r="A1" s="30" t="str">
        <x:v>unit_id</x:v>
      </x:c>
      <x:c r="B1" s="30" t="str">
        <x:v>check</x:v>
      </x:c>
      <x:c r="C1" s="30" t="str">
        <x:v>value</x:v>
      </x:c>
      <x:c r="D1" s="30" t="str">
        <x:v>unit</x:v>
      </x:c>
    </x:row>
    <x:row r="2" ht="18" customHeight="1">
      <x:c r="A2" s="25" t="str">
        <x:v>EEZ_008</x:v>
      </x:c>
      <x:c r="B2" s="25" t="str">
        <x:v>raw_filtered_tonnes</x:v>
      </x:c>
      <x:c r="C2" s="25" t="n">
        <x:v>7591.634241119799</x:v>
      </x:c>
      <x:c r="D2" s="25" t="str">
        <x:v>tonnes</x:v>
      </x:c>
    </x:row>
    <x:row r="3" ht="18" customHeight="1">
      <x:c r="A3" s="25" t="str">
        <x:v>EEZ_008</x:v>
      </x:c>
      <x:c r="B3" s="25" t="str">
        <x:v>species_catch_tonnes</x:v>
      </x:c>
      <x:c r="C3" s="25" t="n">
        <x:v>7591.6342411198</x:v>
      </x:c>
      <x:c r="D3" s="25" t="str">
        <x:v>tonnes</x:v>
      </x:c>
    </x:row>
    <x:row r="4" ht="18" customHeight="1">
      <x:c r="A4" s="25" t="str">
        <x:v>EEZ_008</x:v>
      </x:c>
      <x:c r="B4" s="25" t="str">
        <x:v>catch_difference_tonnes</x:v>
      </x:c>
      <x:c r="C4" s="25" t="n">
        <x:v>9.094947017729282e-13</x:v>
      </x:c>
      <x:c r="D4" s="25" t="str">
        <x:v>tonnes</x:v>
      </x:c>
    </x:row>
    <x:row r="5" ht="18" customHeight="1">
      <x:c r="A5" s="25" t="str">
        <x:v>EEZ_008</x:v>
      </x:c>
      <x:c r="B5" s="25" t="str">
        <x:v>catch_reconciled</x:v>
      </x:c>
      <x:c r="C5" s="36" t="b">
        <x:v>1</x:v>
      </x:c>
      <x:c r="D5" s="25" t="str">
        <x:v>boolean</x:v>
      </x:c>
    </x:row>
    <x:row r="6" ht="18" customHeight="1">
      <x:c r="A6" s="25" t="str">
        <x:v>EEZ_008</x:v>
      </x:c>
      <x:c r="B6" s="25" t="str">
        <x:v>matched_catch_tonnes</x:v>
      </x:c>
      <x:c r="C6" s="25" t="n">
        <x:v>7591.6342411198</x:v>
      </x:c>
      <x:c r="D6" s="25" t="str">
        <x:v>tonnes</x:v>
      </x:c>
    </x:row>
    <x:row r="7" ht="18" customHeight="1">
      <x:c r="A7" s="25" t="str">
        <x:v>EEZ_008</x:v>
      </x:c>
      <x:c r="B7" s="25" t="str">
        <x:v>catch_coverage_fraction</x:v>
      </x:c>
      <x:c r="C7" s="25" t="n">
        <x:v>1</x:v>
      </x:c>
      <x:c r="D7" s="25" t="str">
        <x:v>fraction</x:v>
      </x:c>
    </x:row>
    <x:row r="8" ht="18" customHeight="1">
      <x:c r="A8" s="25" t="str">
        <x:v>EEZ_008</x:v>
      </x:c>
      <x:c r="B8" s="25" t="str">
        <x:v>taxa_count</x:v>
      </x:c>
      <x:c r="C8" s="25" t="n">
        <x:v>16</x:v>
      </x:c>
      <x:c r="D8" s="25" t="str">
        <x:v>count</x:v>
      </x:c>
    </x:row>
    <x:row r="9" ht="18" customHeight="1">
      <x:c r="A9" s="25" t="str">
        <x:v>EEZ_008</x:v>
      </x:c>
      <x:c r="B9" s="25" t="str">
        <x:v>matched_taxa_count</x:v>
      </x:c>
      <x:c r="C9" s="25" t="n">
        <x:v>16</x:v>
      </x:c>
      <x:c r="D9" s="25" t="str">
        <x:v>count</x:v>
      </x:c>
    </x:row>
    <x:row r="10" ht="18" customHeight="1">
      <x:c r="A10" s="25" t="str">
        <x:v>EEZ_008</x:v>
      </x:c>
      <x:c r="B10" s="25" t="str">
        <x:v>unmatched_taxa_count</x:v>
      </x:c>
      <x:c r="C10" s="25" t="n">
        <x:v>0</x:v>
      </x:c>
      <x:c r="D10" s="25" t="str">
        <x:v>count</x:v>
      </x:c>
    </x:row>
    <x:row r="11" ht="18" customHeight="1">
      <x:c r="A11" s="25" t="str">
        <x:v>EEZ_008</x:v>
      </x:c>
      <x:c r="B11" s="25" t="str">
        <x:v>species_ppr</x:v>
      </x:c>
      <x:c r="C11" s="25" t="n">
        <x:v>1553417.1552911263</x:v>
      </x:c>
      <x:c r="D11" s="25" t="str">
        <x:v>tonnes_primary_production_equivalent</x:v>
      </x:c>
    </x:row>
    <x:row r="12" ht="18" customHeight="1">
      <x:c r="A12" s="25" t="str">
        <x:v>EEZ_008</x:v>
      </x:c>
      <x:c r="B12" s="25" t="str">
        <x:v>commercial_ppr</x:v>
      </x:c>
      <x:c r="C12" s="25" t="n">
        <x:v>1441544.1717010585</x:v>
      </x:c>
      <x:c r="D12" s="25" t="str">
        <x:v>tonnes_primary_production_equivalent</x:v>
      </x:c>
    </x:row>
    <x:row r="13" ht="18" customHeight="1">
      <x:c r="A13" s="25" t="str">
        <x:v>EEZ_008</x:v>
      </x:c>
      <x:c r="B13" s="25" t="str">
        <x:v>functional_ppr</x:v>
      </x:c>
      <x:c r="C13" s="25" t="n">
        <x:v>1519679.3415048786</x:v>
      </x:c>
      <x:c r="D13" s="25" t="str">
        <x:v>tonnes_primary_production_equivalent</x:v>
      </x:c>
    </x:row>
    <x:row r="14" ht="18" customHeight="1">
      <x:c r="A14" s="25" t="str">
        <x:v>EEZ_008</x:v>
      </x:c>
      <x:c r="B14" s="25" t="str">
        <x:v>commercial_ppr_difference</x:v>
      </x:c>
      <x:c r="C14" s="25" t="n">
        <x:v>-111872.98359006783</x:v>
      </x:c>
      <x:c r="D14" s="25" t="str">
        <x:v>tonnes_primary_production_equivalent</x:v>
      </x:c>
    </x:row>
    <x:row r="15" ht="18" customHeight="1">
      <x:c r="A15" s="25" t="str">
        <x:v>EEZ_008</x:v>
      </x:c>
      <x:c r="B15" s="25" t="str">
        <x:v>functional_ppr_difference</x:v>
      </x:c>
      <x:c r="C15" s="25" t="n">
        <x:v>-33737.813786247745</x:v>
      </x:c>
      <x:c r="D15" s="25" t="str">
        <x:v>tonnes_primary_production_equivalent</x:v>
      </x:c>
    </x:row>
    <x:row r="16" ht="18" customHeight="1">
      <x:c r="A16" s="25" t="str">
        <x:v>EEZ_012</x:v>
      </x:c>
      <x:c r="B16" s="25" t="str">
        <x:v>raw_filtered_tonnes</x:v>
      </x:c>
      <x:c r="C16" s="25" t="n">
        <x:v>236644.1563992205</x:v>
      </x:c>
      <x:c r="D16" s="25" t="str">
        <x:v>tonnes</x:v>
      </x:c>
    </x:row>
    <x:row r="17" ht="18" customHeight="1">
      <x:c r="A17" s="25" t="str">
        <x:v>EEZ_012</x:v>
      </x:c>
      <x:c r="B17" s="25" t="str">
        <x:v>species_catch_tonnes</x:v>
      </x:c>
      <x:c r="C17" s="25" t="n">
        <x:v>236644.15639922052</x:v>
      </x:c>
      <x:c r="D17" s="25" t="str">
        <x:v>tonnes</x:v>
      </x:c>
    </x:row>
    <x:row r="18" ht="18" customHeight="1">
      <x:c r="A18" s="25" t="str">
        <x:v>EEZ_012</x:v>
      </x:c>
      <x:c r="B18" s="25" t="str">
        <x:v>catch_difference_tonnes</x:v>
      </x:c>
      <x:c r="C18" s="25" t="n">
        <x:v>2.9103830456733704e-11</x:v>
      </x:c>
      <x:c r="D18" s="25" t="str">
        <x:v>tonnes</x:v>
      </x:c>
    </x:row>
    <x:row r="19" ht="18" customHeight="1">
      <x:c r="A19" s="25" t="str">
        <x:v>EEZ_012</x:v>
      </x:c>
      <x:c r="B19" s="25" t="str">
        <x:v>catch_reconciled</x:v>
      </x:c>
      <x:c r="C19" s="36" t="b">
        <x:v>1</x:v>
      </x:c>
      <x:c r="D19" s="25" t="str">
        <x:v>boolean</x:v>
      </x:c>
    </x:row>
    <x:row r="20" ht="18" customHeight="1">
      <x:c r="A20" s="25" t="str">
        <x:v>EEZ_012</x:v>
      </x:c>
      <x:c r="B20" s="25" t="str">
        <x:v>matched_catch_tonnes</x:v>
      </x:c>
      <x:c r="C20" s="25" t="n">
        <x:v>236644.15639922052</x:v>
      </x:c>
      <x:c r="D20" s="25" t="str">
        <x:v>tonnes</x:v>
      </x:c>
    </x:row>
    <x:row r="21" ht="18" customHeight="1">
      <x:c r="A21" s="25" t="str">
        <x:v>EEZ_012</x:v>
      </x:c>
      <x:c r="B21" s="25" t="str">
        <x:v>catch_coverage_fraction</x:v>
      </x:c>
      <x:c r="C21" s="25" t="n">
        <x:v>1</x:v>
      </x:c>
      <x:c r="D21" s="25" t="str">
        <x:v>fraction</x:v>
      </x:c>
    </x:row>
    <x:row r="22" ht="18" customHeight="1">
      <x:c r="A22" s="25" t="str">
        <x:v>EEZ_012</x:v>
      </x:c>
      <x:c r="B22" s="25" t="str">
        <x:v>taxa_count</x:v>
      </x:c>
      <x:c r="C22" s="25" t="n">
        <x:v>187</x:v>
      </x:c>
      <x:c r="D22" s="25" t="str">
        <x:v>count</x:v>
      </x:c>
    </x:row>
    <x:row r="23" ht="18" customHeight="1">
      <x:c r="A23" s="25" t="str">
        <x:v>EEZ_012</x:v>
      </x:c>
      <x:c r="B23" s="25" t="str">
        <x:v>matched_taxa_count</x:v>
      </x:c>
      <x:c r="C23" s="25" t="n">
        <x:v>187</x:v>
      </x:c>
      <x:c r="D23" s="25" t="str">
        <x:v>count</x:v>
      </x:c>
    </x:row>
    <x:row r="24" ht="18" customHeight="1">
      <x:c r="A24" s="25" t="str">
        <x:v>EEZ_012</x:v>
      </x:c>
      <x:c r="B24" s="25" t="str">
        <x:v>unmatched_taxa_count</x:v>
      </x:c>
      <x:c r="C24" s="25" t="n">
        <x:v>0</x:v>
      </x:c>
      <x:c r="D24" s="25" t="str">
        <x:v>count</x:v>
      </x:c>
    </x:row>
    <x:row r="25" ht="18" customHeight="1">
      <x:c r="A25" s="25" t="str">
        <x:v>EEZ_012</x:v>
      </x:c>
      <x:c r="B25" s="25" t="str">
        <x:v>species_ppr</x:v>
      </x:c>
      <x:c r="C25" s="25" t="n">
        <x:v>153457037.5384049</x:v>
      </x:c>
      <x:c r="D25" s="25" t="str">
        <x:v>tonnes_primary_production_equivalent</x:v>
      </x:c>
    </x:row>
    <x:row r="26" ht="18" customHeight="1">
      <x:c r="A26" s="25" t="str">
        <x:v>EEZ_012</x:v>
      </x:c>
      <x:c r="B26" s="25" t="str">
        <x:v>commercial_ppr</x:v>
      </x:c>
      <x:c r="C26" s="25" t="n">
        <x:v>138879989.24559036</x:v>
      </x:c>
      <x:c r="D26" s="25" t="str">
        <x:v>tonnes_primary_production_equivalent</x:v>
      </x:c>
    </x:row>
    <x:row r="27" ht="18" customHeight="1">
      <x:c r="A27" s="25" t="str">
        <x:v>EEZ_012</x:v>
      </x:c>
      <x:c r="B27" s="25" t="str">
        <x:v>functional_ppr</x:v>
      </x:c>
      <x:c r="C27" s="25" t="n">
        <x:v>135346368.60032412</x:v>
      </x:c>
      <x:c r="D27" s="25" t="str">
        <x:v>tonnes_primary_production_equivalent</x:v>
      </x:c>
    </x:row>
    <x:row r="28" ht="18" customHeight="1">
      <x:c r="A28" s="25" t="str">
        <x:v>EEZ_012</x:v>
      </x:c>
      <x:c r="B28" s="25" t="str">
        <x:v>commercial_ppr_difference</x:v>
      </x:c>
      <x:c r="C28" s="25" t="n">
        <x:v>-14577048.292814553</x:v>
      </x:c>
      <x:c r="D28" s="25" t="str">
        <x:v>tonnes_primary_production_equivalent</x:v>
      </x:c>
    </x:row>
    <x:row r="29" ht="18" customHeight="1">
      <x:c r="A29" s="25" t="str">
        <x:v>EEZ_012</x:v>
      </x:c>
      <x:c r="B29" s="25" t="str">
        <x:v>functional_ppr_difference</x:v>
      </x:c>
      <x:c r="C29" s="25" t="n">
        <x:v>-18110668.938080788</x:v>
      </x:c>
      <x:c r="D29" s="25" t="str">
        <x:v>tonnes_primary_production_equivalent</x:v>
      </x:c>
    </x:row>
    <x:row r="30" ht="18" customHeight="1">
      <x:c r="A30" s="25" t="str">
        <x:v>EEZ_016</x:v>
      </x:c>
      <x:c r="B30" s="25" t="str">
        <x:v>raw_filtered_tonnes</x:v>
      </x:c>
      <x:c r="C30" s="25" t="n">
        <x:v>5598.6723460216</x:v>
      </x:c>
      <x:c r="D30" s="25" t="str">
        <x:v>tonnes</x:v>
      </x:c>
    </x:row>
    <x:row r="31" ht="18" customHeight="1">
      <x:c r="A31" s="25" t="str">
        <x:v>EEZ_016</x:v>
      </x:c>
      <x:c r="B31" s="25" t="str">
        <x:v>species_catch_tonnes</x:v>
      </x:c>
      <x:c r="C31" s="25" t="n">
        <x:v>5598.672346021601</x:v>
      </x:c>
      <x:c r="D31" s="25" t="str">
        <x:v>tonnes</x:v>
      </x:c>
    </x:row>
    <x:row r="32" ht="18" customHeight="1">
      <x:c r="A32" s="25" t="str">
        <x:v>EEZ_016</x:v>
      </x:c>
      <x:c r="B32" s="25" t="str">
        <x:v>catch_difference_tonnes</x:v>
      </x:c>
      <x:c r="C32" s="25" t="n">
        <x:v>9.094947017729282e-13</x:v>
      </x:c>
      <x:c r="D32" s="25" t="str">
        <x:v>tonnes</x:v>
      </x:c>
    </x:row>
    <x:row r="33" ht="18" customHeight="1">
      <x:c r="A33" s="25" t="str">
        <x:v>EEZ_016</x:v>
      </x:c>
      <x:c r="B33" s="25" t="str">
        <x:v>catch_reconciled</x:v>
      </x:c>
      <x:c r="C33" s="36" t="b">
        <x:v>1</x:v>
      </x:c>
      <x:c r="D33" s="25" t="str">
        <x:v>boolean</x:v>
      </x:c>
    </x:row>
    <x:row r="34" ht="18" customHeight="1">
      <x:c r="A34" s="25" t="str">
        <x:v>EEZ_016</x:v>
      </x:c>
      <x:c r="B34" s="25" t="str">
        <x:v>matched_catch_tonnes</x:v>
      </x:c>
      <x:c r="C34" s="25" t="n">
        <x:v>5598.672346021601</x:v>
      </x:c>
      <x:c r="D34" s="25" t="str">
        <x:v>tonnes</x:v>
      </x:c>
    </x:row>
    <x:row r="35" ht="18" customHeight="1">
      <x:c r="A35" s="25" t="str">
        <x:v>EEZ_016</x:v>
      </x:c>
      <x:c r="B35" s="25" t="str">
        <x:v>catch_coverage_fraction</x:v>
      </x:c>
      <x:c r="C35" s="25" t="n">
        <x:v>1</x:v>
      </x:c>
      <x:c r="D35" s="25" t="str">
        <x:v>fraction</x:v>
      </x:c>
    </x:row>
    <x:row r="36" ht="18" customHeight="1">
      <x:c r="A36" s="25" t="str">
        <x:v>EEZ_016</x:v>
      </x:c>
      <x:c r="B36" s="25" t="str">
        <x:v>taxa_count</x:v>
      </x:c>
      <x:c r="C36" s="25" t="n">
        <x:v>109</x:v>
      </x:c>
      <x:c r="D36" s="25" t="str">
        <x:v>count</x:v>
      </x:c>
    </x:row>
    <x:row r="37" ht="18" customHeight="1">
      <x:c r="A37" s="25" t="str">
        <x:v>EEZ_016</x:v>
      </x:c>
      <x:c r="B37" s="25" t="str">
        <x:v>matched_taxa_count</x:v>
      </x:c>
      <x:c r="C37" s="25" t="n">
        <x:v>109</x:v>
      </x:c>
      <x:c r="D37" s="25" t="str">
        <x:v>count</x:v>
      </x:c>
    </x:row>
    <x:row r="38" ht="18" customHeight="1">
      <x:c r="A38" s="25" t="str">
        <x:v>EEZ_016</x:v>
      </x:c>
      <x:c r="B38" s="25" t="str">
        <x:v>unmatched_taxa_count</x:v>
      </x:c>
      <x:c r="C38" s="25" t="n">
        <x:v>0</x:v>
      </x:c>
      <x:c r="D38" s="25" t="str">
        <x:v>count</x:v>
      </x:c>
    </x:row>
    <x:row r="39" ht="18" customHeight="1">
      <x:c r="A39" s="25" t="str">
        <x:v>EEZ_016</x:v>
      </x:c>
      <x:c r="B39" s="25" t="str">
        <x:v>species_ppr</x:v>
      </x:c>
      <x:c r="C39" s="25" t="n">
        <x:v>11609368.971725864</x:v>
      </x:c>
      <x:c r="D39" s="25" t="str">
        <x:v>tonnes_primary_production_equivalent</x:v>
      </x:c>
    </x:row>
    <x:row r="40" ht="18" customHeight="1">
      <x:c r="A40" s="25" t="str">
        <x:v>EEZ_016</x:v>
      </x:c>
      <x:c r="B40" s="25" t="str">
        <x:v>commercial_ppr</x:v>
      </x:c>
      <x:c r="C40" s="25" t="n">
        <x:v>11322458.65979737</x:v>
      </x:c>
      <x:c r="D40" s="25" t="str">
        <x:v>tonnes_primary_production_equivalent</x:v>
      </x:c>
    </x:row>
    <x:row r="41" ht="18" customHeight="1">
      <x:c r="A41" s="25" t="str">
        <x:v>EEZ_016</x:v>
      </x:c>
      <x:c r="B41" s="25" t="str">
        <x:v>functional_ppr</x:v>
      </x:c>
      <x:c r="C41" s="25" t="n">
        <x:v>11341339.862241525</x:v>
      </x:c>
      <x:c r="D41" s="25" t="str">
        <x:v>tonnes_primary_production_equivalent</x:v>
      </x:c>
    </x:row>
    <x:row r="42" ht="18" customHeight="1">
      <x:c r="A42" s="25" t="str">
        <x:v>EEZ_016</x:v>
      </x:c>
      <x:c r="B42" s="25" t="str">
        <x:v>commercial_ppr_difference</x:v>
      </x:c>
      <x:c r="C42" s="25" t="n">
        <x:v>-286910.3119284939</x:v>
      </x:c>
      <x:c r="D42" s="25" t="str">
        <x:v>tonnes_primary_production_equivalent</x:v>
      </x:c>
    </x:row>
    <x:row r="43" ht="18" customHeight="1">
      <x:c r="A43" s="25" t="str">
        <x:v>EEZ_016</x:v>
      </x:c>
      <x:c r="B43" s="25" t="str">
        <x:v>functional_ppr_difference</x:v>
      </x:c>
      <x:c r="C43" s="25" t="n">
        <x:v>-268029.10948433913</x:v>
      </x:c>
      <x:c r="D43" s="25" t="str">
        <x:v>tonnes_primary_production_equivalent</x:v>
      </x:c>
    </x:row>
    <x:row r="44" ht="18" customHeight="1">
      <x:c r="A44" s="25" t="str">
        <x:v>EEZ_024</x:v>
      </x:c>
      <x:c r="B44" s="25" t="str">
        <x:v>raw_filtered_tonnes</x:v>
      </x:c>
      <x:c r="C44" s="25" t="n">
        <x:v>619737.0070171057</x:v>
      </x:c>
      <x:c r="D44" s="25" t="str">
        <x:v>tonnes</x:v>
      </x:c>
    </x:row>
    <x:row r="45" ht="18" customHeight="1">
      <x:c r="A45" s="25" t="str">
        <x:v>EEZ_024</x:v>
      </x:c>
      <x:c r="B45" s="25" t="str">
        <x:v>species_catch_tonnes</x:v>
      </x:c>
      <x:c r="C45" s="25" t="n">
        <x:v>619737.0070171056</x:v>
      </x:c>
      <x:c r="D45" s="25" t="str">
        <x:v>tonnes</x:v>
      </x:c>
    </x:row>
    <x:row r="46" ht="18" customHeight="1">
      <x:c r="A46" s="25" t="str">
        <x:v>EEZ_024</x:v>
      </x:c>
      <x:c r="B46" s="25" t="str">
        <x:v>catch_difference_tonnes</x:v>
      </x:c>
      <x:c r="C46" s="25" t="n">
        <x:v>-1.1641532182693481e-10</x:v>
      </x:c>
      <x:c r="D46" s="25" t="str">
        <x:v>tonnes</x:v>
      </x:c>
    </x:row>
    <x:row r="47" ht="18" customHeight="1">
      <x:c r="A47" s="25" t="str">
        <x:v>EEZ_024</x:v>
      </x:c>
      <x:c r="B47" s="25" t="str">
        <x:v>catch_reconciled</x:v>
      </x:c>
      <x:c r="C47" s="36" t="b">
        <x:v>1</x:v>
      </x:c>
      <x:c r="D47" s="25" t="str">
        <x:v>boolean</x:v>
      </x:c>
    </x:row>
    <x:row r="48" ht="18" customHeight="1">
      <x:c r="A48" s="25" t="str">
        <x:v>EEZ_024</x:v>
      </x:c>
      <x:c r="B48" s="25" t="str">
        <x:v>matched_catch_tonnes</x:v>
      </x:c>
      <x:c r="C48" s="25" t="n">
        <x:v>619737.0070171056</x:v>
      </x:c>
      <x:c r="D48" s="25" t="str">
        <x:v>tonnes</x:v>
      </x:c>
    </x:row>
    <x:row r="49" ht="18" customHeight="1">
      <x:c r="A49" s="25" t="str">
        <x:v>EEZ_024</x:v>
      </x:c>
      <x:c r="B49" s="25" t="str">
        <x:v>catch_coverage_fraction</x:v>
      </x:c>
      <x:c r="C49" s="25" t="n">
        <x:v>1</x:v>
      </x:c>
      <x:c r="D49" s="25" t="str">
        <x:v>fraction</x:v>
      </x:c>
    </x:row>
    <x:row r="50" ht="18" customHeight="1">
      <x:c r="A50" s="25" t="str">
        <x:v>EEZ_024</x:v>
      </x:c>
      <x:c r="B50" s="25" t="str">
        <x:v>taxa_count</x:v>
      </x:c>
      <x:c r="C50" s="25" t="n">
        <x:v>120</x:v>
      </x:c>
      <x:c r="D50" s="25" t="str">
        <x:v>count</x:v>
      </x:c>
    </x:row>
    <x:row r="51" ht="18" customHeight="1">
      <x:c r="A51" s="25" t="str">
        <x:v>EEZ_024</x:v>
      </x:c>
      <x:c r="B51" s="25" t="str">
        <x:v>matched_taxa_count</x:v>
      </x:c>
      <x:c r="C51" s="25" t="n">
        <x:v>120</x:v>
      </x:c>
      <x:c r="D51" s="25" t="str">
        <x:v>count</x:v>
      </x:c>
    </x:row>
    <x:row r="52" ht="18" customHeight="1">
      <x:c r="A52" s="25" t="str">
        <x:v>EEZ_024</x:v>
      </x:c>
      <x:c r="B52" s="25" t="str">
        <x:v>unmatched_taxa_count</x:v>
      </x:c>
      <x:c r="C52" s="25" t="n">
        <x:v>0</x:v>
      </x:c>
      <x:c r="D52" s="25" t="str">
        <x:v>count</x:v>
      </x:c>
    </x:row>
    <x:row r="53" ht="18" customHeight="1">
      <x:c r="A53" s="25" t="str">
        <x:v>EEZ_024</x:v>
      </x:c>
      <x:c r="B53" s="25" t="str">
        <x:v>species_ppr</x:v>
      </x:c>
      <x:c r="C53" s="25" t="n">
        <x:v>238291043.5932122</x:v>
      </x:c>
      <x:c r="D53" s="25" t="str">
        <x:v>tonnes_primary_production_equivalent</x:v>
      </x:c>
    </x:row>
    <x:row r="54" ht="18" customHeight="1">
      <x:c r="A54" s="25" t="str">
        <x:v>EEZ_024</x:v>
      </x:c>
      <x:c r="B54" s="25" t="str">
        <x:v>commercial_ppr</x:v>
      </x:c>
      <x:c r="C54" s="25" t="n">
        <x:v>193119589.75474402</x:v>
      </x:c>
      <x:c r="D54" s="25" t="str">
        <x:v>tonnes_primary_production_equivalent</x:v>
      </x:c>
    </x:row>
    <x:row r="55" ht="18" customHeight="1">
      <x:c r="A55" s="25" t="str">
        <x:v>EEZ_024</x:v>
      </x:c>
      <x:c r="B55" s="25" t="str">
        <x:v>functional_ppr</x:v>
      </x:c>
      <x:c r="C55" s="25" t="n">
        <x:v>214098235.0059215</x:v>
      </x:c>
      <x:c r="D55" s="25" t="str">
        <x:v>tonnes_primary_production_equivalent</x:v>
      </x:c>
    </x:row>
    <x:row r="56" ht="18" customHeight="1">
      <x:c r="A56" s="25" t="str">
        <x:v>EEZ_024</x:v>
      </x:c>
      <x:c r="B56" s="25" t="str">
        <x:v>commercial_ppr_difference</x:v>
      </x:c>
      <x:c r="C56" s="25" t="n">
        <x:v>-45171453.838468164</x:v>
      </x:c>
      <x:c r="D56" s="25" t="str">
        <x:v>tonnes_primary_production_equivalent</x:v>
      </x:c>
    </x:row>
    <x:row r="57" ht="18" customHeight="1">
      <x:c r="A57" s="25" t="str">
        <x:v>EEZ_024</x:v>
      </x:c>
      <x:c r="B57" s="25" t="str">
        <x:v>functional_ppr_difference</x:v>
      </x:c>
      <x:c r="C57" s="25" t="n">
        <x:v>-24192808.587290674</x:v>
      </x:c>
      <x:c r="D57" s="25" t="str">
        <x:v>tonnes_primary_production_equivalent</x:v>
      </x:c>
    </x:row>
    <x:row r="58" ht="18" customHeight="1">
      <x:c r="A58" s="25" t="str">
        <x:v>EEZ_028</x:v>
      </x:c>
      <x:c r="B58" s="25" t="str">
        <x:v>raw_filtered_tonnes</x:v>
      </x:c>
      <x:c r="C58" s="25" t="n">
        <x:v>3754.318094694</x:v>
      </x:c>
      <x:c r="D58" s="25" t="str">
        <x:v>tonnes</x:v>
      </x:c>
    </x:row>
    <x:row r="59" ht="18" customHeight="1">
      <x:c r="A59" s="25" t="str">
        <x:v>EEZ_028</x:v>
      </x:c>
      <x:c r="B59" s="25" t="str">
        <x:v>species_catch_tonnes</x:v>
      </x:c>
      <x:c r="C59" s="25" t="n">
        <x:v>3754.318094694</x:v>
      </x:c>
      <x:c r="D59" s="25" t="str">
        <x:v>tonnes</x:v>
      </x:c>
    </x:row>
    <x:row r="60" ht="18" customHeight="1">
      <x:c r="A60" s="25" t="str">
        <x:v>EEZ_028</x:v>
      </x:c>
      <x:c r="B60" s="25" t="str">
        <x:v>catch_difference_tonnes</x:v>
      </x:c>
      <x:c r="C60" s="25" t="n">
        <x:v>0</x:v>
      </x:c>
      <x:c r="D60" s="25" t="str">
        <x:v>tonnes</x:v>
      </x:c>
    </x:row>
    <x:row r="61" ht="18" customHeight="1">
      <x:c r="A61" s="25" t="str">
        <x:v>EEZ_028</x:v>
      </x:c>
      <x:c r="B61" s="25" t="str">
        <x:v>catch_reconciled</x:v>
      </x:c>
      <x:c r="C61" s="36" t="b">
        <x:v>1</x:v>
      </x:c>
      <x:c r="D61" s="25" t="str">
        <x:v>boolean</x:v>
      </x:c>
    </x:row>
    <x:row r="62" ht="18" customHeight="1">
      <x:c r="A62" s="25" t="str">
        <x:v>EEZ_028</x:v>
      </x:c>
      <x:c r="B62" s="25" t="str">
        <x:v>matched_catch_tonnes</x:v>
      </x:c>
      <x:c r="C62" s="25" t="n">
        <x:v>3754.318094694</x:v>
      </x:c>
      <x:c r="D62" s="25" t="str">
        <x:v>tonnes</x:v>
      </x:c>
    </x:row>
    <x:row r="63" ht="18" customHeight="1">
      <x:c r="A63" s="25" t="str">
        <x:v>EEZ_028</x:v>
      </x:c>
      <x:c r="B63" s="25" t="str">
        <x:v>catch_coverage_fraction</x:v>
      </x:c>
      <x:c r="C63" s="25" t="n">
        <x:v>1</x:v>
      </x:c>
      <x:c r="D63" s="25" t="str">
        <x:v>fraction</x:v>
      </x:c>
    </x:row>
    <x:row r="64" ht="18" customHeight="1">
      <x:c r="A64" s="25" t="str">
        <x:v>EEZ_028</x:v>
      </x:c>
      <x:c r="B64" s="25" t="str">
        <x:v>taxa_count</x:v>
      </x:c>
      <x:c r="C64" s="25" t="n">
        <x:v>19</x:v>
      </x:c>
      <x:c r="D64" s="25" t="str">
        <x:v>count</x:v>
      </x:c>
    </x:row>
    <x:row r="65" ht="18" customHeight="1">
      <x:c r="A65" s="25" t="str">
        <x:v>EEZ_028</x:v>
      </x:c>
      <x:c r="B65" s="25" t="str">
        <x:v>matched_taxa_count</x:v>
      </x:c>
      <x:c r="C65" s="25" t="n">
        <x:v>19</x:v>
      </x:c>
      <x:c r="D65" s="25" t="str">
        <x:v>count</x:v>
      </x:c>
    </x:row>
    <x:row r="66" ht="18" customHeight="1">
      <x:c r="A66" s="25" t="str">
        <x:v>EEZ_028</x:v>
      </x:c>
      <x:c r="B66" s="25" t="str">
        <x:v>unmatched_taxa_count</x:v>
      </x:c>
      <x:c r="C66" s="25" t="n">
        <x:v>0</x:v>
      </x:c>
      <x:c r="D66" s="25" t="str">
        <x:v>count</x:v>
      </x:c>
    </x:row>
    <x:row r="67" ht="18" customHeight="1">
      <x:c r="A67" s="25" t="str">
        <x:v>EEZ_028</x:v>
      </x:c>
      <x:c r="B67" s="25" t="str">
        <x:v>species_ppr</x:v>
      </x:c>
      <x:c r="C67" s="25" t="n">
        <x:v>1185125.45188696</x:v>
      </x:c>
      <x:c r="D67" s="25" t="str">
        <x:v>tonnes_primary_production_equivalent</x:v>
      </x:c>
    </x:row>
    <x:row r="68" ht="18" customHeight="1">
      <x:c r="A68" s="25" t="str">
        <x:v>EEZ_028</x:v>
      </x:c>
      <x:c r="B68" s="25" t="str">
        <x:v>commercial_ppr</x:v>
      </x:c>
      <x:c r="C68" s="25" t="n">
        <x:v>811432.4498269468</x:v>
      </x:c>
      <x:c r="D68" s="25" t="str">
        <x:v>tonnes_primary_production_equivalent</x:v>
      </x:c>
    </x:row>
    <x:row r="69" ht="18" customHeight="1">
      <x:c r="A69" s="25" t="str">
        <x:v>EEZ_028</x:v>
      </x:c>
      <x:c r="B69" s="25" t="str">
        <x:v>functional_ppr</x:v>
      </x:c>
      <x:c r="C69" s="25" t="n">
        <x:v>1051711.3816635697</x:v>
      </x:c>
      <x:c r="D69" s="25" t="str">
        <x:v>tonnes_primary_production_equivalent</x:v>
      </x:c>
    </x:row>
    <x:row r="70" ht="18" customHeight="1">
      <x:c r="A70" s="25" t="str">
        <x:v>EEZ_028</x:v>
      </x:c>
      <x:c r="B70" s="25" t="str">
        <x:v>commercial_ppr_difference</x:v>
      </x:c>
      <x:c r="C70" s="25" t="n">
        <x:v>-373693.00206001324</x:v>
      </x:c>
      <x:c r="D70" s="25" t="str">
        <x:v>tonnes_primary_production_equivalent</x:v>
      </x:c>
    </x:row>
    <x:row r="71" ht="18" customHeight="1">
      <x:c r="A71" s="25" t="str">
        <x:v>EEZ_028</x:v>
      </x:c>
      <x:c r="B71" s="25" t="str">
        <x:v>functional_ppr_difference</x:v>
      </x:c>
      <x:c r="C71" s="25" t="n">
        <x:v>-133414.07022339036</x:v>
      </x:c>
      <x:c r="D71" s="25" t="str">
        <x:v>tonnes_primary_production_equivalent</x:v>
      </x:c>
    </x:row>
    <x:row r="72" ht="18" customHeight="1">
      <x:c r="A72" s="25" t="str">
        <x:v>EEZ_032</x:v>
      </x:c>
      <x:c r="B72" s="25" t="str">
        <x:v>raw_filtered_tonnes</x:v>
      </x:c>
      <x:c r="C72" s="25" t="n">
        <x:v>1455579.1588488943</x:v>
      </x:c>
      <x:c r="D72" s="25" t="str">
        <x:v>tonnes</x:v>
      </x:c>
    </x:row>
    <x:row r="73" ht="18" customHeight="1">
      <x:c r="A73" s="25" t="str">
        <x:v>EEZ_032</x:v>
      </x:c>
      <x:c r="B73" s="25" t="str">
        <x:v>species_catch_tonnes</x:v>
      </x:c>
      <x:c r="C73" s="25" t="n">
        <x:v>1455579.158848894</x:v>
      </x:c>
      <x:c r="D73" s="25" t="str">
        <x:v>tonnes</x:v>
      </x:c>
    </x:row>
    <x:row r="74" ht="18" customHeight="1">
      <x:c r="A74" s="25" t="str">
        <x:v>EEZ_032</x:v>
      </x:c>
      <x:c r="B74" s="25" t="str">
        <x:v>catch_difference_tonnes</x:v>
      </x:c>
      <x:c r="C74" s="25" t="n">
        <x:v>-2.3283064365386963e-10</x:v>
      </x:c>
      <x:c r="D74" s="25" t="str">
        <x:v>tonnes</x:v>
      </x:c>
    </x:row>
    <x:row r="75" ht="18" customHeight="1">
      <x:c r="A75" s="25" t="str">
        <x:v>EEZ_032</x:v>
      </x:c>
      <x:c r="B75" s="25" t="str">
        <x:v>catch_reconciled</x:v>
      </x:c>
      <x:c r="C75" s="36" t="b">
        <x:v>1</x:v>
      </x:c>
      <x:c r="D75" s="25" t="str">
        <x:v>boolean</x:v>
      </x:c>
    </x:row>
    <x:row r="76" ht="18" customHeight="1">
      <x:c r="A76" s="25" t="str">
        <x:v>EEZ_032</x:v>
      </x:c>
      <x:c r="B76" s="25" t="str">
        <x:v>matched_catch_tonnes</x:v>
      </x:c>
      <x:c r="C76" s="25" t="n">
        <x:v>1455579.158848894</x:v>
      </x:c>
      <x:c r="D76" s="25" t="str">
        <x:v>tonnes</x:v>
      </x:c>
    </x:row>
    <x:row r="77" ht="18" customHeight="1">
      <x:c r="A77" s="25" t="str">
        <x:v>EEZ_032</x:v>
      </x:c>
      <x:c r="B77" s="25" t="str">
        <x:v>catch_coverage_fraction</x:v>
      </x:c>
      <x:c r="C77" s="25" t="n">
        <x:v>1</x:v>
      </x:c>
      <x:c r="D77" s="25" t="str">
        <x:v>fraction</x:v>
      </x:c>
    </x:row>
    <x:row r="78" ht="18" customHeight="1">
      <x:c r="A78" s="25" t="str">
        <x:v>EEZ_032</x:v>
      </x:c>
      <x:c r="B78" s="25" t="str">
        <x:v>taxa_count</x:v>
      </x:c>
      <x:c r="C78" s="25" t="n">
        <x:v>86</x:v>
      </x:c>
      <x:c r="D78" s="25" t="str">
        <x:v>count</x:v>
      </x:c>
    </x:row>
    <x:row r="79" ht="18" customHeight="1">
      <x:c r="A79" s="25" t="str">
        <x:v>EEZ_032</x:v>
      </x:c>
      <x:c r="B79" s="25" t="str">
        <x:v>matched_taxa_count</x:v>
      </x:c>
      <x:c r="C79" s="25" t="n">
        <x:v>86</x:v>
      </x:c>
      <x:c r="D79" s="25" t="str">
        <x:v>count</x:v>
      </x:c>
    </x:row>
    <x:row r="80" ht="18" customHeight="1">
      <x:c r="A80" s="25" t="str">
        <x:v>EEZ_032</x:v>
      </x:c>
      <x:c r="B80" s="25" t="str">
        <x:v>unmatched_taxa_count</x:v>
      </x:c>
      <x:c r="C80" s="25" t="n">
        <x:v>0</x:v>
      </x:c>
      <x:c r="D80" s="25" t="str">
        <x:v>count</x:v>
      </x:c>
    </x:row>
    <x:row r="81" ht="18" customHeight="1">
      <x:c r="A81" s="25" t="str">
        <x:v>EEZ_032</x:v>
      </x:c>
      <x:c r="B81" s="25" t="str">
        <x:v>species_ppr</x:v>
      </x:c>
      <x:c r="C81" s="25" t="n">
        <x:v>1272031530.1874146</x:v>
      </x:c>
      <x:c r="D81" s="25" t="str">
        <x:v>tonnes_primary_production_equivalent</x:v>
      </x:c>
    </x:row>
    <x:row r="82" ht="18" customHeight="1">
      <x:c r="A82" s="25" t="str">
        <x:v>EEZ_032</x:v>
      </x:c>
      <x:c r="B82" s="25" t="str">
        <x:v>commercial_ppr</x:v>
      </x:c>
      <x:c r="C82" s="25" t="n">
        <x:v>1165759568.7681806</x:v>
      </x:c>
      <x:c r="D82" s="25" t="str">
        <x:v>tonnes_primary_production_equivalent</x:v>
      </x:c>
    </x:row>
    <x:row r="83" ht="18" customHeight="1">
      <x:c r="A83" s="25" t="str">
        <x:v>EEZ_032</x:v>
      </x:c>
      <x:c r="B83" s="25" t="str">
        <x:v>functional_ppr</x:v>
      </x:c>
      <x:c r="C83" s="25" t="n">
        <x:v>1207458955.0805123</x:v>
      </x:c>
      <x:c r="D83" s="25" t="str">
        <x:v>tonnes_primary_production_equivalent</x:v>
      </x:c>
    </x:row>
    <x:row r="84" ht="18" customHeight="1">
      <x:c r="A84" s="25" t="str">
        <x:v>EEZ_032</x:v>
      </x:c>
      <x:c r="B84" s="25" t="str">
        <x:v>commercial_ppr_difference</x:v>
      </x:c>
      <x:c r="C84" s="25" t="n">
        <x:v>-106271961.41923404</x:v>
      </x:c>
      <x:c r="D84" s="25" t="str">
        <x:v>tonnes_primary_production_equivalent</x:v>
      </x:c>
    </x:row>
    <x:row r="85" ht="18" customHeight="1">
      <x:c r="A85" s="25" t="str">
        <x:v>EEZ_032</x:v>
      </x:c>
      <x:c r="B85" s="25" t="str">
        <x:v>functional_ppr_difference</x:v>
      </x:c>
      <x:c r="C85" s="25" t="n">
        <x:v>-64572575.10690236</x:v>
      </x:c>
      <x:c r="D85" s="25" t="str">
        <x:v>tonnes_primary_production_equivalent</x:v>
      </x:c>
    </x:row>
    <x:row r="86" ht="18" customHeight="1">
      <x:c r="A86" s="25" t="str">
        <x:v>EEZ_036</x:v>
      </x:c>
      <x:c r="B86" s="25" t="str">
        <x:v>raw_filtered_tonnes</x:v>
      </x:c>
      <x:c r="C86" s="25" t="n">
        <x:v>228804.7535442354</x:v>
      </x:c>
      <x:c r="D86" s="25" t="str">
        <x:v>tonnes</x:v>
      </x:c>
    </x:row>
    <x:row r="87" ht="18" customHeight="1">
      <x:c r="A87" s="25" t="str">
        <x:v>EEZ_036</x:v>
      </x:c>
      <x:c r="B87" s="25" t="str">
        <x:v>species_catch_tonnes</x:v>
      </x:c>
      <x:c r="C87" s="25" t="n">
        <x:v>228804.7535442354</x:v>
      </x:c>
      <x:c r="D87" s="25" t="str">
        <x:v>tonnes</x:v>
      </x:c>
    </x:row>
    <x:row r="88" ht="18" customHeight="1">
      <x:c r="A88" s="25" t="str">
        <x:v>EEZ_036</x:v>
      </x:c>
      <x:c r="B88" s="25" t="str">
        <x:v>catch_difference_tonnes</x:v>
      </x:c>
      <x:c r="C88" s="25" t="n">
        <x:v>0</x:v>
      </x:c>
      <x:c r="D88" s="25" t="str">
        <x:v>tonnes</x:v>
      </x:c>
    </x:row>
    <x:row r="89" ht="18" customHeight="1">
      <x:c r="A89" s="25" t="str">
        <x:v>EEZ_036</x:v>
      </x:c>
      <x:c r="B89" s="25" t="str">
        <x:v>catch_reconciled</x:v>
      </x:c>
      <x:c r="C89" s="36" t="b">
        <x:v>1</x:v>
      </x:c>
      <x:c r="D89" s="25" t="str">
        <x:v>boolean</x:v>
      </x:c>
    </x:row>
    <x:row r="90" ht="18" customHeight="1">
      <x:c r="A90" s="25" t="str">
        <x:v>EEZ_036</x:v>
      </x:c>
      <x:c r="B90" s="25" t="str">
        <x:v>matched_catch_tonnes</x:v>
      </x:c>
      <x:c r="C90" s="25" t="n">
        <x:v>228804.7535442354</x:v>
      </x:c>
      <x:c r="D90" s="25" t="str">
        <x:v>tonnes</x:v>
      </x:c>
    </x:row>
    <x:row r="91" ht="18" customHeight="1">
      <x:c r="A91" s="25" t="str">
        <x:v>EEZ_036</x:v>
      </x:c>
      <x:c r="B91" s="25" t="str">
        <x:v>catch_coverage_fraction</x:v>
      </x:c>
      <x:c r="C91" s="25" t="n">
        <x:v>1</x:v>
      </x:c>
      <x:c r="D91" s="25" t="str">
        <x:v>fraction</x:v>
      </x:c>
    </x:row>
    <x:row r="92" ht="18" customHeight="1">
      <x:c r="A92" s="25" t="str">
        <x:v>EEZ_036</x:v>
      </x:c>
      <x:c r="B92" s="25" t="str">
        <x:v>taxa_count</x:v>
      </x:c>
      <x:c r="C92" s="25" t="n">
        <x:v>529</x:v>
      </x:c>
      <x:c r="D92" s="25" t="str">
        <x:v>count</x:v>
      </x:c>
    </x:row>
    <x:row r="93" ht="18" customHeight="1">
      <x:c r="A93" s="25" t="str">
        <x:v>EEZ_036</x:v>
      </x:c>
      <x:c r="B93" s="25" t="str">
        <x:v>matched_taxa_count</x:v>
      </x:c>
      <x:c r="C93" s="25" t="n">
        <x:v>529</x:v>
      </x:c>
      <x:c r="D93" s="25" t="str">
        <x:v>count</x:v>
      </x:c>
    </x:row>
    <x:row r="94" ht="18" customHeight="1">
      <x:c r="A94" s="25" t="str">
        <x:v>EEZ_036</x:v>
      </x:c>
      <x:c r="B94" s="25" t="str">
        <x:v>unmatched_taxa_count</x:v>
      </x:c>
      <x:c r="C94" s="25" t="n">
        <x:v>0</x:v>
      </x:c>
      <x:c r="D94" s="25" t="str">
        <x:v>count</x:v>
      </x:c>
    </x:row>
    <x:row r="95" ht="18" customHeight="1">
      <x:c r="A95" s="25" t="str">
        <x:v>EEZ_036</x:v>
      </x:c>
      <x:c r="B95" s="25" t="str">
        <x:v>species_ppr</x:v>
      </x:c>
      <x:c r="C95" s="25" t="n">
        <x:v>159135782.88848543</x:v>
      </x:c>
      <x:c r="D95" s="25" t="str">
        <x:v>tonnes_primary_production_equivalent</x:v>
      </x:c>
    </x:row>
    <x:row r="96" ht="18" customHeight="1">
      <x:c r="A96" s="25" t="str">
        <x:v>EEZ_036</x:v>
      </x:c>
      <x:c r="B96" s="25" t="str">
        <x:v>commercial_ppr</x:v>
      </x:c>
      <x:c r="C96" s="25" t="n">
        <x:v>107374397.92635019</x:v>
      </x:c>
      <x:c r="D96" s="25" t="str">
        <x:v>tonnes_primary_production_equivalent</x:v>
      </x:c>
    </x:row>
    <x:row r="97" ht="18" customHeight="1">
      <x:c r="A97" s="25" t="str">
        <x:v>EEZ_036</x:v>
      </x:c>
      <x:c r="B97" s="25" t="str">
        <x:v>functional_ppr</x:v>
      </x:c>
      <x:c r="C97" s="25" t="n">
        <x:v>113696362.2670475</x:v>
      </x:c>
      <x:c r="D97" s="25" t="str">
        <x:v>tonnes_primary_production_equivalent</x:v>
      </x:c>
    </x:row>
    <x:row r="98" ht="18" customHeight="1">
      <x:c r="A98" s="25" t="str">
        <x:v>EEZ_036</x:v>
      </x:c>
      <x:c r="B98" s="25" t="str">
        <x:v>commercial_ppr_difference</x:v>
      </x:c>
      <x:c r="C98" s="25" t="n">
        <x:v>-51761384.96213524</x:v>
      </x:c>
      <x:c r="D98" s="25" t="str">
        <x:v>tonnes_primary_production_equivalent</x:v>
      </x:c>
    </x:row>
    <x:row r="99" ht="18" customHeight="1">
      <x:c r="A99" s="25" t="str">
        <x:v>EEZ_036</x:v>
      </x:c>
      <x:c r="B99" s="25" t="str">
        <x:v>functional_ppr_difference</x:v>
      </x:c>
      <x:c r="C99" s="25" t="n">
        <x:v>-45439420.62143794</x:v>
      </x:c>
      <x:c r="D99" s="25" t="str">
        <x:v>tonnes_primary_production_equivalent</x:v>
      </x:c>
    </x:row>
    <x:row r="100" ht="18" customHeight="1">
      <x:c r="A100" s="25" t="str">
        <x:v>EEZ_037</x:v>
      </x:c>
      <x:c r="B100" s="25" t="str">
        <x:v>raw_filtered_tonnes</x:v>
      </x:c>
      <x:c r="C100" s="25" t="n">
        <x:v>434.33</x:v>
      </x:c>
      <x:c r="D100" s="25" t="str">
        <x:v>tonnes</x:v>
      </x:c>
    </x:row>
    <x:row r="101" ht="18" customHeight="1">
      <x:c r="A101" s="25" t="str">
        <x:v>EEZ_037</x:v>
      </x:c>
      <x:c r="B101" s="25" t="str">
        <x:v>species_catch_tonnes</x:v>
      </x:c>
      <x:c r="C101" s="25" t="n">
        <x:v>434.33</x:v>
      </x:c>
      <x:c r="D101" s="25" t="str">
        <x:v>tonnes</x:v>
      </x:c>
    </x:row>
    <x:row r="102" ht="18" customHeight="1">
      <x:c r="A102" s="25" t="str">
        <x:v>EEZ_037</x:v>
      </x:c>
      <x:c r="B102" s="25" t="str">
        <x:v>catch_difference_tonnes</x:v>
      </x:c>
      <x:c r="C102" s="25" t="n">
        <x:v>0</x:v>
      </x:c>
      <x:c r="D102" s="25" t="str">
        <x:v>tonnes</x:v>
      </x:c>
    </x:row>
    <x:row r="103" ht="18" customHeight="1">
      <x:c r="A103" s="25" t="str">
        <x:v>EEZ_037</x:v>
      </x:c>
      <x:c r="B103" s="25" t="str">
        <x:v>catch_reconciled</x:v>
      </x:c>
      <x:c r="C103" s="36" t="b">
        <x:v>1</x:v>
      </x:c>
      <x:c r="D103" s="25" t="str">
        <x:v>boolean</x:v>
      </x:c>
    </x:row>
    <x:row r="104" ht="18" customHeight="1">
      <x:c r="A104" s="25" t="str">
        <x:v>EEZ_037</x:v>
      </x:c>
      <x:c r="B104" s="25" t="str">
        <x:v>matched_catch_tonnes</x:v>
      </x:c>
      <x:c r="C104" s="25" t="n">
        <x:v>434.33</x:v>
      </x:c>
      <x:c r="D104" s="25" t="str">
        <x:v>tonnes</x:v>
      </x:c>
    </x:row>
    <x:row r="105" ht="18" customHeight="1">
      <x:c r="A105" s="25" t="str">
        <x:v>EEZ_037</x:v>
      </x:c>
      <x:c r="B105" s="25" t="str">
        <x:v>catch_coverage_fraction</x:v>
      </x:c>
      <x:c r="C105" s="25" t="n">
        <x:v>1</x:v>
      </x:c>
      <x:c r="D105" s="25" t="str">
        <x:v>fraction</x:v>
      </x:c>
    </x:row>
    <x:row r="106" ht="18" customHeight="1">
      <x:c r="A106" s="25" t="str">
        <x:v>EEZ_037</x:v>
      </x:c>
      <x:c r="B106" s="25" t="str">
        <x:v>taxa_count</x:v>
      </x:c>
      <x:c r="C106" s="25" t="n">
        <x:v>1</x:v>
      </x:c>
      <x:c r="D106" s="25" t="str">
        <x:v>count</x:v>
      </x:c>
    </x:row>
    <x:row r="107" ht="18" customHeight="1">
      <x:c r="A107" s="25" t="str">
        <x:v>EEZ_037</x:v>
      </x:c>
      <x:c r="B107" s="25" t="str">
        <x:v>matched_taxa_count</x:v>
      </x:c>
      <x:c r="C107" s="25" t="n">
        <x:v>1</x:v>
      </x:c>
      <x:c r="D107" s="25" t="str">
        <x:v>count</x:v>
      </x:c>
    </x:row>
    <x:row r="108" ht="18" customHeight="1">
      <x:c r="A108" s="25" t="str">
        <x:v>EEZ_037</x:v>
      </x:c>
      <x:c r="B108" s="25" t="str">
        <x:v>unmatched_taxa_count</x:v>
      </x:c>
      <x:c r="C108" s="25" t="n">
        <x:v>0</x:v>
      </x:c>
      <x:c r="D108" s="25" t="str">
        <x:v>count</x:v>
      </x:c>
    </x:row>
    <x:row r="109" ht="18" customHeight="1">
      <x:c r="A109" s="25" t="str">
        <x:v>EEZ_037</x:v>
      </x:c>
      <x:c r="B109" s="25" t="str">
        <x:v>species_ppr</x:v>
      </x:c>
      <x:c r="C109" s="25" t="n">
        <x:v>396113.66785745224</x:v>
      </x:c>
      <x:c r="D109" s="25" t="str">
        <x:v>tonnes_primary_production_equivalent</x:v>
      </x:c>
    </x:row>
    <x:row r="110" ht="18" customHeight="1">
      <x:c r="A110" s="25" t="str">
        <x:v>EEZ_037</x:v>
      </x:c>
      <x:c r="B110" s="25" t="str">
        <x:v>commercial_ppr</x:v>
      </x:c>
      <x:c r="C110" s="25" t="n">
        <x:v>396113.66785745224</x:v>
      </x:c>
      <x:c r="D110" s="25" t="str">
        <x:v>tonnes_primary_production_equivalent</x:v>
      </x:c>
    </x:row>
    <x:row r="111" ht="18" customHeight="1">
      <x:c r="A111" s="25" t="str">
        <x:v>EEZ_037</x:v>
      </x:c>
      <x:c r="B111" s="25" t="str">
        <x:v>functional_ppr</x:v>
      </x:c>
      <x:c r="C111" s="25" t="n">
        <x:v>396113.66785745224</x:v>
      </x:c>
      <x:c r="D111" s="25" t="str">
        <x:v>tonnes_primary_production_equivalent</x:v>
      </x:c>
    </x:row>
    <x:row r="112" ht="18" customHeight="1">
      <x:c r="A112" s="25" t="str">
        <x:v>EEZ_037</x:v>
      </x:c>
      <x:c r="B112" s="25" t="str">
        <x:v>commercial_ppr_difference</x:v>
      </x:c>
      <x:c r="C112" s="25" t="n">
        <x:v>0</x:v>
      </x:c>
      <x:c r="D112" s="25" t="str">
        <x:v>tonnes_primary_production_equivalent</x:v>
      </x:c>
    </x:row>
    <x:row r="113" ht="18" customHeight="1">
      <x:c r="A113" s="25" t="str">
        <x:v>EEZ_037</x:v>
      </x:c>
      <x:c r="B113" s="25" t="str">
        <x:v>functional_ppr_difference</x:v>
      </x:c>
      <x:c r="C113" s="25" t="n">
        <x:v>0</x:v>
      </x:c>
      <x:c r="D113" s="25" t="str">
        <x:v>tonnes_primary_production_equivalent</x:v>
      </x:c>
    </x:row>
    <x:row r="114" ht="18" customHeight="1">
      <x:c r="A114" s="25" t="str">
        <x:v>EEZ_038</x:v>
      </x:c>
      <x:c r="B114" s="25" t="str">
        <x:v>raw_filtered_tonnes</x:v>
      </x:c>
      <x:c r="C114" s="25" t="n">
        <x:v>111.56465248110001</x:v>
      </x:c>
      <x:c r="D114" s="25" t="str">
        <x:v>tonnes</x:v>
      </x:c>
    </x:row>
    <x:row r="115" ht="18" customHeight="1">
      <x:c r="A115" s="25" t="str">
        <x:v>EEZ_038</x:v>
      </x:c>
      <x:c r="B115" s="25" t="str">
        <x:v>species_catch_tonnes</x:v>
      </x:c>
      <x:c r="C115" s="25" t="n">
        <x:v>111.5646524811</x:v>
      </x:c>
      <x:c r="D115" s="25" t="str">
        <x:v>tonnes</x:v>
      </x:c>
    </x:row>
    <x:row r="116" ht="18" customHeight="1">
      <x:c r="A116" s="25" t="str">
        <x:v>EEZ_038</x:v>
      </x:c>
      <x:c r="B116" s="25" t="str">
        <x:v>catch_difference_tonnes</x:v>
      </x:c>
      <x:c r="C116" s="25" t="n">
        <x:v>-1.4210854715202004e-14</x:v>
      </x:c>
      <x:c r="D116" s="25" t="str">
        <x:v>tonnes</x:v>
      </x:c>
    </x:row>
    <x:row r="117" ht="18" customHeight="1">
      <x:c r="A117" s="25" t="str">
        <x:v>EEZ_038</x:v>
      </x:c>
      <x:c r="B117" s="25" t="str">
        <x:v>catch_reconciled</x:v>
      </x:c>
      <x:c r="C117" s="36" t="b">
        <x:v>1</x:v>
      </x:c>
      <x:c r="D117" s="25" t="str">
        <x:v>boolean</x:v>
      </x:c>
    </x:row>
    <x:row r="118" ht="18" customHeight="1">
      <x:c r="A118" s="25" t="str">
        <x:v>EEZ_038</x:v>
      </x:c>
      <x:c r="B118" s="25" t="str">
        <x:v>matched_catch_tonnes</x:v>
      </x:c>
      <x:c r="C118" s="25" t="n">
        <x:v>111.5646524811</x:v>
      </x:c>
      <x:c r="D118" s="25" t="str">
        <x:v>tonnes</x:v>
      </x:c>
    </x:row>
    <x:row r="119" ht="18" customHeight="1">
      <x:c r="A119" s="25" t="str">
        <x:v>EEZ_038</x:v>
      </x:c>
      <x:c r="B119" s="25" t="str">
        <x:v>catch_coverage_fraction</x:v>
      </x:c>
      <x:c r="C119" s="25" t="n">
        <x:v>1</x:v>
      </x:c>
      <x:c r="D119" s="25" t="str">
        <x:v>fraction</x:v>
      </x:c>
    </x:row>
    <x:row r="120" ht="18" customHeight="1">
      <x:c r="A120" s="25" t="str">
        <x:v>EEZ_038</x:v>
      </x:c>
      <x:c r="B120" s="25" t="str">
        <x:v>taxa_count</x:v>
      </x:c>
      <x:c r="C120" s="25" t="n">
        <x:v>18</x:v>
      </x:c>
      <x:c r="D120" s="25" t="str">
        <x:v>count</x:v>
      </x:c>
    </x:row>
    <x:row r="121" ht="18" customHeight="1">
      <x:c r="A121" s="25" t="str">
        <x:v>EEZ_038</x:v>
      </x:c>
      <x:c r="B121" s="25" t="str">
        <x:v>matched_taxa_count</x:v>
      </x:c>
      <x:c r="C121" s="25" t="n">
        <x:v>18</x:v>
      </x:c>
      <x:c r="D121" s="25" t="str">
        <x:v>count</x:v>
      </x:c>
    </x:row>
    <x:row r="122" ht="18" customHeight="1">
      <x:c r="A122" s="25" t="str">
        <x:v>EEZ_038</x:v>
      </x:c>
      <x:c r="B122" s="25" t="str">
        <x:v>unmatched_taxa_count</x:v>
      </x:c>
      <x:c r="C122" s="25" t="n">
        <x:v>0</x:v>
      </x:c>
      <x:c r="D122" s="25" t="str">
        <x:v>count</x:v>
      </x:c>
    </x:row>
    <x:row r="123" ht="18" customHeight="1">
      <x:c r="A123" s="25" t="str">
        <x:v>EEZ_038</x:v>
      </x:c>
      <x:c r="B123" s="25" t="str">
        <x:v>species_ppr</x:v>
      </x:c>
      <x:c r="C123" s="25" t="n">
        <x:v>237070.8824424346</x:v>
      </x:c>
      <x:c r="D123" s="25" t="str">
        <x:v>tonnes_primary_production_equivalent</x:v>
      </x:c>
    </x:row>
    <x:row r="124" ht="18" customHeight="1">
      <x:c r="A124" s="25" t="str">
        <x:v>EEZ_038</x:v>
      </x:c>
      <x:c r="B124" s="25" t="str">
        <x:v>commercial_ppr</x:v>
      </x:c>
      <x:c r="C124" s="25" t="n">
        <x:v>229416.92982461693</x:v>
      </x:c>
      <x:c r="D124" s="25" t="str">
        <x:v>tonnes_primary_production_equivalent</x:v>
      </x:c>
    </x:row>
    <x:row r="125" ht="18" customHeight="1">
      <x:c r="A125" s="25" t="str">
        <x:v>EEZ_038</x:v>
      </x:c>
      <x:c r="B125" s="25" t="str">
        <x:v>functional_ppr</x:v>
      </x:c>
      <x:c r="C125" s="25" t="n">
        <x:v>230650.7929449992</x:v>
      </x:c>
      <x:c r="D125" s="25" t="str">
        <x:v>tonnes_primary_production_equivalent</x:v>
      </x:c>
    </x:row>
    <x:row r="126" ht="18" customHeight="1">
      <x:c r="A126" s="25" t="str">
        <x:v>EEZ_038</x:v>
      </x:c>
      <x:c r="B126" s="25" t="str">
        <x:v>commercial_ppr_difference</x:v>
      </x:c>
      <x:c r="C126" s="25" t="n">
        <x:v>-7653.952617817675</x:v>
      </x:c>
      <x:c r="D126" s="25" t="str">
        <x:v>tonnes_primary_production_equivalent</x:v>
      </x:c>
    </x:row>
    <x:row r="127" ht="18" customHeight="1">
      <x:c r="A127" s="25" t="str">
        <x:v>EEZ_038</x:v>
      </x:c>
      <x:c r="B127" s="25" t="str">
        <x:v>functional_ppr_difference</x:v>
      </x:c>
      <x:c r="C127" s="25" t="n">
        <x:v>-6420.089497435401</x:v>
      </x:c>
      <x:c r="D127" s="25" t="str">
        <x:v>tonnes_primary_production_equivalent</x:v>
      </x:c>
    </x:row>
    <x:row r="128" ht="18" customHeight="1">
      <x:c r="A128" s="25" t="str">
        <x:v>EEZ_044</x:v>
      </x:c>
      <x:c r="B128" s="25" t="str">
        <x:v>raw_filtered_tonnes</x:v>
      </x:c>
      <x:c r="C128" s="25" t="n">
        <x:v>18392.7135678369</x:v>
      </x:c>
      <x:c r="D128" s="25" t="str">
        <x:v>tonnes</x:v>
      </x:c>
    </x:row>
    <x:row r="129" ht="18" customHeight="1">
      <x:c r="A129" s="25" t="str">
        <x:v>EEZ_044</x:v>
      </x:c>
      <x:c r="B129" s="25" t="str">
        <x:v>species_catch_tonnes</x:v>
      </x:c>
      <x:c r="C129" s="25" t="n">
        <x:v>18392.7135678369</x:v>
      </x:c>
      <x:c r="D129" s="25" t="str">
        <x:v>tonnes</x:v>
      </x:c>
    </x:row>
    <x:row r="130" ht="18" customHeight="1">
      <x:c r="A130" s="25" t="str">
        <x:v>EEZ_044</x:v>
      </x:c>
      <x:c r="B130" s="25" t="str">
        <x:v>catch_difference_tonnes</x:v>
      </x:c>
      <x:c r="C130" s="25" t="n">
        <x:v>0</x:v>
      </x:c>
      <x:c r="D130" s="25" t="str">
        <x:v>tonnes</x:v>
      </x:c>
    </x:row>
    <x:row r="131" ht="18" customHeight="1">
      <x:c r="A131" s="25" t="str">
        <x:v>EEZ_044</x:v>
      </x:c>
      <x:c r="B131" s="25" t="str">
        <x:v>catch_reconciled</x:v>
      </x:c>
      <x:c r="C131" s="36" t="b">
        <x:v>1</x:v>
      </x:c>
      <x:c r="D131" s="25" t="str">
        <x:v>boolean</x:v>
      </x:c>
    </x:row>
    <x:row r="132" ht="18" customHeight="1">
      <x:c r="A132" s="25" t="str">
        <x:v>EEZ_044</x:v>
      </x:c>
      <x:c r="B132" s="25" t="str">
        <x:v>matched_catch_tonnes</x:v>
      </x:c>
      <x:c r="C132" s="25" t="n">
        <x:v>18392.7135678369</x:v>
      </x:c>
      <x:c r="D132" s="25" t="str">
        <x:v>tonnes</x:v>
      </x:c>
    </x:row>
    <x:row r="133" ht="18" customHeight="1">
      <x:c r="A133" s="25" t="str">
        <x:v>EEZ_044</x:v>
      </x:c>
      <x:c r="B133" s="25" t="str">
        <x:v>catch_coverage_fraction</x:v>
      </x:c>
      <x:c r="C133" s="25" t="n">
        <x:v>1</x:v>
      </x:c>
      <x:c r="D133" s="25" t="str">
        <x:v>fraction</x:v>
      </x:c>
    </x:row>
    <x:row r="134" ht="18" customHeight="1">
      <x:c r="A134" s="25" t="str">
        <x:v>EEZ_044</x:v>
      </x:c>
      <x:c r="B134" s="25" t="str">
        <x:v>taxa_count</x:v>
      </x:c>
      <x:c r="C134" s="25" t="n">
        <x:v>43</x:v>
      </x:c>
      <x:c r="D134" s="25" t="str">
        <x:v>count</x:v>
      </x:c>
    </x:row>
    <x:row r="135" ht="18" customHeight="1">
      <x:c r="A135" s="25" t="str">
        <x:v>EEZ_044</x:v>
      </x:c>
      <x:c r="B135" s="25" t="str">
        <x:v>matched_taxa_count</x:v>
      </x:c>
      <x:c r="C135" s="25" t="n">
        <x:v>43</x:v>
      </x:c>
      <x:c r="D135" s="25" t="str">
        <x:v>count</x:v>
      </x:c>
    </x:row>
    <x:row r="136" ht="18" customHeight="1">
      <x:c r="A136" s="25" t="str">
        <x:v>EEZ_044</x:v>
      </x:c>
      <x:c r="B136" s="25" t="str">
        <x:v>unmatched_taxa_count</x:v>
      </x:c>
      <x:c r="C136" s="25" t="n">
        <x:v>0</x:v>
      </x:c>
      <x:c r="D136" s="25" t="str">
        <x:v>count</x:v>
      </x:c>
    </x:row>
    <x:row r="137" ht="18" customHeight="1">
      <x:c r="A137" s="25" t="str">
        <x:v>EEZ_044</x:v>
      </x:c>
      <x:c r="B137" s="25" t="str">
        <x:v>species_ppr</x:v>
      </x:c>
      <x:c r="C137" s="25" t="n">
        <x:v>14068447.015522763</x:v>
      </x:c>
      <x:c r="D137" s="25" t="str">
        <x:v>tonnes_primary_production_equivalent</x:v>
      </x:c>
    </x:row>
    <x:row r="138" ht="18" customHeight="1">
      <x:c r="A138" s="25" t="str">
        <x:v>EEZ_044</x:v>
      </x:c>
      <x:c r="B138" s="25" t="str">
        <x:v>commercial_ppr</x:v>
      </x:c>
      <x:c r="C138" s="25" t="n">
        <x:v>12808177.744283037</x:v>
      </x:c>
      <x:c r="D138" s="25" t="str">
        <x:v>tonnes_primary_production_equivalent</x:v>
      </x:c>
    </x:row>
    <x:row r="139" ht="18" customHeight="1">
      <x:c r="A139" s="25" t="str">
        <x:v>EEZ_044</x:v>
      </x:c>
      <x:c r="B139" s="25" t="str">
        <x:v>functional_ppr</x:v>
      </x:c>
      <x:c r="C139" s="25" t="n">
        <x:v>13494444.73998258</x:v>
      </x:c>
      <x:c r="D139" s="25" t="str">
        <x:v>tonnes_primary_production_equivalent</x:v>
      </x:c>
    </x:row>
    <x:row r="140" ht="18" customHeight="1">
      <x:c r="A140" s="25" t="str">
        <x:v>EEZ_044</x:v>
      </x:c>
      <x:c r="B140" s="25" t="str">
        <x:v>commercial_ppr_difference</x:v>
      </x:c>
      <x:c r="C140" s="25" t="n">
        <x:v>-1260269.2712397259</x:v>
      </x:c>
      <x:c r="D140" s="25" t="str">
        <x:v>tonnes_primary_production_equivalent</x:v>
      </x:c>
    </x:row>
    <x:row r="141" ht="18" customHeight="1">
      <x:c r="A141" s="25" t="str">
        <x:v>EEZ_044</x:v>
      </x:c>
      <x:c r="B141" s="25" t="str">
        <x:v>functional_ppr_difference</x:v>
      </x:c>
      <x:c r="C141" s="25" t="n">
        <x:v>-574002.2755401824</x:v>
      </x:c>
      <x:c r="D141" s="25" t="str">
        <x:v>tonnes_primary_production_equivalent</x:v>
      </x:c>
    </x:row>
    <x:row r="142" ht="18" customHeight="1">
      <x:c r="A142" s="25" t="str">
        <x:v>EEZ_048</x:v>
      </x:c>
      <x:c r="B142" s="25" t="str">
        <x:v>raw_filtered_tonnes</x:v>
      </x:c>
      <x:c r="C142" s="25" t="n">
        <x:v>40820.826476502996</x:v>
      </x:c>
      <x:c r="D142" s="25" t="str">
        <x:v>tonnes</x:v>
      </x:c>
    </x:row>
    <x:row r="143" ht="18" customHeight="1">
      <x:c r="A143" s="25" t="str">
        <x:v>EEZ_048</x:v>
      </x:c>
      <x:c r="B143" s="25" t="str">
        <x:v>species_catch_tonnes</x:v>
      </x:c>
      <x:c r="C143" s="25" t="n">
        <x:v>40820.826476502996</x:v>
      </x:c>
      <x:c r="D143" s="25" t="str">
        <x:v>tonnes</x:v>
      </x:c>
    </x:row>
    <x:row r="144" ht="18" customHeight="1">
      <x:c r="A144" s="25" t="str">
        <x:v>EEZ_048</x:v>
      </x:c>
      <x:c r="B144" s="25" t="str">
        <x:v>catch_difference_tonnes</x:v>
      </x:c>
      <x:c r="C144" s="25" t="n">
        <x:v>0</x:v>
      </x:c>
      <x:c r="D144" s="25" t="str">
        <x:v>tonnes</x:v>
      </x:c>
    </x:row>
    <x:row r="145" ht="18" customHeight="1">
      <x:c r="A145" s="25" t="str">
        <x:v>EEZ_048</x:v>
      </x:c>
      <x:c r="B145" s="25" t="str">
        <x:v>catch_reconciled</x:v>
      </x:c>
      <x:c r="C145" s="36" t="b">
        <x:v>1</x:v>
      </x:c>
      <x:c r="D145" s="25" t="str">
        <x:v>boolean</x:v>
      </x:c>
    </x:row>
    <x:row r="146" ht="18" customHeight="1">
      <x:c r="A146" s="25" t="str">
        <x:v>EEZ_048</x:v>
      </x:c>
      <x:c r="B146" s="25" t="str">
        <x:v>matched_catch_tonnes</x:v>
      </x:c>
      <x:c r="C146" s="25" t="n">
        <x:v>40820.826476502996</x:v>
      </x:c>
      <x:c r="D146" s="25" t="str">
        <x:v>tonnes</x:v>
      </x:c>
    </x:row>
    <x:row r="147" ht="18" customHeight="1">
      <x:c r="A147" s="25" t="str">
        <x:v>EEZ_048</x:v>
      </x:c>
      <x:c r="B147" s="25" t="str">
        <x:v>catch_coverage_fraction</x:v>
      </x:c>
      <x:c r="C147" s="25" t="n">
        <x:v>1</x:v>
      </x:c>
      <x:c r="D147" s="25" t="str">
        <x:v>fraction</x:v>
      </x:c>
    </x:row>
    <x:row r="148" ht="18" customHeight="1">
      <x:c r="A148" s="25" t="str">
        <x:v>EEZ_048</x:v>
      </x:c>
      <x:c r="B148" s="25" t="str">
        <x:v>taxa_count</x:v>
      </x:c>
      <x:c r="C148" s="25" t="n">
        <x:v>55</x:v>
      </x:c>
      <x:c r="D148" s="25" t="str">
        <x:v>count</x:v>
      </x:c>
    </x:row>
    <x:row r="149" ht="18" customHeight="1">
      <x:c r="A149" s="25" t="str">
        <x:v>EEZ_048</x:v>
      </x:c>
      <x:c r="B149" s="25" t="str">
        <x:v>matched_taxa_count</x:v>
      </x:c>
      <x:c r="C149" s="25" t="n">
        <x:v>55</x:v>
      </x:c>
      <x:c r="D149" s="25" t="str">
        <x:v>count</x:v>
      </x:c>
    </x:row>
    <x:row r="150" ht="18" customHeight="1">
      <x:c r="A150" s="25" t="str">
        <x:v>EEZ_048</x:v>
      </x:c>
      <x:c r="B150" s="25" t="str">
        <x:v>unmatched_taxa_count</x:v>
      </x:c>
      <x:c r="C150" s="25" t="n">
        <x:v>0</x:v>
      </x:c>
      <x:c r="D150" s="25" t="str">
        <x:v>count</x:v>
      </x:c>
    </x:row>
    <x:row r="151" ht="18" customHeight="1">
      <x:c r="A151" s="25" t="str">
        <x:v>EEZ_048</x:v>
      </x:c>
      <x:c r="B151" s="25" t="str">
        <x:v>species_ppr</x:v>
      </x:c>
      <x:c r="C151" s="25" t="n">
        <x:v>9187447.205934381</x:v>
      </x:c>
      <x:c r="D151" s="25" t="str">
        <x:v>tonnes_primary_production_equivalent</x:v>
      </x:c>
    </x:row>
    <x:row r="152" ht="18" customHeight="1">
      <x:c r="A152" s="25" t="str">
        <x:v>EEZ_048</x:v>
      </x:c>
      <x:c r="B152" s="25" t="str">
        <x:v>commercial_ppr</x:v>
      </x:c>
      <x:c r="C152" s="25" t="n">
        <x:v>5932186.718613792</x:v>
      </x:c>
      <x:c r="D152" s="25" t="str">
        <x:v>tonnes_primary_production_equivalent</x:v>
      </x:c>
    </x:row>
    <x:row r="153" ht="18" customHeight="1">
      <x:c r="A153" s="25" t="str">
        <x:v>EEZ_048</x:v>
      </x:c>
      <x:c r="B153" s="25" t="str">
        <x:v>functional_ppr</x:v>
      </x:c>
      <x:c r="C153" s="25" t="n">
        <x:v>7932052.627750317</x:v>
      </x:c>
      <x:c r="D153" s="25" t="str">
        <x:v>tonnes_primary_production_equivalent</x:v>
      </x:c>
    </x:row>
    <x:row r="154" ht="18" customHeight="1">
      <x:c r="A154" s="25" t="str">
        <x:v>EEZ_048</x:v>
      </x:c>
      <x:c r="B154" s="25" t="str">
        <x:v>commercial_ppr_difference</x:v>
      </x:c>
      <x:c r="C154" s="25" t="n">
        <x:v>-3255260.487320589</x:v>
      </x:c>
      <x:c r="D154" s="25" t="str">
        <x:v>tonnes_primary_production_equivalent</x:v>
      </x:c>
    </x:row>
    <x:row r="155" ht="18" customHeight="1">
      <x:c r="A155" s="25" t="str">
        <x:v>EEZ_048</x:v>
      </x:c>
      <x:c r="B155" s="25" t="str">
        <x:v>functional_ppr_difference</x:v>
      </x:c>
      <x:c r="C155" s="25" t="n">
        <x:v>-1255394.5781840645</x:v>
      </x:c>
      <x:c r="D155" s="25" t="str">
        <x:v>tonnes_primary_production_equivalent</x:v>
      </x:c>
    </x:row>
    <x:row r="156" ht="18" customHeight="1">
      <x:c r="A156" s="25" t="str">
        <x:v>EEZ_050</x:v>
      </x:c>
      <x:c r="B156" s="25" t="str">
        <x:v>raw_filtered_tonnes</x:v>
      </x:c>
      <x:c r="C156" s="25" t="n">
        <x:v>1114582.7199230574</x:v>
      </x:c>
      <x:c r="D156" s="25" t="str">
        <x:v>tonnes</x:v>
      </x:c>
    </x:row>
    <x:row r="157" ht="18" customHeight="1">
      <x:c r="A157" s="25" t="str">
        <x:v>EEZ_050</x:v>
      </x:c>
      <x:c r="B157" s="25" t="str">
        <x:v>species_catch_tonnes</x:v>
      </x:c>
      <x:c r="C157" s="25" t="n">
        <x:v>1114582.7199230574</x:v>
      </x:c>
      <x:c r="D157" s="25" t="str">
        <x:v>tonnes</x:v>
      </x:c>
    </x:row>
    <x:row r="158" ht="18" customHeight="1">
      <x:c r="A158" s="25" t="str">
        <x:v>EEZ_050</x:v>
      </x:c>
      <x:c r="B158" s="25" t="str">
        <x:v>catch_difference_tonnes</x:v>
      </x:c>
      <x:c r="C158" s="25" t="n">
        <x:v>0</x:v>
      </x:c>
      <x:c r="D158" s="25" t="str">
        <x:v>tonnes</x:v>
      </x:c>
    </x:row>
    <x:row r="159" ht="18" customHeight="1">
      <x:c r="A159" s="25" t="str">
        <x:v>EEZ_050</x:v>
      </x:c>
      <x:c r="B159" s="25" t="str">
        <x:v>catch_reconciled</x:v>
      </x:c>
      <x:c r="C159" s="36" t="b">
        <x:v>1</x:v>
      </x:c>
      <x:c r="D159" s="25" t="str">
        <x:v>boolean</x:v>
      </x:c>
    </x:row>
    <x:row r="160" ht="18" customHeight="1">
      <x:c r="A160" s="25" t="str">
        <x:v>EEZ_050</x:v>
      </x:c>
      <x:c r="B160" s="25" t="str">
        <x:v>matched_catch_tonnes</x:v>
      </x:c>
      <x:c r="C160" s="25" t="n">
        <x:v>1114582.7199230574</x:v>
      </x:c>
      <x:c r="D160" s="25" t="str">
        <x:v>tonnes</x:v>
      </x:c>
    </x:row>
    <x:row r="161" ht="18" customHeight="1">
      <x:c r="A161" s="25" t="str">
        <x:v>EEZ_050</x:v>
      </x:c>
      <x:c r="B161" s="25" t="str">
        <x:v>catch_coverage_fraction</x:v>
      </x:c>
      <x:c r="C161" s="25" t="n">
        <x:v>1</x:v>
      </x:c>
      <x:c r="D161" s="25" t="str">
        <x:v>fraction</x:v>
      </x:c>
    </x:row>
    <x:row r="162" ht="18" customHeight="1">
      <x:c r="A162" s="25" t="str">
        <x:v>EEZ_050</x:v>
      </x:c>
      <x:c r="B162" s="25" t="str">
        <x:v>taxa_count</x:v>
      </x:c>
      <x:c r="C162" s="25" t="n">
        <x:v>116</x:v>
      </x:c>
      <x:c r="D162" s="25" t="str">
        <x:v>count</x:v>
      </x:c>
    </x:row>
    <x:row r="163" ht="18" customHeight="1">
      <x:c r="A163" s="25" t="str">
        <x:v>EEZ_050</x:v>
      </x:c>
      <x:c r="B163" s="25" t="str">
        <x:v>matched_taxa_count</x:v>
      </x:c>
      <x:c r="C163" s="25" t="n">
        <x:v>116</x:v>
      </x:c>
      <x:c r="D163" s="25" t="str">
        <x:v>count</x:v>
      </x:c>
    </x:row>
    <x:row r="164" ht="18" customHeight="1">
      <x:c r="A164" s="25" t="str">
        <x:v>EEZ_050</x:v>
      </x:c>
      <x:c r="B164" s="25" t="str">
        <x:v>unmatched_taxa_count</x:v>
      </x:c>
      <x:c r="C164" s="25" t="n">
        <x:v>0</x:v>
      </x:c>
      <x:c r="D164" s="25" t="str">
        <x:v>count</x:v>
      </x:c>
    </x:row>
    <x:row r="165" ht="18" customHeight="1">
      <x:c r="A165" s="25" t="str">
        <x:v>EEZ_050</x:v>
      </x:c>
      <x:c r="B165" s="25" t="str">
        <x:v>species_ppr</x:v>
      </x:c>
      <x:c r="C165" s="25" t="n">
        <x:v>360072715.7005182</x:v>
      </x:c>
      <x:c r="D165" s="25" t="str">
        <x:v>tonnes_primary_production_equivalent</x:v>
      </x:c>
    </x:row>
    <x:row r="166" ht="18" customHeight="1">
      <x:c r="A166" s="25" t="str">
        <x:v>EEZ_050</x:v>
      </x:c>
      <x:c r="B166" s="25" t="str">
        <x:v>commercial_ppr</x:v>
      </x:c>
      <x:c r="C166" s="25" t="n">
        <x:v>234022123.55637613</x:v>
      </x:c>
      <x:c r="D166" s="25" t="str">
        <x:v>tonnes_primary_production_equivalent</x:v>
      </x:c>
    </x:row>
    <x:row r="167" ht="18" customHeight="1">
      <x:c r="A167" s="25" t="str">
        <x:v>EEZ_050</x:v>
      </x:c>
      <x:c r="B167" s="25" t="str">
        <x:v>functional_ppr</x:v>
      </x:c>
      <x:c r="C167" s="25" t="n">
        <x:v>281557475.2599753</x:v>
      </x:c>
      <x:c r="D167" s="25" t="str">
        <x:v>tonnes_primary_production_equivalent</x:v>
      </x:c>
    </x:row>
    <x:row r="168" ht="18" customHeight="1">
      <x:c r="A168" s="25" t="str">
        <x:v>EEZ_050</x:v>
      </x:c>
      <x:c r="B168" s="25" t="str">
        <x:v>commercial_ppr_difference</x:v>
      </x:c>
      <x:c r="C168" s="25" t="n">
        <x:v>-126050592.14414206</x:v>
      </x:c>
      <x:c r="D168" s="25" t="str">
        <x:v>tonnes_primary_production_equivalent</x:v>
      </x:c>
    </x:row>
    <x:row r="169" ht="18" customHeight="1">
      <x:c r="A169" s="25" t="str">
        <x:v>EEZ_050</x:v>
      </x:c>
      <x:c r="B169" s="25" t="str">
        <x:v>functional_ppr_difference</x:v>
      </x:c>
      <x:c r="C169" s="25" t="n">
        <x:v>-78515240.44054288</x:v>
      </x:c>
      <x:c r="D169" s="25" t="str">
        <x:v>tonnes_primary_production_equivalent</x:v>
      </x:c>
    </x:row>
    <x:row r="170" ht="18" customHeight="1">
      <x:c r="A170" s="25" t="str">
        <x:v>EEZ_052</x:v>
      </x:c>
      <x:c r="B170" s="25" t="str">
        <x:v>raw_filtered_tonnes</x:v>
      </x:c>
      <x:c r="C170" s="25" t="n">
        <x:v>3109.8835019504995</x:v>
      </x:c>
      <x:c r="D170" s="25" t="str">
        <x:v>tonnes</x:v>
      </x:c>
    </x:row>
    <x:row r="171" ht="18" customHeight="1">
      <x:c r="A171" s="25" t="str">
        <x:v>EEZ_052</x:v>
      </x:c>
      <x:c r="B171" s="25" t="str">
        <x:v>species_catch_tonnes</x:v>
      </x:c>
      <x:c r="C171" s="25" t="n">
        <x:v>3109.8835019505</x:v>
      </x:c>
      <x:c r="D171" s="25" t="str">
        <x:v>tonnes</x:v>
      </x:c>
    </x:row>
    <x:row r="172" ht="18" customHeight="1">
      <x:c r="A172" s="25" t="str">
        <x:v>EEZ_052</x:v>
      </x:c>
      <x:c r="B172" s="25" t="str">
        <x:v>catch_difference_tonnes</x:v>
      </x:c>
      <x:c r="C172" s="25" t="n">
        <x:v>4.547473508864641e-13</x:v>
      </x:c>
      <x:c r="D172" s="25" t="str">
        <x:v>tonnes</x:v>
      </x:c>
    </x:row>
    <x:row r="173" ht="18" customHeight="1">
      <x:c r="A173" s="25" t="str">
        <x:v>EEZ_052</x:v>
      </x:c>
      <x:c r="B173" s="25" t="str">
        <x:v>catch_reconciled</x:v>
      </x:c>
      <x:c r="C173" s="36" t="b">
        <x:v>1</x:v>
      </x:c>
      <x:c r="D173" s="25" t="str">
        <x:v>boolean</x:v>
      </x:c>
    </x:row>
    <x:row r="174" ht="18" customHeight="1">
      <x:c r="A174" s="25" t="str">
        <x:v>EEZ_052</x:v>
      </x:c>
      <x:c r="B174" s="25" t="str">
        <x:v>matched_catch_tonnes</x:v>
      </x:c>
      <x:c r="C174" s="25" t="n">
        <x:v>3109.8835019505</x:v>
      </x:c>
      <x:c r="D174" s="25" t="str">
        <x:v>tonnes</x:v>
      </x:c>
    </x:row>
    <x:row r="175" ht="18" customHeight="1">
      <x:c r="A175" s="25" t="str">
        <x:v>EEZ_052</x:v>
      </x:c>
      <x:c r="B175" s="25" t="str">
        <x:v>catch_coverage_fraction</x:v>
      </x:c>
      <x:c r="C175" s="25" t="n">
        <x:v>1</x:v>
      </x:c>
      <x:c r="D175" s="25" t="str">
        <x:v>fraction</x:v>
      </x:c>
    </x:row>
    <x:row r="176" ht="18" customHeight="1">
      <x:c r="A176" s="25" t="str">
        <x:v>EEZ_052</x:v>
      </x:c>
      <x:c r="B176" s="25" t="str">
        <x:v>taxa_count</x:v>
      </x:c>
      <x:c r="C176" s="25" t="n">
        <x:v>47</x:v>
      </x:c>
      <x:c r="D176" s="25" t="str">
        <x:v>count</x:v>
      </x:c>
    </x:row>
    <x:row r="177" ht="18" customHeight="1">
      <x:c r="A177" s="25" t="str">
        <x:v>EEZ_052</x:v>
      </x:c>
      <x:c r="B177" s="25" t="str">
        <x:v>matched_taxa_count</x:v>
      </x:c>
      <x:c r="C177" s="25" t="n">
        <x:v>47</x:v>
      </x:c>
      <x:c r="D177" s="25" t="str">
        <x:v>count</x:v>
      </x:c>
    </x:row>
    <x:row r="178" ht="18" customHeight="1">
      <x:c r="A178" s="25" t="str">
        <x:v>EEZ_052</x:v>
      </x:c>
      <x:c r="B178" s="25" t="str">
        <x:v>unmatched_taxa_count</x:v>
      </x:c>
      <x:c r="C178" s="25" t="n">
        <x:v>0</x:v>
      </x:c>
      <x:c r="D178" s="25" t="str">
        <x:v>count</x:v>
      </x:c>
    </x:row>
    <x:row r="179" ht="18" customHeight="1">
      <x:c r="A179" s="25" t="str">
        <x:v>EEZ_052</x:v>
      </x:c>
      <x:c r="B179" s="25" t="str">
        <x:v>species_ppr</x:v>
      </x:c>
      <x:c r="C179" s="25" t="n">
        <x:v>2898747.7148155924</x:v>
      </x:c>
      <x:c r="D179" s="25" t="str">
        <x:v>tonnes_primary_production_equivalent</x:v>
      </x:c>
    </x:row>
    <x:row r="180" ht="18" customHeight="1">
      <x:c r="A180" s="25" t="str">
        <x:v>EEZ_052</x:v>
      </x:c>
      <x:c r="B180" s="25" t="str">
        <x:v>commercial_ppr</x:v>
      </x:c>
      <x:c r="C180" s="25" t="n">
        <x:v>1886140.035361133</x:v>
      </x:c>
      <x:c r="D180" s="25" t="str">
        <x:v>tonnes_primary_production_equivalent</x:v>
      </x:c>
    </x:row>
    <x:row r="181" ht="18" customHeight="1">
      <x:c r="A181" s="25" t="str">
        <x:v>EEZ_052</x:v>
      </x:c>
      <x:c r="B181" s="25" t="str">
        <x:v>functional_ppr</x:v>
      </x:c>
      <x:c r="C181" s="25" t="n">
        <x:v>2710902.456865951</x:v>
      </x:c>
      <x:c r="D181" s="25" t="str">
        <x:v>tonnes_primary_production_equivalent</x:v>
      </x:c>
    </x:row>
    <x:row r="182" ht="18" customHeight="1">
      <x:c r="A182" s="25" t="str">
        <x:v>EEZ_052</x:v>
      </x:c>
      <x:c r="B182" s="25" t="str">
        <x:v>commercial_ppr_difference</x:v>
      </x:c>
      <x:c r="C182" s="25" t="n">
        <x:v>-1012607.6794544593</x:v>
      </x:c>
      <x:c r="D182" s="25" t="str">
        <x:v>tonnes_primary_production_equivalent</x:v>
      </x:c>
    </x:row>
    <x:row r="183" ht="18" customHeight="1">
      <x:c r="A183" s="25" t="str">
        <x:v>EEZ_052</x:v>
      </x:c>
      <x:c r="B183" s="25" t="str">
        <x:v>functional_ppr_difference</x:v>
      </x:c>
      <x:c r="C183" s="25" t="n">
        <x:v>-187845.25794964144</x:v>
      </x:c>
      <x:c r="D183" s="25" t="str">
        <x:v>tonnes_primary_production_equivalent</x:v>
      </x:c>
    </x:row>
    <x:row r="184" ht="18" customHeight="1">
      <x:c r="A184" s="25" t="str">
        <x:v>EEZ_056</x:v>
      </x:c>
      <x:c r="B184" s="25" t="str">
        <x:v>raw_filtered_tonnes</x:v>
      </x:c>
      <x:c r="C184" s="25" t="n">
        <x:v>4482.8223030263</x:v>
      </x:c>
      <x:c r="D184" s="25" t="str">
        <x:v>tonnes</x:v>
      </x:c>
    </x:row>
    <x:row r="185" ht="18" customHeight="1">
      <x:c r="A185" s="25" t="str">
        <x:v>EEZ_056</x:v>
      </x:c>
      <x:c r="B185" s="25" t="str">
        <x:v>species_catch_tonnes</x:v>
      </x:c>
      <x:c r="C185" s="25" t="n">
        <x:v>4482.8223030263</x:v>
      </x:c>
      <x:c r="D185" s="25" t="str">
        <x:v>tonnes</x:v>
      </x:c>
    </x:row>
    <x:row r="186" ht="18" customHeight="1">
      <x:c r="A186" s="25" t="str">
        <x:v>EEZ_056</x:v>
      </x:c>
      <x:c r="B186" s="25" t="str">
        <x:v>catch_difference_tonnes</x:v>
      </x:c>
      <x:c r="C186" s="25" t="n">
        <x:v>0</x:v>
      </x:c>
      <x:c r="D186" s="25" t="str">
        <x:v>tonnes</x:v>
      </x:c>
    </x:row>
    <x:row r="187" ht="18" customHeight="1">
      <x:c r="A187" s="25" t="str">
        <x:v>EEZ_056</x:v>
      </x:c>
      <x:c r="B187" s="25" t="str">
        <x:v>catch_reconciled</x:v>
      </x:c>
      <x:c r="C187" s="36" t="b">
        <x:v>1</x:v>
      </x:c>
      <x:c r="D187" s="25" t="str">
        <x:v>boolean</x:v>
      </x:c>
    </x:row>
    <x:row r="188" ht="18" customHeight="1">
      <x:c r="A188" s="25" t="str">
        <x:v>EEZ_056</x:v>
      </x:c>
      <x:c r="B188" s="25" t="str">
        <x:v>matched_catch_tonnes</x:v>
      </x:c>
      <x:c r="C188" s="25" t="n">
        <x:v>4482.8223030263</x:v>
      </x:c>
      <x:c r="D188" s="25" t="str">
        <x:v>tonnes</x:v>
      </x:c>
    </x:row>
    <x:row r="189" ht="18" customHeight="1">
      <x:c r="A189" s="25" t="str">
        <x:v>EEZ_056</x:v>
      </x:c>
      <x:c r="B189" s="25" t="str">
        <x:v>catch_coverage_fraction</x:v>
      </x:c>
      <x:c r="C189" s="25" t="n">
        <x:v>1</x:v>
      </x:c>
      <x:c r="D189" s="25" t="str">
        <x:v>fraction</x:v>
      </x:c>
    </x:row>
    <x:row r="190" ht="18" customHeight="1">
      <x:c r="A190" s="25" t="str">
        <x:v>EEZ_056</x:v>
      </x:c>
      <x:c r="B190" s="25" t="str">
        <x:v>taxa_count</x:v>
      </x:c>
      <x:c r="C190" s="25" t="n">
        <x:v>153</x:v>
      </x:c>
      <x:c r="D190" s="25" t="str">
        <x:v>count</x:v>
      </x:c>
    </x:row>
    <x:row r="191" ht="18" customHeight="1">
      <x:c r="A191" s="25" t="str">
        <x:v>EEZ_056</x:v>
      </x:c>
      <x:c r="B191" s="25" t="str">
        <x:v>matched_taxa_count</x:v>
      </x:c>
      <x:c r="C191" s="25" t="n">
        <x:v>153</x:v>
      </x:c>
      <x:c r="D191" s="25" t="str">
        <x:v>count</x:v>
      </x:c>
    </x:row>
    <x:row r="192" ht="18" customHeight="1">
      <x:c r="A192" s="25" t="str">
        <x:v>EEZ_056</x:v>
      </x:c>
      <x:c r="B192" s="25" t="str">
        <x:v>unmatched_taxa_count</x:v>
      </x:c>
      <x:c r="C192" s="25" t="n">
        <x:v>0</x:v>
      </x:c>
      <x:c r="D192" s="25" t="str">
        <x:v>count</x:v>
      </x:c>
    </x:row>
    <x:row r="193" ht="18" customHeight="1">
      <x:c r="A193" s="25" t="str">
        <x:v>EEZ_056</x:v>
      </x:c>
      <x:c r="B193" s="25" t="str">
        <x:v>species_ppr</x:v>
      </x:c>
      <x:c r="C193" s="25" t="n">
        <x:v>2108407.8501594816</x:v>
      </x:c>
      <x:c r="D193" s="25" t="str">
        <x:v>tonnes_primary_production_equivalent</x:v>
      </x:c>
    </x:row>
    <x:row r="194" ht="18" customHeight="1">
      <x:c r="A194" s="25" t="str">
        <x:v>EEZ_056</x:v>
      </x:c>
      <x:c r="B194" s="25" t="str">
        <x:v>commercial_ppr</x:v>
      </x:c>
      <x:c r="C194" s="25" t="n">
        <x:v>1812010.9218323133</x:v>
      </x:c>
      <x:c r="D194" s="25" t="str">
        <x:v>tonnes_primary_production_equivalent</x:v>
      </x:c>
    </x:row>
    <x:row r="195" ht="18" customHeight="1">
      <x:c r="A195" s="25" t="str">
        <x:v>EEZ_056</x:v>
      </x:c>
      <x:c r="B195" s="25" t="str">
        <x:v>functional_ppr</x:v>
      </x:c>
      <x:c r="C195" s="25" t="n">
        <x:v>1905854.5519366036</x:v>
      </x:c>
      <x:c r="D195" s="25" t="str">
        <x:v>tonnes_primary_production_equivalent</x:v>
      </x:c>
    </x:row>
    <x:row r="196" ht="18" customHeight="1">
      <x:c r="A196" s="25" t="str">
        <x:v>EEZ_056</x:v>
      </x:c>
      <x:c r="B196" s="25" t="str">
        <x:v>commercial_ppr_difference</x:v>
      </x:c>
      <x:c r="C196" s="25" t="n">
        <x:v>-296396.92832716834</x:v>
      </x:c>
      <x:c r="D196" s="25" t="str">
        <x:v>tonnes_primary_production_equivalent</x:v>
      </x:c>
    </x:row>
    <x:row r="197" ht="18" customHeight="1">
      <x:c r="A197" s="25" t="str">
        <x:v>EEZ_056</x:v>
      </x:c>
      <x:c r="B197" s="25" t="str">
        <x:v>functional_ppr_difference</x:v>
      </x:c>
      <x:c r="C197" s="25" t="n">
        <x:v>-202553.29822287802</x:v>
      </x:c>
      <x:c r="D197" s="25" t="str">
        <x:v>tonnes_primary_production_equivalent</x:v>
      </x:c>
    </x:row>
    <x:row r="198" ht="18" customHeight="1">
      <x:c r="A198" s="25" t="str">
        <x:v>EEZ_060</x:v>
      </x:c>
      <x:c r="B198" s="25" t="str">
        <x:v>raw_filtered_tonnes</x:v>
      </x:c>
      <x:c r="C198" s="25" t="n">
        <x:v>873.7608096846</x:v>
      </x:c>
      <x:c r="D198" s="25" t="str">
        <x:v>tonnes</x:v>
      </x:c>
    </x:row>
    <x:row r="199" ht="18" customHeight="1">
      <x:c r="A199" s="25" t="str">
        <x:v>EEZ_060</x:v>
      </x:c>
      <x:c r="B199" s="25" t="str">
        <x:v>species_catch_tonnes</x:v>
      </x:c>
      <x:c r="C199" s="25" t="n">
        <x:v>873.7608096846</x:v>
      </x:c>
      <x:c r="D199" s="25" t="str">
        <x:v>tonnes</x:v>
      </x:c>
    </x:row>
    <x:row r="200" ht="18" customHeight="1">
      <x:c r="A200" s="25" t="str">
        <x:v>EEZ_060</x:v>
      </x:c>
      <x:c r="B200" s="25" t="str">
        <x:v>catch_difference_tonnes</x:v>
      </x:c>
      <x:c r="C200" s="25" t="n">
        <x:v>0</x:v>
      </x:c>
      <x:c r="D200" s="25" t="str">
        <x:v>tonnes</x:v>
      </x:c>
    </x:row>
    <x:row r="201" ht="18" customHeight="1">
      <x:c r="A201" s="25" t="str">
        <x:v>EEZ_060</x:v>
      </x:c>
      <x:c r="B201" s="25" t="str">
        <x:v>catch_reconciled</x:v>
      </x:c>
      <x:c r="C201" s="36" t="b">
        <x:v>1</x:v>
      </x:c>
      <x:c r="D201" s="25" t="str">
        <x:v>boolean</x:v>
      </x:c>
    </x:row>
    <x:row r="202" ht="18" customHeight="1">
      <x:c r="A202" s="25" t="str">
        <x:v>EEZ_060</x:v>
      </x:c>
      <x:c r="B202" s="25" t="str">
        <x:v>matched_catch_tonnes</x:v>
      </x:c>
      <x:c r="C202" s="25" t="n">
        <x:v>873.7608096846</x:v>
      </x:c>
      <x:c r="D202" s="25" t="str">
        <x:v>tonnes</x:v>
      </x:c>
    </x:row>
    <x:row r="203" ht="18" customHeight="1">
      <x:c r="A203" s="25" t="str">
        <x:v>EEZ_060</x:v>
      </x:c>
      <x:c r="B203" s="25" t="str">
        <x:v>catch_coverage_fraction</x:v>
      </x:c>
      <x:c r="C203" s="25" t="n">
        <x:v>1</x:v>
      </x:c>
      <x:c r="D203" s="25" t="str">
        <x:v>fraction</x:v>
      </x:c>
    </x:row>
    <x:row r="204" ht="18" customHeight="1">
      <x:c r="A204" s="25" t="str">
        <x:v>EEZ_060</x:v>
      </x:c>
      <x:c r="B204" s="25" t="str">
        <x:v>taxa_count</x:v>
      </x:c>
      <x:c r="C204" s="25" t="n">
        <x:v>37</x:v>
      </x:c>
      <x:c r="D204" s="25" t="str">
        <x:v>count</x:v>
      </x:c>
    </x:row>
    <x:row r="205" ht="18" customHeight="1">
      <x:c r="A205" s="25" t="str">
        <x:v>EEZ_060</x:v>
      </x:c>
      <x:c r="B205" s="25" t="str">
        <x:v>matched_taxa_count</x:v>
      </x:c>
      <x:c r="C205" s="25" t="n">
        <x:v>37</x:v>
      </x:c>
      <x:c r="D205" s="25" t="str">
        <x:v>count</x:v>
      </x:c>
    </x:row>
    <x:row r="206" ht="18" customHeight="1">
      <x:c r="A206" s="25" t="str">
        <x:v>EEZ_060</x:v>
      </x:c>
      <x:c r="B206" s="25" t="str">
        <x:v>unmatched_taxa_count</x:v>
      </x:c>
      <x:c r="C206" s="25" t="n">
        <x:v>0</x:v>
      </x:c>
      <x:c r="D206" s="25" t="str">
        <x:v>count</x:v>
      </x:c>
    </x:row>
    <x:row r="207" ht="18" customHeight="1">
      <x:c r="A207" s="25" t="str">
        <x:v>EEZ_060</x:v>
      </x:c>
      <x:c r="B207" s="25" t="str">
        <x:v>species_ppr</x:v>
      </x:c>
      <x:c r="C207" s="25" t="n">
        <x:v>1333927.0877780484</x:v>
      </x:c>
      <x:c r="D207" s="25" t="str">
        <x:v>tonnes_primary_production_equivalent</x:v>
      </x:c>
    </x:row>
    <x:row r="208" ht="18" customHeight="1">
      <x:c r="A208" s="25" t="str">
        <x:v>EEZ_060</x:v>
      </x:c>
      <x:c r="B208" s="25" t="str">
        <x:v>commercial_ppr</x:v>
      </x:c>
      <x:c r="C208" s="25" t="n">
        <x:v>1251944.594745224</x:v>
      </x:c>
      <x:c r="D208" s="25" t="str">
        <x:v>tonnes_primary_production_equivalent</x:v>
      </x:c>
    </x:row>
    <x:row r="209" ht="18" customHeight="1">
      <x:c r="A209" s="25" t="str">
        <x:v>EEZ_060</x:v>
      </x:c>
      <x:c r="B209" s="25" t="str">
        <x:v>functional_ppr</x:v>
      </x:c>
      <x:c r="C209" s="25" t="n">
        <x:v>1293320.29206535</x:v>
      </x:c>
      <x:c r="D209" s="25" t="str">
        <x:v>tonnes_primary_production_equivalent</x:v>
      </x:c>
    </x:row>
    <x:row r="210" ht="18" customHeight="1">
      <x:c r="A210" s="25" t="str">
        <x:v>EEZ_060</x:v>
      </x:c>
      <x:c r="B210" s="25" t="str">
        <x:v>commercial_ppr_difference</x:v>
      </x:c>
      <x:c r="C210" s="25" t="n">
        <x:v>-81982.49303282425</x:v>
      </x:c>
      <x:c r="D210" s="25" t="str">
        <x:v>tonnes_primary_production_equivalent</x:v>
      </x:c>
    </x:row>
    <x:row r="211" ht="18" customHeight="1">
      <x:c r="A211" s="25" t="str">
        <x:v>EEZ_060</x:v>
      </x:c>
      <x:c r="B211" s="25" t="str">
        <x:v>functional_ppr_difference</x:v>
      </x:c>
      <x:c r="C211" s="25" t="n">
        <x:v>-40606.79571269825</x:v>
      </x:c>
      <x:c r="D211" s="25" t="str">
        <x:v>tonnes_primary_production_equivalent</x:v>
      </x:c>
    </x:row>
    <x:row r="212" ht="18" customHeight="1">
      <x:c r="A212" s="25" t="str">
        <x:v>EEZ_070</x:v>
      </x:c>
      <x:c r="B212" s="25" t="str">
        <x:v>raw_filtered_tonnes</x:v>
      </x:c>
      <x:c r="C212" s="25" t="n">
        <x:v>61.020557292999996</x:v>
      </x:c>
      <x:c r="D212" s="25" t="str">
        <x:v>tonnes</x:v>
      </x:c>
    </x:row>
    <x:row r="213" ht="18" customHeight="1">
      <x:c r="A213" s="25" t="str">
        <x:v>EEZ_070</x:v>
      </x:c>
      <x:c r="B213" s="25" t="str">
        <x:v>species_catch_tonnes</x:v>
      </x:c>
      <x:c r="C213" s="25" t="n">
        <x:v>61.02055729300001</x:v>
      </x:c>
      <x:c r="D213" s="25" t="str">
        <x:v>tonnes</x:v>
      </x:c>
    </x:row>
    <x:row r="214" ht="18" customHeight="1">
      <x:c r="A214" s="25" t="str">
        <x:v>EEZ_070</x:v>
      </x:c>
      <x:c r="B214" s="25" t="str">
        <x:v>catch_difference_tonnes</x:v>
      </x:c>
      <x:c r="C214" s="25" t="n">
        <x:v>1.4210854715202004e-14</x:v>
      </x:c>
      <x:c r="D214" s="25" t="str">
        <x:v>tonnes</x:v>
      </x:c>
    </x:row>
    <x:row r="215" ht="18" customHeight="1">
      <x:c r="A215" s="25" t="str">
        <x:v>EEZ_070</x:v>
      </x:c>
      <x:c r="B215" s="25" t="str">
        <x:v>catch_reconciled</x:v>
      </x:c>
      <x:c r="C215" s="36" t="b">
        <x:v>1</x:v>
      </x:c>
      <x:c r="D215" s="25" t="str">
        <x:v>boolean</x:v>
      </x:c>
    </x:row>
    <x:row r="216" ht="18" customHeight="1">
      <x:c r="A216" s="25" t="str">
        <x:v>EEZ_070</x:v>
      </x:c>
      <x:c r="B216" s="25" t="str">
        <x:v>matched_catch_tonnes</x:v>
      </x:c>
      <x:c r="C216" s="25" t="n">
        <x:v>61.02055729300001</x:v>
      </x:c>
      <x:c r="D216" s="25" t="str">
        <x:v>tonnes</x:v>
      </x:c>
    </x:row>
    <x:row r="217" ht="18" customHeight="1">
      <x:c r="A217" s="25" t="str">
        <x:v>EEZ_070</x:v>
      </x:c>
      <x:c r="B217" s="25" t="str">
        <x:v>catch_coverage_fraction</x:v>
      </x:c>
      <x:c r="C217" s="25" t="n">
        <x:v>1</x:v>
      </x:c>
      <x:c r="D217" s="25" t="str">
        <x:v>fraction</x:v>
      </x:c>
    </x:row>
    <x:row r="218" ht="18" customHeight="1">
      <x:c r="A218" s="25" t="str">
        <x:v>EEZ_070</x:v>
      </x:c>
      <x:c r="B218" s="25" t="str">
        <x:v>taxa_count</x:v>
      </x:c>
      <x:c r="C218" s="25" t="n">
        <x:v>45</x:v>
      </x:c>
      <x:c r="D218" s="25" t="str">
        <x:v>count</x:v>
      </x:c>
    </x:row>
    <x:row r="219" ht="18" customHeight="1">
      <x:c r="A219" s="25" t="str">
        <x:v>EEZ_070</x:v>
      </x:c>
      <x:c r="B219" s="25" t="str">
        <x:v>matched_taxa_count</x:v>
      </x:c>
      <x:c r="C219" s="25" t="n">
        <x:v>45</x:v>
      </x:c>
      <x:c r="D219" s="25" t="str">
        <x:v>count</x:v>
      </x:c>
    </x:row>
    <x:row r="220" ht="18" customHeight="1">
      <x:c r="A220" s="25" t="str">
        <x:v>EEZ_070</x:v>
      </x:c>
      <x:c r="B220" s="25" t="str">
        <x:v>unmatched_taxa_count</x:v>
      </x:c>
      <x:c r="C220" s="25" t="n">
        <x:v>0</x:v>
      </x:c>
      <x:c r="D220" s="25" t="str">
        <x:v>count</x:v>
      </x:c>
    </x:row>
    <x:row r="221" ht="18" customHeight="1">
      <x:c r="A221" s="25" t="str">
        <x:v>EEZ_070</x:v>
      </x:c>
      <x:c r="B221" s="25" t="str">
        <x:v>species_ppr</x:v>
      </x:c>
      <x:c r="C221" s="25" t="n">
        <x:v>12983.384180443847</x:v>
      </x:c>
      <x:c r="D221" s="25" t="str">
        <x:v>tonnes_primary_production_equivalent</x:v>
      </x:c>
    </x:row>
    <x:row r="222" ht="18" customHeight="1">
      <x:c r="A222" s="25" t="str">
        <x:v>EEZ_070</x:v>
      </x:c>
      <x:c r="B222" s="25" t="str">
        <x:v>commercial_ppr</x:v>
      </x:c>
      <x:c r="C222" s="25" t="n">
        <x:v>11634.024343338317</x:v>
      </x:c>
      <x:c r="D222" s="25" t="str">
        <x:v>tonnes_primary_production_equivalent</x:v>
      </x:c>
    </x:row>
    <x:row r="223" ht="18" customHeight="1">
      <x:c r="A223" s="25" t="str">
        <x:v>EEZ_070</x:v>
      </x:c>
      <x:c r="B223" s="25" t="str">
        <x:v>functional_ppr</x:v>
      </x:c>
      <x:c r="C223" s="25" t="n">
        <x:v>12652.496947797641</x:v>
      </x:c>
      <x:c r="D223" s="25" t="str">
        <x:v>tonnes_primary_production_equivalent</x:v>
      </x:c>
    </x:row>
    <x:row r="224" ht="18" customHeight="1">
      <x:c r="A224" s="25" t="str">
        <x:v>EEZ_070</x:v>
      </x:c>
      <x:c r="B224" s="25" t="str">
        <x:v>commercial_ppr_difference</x:v>
      </x:c>
      <x:c r="C224" s="25" t="n">
        <x:v>-1349.3598371055305</x:v>
      </x:c>
      <x:c r="D224" s="25" t="str">
        <x:v>tonnes_primary_production_equivalent</x:v>
      </x:c>
    </x:row>
    <x:row r="225" ht="18" customHeight="1">
      <x:c r="A225" s="25" t="str">
        <x:v>EEZ_070</x:v>
      </x:c>
      <x:c r="B225" s="25" t="str">
        <x:v>functional_ppr_difference</x:v>
      </x:c>
      <x:c r="C225" s="25" t="n">
        <x:v>-330.88723264620603</x:v>
      </x:c>
      <x:c r="D225" s="25" t="str">
        <x:v>tonnes_primary_production_equivalent</x:v>
      </x:c>
    </x:row>
    <x:row r="226" ht="18" customHeight="1">
      <x:c r="A226" s="25" t="str">
        <x:v>EEZ_074</x:v>
      </x:c>
      <x:c r="B226" s="25" t="str">
        <x:v>raw_filtered_tonnes</x:v>
      </x:c>
      <x:c r="C226" s="25" t="n">
        <x:v>133.56110065550004</x:v>
      </x:c>
      <x:c r="D226" s="25" t="str">
        <x:v>tonnes</x:v>
      </x:c>
    </x:row>
    <x:row r="227" ht="18" customHeight="1">
      <x:c r="A227" s="25" t="str">
        <x:v>EEZ_074</x:v>
      </x:c>
      <x:c r="B227" s="25" t="str">
        <x:v>species_catch_tonnes</x:v>
      </x:c>
      <x:c r="C227" s="25" t="n">
        <x:v>133.56110065549998</x:v>
      </x:c>
      <x:c r="D227" s="25" t="str">
        <x:v>tonnes</x:v>
      </x:c>
    </x:row>
    <x:row r="228" ht="18" customHeight="1">
      <x:c r="A228" s="25" t="str">
        <x:v>EEZ_074</x:v>
      </x:c>
      <x:c r="B228" s="25" t="str">
        <x:v>catch_difference_tonnes</x:v>
      </x:c>
      <x:c r="C228" s="25" t="n">
        <x:v>-5.684341886080802e-14</x:v>
      </x:c>
      <x:c r="D228" s="25" t="str">
        <x:v>tonnes</x:v>
      </x:c>
    </x:row>
    <x:row r="229" ht="18" customHeight="1">
      <x:c r="A229" s="25" t="str">
        <x:v>EEZ_074</x:v>
      </x:c>
      <x:c r="B229" s="25" t="str">
        <x:v>catch_reconciled</x:v>
      </x:c>
      <x:c r="C229" s="36" t="b">
        <x:v>1</x:v>
      </x:c>
      <x:c r="D229" s="25" t="str">
        <x:v>boolean</x:v>
      </x:c>
    </x:row>
    <x:row r="230" ht="18" customHeight="1">
      <x:c r="A230" s="25" t="str">
        <x:v>EEZ_074</x:v>
      </x:c>
      <x:c r="B230" s="25" t="str">
        <x:v>matched_catch_tonnes</x:v>
      </x:c>
      <x:c r="C230" s="25" t="n">
        <x:v>133.56110065549998</x:v>
      </x:c>
      <x:c r="D230" s="25" t="str">
        <x:v>tonnes</x:v>
      </x:c>
    </x:row>
    <x:row r="231" ht="18" customHeight="1">
      <x:c r="A231" s="25" t="str">
        <x:v>EEZ_074</x:v>
      </x:c>
      <x:c r="B231" s="25" t="str">
        <x:v>catch_coverage_fraction</x:v>
      </x:c>
      <x:c r="C231" s="25" t="n">
        <x:v>1</x:v>
      </x:c>
      <x:c r="D231" s="25" t="str">
        <x:v>fraction</x:v>
      </x:c>
    </x:row>
    <x:row r="232" ht="18" customHeight="1">
      <x:c r="A232" s="25" t="str">
        <x:v>EEZ_074</x:v>
      </x:c>
      <x:c r="B232" s="25" t="str">
        <x:v>taxa_count</x:v>
      </x:c>
      <x:c r="C232" s="25" t="n">
        <x:v>10</x:v>
      </x:c>
      <x:c r="D232" s="25" t="str">
        <x:v>count</x:v>
      </x:c>
    </x:row>
    <x:row r="233" ht="18" customHeight="1">
      <x:c r="A233" s="25" t="str">
        <x:v>EEZ_074</x:v>
      </x:c>
      <x:c r="B233" s="25" t="str">
        <x:v>matched_taxa_count</x:v>
      </x:c>
      <x:c r="C233" s="25" t="n">
        <x:v>10</x:v>
      </x:c>
      <x:c r="D233" s="25" t="str">
        <x:v>count</x:v>
      </x:c>
    </x:row>
    <x:row r="234" ht="18" customHeight="1">
      <x:c r="A234" s="25" t="str">
        <x:v>EEZ_074</x:v>
      </x:c>
      <x:c r="B234" s="25" t="str">
        <x:v>unmatched_taxa_count</x:v>
      </x:c>
      <x:c r="C234" s="25" t="n">
        <x:v>0</x:v>
      </x:c>
      <x:c r="D234" s="25" t="str">
        <x:v>count</x:v>
      </x:c>
    </x:row>
    <x:row r="235" ht="18" customHeight="1">
      <x:c r="A235" s="25" t="str">
        <x:v>EEZ_074</x:v>
      </x:c>
      <x:c r="B235" s="25" t="str">
        <x:v>species_ppr</x:v>
      </x:c>
      <x:c r="C235" s="25" t="n">
        <x:v>25983.663702706264</x:v>
      </x:c>
      <x:c r="D235" s="25" t="str">
        <x:v>tonnes_primary_production_equivalent</x:v>
      </x:c>
    </x:row>
    <x:row r="236" ht="18" customHeight="1">
      <x:c r="A236" s="25" t="str">
        <x:v>EEZ_074</x:v>
      </x:c>
      <x:c r="B236" s="25" t="str">
        <x:v>commercial_ppr</x:v>
      </x:c>
      <x:c r="C236" s="25" t="n">
        <x:v>25983.597329467488</x:v>
      </x:c>
      <x:c r="D236" s="25" t="str">
        <x:v>tonnes_primary_production_equivalent</x:v>
      </x:c>
    </x:row>
    <x:row r="237" ht="18" customHeight="1">
      <x:c r="A237" s="25" t="str">
        <x:v>EEZ_074</x:v>
      </x:c>
      <x:c r="B237" s="25" t="str">
        <x:v>functional_ppr</x:v>
      </x:c>
      <x:c r="C237" s="25" t="n">
        <x:v>25983.51206298795</x:v>
      </x:c>
      <x:c r="D237" s="25" t="str">
        <x:v>tonnes_primary_production_equivalent</x:v>
      </x:c>
    </x:row>
    <x:row r="238" ht="18" customHeight="1">
      <x:c r="A238" s="25" t="str">
        <x:v>EEZ_074</x:v>
      </x:c>
      <x:c r="B238" s="25" t="str">
        <x:v>commercial_ppr_difference</x:v>
      </x:c>
      <x:c r="C238" s="25" t="n">
        <x:v>-0.06637323877657764</x:v>
      </x:c>
      <x:c r="D238" s="25" t="str">
        <x:v>tonnes_primary_production_equivalent</x:v>
      </x:c>
    </x:row>
    <x:row r="239" ht="18" customHeight="1">
      <x:c r="A239" s="25" t="str">
        <x:v>EEZ_074</x:v>
      </x:c>
      <x:c r="B239" s="25" t="str">
        <x:v>functional_ppr_difference</x:v>
      </x:c>
      <x:c r="C239" s="25" t="n">
        <x:v>-0.15163971831498202</x:v>
      </x:c>
      <x:c r="D239" s="25" t="str">
        <x:v>tonnes_primary_production_equivalent</x:v>
      </x:c>
    </x:row>
    <x:row r="240" ht="18" customHeight="1">
      <x:c r="A240" s="25" t="str">
        <x:v>EEZ_076</x:v>
      </x:c>
      <x:c r="B240" s="25" t="str">
        <x:v>raw_filtered_tonnes</x:v>
      </x:c>
      <x:c r="C240" s="25" t="n">
        <x:v>904109.1796290668</x:v>
      </x:c>
      <x:c r="D240" s="25" t="str">
        <x:v>tonnes</x:v>
      </x:c>
    </x:row>
    <x:row r="241" ht="18" customHeight="1">
      <x:c r="A241" s="25" t="str">
        <x:v>EEZ_076</x:v>
      </x:c>
      <x:c r="B241" s="25" t="str">
        <x:v>species_catch_tonnes</x:v>
      </x:c>
      <x:c r="C241" s="25" t="n">
        <x:v>904109.1796290667</x:v>
      </x:c>
      <x:c r="D241" s="25" t="str">
        <x:v>tonnes</x:v>
      </x:c>
    </x:row>
    <x:row r="242" ht="18" customHeight="1">
      <x:c r="A242" s="25" t="str">
        <x:v>EEZ_076</x:v>
      </x:c>
      <x:c r="B242" s="25" t="str">
        <x:v>catch_difference_tonnes</x:v>
      </x:c>
      <x:c r="C242" s="25" t="n">
        <x:v>-1.1641532182693481e-10</x:v>
      </x:c>
      <x:c r="D242" s="25" t="str">
        <x:v>tonnes</x:v>
      </x:c>
    </x:row>
    <x:row r="243" ht="18" customHeight="1">
      <x:c r="A243" s="25" t="str">
        <x:v>EEZ_076</x:v>
      </x:c>
      <x:c r="B243" s="25" t="str">
        <x:v>catch_reconciled</x:v>
      </x:c>
      <x:c r="C243" s="36" t="b">
        <x:v>1</x:v>
      </x:c>
      <x:c r="D243" s="25" t="str">
        <x:v>boolean</x:v>
      </x:c>
    </x:row>
    <x:row r="244" ht="18" customHeight="1">
      <x:c r="A244" s="25" t="str">
        <x:v>EEZ_076</x:v>
      </x:c>
      <x:c r="B244" s="25" t="str">
        <x:v>matched_catch_tonnes</x:v>
      </x:c>
      <x:c r="C244" s="25" t="n">
        <x:v>904109.1796290667</x:v>
      </x:c>
      <x:c r="D244" s="25" t="str">
        <x:v>tonnes</x:v>
      </x:c>
    </x:row>
    <x:row r="245" ht="18" customHeight="1">
      <x:c r="A245" s="25" t="str">
        <x:v>EEZ_076</x:v>
      </x:c>
      <x:c r="B245" s="25" t="str">
        <x:v>catch_coverage_fraction</x:v>
      </x:c>
      <x:c r="C245" s="25" t="n">
        <x:v>1</x:v>
      </x:c>
      <x:c r="D245" s="25" t="str">
        <x:v>fraction</x:v>
      </x:c>
    </x:row>
    <x:row r="246" ht="18" customHeight="1">
      <x:c r="A246" s="25" t="str">
        <x:v>EEZ_076</x:v>
      </x:c>
      <x:c r="B246" s="25" t="str">
        <x:v>taxa_count</x:v>
      </x:c>
      <x:c r="C246" s="25" t="n">
        <x:v>274</x:v>
      </x:c>
      <x:c r="D246" s="25" t="str">
        <x:v>count</x:v>
      </x:c>
    </x:row>
    <x:row r="247" ht="18" customHeight="1">
      <x:c r="A247" s="25" t="str">
        <x:v>EEZ_076</x:v>
      </x:c>
      <x:c r="B247" s="25" t="str">
        <x:v>matched_taxa_count</x:v>
      </x:c>
      <x:c r="C247" s="25" t="n">
        <x:v>274</x:v>
      </x:c>
      <x:c r="D247" s="25" t="str">
        <x:v>count</x:v>
      </x:c>
    </x:row>
    <x:row r="248" ht="18" customHeight="1">
      <x:c r="A248" s="25" t="str">
        <x:v>EEZ_076</x:v>
      </x:c>
      <x:c r="B248" s="25" t="str">
        <x:v>unmatched_taxa_count</x:v>
      </x:c>
      <x:c r="C248" s="25" t="n">
        <x:v>0</x:v>
      </x:c>
      <x:c r="D248" s="25" t="str">
        <x:v>count</x:v>
      </x:c>
    </x:row>
    <x:row r="249" ht="18" customHeight="1">
      <x:c r="A249" s="25" t="str">
        <x:v>EEZ_076</x:v>
      </x:c>
      <x:c r="B249" s="25" t="str">
        <x:v>species_ppr</x:v>
      </x:c>
      <x:c r="C249" s="25" t="n">
        <x:v>632611601.862448</x:v>
      </x:c>
      <x:c r="D249" s="25" t="str">
        <x:v>tonnes_primary_production_equivalent</x:v>
      </x:c>
    </x:row>
    <x:row r="250" ht="18" customHeight="1">
      <x:c r="A250" s="25" t="str">
        <x:v>EEZ_076</x:v>
      </x:c>
      <x:c r="B250" s="25" t="str">
        <x:v>commercial_ppr</x:v>
      </x:c>
      <x:c r="C250" s="25" t="n">
        <x:v>441232318.29396504</x:v>
      </x:c>
      <x:c r="D250" s="25" t="str">
        <x:v>tonnes_primary_production_equivalent</x:v>
      </x:c>
    </x:row>
    <x:row r="251" ht="18" customHeight="1">
      <x:c r="A251" s="25" t="str">
        <x:v>EEZ_076</x:v>
      </x:c>
      <x:c r="B251" s="25" t="str">
        <x:v>functional_ppr</x:v>
      </x:c>
      <x:c r="C251" s="25" t="n">
        <x:v>503604725.6354581</x:v>
      </x:c>
      <x:c r="D251" s="25" t="str">
        <x:v>tonnes_primary_production_equivalent</x:v>
      </x:c>
    </x:row>
    <x:row r="252" ht="18" customHeight="1">
      <x:c r="A252" s="25" t="str">
        <x:v>EEZ_076</x:v>
      </x:c>
      <x:c r="B252" s="25" t="str">
        <x:v>commercial_ppr_difference</x:v>
      </x:c>
      <x:c r="C252" s="25" t="n">
        <x:v>-191379283.56848294</x:v>
      </x:c>
      <x:c r="D252" s="25" t="str">
        <x:v>tonnes_primary_production_equivalent</x:v>
      </x:c>
    </x:row>
    <x:row r="253" ht="18" customHeight="1">
      <x:c r="A253" s="25" t="str">
        <x:v>EEZ_076</x:v>
      </x:c>
      <x:c r="B253" s="25" t="str">
        <x:v>functional_ppr_difference</x:v>
      </x:c>
      <x:c r="C253" s="25" t="n">
        <x:v>-129006876.22698987</x:v>
      </x:c>
      <x:c r="D253" s="25" t="str">
        <x:v>tonnes_primary_production_equivalent</x:v>
      </x:c>
    </x:row>
    <x:row r="254" ht="18" customHeight="1">
      <x:c r="A254" s="25" t="str">
        <x:v>EEZ_077</x:v>
      </x:c>
      <x:c r="B254" s="25" t="str">
        <x:v>raw_filtered_tonnes</x:v>
      </x:c>
      <x:c r="C254" s="25" t="n">
        <x:v>6471.8616207145005</x:v>
      </x:c>
      <x:c r="D254" s="25" t="str">
        <x:v>tonnes</x:v>
      </x:c>
    </x:row>
    <x:row r="255" ht="18" customHeight="1">
      <x:c r="A255" s="25" t="str">
        <x:v>EEZ_077</x:v>
      </x:c>
      <x:c r="B255" s="25" t="str">
        <x:v>species_catch_tonnes</x:v>
      </x:c>
      <x:c r="C255" s="25" t="n">
        <x:v>6471.8616207145</x:v>
      </x:c>
      <x:c r="D255" s="25" t="str">
        <x:v>tonnes</x:v>
      </x:c>
    </x:row>
    <x:row r="256" ht="18" customHeight="1">
      <x:c r="A256" s="25" t="str">
        <x:v>EEZ_077</x:v>
      </x:c>
      <x:c r="B256" s="25" t="str">
        <x:v>catch_difference_tonnes</x:v>
      </x:c>
      <x:c r="C256" s="25" t="n">
        <x:v>-9.094947017729282e-13</x:v>
      </x:c>
      <x:c r="D256" s="25" t="str">
        <x:v>tonnes</x:v>
      </x:c>
    </x:row>
    <x:row r="257" ht="18" customHeight="1">
      <x:c r="A257" s="25" t="str">
        <x:v>EEZ_077</x:v>
      </x:c>
      <x:c r="B257" s="25" t="str">
        <x:v>catch_reconciled</x:v>
      </x:c>
      <x:c r="C257" s="36" t="b">
        <x:v>1</x:v>
      </x:c>
      <x:c r="D257" s="25" t="str">
        <x:v>boolean</x:v>
      </x:c>
    </x:row>
    <x:row r="258" ht="18" customHeight="1">
      <x:c r="A258" s="25" t="str">
        <x:v>EEZ_077</x:v>
      </x:c>
      <x:c r="B258" s="25" t="str">
        <x:v>matched_catch_tonnes</x:v>
      </x:c>
      <x:c r="C258" s="25" t="n">
        <x:v>6471.8616207145</x:v>
      </x:c>
      <x:c r="D258" s="25" t="str">
        <x:v>tonnes</x:v>
      </x:c>
    </x:row>
    <x:row r="259" ht="18" customHeight="1">
      <x:c r="A259" s="25" t="str">
        <x:v>EEZ_077</x:v>
      </x:c>
      <x:c r="B259" s="25" t="str">
        <x:v>catch_coverage_fraction</x:v>
      </x:c>
      <x:c r="C259" s="25" t="n">
        <x:v>1</x:v>
      </x:c>
      <x:c r="D259" s="25" t="str">
        <x:v>fraction</x:v>
      </x:c>
    </x:row>
    <x:row r="260" ht="18" customHeight="1">
      <x:c r="A260" s="25" t="str">
        <x:v>EEZ_077</x:v>
      </x:c>
      <x:c r="B260" s="25" t="str">
        <x:v>taxa_count</x:v>
      </x:c>
      <x:c r="C260" s="25" t="n">
        <x:v>17</x:v>
      </x:c>
      <x:c r="D260" s="25" t="str">
        <x:v>count</x:v>
      </x:c>
    </x:row>
    <x:row r="261" ht="18" customHeight="1">
      <x:c r="A261" s="25" t="str">
        <x:v>EEZ_077</x:v>
      </x:c>
      <x:c r="B261" s="25" t="str">
        <x:v>matched_taxa_count</x:v>
      </x:c>
      <x:c r="C261" s="25" t="n">
        <x:v>17</x:v>
      </x:c>
      <x:c r="D261" s="25" t="str">
        <x:v>count</x:v>
      </x:c>
    </x:row>
    <x:row r="262" ht="18" customHeight="1">
      <x:c r="A262" s="25" t="str">
        <x:v>EEZ_077</x:v>
      </x:c>
      <x:c r="B262" s="25" t="str">
        <x:v>unmatched_taxa_count</x:v>
      </x:c>
      <x:c r="C262" s="25" t="n">
        <x:v>0</x:v>
      </x:c>
      <x:c r="D262" s="25" t="str">
        <x:v>count</x:v>
      </x:c>
    </x:row>
    <x:row r="263" ht="18" customHeight="1">
      <x:c r="A263" s="25" t="str">
        <x:v>EEZ_077</x:v>
      </x:c>
      <x:c r="B263" s="25" t="str">
        <x:v>species_ppr</x:v>
      </x:c>
      <x:c r="C263" s="25" t="n">
        <x:v>3959781.188899115</x:v>
      </x:c>
      <x:c r="D263" s="25" t="str">
        <x:v>tonnes_primary_production_equivalent</x:v>
      </x:c>
    </x:row>
    <x:row r="264" ht="18" customHeight="1">
      <x:c r="A264" s="25" t="str">
        <x:v>EEZ_077</x:v>
      </x:c>
      <x:c r="B264" s="25" t="str">
        <x:v>commercial_ppr</x:v>
      </x:c>
      <x:c r="C264" s="25" t="n">
        <x:v>3949283.8349958705</x:v>
      </x:c>
      <x:c r="D264" s="25" t="str">
        <x:v>tonnes_primary_production_equivalent</x:v>
      </x:c>
    </x:row>
    <x:row r="265" ht="18" customHeight="1">
      <x:c r="A265" s="25" t="str">
        <x:v>EEZ_077</x:v>
      </x:c>
      <x:c r="B265" s="25" t="str">
        <x:v>functional_ppr</x:v>
      </x:c>
      <x:c r="C265" s="25" t="n">
        <x:v>3945602.9935944914</x:v>
      </x:c>
      <x:c r="D265" s="25" t="str">
        <x:v>tonnes_primary_production_equivalent</x:v>
      </x:c>
    </x:row>
    <x:row r="266" ht="18" customHeight="1">
      <x:c r="A266" s="25" t="str">
        <x:v>EEZ_077</x:v>
      </x:c>
      <x:c r="B266" s="25" t="str">
        <x:v>commercial_ppr_difference</x:v>
      </x:c>
      <x:c r="C266" s="25" t="n">
        <x:v>-10497.353903244715</x:v>
      </x:c>
      <x:c r="D266" s="25" t="str">
        <x:v>tonnes_primary_production_equivalent</x:v>
      </x:c>
    </x:row>
    <x:row r="267" ht="18" customHeight="1">
      <x:c r="A267" s="25" t="str">
        <x:v>EEZ_077</x:v>
      </x:c>
      <x:c r="B267" s="25" t="str">
        <x:v>functional_ppr_difference</x:v>
      </x:c>
      <x:c r="C267" s="25" t="n">
        <x:v>-14178.195304623805</x:v>
      </x:c>
      <x:c r="D267" s="25" t="str">
        <x:v>tonnes_primary_production_equivalent</x:v>
      </x:c>
    </x:row>
    <x:row r="268" ht="18" customHeight="1">
      <x:c r="A268" s="25" t="str">
        <x:v>EEZ_084</x:v>
      </x:c>
      <x:c r="B268" s="25" t="str">
        <x:v>raw_filtered_tonnes</x:v>
      </x:c>
      <x:c r="C268" s="25" t="n">
        <x:v>7918.6908172125</x:v>
      </x:c>
      <x:c r="D268" s="25" t="str">
        <x:v>tonnes</x:v>
      </x:c>
    </x:row>
    <x:row r="269" ht="18" customHeight="1">
      <x:c r="A269" s="25" t="str">
        <x:v>EEZ_084</x:v>
      </x:c>
      <x:c r="B269" s="25" t="str">
        <x:v>species_catch_tonnes</x:v>
      </x:c>
      <x:c r="C269" s="25" t="n">
        <x:v>7918.6908172124995</x:v>
      </x:c>
      <x:c r="D269" s="25" t="str">
        <x:v>tonnes</x:v>
      </x:c>
    </x:row>
    <x:row r="270" ht="18" customHeight="1">
      <x:c r="A270" s="25" t="str">
        <x:v>EEZ_084</x:v>
      </x:c>
      <x:c r="B270" s="25" t="str">
        <x:v>catch_difference_tonnes</x:v>
      </x:c>
      <x:c r="C270" s="25" t="n">
        <x:v>-9.094947017729282e-13</x:v>
      </x:c>
      <x:c r="D270" s="25" t="str">
        <x:v>tonnes</x:v>
      </x:c>
    </x:row>
    <x:row r="271" ht="18" customHeight="1">
      <x:c r="A271" s="25" t="str">
        <x:v>EEZ_084</x:v>
      </x:c>
      <x:c r="B271" s="25" t="str">
        <x:v>catch_reconciled</x:v>
      </x:c>
      <x:c r="C271" s="36" t="b">
        <x:v>1</x:v>
      </x:c>
      <x:c r="D271" s="25" t="str">
        <x:v>boolean</x:v>
      </x:c>
    </x:row>
    <x:row r="272" ht="18" customHeight="1">
      <x:c r="A272" s="25" t="str">
        <x:v>EEZ_084</x:v>
      </x:c>
      <x:c r="B272" s="25" t="str">
        <x:v>matched_catch_tonnes</x:v>
      </x:c>
      <x:c r="C272" s="25" t="n">
        <x:v>7918.6908172124995</x:v>
      </x:c>
      <x:c r="D272" s="25" t="str">
        <x:v>tonnes</x:v>
      </x:c>
    </x:row>
    <x:row r="273" ht="18" customHeight="1">
      <x:c r="A273" s="25" t="str">
        <x:v>EEZ_084</x:v>
      </x:c>
      <x:c r="B273" s="25" t="str">
        <x:v>catch_coverage_fraction</x:v>
      </x:c>
      <x:c r="C273" s="25" t="n">
        <x:v>1</x:v>
      </x:c>
      <x:c r="D273" s="25" t="str">
        <x:v>fraction</x:v>
      </x:c>
    </x:row>
    <x:row r="274" ht="18" customHeight="1">
      <x:c r="A274" s="25" t="str">
        <x:v>EEZ_084</x:v>
      </x:c>
      <x:c r="B274" s="25" t="str">
        <x:v>taxa_count</x:v>
      </x:c>
      <x:c r="C274" s="25" t="n">
        <x:v>54</x:v>
      </x:c>
      <x:c r="D274" s="25" t="str">
        <x:v>count</x:v>
      </x:c>
    </x:row>
    <x:row r="275" ht="18" customHeight="1">
      <x:c r="A275" s="25" t="str">
        <x:v>EEZ_084</x:v>
      </x:c>
      <x:c r="B275" s="25" t="str">
        <x:v>matched_taxa_count</x:v>
      </x:c>
      <x:c r="C275" s="25" t="n">
        <x:v>54</x:v>
      </x:c>
      <x:c r="D275" s="25" t="str">
        <x:v>count</x:v>
      </x:c>
    </x:row>
    <x:row r="276" ht="18" customHeight="1">
      <x:c r="A276" s="25" t="str">
        <x:v>EEZ_084</x:v>
      </x:c>
      <x:c r="B276" s="25" t="str">
        <x:v>unmatched_taxa_count</x:v>
      </x:c>
      <x:c r="C276" s="25" t="n">
        <x:v>0</x:v>
      </x:c>
      <x:c r="D276" s="25" t="str">
        <x:v>count</x:v>
      </x:c>
    </x:row>
    <x:row r="277" ht="18" customHeight="1">
      <x:c r="A277" s="25" t="str">
        <x:v>EEZ_084</x:v>
      </x:c>
      <x:c r="B277" s="25" t="str">
        <x:v>species_ppr</x:v>
      </x:c>
      <x:c r="C277" s="25" t="n">
        <x:v>3161605.34747039</x:v>
      </x:c>
      <x:c r="D277" s="25" t="str">
        <x:v>tonnes_primary_production_equivalent</x:v>
      </x:c>
    </x:row>
    <x:row r="278" ht="18" customHeight="1">
      <x:c r="A278" s="25" t="str">
        <x:v>EEZ_084</x:v>
      </x:c>
      <x:c r="B278" s="25" t="str">
        <x:v>commercial_ppr</x:v>
      </x:c>
      <x:c r="C278" s="25" t="n">
        <x:v>2681146.946846443</x:v>
      </x:c>
      <x:c r="D278" s="25" t="str">
        <x:v>tonnes_primary_production_equivalent</x:v>
      </x:c>
    </x:row>
    <x:row r="279" ht="18" customHeight="1">
      <x:c r="A279" s="25" t="str">
        <x:v>EEZ_084</x:v>
      </x:c>
      <x:c r="B279" s="25" t="str">
        <x:v>functional_ppr</x:v>
      </x:c>
      <x:c r="C279" s="25" t="n">
        <x:v>2937913.2601305516</x:v>
      </x:c>
      <x:c r="D279" s="25" t="str">
        <x:v>tonnes_primary_production_equivalent</x:v>
      </x:c>
    </x:row>
    <x:row r="280" ht="18" customHeight="1">
      <x:c r="A280" s="25" t="str">
        <x:v>EEZ_084</x:v>
      </x:c>
      <x:c r="B280" s="25" t="str">
        <x:v>commercial_ppr_difference</x:v>
      </x:c>
      <x:c r="C280" s="25" t="n">
        <x:v>-480458.4006239469</x:v>
      </x:c>
      <x:c r="D280" s="25" t="str">
        <x:v>tonnes_primary_production_equivalent</x:v>
      </x:c>
    </x:row>
    <x:row r="281" ht="18" customHeight="1">
      <x:c r="A281" s="25" t="str">
        <x:v>EEZ_084</x:v>
      </x:c>
      <x:c r="B281" s="25" t="str">
        <x:v>functional_ppr_difference</x:v>
      </x:c>
      <x:c r="C281" s="25" t="n">
        <x:v>-223692.0873398385</x:v>
      </x:c>
      <x:c r="D281" s="25" t="str">
        <x:v>tonnes_primary_production_equivalent</x:v>
      </x:c>
    </x:row>
    <x:row r="282" ht="18" customHeight="1">
      <x:c r="A282" s="25" t="str">
        <x:v>EEZ_086</x:v>
      </x:c>
      <x:c r="B282" s="25" t="str">
        <x:v>raw_filtered_tonnes</x:v>
      </x:c>
      <x:c r="C282" s="25" t="n">
        <x:v>135.2489756326</x:v>
      </x:c>
      <x:c r="D282" s="25" t="str">
        <x:v>tonnes</x:v>
      </x:c>
    </x:row>
    <x:row r="283" ht="18" customHeight="1">
      <x:c r="A283" s="25" t="str">
        <x:v>EEZ_086</x:v>
      </x:c>
      <x:c r="B283" s="25" t="str">
        <x:v>species_catch_tonnes</x:v>
      </x:c>
      <x:c r="C283" s="25" t="n">
        <x:v>135.2489756326</x:v>
      </x:c>
      <x:c r="D283" s="25" t="str">
        <x:v>tonnes</x:v>
      </x:c>
    </x:row>
    <x:row r="284" ht="18" customHeight="1">
      <x:c r="A284" s="25" t="str">
        <x:v>EEZ_086</x:v>
      </x:c>
      <x:c r="B284" s="25" t="str">
        <x:v>catch_difference_tonnes</x:v>
      </x:c>
      <x:c r="C284" s="25" t="n">
        <x:v>0</x:v>
      </x:c>
      <x:c r="D284" s="25" t="str">
        <x:v>tonnes</x:v>
      </x:c>
    </x:row>
    <x:row r="285" ht="18" customHeight="1">
      <x:c r="A285" s="25" t="str">
        <x:v>EEZ_086</x:v>
      </x:c>
      <x:c r="B285" s="25" t="str">
        <x:v>catch_reconciled</x:v>
      </x:c>
      <x:c r="C285" s="36" t="b">
        <x:v>1</x:v>
      </x:c>
      <x:c r="D285" s="25" t="str">
        <x:v>boolean</x:v>
      </x:c>
    </x:row>
    <x:row r="286" ht="18" customHeight="1">
      <x:c r="A286" s="25" t="str">
        <x:v>EEZ_086</x:v>
      </x:c>
      <x:c r="B286" s="25" t="str">
        <x:v>matched_catch_tonnes</x:v>
      </x:c>
      <x:c r="C286" s="25" t="n">
        <x:v>135.2489756326</x:v>
      </x:c>
      <x:c r="D286" s="25" t="str">
        <x:v>tonnes</x:v>
      </x:c>
    </x:row>
    <x:row r="287" ht="18" customHeight="1">
      <x:c r="A287" s="25" t="str">
        <x:v>EEZ_086</x:v>
      </x:c>
      <x:c r="B287" s="25" t="str">
        <x:v>catch_coverage_fraction</x:v>
      </x:c>
      <x:c r="C287" s="25" t="n">
        <x:v>1</x:v>
      </x:c>
      <x:c r="D287" s="25" t="str">
        <x:v>fraction</x:v>
      </x:c>
    </x:row>
    <x:row r="288" ht="18" customHeight="1">
      <x:c r="A288" s="25" t="str">
        <x:v>EEZ_086</x:v>
      </x:c>
      <x:c r="B288" s="25" t="str">
        <x:v>taxa_count</x:v>
      </x:c>
      <x:c r="C288" s="25" t="n">
        <x:v>22</x:v>
      </x:c>
      <x:c r="D288" s="25" t="str">
        <x:v>count</x:v>
      </x:c>
    </x:row>
    <x:row r="289" ht="18" customHeight="1">
      <x:c r="A289" s="25" t="str">
        <x:v>EEZ_086</x:v>
      </x:c>
      <x:c r="B289" s="25" t="str">
        <x:v>matched_taxa_count</x:v>
      </x:c>
      <x:c r="C289" s="25" t="n">
        <x:v>22</x:v>
      </x:c>
      <x:c r="D289" s="25" t="str">
        <x:v>count</x:v>
      </x:c>
    </x:row>
    <x:row r="290" ht="18" customHeight="1">
      <x:c r="A290" s="25" t="str">
        <x:v>EEZ_086</x:v>
      </x:c>
      <x:c r="B290" s="25" t="str">
        <x:v>unmatched_taxa_count</x:v>
      </x:c>
      <x:c r="C290" s="25" t="n">
        <x:v>0</x:v>
      </x:c>
      <x:c r="D290" s="25" t="str">
        <x:v>count</x:v>
      </x:c>
    </x:row>
    <x:row r="291" ht="18" customHeight="1">
      <x:c r="A291" s="25" t="str">
        <x:v>EEZ_086</x:v>
      </x:c>
      <x:c r="B291" s="25" t="str">
        <x:v>species_ppr</x:v>
      </x:c>
      <x:c r="C291" s="25" t="n">
        <x:v>263025.75586093066</x:v>
      </x:c>
      <x:c r="D291" s="25" t="str">
        <x:v>tonnes_primary_production_equivalent</x:v>
      </x:c>
    </x:row>
    <x:row r="292" ht="18" customHeight="1">
      <x:c r="A292" s="25" t="str">
        <x:v>EEZ_086</x:v>
      </x:c>
      <x:c r="B292" s="25" t="str">
        <x:v>commercial_ppr</x:v>
      </x:c>
      <x:c r="C292" s="25" t="n">
        <x:v>259211.53634591453</x:v>
      </x:c>
      <x:c r="D292" s="25" t="str">
        <x:v>tonnes_primary_production_equivalent</x:v>
      </x:c>
    </x:row>
    <x:row r="293" ht="18" customHeight="1">
      <x:c r="A293" s="25" t="str">
        <x:v>EEZ_086</x:v>
      </x:c>
      <x:c r="B293" s="25" t="str">
        <x:v>functional_ppr</x:v>
      </x:c>
      <x:c r="C293" s="25" t="n">
        <x:v>256840.26155903548</x:v>
      </x:c>
      <x:c r="D293" s="25" t="str">
        <x:v>tonnes_primary_production_equivalent</x:v>
      </x:c>
    </x:row>
    <x:row r="294" ht="18" customHeight="1">
      <x:c r="A294" s="25" t="str">
        <x:v>EEZ_086</x:v>
      </x:c>
      <x:c r="B294" s="25" t="str">
        <x:v>commercial_ppr_difference</x:v>
      </x:c>
      <x:c r="C294" s="25" t="n">
        <x:v>-3814.219515016128</x:v>
      </x:c>
      <x:c r="D294" s="25" t="str">
        <x:v>tonnes_primary_production_equivalent</x:v>
      </x:c>
    </x:row>
    <x:row r="295" ht="18" customHeight="1">
      <x:c r="A295" s="25" t="str">
        <x:v>EEZ_086</x:v>
      </x:c>
      <x:c r="B295" s="25" t="str">
        <x:v>functional_ppr_difference</x:v>
      </x:c>
      <x:c r="C295" s="25" t="n">
        <x:v>-6185.494301895174</x:v>
      </x:c>
      <x:c r="D295" s="25" t="str">
        <x:v>tonnes_primary_production_equivalent</x:v>
      </x:c>
    </x:row>
    <x:row r="296" ht="18" customHeight="1">
      <x:c r="A296" s="25" t="str">
        <x:v>EEZ_090</x:v>
      </x:c>
      <x:c r="B296" s="25" t="str">
        <x:v>raw_filtered_tonnes</x:v>
      </x:c>
      <x:c r="C296" s="25" t="n">
        <x:v>142760.98150388888</x:v>
      </x:c>
      <x:c r="D296" s="25" t="str">
        <x:v>tonnes</x:v>
      </x:c>
    </x:row>
    <x:row r="297" ht="18" customHeight="1">
      <x:c r="A297" s="25" t="str">
        <x:v>EEZ_090</x:v>
      </x:c>
      <x:c r="B297" s="25" t="str">
        <x:v>species_catch_tonnes</x:v>
      </x:c>
      <x:c r="C297" s="25" t="n">
        <x:v>142760.9815038889</x:v>
      </x:c>
      <x:c r="D297" s="25" t="str">
        <x:v>tonnes</x:v>
      </x:c>
    </x:row>
    <x:row r="298" ht="18" customHeight="1">
      <x:c r="A298" s="25" t="str">
        <x:v>EEZ_090</x:v>
      </x:c>
      <x:c r="B298" s="25" t="str">
        <x:v>catch_difference_tonnes</x:v>
      </x:c>
      <x:c r="C298" s="25" t="n">
        <x:v>2.9103830456733704e-11</x:v>
      </x:c>
      <x:c r="D298" s="25" t="str">
        <x:v>tonnes</x:v>
      </x:c>
    </x:row>
    <x:row r="299" ht="18" customHeight="1">
      <x:c r="A299" s="25" t="str">
        <x:v>EEZ_090</x:v>
      </x:c>
      <x:c r="B299" s="25" t="str">
        <x:v>catch_reconciled</x:v>
      </x:c>
      <x:c r="C299" s="36" t="b">
        <x:v>1</x:v>
      </x:c>
      <x:c r="D299" s="25" t="str">
        <x:v>boolean</x:v>
      </x:c>
    </x:row>
    <x:row r="300" ht="18" customHeight="1">
      <x:c r="A300" s="25" t="str">
        <x:v>EEZ_090</x:v>
      </x:c>
      <x:c r="B300" s="25" t="str">
        <x:v>matched_catch_tonnes</x:v>
      </x:c>
      <x:c r="C300" s="25" t="n">
        <x:v>142760.9815038889</x:v>
      </x:c>
      <x:c r="D300" s="25" t="str">
        <x:v>tonnes</x:v>
      </x:c>
    </x:row>
    <x:row r="301" ht="18" customHeight="1">
      <x:c r="A301" s="25" t="str">
        <x:v>EEZ_090</x:v>
      </x:c>
      <x:c r="B301" s="25" t="str">
        <x:v>catch_coverage_fraction</x:v>
      </x:c>
      <x:c r="C301" s="25" t="n">
        <x:v>1</x:v>
      </x:c>
      <x:c r="D301" s="25" t="str">
        <x:v>fraction</x:v>
      </x:c>
    </x:row>
    <x:row r="302" ht="18" customHeight="1">
      <x:c r="A302" s="25" t="str">
        <x:v>EEZ_090</x:v>
      </x:c>
      <x:c r="B302" s="25" t="str">
        <x:v>taxa_count</x:v>
      </x:c>
      <x:c r="C302" s="25" t="n">
        <x:v>52</x:v>
      </x:c>
      <x:c r="D302" s="25" t="str">
        <x:v>count</x:v>
      </x:c>
    </x:row>
    <x:row r="303" ht="18" customHeight="1">
      <x:c r="A303" s="25" t="str">
        <x:v>EEZ_090</x:v>
      </x:c>
      <x:c r="B303" s="25" t="str">
        <x:v>matched_taxa_count</x:v>
      </x:c>
      <x:c r="C303" s="25" t="n">
        <x:v>52</x:v>
      </x:c>
      <x:c r="D303" s="25" t="str">
        <x:v>count</x:v>
      </x:c>
    </x:row>
    <x:row r="304" ht="18" customHeight="1">
      <x:c r="A304" s="25" t="str">
        <x:v>EEZ_090</x:v>
      </x:c>
      <x:c r="B304" s="25" t="str">
        <x:v>unmatched_taxa_count</x:v>
      </x:c>
      <x:c r="C304" s="25" t="n">
        <x:v>0</x:v>
      </x:c>
      <x:c r="D304" s="25" t="str">
        <x:v>count</x:v>
      </x:c>
    </x:row>
    <x:row r="305" ht="18" customHeight="1">
      <x:c r="A305" s="25" t="str">
        <x:v>EEZ_090</x:v>
      </x:c>
      <x:c r="B305" s="25" t="str">
        <x:v>species_ppr</x:v>
      </x:c>
      <x:c r="C305" s="25" t="n">
        <x:v>304737248.27830005</x:v>
      </x:c>
      <x:c r="D305" s="25" t="str">
        <x:v>tonnes_primary_production_equivalent</x:v>
      </x:c>
    </x:row>
    <x:row r="306" ht="18" customHeight="1">
      <x:c r="A306" s="25" t="str">
        <x:v>EEZ_090</x:v>
      </x:c>
      <x:c r="B306" s="25" t="str">
        <x:v>commercial_ppr</x:v>
      </x:c>
      <x:c r="C306" s="25" t="n">
        <x:v>300385320.9573925</x:v>
      </x:c>
      <x:c r="D306" s="25" t="str">
        <x:v>tonnes_primary_production_equivalent</x:v>
      </x:c>
    </x:row>
    <x:row r="307" ht="18" customHeight="1">
      <x:c r="A307" s="25" t="str">
        <x:v>EEZ_090</x:v>
      </x:c>
      <x:c r="B307" s="25" t="str">
        <x:v>functional_ppr</x:v>
      </x:c>
      <x:c r="C307" s="25" t="n">
        <x:v>299782267.2557317</x:v>
      </x:c>
      <x:c r="D307" s="25" t="str">
        <x:v>tonnes_primary_production_equivalent</x:v>
      </x:c>
    </x:row>
    <x:row r="308" ht="18" customHeight="1">
      <x:c r="A308" s="25" t="str">
        <x:v>EEZ_090</x:v>
      </x:c>
      <x:c r="B308" s="25" t="str">
        <x:v>commercial_ppr_difference</x:v>
      </x:c>
      <x:c r="C308" s="25" t="n">
        <x:v>-4351927.320907533</x:v>
      </x:c>
      <x:c r="D308" s="25" t="str">
        <x:v>tonnes_primary_production_equivalent</x:v>
      </x:c>
    </x:row>
    <x:row r="309" ht="18" customHeight="1">
      <x:c r="A309" s="25" t="str">
        <x:v>EEZ_090</x:v>
      </x:c>
      <x:c r="B309" s="25" t="str">
        <x:v>functional_ppr_difference</x:v>
      </x:c>
      <x:c r="C309" s="25" t="n">
        <x:v>-4954981.022568345</x:v>
      </x:c>
      <x:c r="D309" s="25" t="str">
        <x:v>tonnes_primary_production_equivalent</x:v>
      </x:c>
    </x:row>
    <x:row r="310" ht="18" customHeight="1">
      <x:c r="A310" s="25" t="str">
        <x:v>EEZ_092</x:v>
      </x:c>
      <x:c r="B310" s="25" t="str">
        <x:v>raw_filtered_tonnes</x:v>
      </x:c>
      <x:c r="C310" s="25" t="n">
        <x:v>4102.391159102101</x:v>
      </x:c>
      <x:c r="D310" s="25" t="str">
        <x:v>tonnes</x:v>
      </x:c>
    </x:row>
    <x:row r="311" ht="18" customHeight="1">
      <x:c r="A311" s="25" t="str">
        <x:v>EEZ_092</x:v>
      </x:c>
      <x:c r="B311" s="25" t="str">
        <x:v>species_catch_tonnes</x:v>
      </x:c>
      <x:c r="C311" s="25" t="n">
        <x:v>4102.3911591021</x:v>
      </x:c>
      <x:c r="D311" s="25" t="str">
        <x:v>tonnes</x:v>
      </x:c>
    </x:row>
    <x:row r="312" ht="18" customHeight="1">
      <x:c r="A312" s="25" t="str">
        <x:v>EEZ_092</x:v>
      </x:c>
      <x:c r="B312" s="25" t="str">
        <x:v>catch_difference_tonnes</x:v>
      </x:c>
      <x:c r="C312" s="25" t="n">
        <x:v>-9.094947017729282e-13</x:v>
      </x:c>
      <x:c r="D312" s="25" t="str">
        <x:v>tonnes</x:v>
      </x:c>
    </x:row>
    <x:row r="313" ht="18" customHeight="1">
      <x:c r="A313" s="25" t="str">
        <x:v>EEZ_092</x:v>
      </x:c>
      <x:c r="B313" s="25" t="str">
        <x:v>catch_reconciled</x:v>
      </x:c>
      <x:c r="C313" s="36" t="b">
        <x:v>1</x:v>
      </x:c>
      <x:c r="D313" s="25" t="str">
        <x:v>boolean</x:v>
      </x:c>
    </x:row>
    <x:row r="314" ht="18" customHeight="1">
      <x:c r="A314" s="25" t="str">
        <x:v>EEZ_092</x:v>
      </x:c>
      <x:c r="B314" s="25" t="str">
        <x:v>matched_catch_tonnes</x:v>
      </x:c>
      <x:c r="C314" s="25" t="n">
        <x:v>4102.3911591021</x:v>
      </x:c>
      <x:c r="D314" s="25" t="str">
        <x:v>tonnes</x:v>
      </x:c>
    </x:row>
    <x:row r="315" ht="18" customHeight="1">
      <x:c r="A315" s="25" t="str">
        <x:v>EEZ_092</x:v>
      </x:c>
      <x:c r="B315" s="25" t="str">
        <x:v>catch_coverage_fraction</x:v>
      </x:c>
      <x:c r="C315" s="25" t="n">
        <x:v>1</x:v>
      </x:c>
      <x:c r="D315" s="25" t="str">
        <x:v>fraction</x:v>
      </x:c>
    </x:row>
    <x:row r="316" ht="18" customHeight="1">
      <x:c r="A316" s="25" t="str">
        <x:v>EEZ_092</x:v>
      </x:c>
      <x:c r="B316" s="25" t="str">
        <x:v>taxa_count</x:v>
      </x:c>
      <x:c r="C316" s="25" t="n">
        <x:v>32</x:v>
      </x:c>
      <x:c r="D316" s="25" t="str">
        <x:v>count</x:v>
      </x:c>
    </x:row>
    <x:row r="317" ht="18" customHeight="1">
      <x:c r="A317" s="25" t="str">
        <x:v>EEZ_092</x:v>
      </x:c>
      <x:c r="B317" s="25" t="str">
        <x:v>matched_taxa_count</x:v>
      </x:c>
      <x:c r="C317" s="25" t="n">
        <x:v>32</x:v>
      </x:c>
      <x:c r="D317" s="25" t="str">
        <x:v>count</x:v>
      </x:c>
    </x:row>
    <x:row r="318" ht="18" customHeight="1">
      <x:c r="A318" s="25" t="str">
        <x:v>EEZ_092</x:v>
      </x:c>
      <x:c r="B318" s="25" t="str">
        <x:v>unmatched_taxa_count</x:v>
      </x:c>
      <x:c r="C318" s="25" t="n">
        <x:v>0</x:v>
      </x:c>
      <x:c r="D318" s="25" t="str">
        <x:v>count</x:v>
      </x:c>
    </x:row>
    <x:row r="319" ht="18" customHeight="1">
      <x:c r="A319" s="25" t="str">
        <x:v>EEZ_092</x:v>
      </x:c>
      <x:c r="B319" s="25" t="str">
        <x:v>species_ppr</x:v>
      </x:c>
      <x:c r="C319" s="25" t="n">
        <x:v>2636688.6764859944</x:v>
      </x:c>
      <x:c r="D319" s="25" t="str">
        <x:v>tonnes_primary_production_equivalent</x:v>
      </x:c>
    </x:row>
    <x:row r="320" ht="18" customHeight="1">
      <x:c r="A320" s="25" t="str">
        <x:v>EEZ_092</x:v>
      </x:c>
      <x:c r="B320" s="25" t="str">
        <x:v>commercial_ppr</x:v>
      </x:c>
      <x:c r="C320" s="25" t="n">
        <x:v>2025517.2767306413</x:v>
      </x:c>
      <x:c r="D320" s="25" t="str">
        <x:v>tonnes_primary_production_equivalent</x:v>
      </x:c>
    </x:row>
    <x:row r="321" ht="18" customHeight="1">
      <x:c r="A321" s="25" t="str">
        <x:v>EEZ_092</x:v>
      </x:c>
      <x:c r="B321" s="25" t="str">
        <x:v>functional_ppr</x:v>
      </x:c>
      <x:c r="C321" s="25" t="n">
        <x:v>2239219.47983291</x:v>
      </x:c>
      <x:c r="D321" s="25" t="str">
        <x:v>tonnes_primary_production_equivalent</x:v>
      </x:c>
    </x:row>
    <x:row r="322" ht="18" customHeight="1">
      <x:c r="A322" s="25" t="str">
        <x:v>EEZ_092</x:v>
      </x:c>
      <x:c r="B322" s="25" t="str">
        <x:v>commercial_ppr_difference</x:v>
      </x:c>
      <x:c r="C322" s="25" t="n">
        <x:v>-611171.3997553531</x:v>
      </x:c>
      <x:c r="D322" s="25" t="str">
        <x:v>tonnes_primary_production_equivalent</x:v>
      </x:c>
    </x:row>
    <x:row r="323" ht="18" customHeight="1">
      <x:c r="A323" s="25" t="str">
        <x:v>EEZ_092</x:v>
      </x:c>
      <x:c r="B323" s="25" t="str">
        <x:v>functional_ppr_difference</x:v>
      </x:c>
      <x:c r="C323" s="25" t="n">
        <x:v>-397469.19665308436</x:v>
      </x:c>
      <x:c r="D323" s="25" t="str">
        <x:v>tonnes_primary_production_equivalent</x:v>
      </x:c>
    </x:row>
    <x:row r="324" ht="18" customHeight="1">
      <x:c r="A324" s="25" t="str">
        <x:v>EEZ_096</x:v>
      </x:c>
      <x:c r="B324" s="25" t="str">
        <x:v>raw_filtered_tonnes</x:v>
      </x:c>
      <x:c r="C324" s="25" t="n">
        <x:v>16692.4609859602</x:v>
      </x:c>
      <x:c r="D324" s="25" t="str">
        <x:v>tonnes</x:v>
      </x:c>
    </x:row>
    <x:row r="325" ht="18" customHeight="1">
      <x:c r="A325" s="25" t="str">
        <x:v>EEZ_096</x:v>
      </x:c>
      <x:c r="B325" s="25" t="str">
        <x:v>species_catch_tonnes</x:v>
      </x:c>
      <x:c r="C325" s="25" t="n">
        <x:v>16692.4609859602</x:v>
      </x:c>
      <x:c r="D325" s="25" t="str">
        <x:v>tonnes</x:v>
      </x:c>
    </x:row>
    <x:row r="326" ht="18" customHeight="1">
      <x:c r="A326" s="25" t="str">
        <x:v>EEZ_096</x:v>
      </x:c>
      <x:c r="B326" s="25" t="str">
        <x:v>catch_difference_tonnes</x:v>
      </x:c>
      <x:c r="C326" s="25" t="n">
        <x:v>0</x:v>
      </x:c>
      <x:c r="D326" s="25" t="str">
        <x:v>tonnes</x:v>
      </x:c>
    </x:row>
    <x:row r="327" ht="18" customHeight="1">
      <x:c r="A327" s="25" t="str">
        <x:v>EEZ_096</x:v>
      </x:c>
      <x:c r="B327" s="25" t="str">
        <x:v>catch_reconciled</x:v>
      </x:c>
      <x:c r="C327" s="36" t="b">
        <x:v>1</x:v>
      </x:c>
      <x:c r="D327" s="25" t="str">
        <x:v>boolean</x:v>
      </x:c>
    </x:row>
    <x:row r="328" ht="18" customHeight="1">
      <x:c r="A328" s="25" t="str">
        <x:v>EEZ_096</x:v>
      </x:c>
      <x:c r="B328" s="25" t="str">
        <x:v>matched_catch_tonnes</x:v>
      </x:c>
      <x:c r="C328" s="25" t="n">
        <x:v>16692.4609859602</x:v>
      </x:c>
      <x:c r="D328" s="25" t="str">
        <x:v>tonnes</x:v>
      </x:c>
    </x:row>
    <x:row r="329" ht="18" customHeight="1">
      <x:c r="A329" s="25" t="str">
        <x:v>EEZ_096</x:v>
      </x:c>
      <x:c r="B329" s="25" t="str">
        <x:v>catch_coverage_fraction</x:v>
      </x:c>
      <x:c r="C329" s="25" t="n">
        <x:v>1</x:v>
      </x:c>
      <x:c r="D329" s="25" t="str">
        <x:v>fraction</x:v>
      </x:c>
    </x:row>
    <x:row r="330" ht="18" customHeight="1">
      <x:c r="A330" s="25" t="str">
        <x:v>EEZ_096</x:v>
      </x:c>
      <x:c r="B330" s="25" t="str">
        <x:v>taxa_count</x:v>
      </x:c>
      <x:c r="C330" s="25" t="n">
        <x:v>97</x:v>
      </x:c>
      <x:c r="D330" s="25" t="str">
        <x:v>count</x:v>
      </x:c>
    </x:row>
    <x:row r="331" ht="18" customHeight="1">
      <x:c r="A331" s="25" t="str">
        <x:v>EEZ_096</x:v>
      </x:c>
      <x:c r="B331" s="25" t="str">
        <x:v>matched_taxa_count</x:v>
      </x:c>
      <x:c r="C331" s="25" t="n">
        <x:v>97</x:v>
      </x:c>
      <x:c r="D331" s="25" t="str">
        <x:v>count</x:v>
      </x:c>
    </x:row>
    <x:row r="332" ht="18" customHeight="1">
      <x:c r="A332" s="25" t="str">
        <x:v>EEZ_096</x:v>
      </x:c>
      <x:c r="B332" s="25" t="str">
        <x:v>unmatched_taxa_count</x:v>
      </x:c>
      <x:c r="C332" s="25" t="n">
        <x:v>0</x:v>
      </x:c>
      <x:c r="D332" s="25" t="str">
        <x:v>count</x:v>
      </x:c>
    </x:row>
    <x:row r="333" ht="18" customHeight="1">
      <x:c r="A333" s="25" t="str">
        <x:v>EEZ_096</x:v>
      </x:c>
      <x:c r="B333" s="25" t="str">
        <x:v>species_ppr</x:v>
      </x:c>
      <x:c r="C333" s="25" t="n">
        <x:v>9457192.928452253</x:v>
      </x:c>
      <x:c r="D333" s="25" t="str">
        <x:v>tonnes_primary_production_equivalent</x:v>
      </x:c>
    </x:row>
    <x:row r="334" ht="18" customHeight="1">
      <x:c r="A334" s="25" t="str">
        <x:v>EEZ_096</x:v>
      </x:c>
      <x:c r="B334" s="25" t="str">
        <x:v>commercial_ppr</x:v>
      </x:c>
      <x:c r="C334" s="25" t="n">
        <x:v>6450698.669000201</x:v>
      </x:c>
      <x:c r="D334" s="25" t="str">
        <x:v>tonnes_primary_production_equivalent</x:v>
      </x:c>
    </x:row>
    <x:row r="335" ht="18" customHeight="1">
      <x:c r="A335" s="25" t="str">
        <x:v>EEZ_096</x:v>
      </x:c>
      <x:c r="B335" s="25" t="str">
        <x:v>functional_ppr</x:v>
      </x:c>
      <x:c r="C335" s="25" t="n">
        <x:v>7752166.790152376</x:v>
      </x:c>
      <x:c r="D335" s="25" t="str">
        <x:v>tonnes_primary_production_equivalent</x:v>
      </x:c>
    </x:row>
    <x:row r="336" ht="18" customHeight="1">
      <x:c r="A336" s="25" t="str">
        <x:v>EEZ_096</x:v>
      </x:c>
      <x:c r="B336" s="25" t="str">
        <x:v>commercial_ppr_difference</x:v>
      </x:c>
      <x:c r="C336" s="25" t="n">
        <x:v>-3006494.2594520524</x:v>
      </x:c>
      <x:c r="D336" s="25" t="str">
        <x:v>tonnes_primary_production_equivalent</x:v>
      </x:c>
    </x:row>
    <x:row r="337" ht="18" customHeight="1">
      <x:c r="A337" s="25" t="str">
        <x:v>EEZ_096</x:v>
      </x:c>
      <x:c r="B337" s="25" t="str">
        <x:v>functional_ppr_difference</x:v>
      </x:c>
      <x:c r="C337" s="25" t="n">
        <x:v>-1705026.1382998778</x:v>
      </x:c>
      <x:c r="D337" s="25" t="str">
        <x:v>tonnes_primary_production_equivalent</x:v>
      </x:c>
    </x:row>
    <x:row r="338" ht="18" customHeight="1">
      <x:c r="A338" s="25" t="str">
        <x:v>EEZ_100</x:v>
      </x:c>
      <x:c r="B338" s="25" t="str">
        <x:v>raw_filtered_tonnes</x:v>
      </x:c>
      <x:c r="C338" s="25" t="n">
        <x:v>17051.5126534866</x:v>
      </x:c>
      <x:c r="D338" s="25" t="str">
        <x:v>tonnes</x:v>
      </x:c>
    </x:row>
    <x:row r="339" ht="18" customHeight="1">
      <x:c r="A339" s="25" t="str">
        <x:v>EEZ_100</x:v>
      </x:c>
      <x:c r="B339" s="25" t="str">
        <x:v>species_catch_tonnes</x:v>
      </x:c>
      <x:c r="C339" s="25" t="n">
        <x:v>17051.512653486603</x:v>
      </x:c>
      <x:c r="D339" s="25" t="str">
        <x:v>tonnes</x:v>
      </x:c>
    </x:row>
    <x:row r="340" ht="18" customHeight="1">
      <x:c r="A340" s="25" t="str">
        <x:v>EEZ_100</x:v>
      </x:c>
      <x:c r="B340" s="25" t="str">
        <x:v>catch_difference_tonnes</x:v>
      </x:c>
      <x:c r="C340" s="25" t="n">
        <x:v>3.637978807091713e-12</x:v>
      </x:c>
      <x:c r="D340" s="25" t="str">
        <x:v>tonnes</x:v>
      </x:c>
    </x:row>
    <x:row r="341" ht="18" customHeight="1">
      <x:c r="A341" s="25" t="str">
        <x:v>EEZ_100</x:v>
      </x:c>
      <x:c r="B341" s="25" t="str">
        <x:v>catch_reconciled</x:v>
      </x:c>
      <x:c r="C341" s="36" t="b">
        <x:v>1</x:v>
      </x:c>
      <x:c r="D341" s="25" t="str">
        <x:v>boolean</x:v>
      </x:c>
    </x:row>
    <x:row r="342" ht="18" customHeight="1">
      <x:c r="A342" s="25" t="str">
        <x:v>EEZ_100</x:v>
      </x:c>
      <x:c r="B342" s="25" t="str">
        <x:v>matched_catch_tonnes</x:v>
      </x:c>
      <x:c r="C342" s="25" t="n">
        <x:v>17051.512653486603</x:v>
      </x:c>
      <x:c r="D342" s="25" t="str">
        <x:v>tonnes</x:v>
      </x:c>
    </x:row>
    <x:row r="343" ht="18" customHeight="1">
      <x:c r="A343" s="25" t="str">
        <x:v>EEZ_100</x:v>
      </x:c>
      <x:c r="B343" s="25" t="str">
        <x:v>catch_coverage_fraction</x:v>
      </x:c>
      <x:c r="C343" s="25" t="n">
        <x:v>1</x:v>
      </x:c>
      <x:c r="D343" s="25" t="str">
        <x:v>fraction</x:v>
      </x:c>
    </x:row>
    <x:row r="344" ht="18" customHeight="1">
      <x:c r="A344" s="25" t="str">
        <x:v>EEZ_100</x:v>
      </x:c>
      <x:c r="B344" s="25" t="str">
        <x:v>taxa_count</x:v>
      </x:c>
      <x:c r="C344" s="25" t="n">
        <x:v>34</x:v>
      </x:c>
      <x:c r="D344" s="25" t="str">
        <x:v>count</x:v>
      </x:c>
    </x:row>
    <x:row r="345" ht="18" customHeight="1">
      <x:c r="A345" s="25" t="str">
        <x:v>EEZ_100</x:v>
      </x:c>
      <x:c r="B345" s="25" t="str">
        <x:v>matched_taxa_count</x:v>
      </x:c>
      <x:c r="C345" s="25" t="n">
        <x:v>34</x:v>
      </x:c>
      <x:c r="D345" s="25" t="str">
        <x:v>count</x:v>
      </x:c>
    </x:row>
    <x:row r="346" ht="18" customHeight="1">
      <x:c r="A346" s="25" t="str">
        <x:v>EEZ_100</x:v>
      </x:c>
      <x:c r="B346" s="25" t="str">
        <x:v>unmatched_taxa_count</x:v>
      </x:c>
      <x:c r="C346" s="25" t="n">
        <x:v>0</x:v>
      </x:c>
      <x:c r="D346" s="25" t="str">
        <x:v>count</x:v>
      </x:c>
    </x:row>
    <x:row r="347" ht="18" customHeight="1">
      <x:c r="A347" s="25" t="str">
        <x:v>EEZ_100</x:v>
      </x:c>
      <x:c r="B347" s="25" t="str">
        <x:v>species_ppr</x:v>
      </x:c>
      <x:c r="C347" s="25" t="n">
        <x:v>4947572.629646991</x:v>
      </x:c>
      <x:c r="D347" s="25" t="str">
        <x:v>tonnes_primary_production_equivalent</x:v>
      </x:c>
    </x:row>
    <x:row r="348" ht="18" customHeight="1">
      <x:c r="A348" s="25" t="str">
        <x:v>EEZ_100</x:v>
      </x:c>
      <x:c r="B348" s="25" t="str">
        <x:v>commercial_ppr</x:v>
      </x:c>
      <x:c r="C348" s="25" t="n">
        <x:v>4299706.83993417</x:v>
      </x:c>
      <x:c r="D348" s="25" t="str">
        <x:v>tonnes_primary_production_equivalent</x:v>
      </x:c>
    </x:row>
    <x:row r="349" ht="18" customHeight="1">
      <x:c r="A349" s="25" t="str">
        <x:v>EEZ_100</x:v>
      </x:c>
      <x:c r="B349" s="25" t="str">
        <x:v>functional_ppr</x:v>
      </x:c>
      <x:c r="C349" s="25" t="n">
        <x:v>4900919.807556647</x:v>
      </x:c>
      <x:c r="D349" s="25" t="str">
        <x:v>tonnes_primary_production_equivalent</x:v>
      </x:c>
    </x:row>
    <x:row r="350" ht="18" customHeight="1">
      <x:c r="A350" s="25" t="str">
        <x:v>EEZ_100</x:v>
      </x:c>
      <x:c r="B350" s="25" t="str">
        <x:v>commercial_ppr_difference</x:v>
      </x:c>
      <x:c r="C350" s="25" t="n">
        <x:v>-647865.7897128211</x:v>
      </x:c>
      <x:c r="D350" s="25" t="str">
        <x:v>tonnes_primary_production_equivalent</x:v>
      </x:c>
    </x:row>
    <x:row r="351" ht="18" customHeight="1">
      <x:c r="A351" s="25" t="str">
        <x:v>EEZ_100</x:v>
      </x:c>
      <x:c r="B351" s="25" t="str">
        <x:v>functional_ppr_difference</x:v>
      </x:c>
      <x:c r="C351" s="25" t="n">
        <x:v>-46652.8220903445</x:v>
      </x:c>
      <x:c r="D351" s="25" t="str">
        <x:v>tonnes_primary_production_equivalent</x:v>
      </x:c>
    </x:row>
    <x:row r="352" ht="18" customHeight="1">
      <x:c r="A352" s="25" t="str">
        <x:v>EEZ_104</x:v>
      </x:c>
      <x:c r="B352" s="25" t="str">
        <x:v>raw_filtered_tonnes</x:v>
      </x:c>
      <x:c r="C352" s="25" t="n">
        <x:v>1333934.8992368777</x:v>
      </x:c>
      <x:c r="D352" s="25" t="str">
        <x:v>tonnes</x:v>
      </x:c>
    </x:row>
    <x:row r="353" ht="18" customHeight="1">
      <x:c r="A353" s="25" t="str">
        <x:v>EEZ_104</x:v>
      </x:c>
      <x:c r="B353" s="25" t="str">
        <x:v>species_catch_tonnes</x:v>
      </x:c>
      <x:c r="C353" s="25" t="n">
        <x:v>1333934.8992368777</x:v>
      </x:c>
      <x:c r="D353" s="25" t="str">
        <x:v>tonnes</x:v>
      </x:c>
    </x:row>
    <x:row r="354" ht="18" customHeight="1">
      <x:c r="A354" s="25" t="str">
        <x:v>EEZ_104</x:v>
      </x:c>
      <x:c r="B354" s="25" t="str">
        <x:v>catch_difference_tonnes</x:v>
      </x:c>
      <x:c r="C354" s="25" t="n">
        <x:v>0</x:v>
      </x:c>
      <x:c r="D354" s="25" t="str">
        <x:v>tonnes</x:v>
      </x:c>
    </x:row>
    <x:row r="355" ht="18" customHeight="1">
      <x:c r="A355" s="25" t="str">
        <x:v>EEZ_104</x:v>
      </x:c>
      <x:c r="B355" s="25" t="str">
        <x:v>catch_reconciled</x:v>
      </x:c>
      <x:c r="C355" s="36" t="b">
        <x:v>1</x:v>
      </x:c>
      <x:c r="D355" s="25" t="str">
        <x:v>boolean</x:v>
      </x:c>
    </x:row>
    <x:row r="356" ht="18" customHeight="1">
      <x:c r="A356" s="25" t="str">
        <x:v>EEZ_104</x:v>
      </x:c>
      <x:c r="B356" s="25" t="str">
        <x:v>matched_catch_tonnes</x:v>
      </x:c>
      <x:c r="C356" s="25" t="n">
        <x:v>1333934.8992368777</x:v>
      </x:c>
      <x:c r="D356" s="25" t="str">
        <x:v>tonnes</x:v>
      </x:c>
    </x:row>
    <x:row r="357" ht="18" customHeight="1">
      <x:c r="A357" s="25" t="str">
        <x:v>EEZ_104</x:v>
      </x:c>
      <x:c r="B357" s="25" t="str">
        <x:v>catch_coverage_fraction</x:v>
      </x:c>
      <x:c r="C357" s="25" t="n">
        <x:v>1</x:v>
      </x:c>
      <x:c r="D357" s="25" t="str">
        <x:v>fraction</x:v>
      </x:c>
    </x:row>
    <x:row r="358" ht="18" customHeight="1">
      <x:c r="A358" s="25" t="str">
        <x:v>EEZ_104</x:v>
      </x:c>
      <x:c r="B358" s="25" t="str">
        <x:v>taxa_count</x:v>
      </x:c>
      <x:c r="C358" s="25" t="n">
        <x:v>81</x:v>
      </x:c>
      <x:c r="D358" s="25" t="str">
        <x:v>count</x:v>
      </x:c>
    </x:row>
    <x:row r="359" ht="18" customHeight="1">
      <x:c r="A359" s="25" t="str">
        <x:v>EEZ_104</x:v>
      </x:c>
      <x:c r="B359" s="25" t="str">
        <x:v>matched_taxa_count</x:v>
      </x:c>
      <x:c r="C359" s="25" t="n">
        <x:v>81</x:v>
      </x:c>
      <x:c r="D359" s="25" t="str">
        <x:v>count</x:v>
      </x:c>
    </x:row>
    <x:row r="360" ht="18" customHeight="1">
      <x:c r="A360" s="25" t="str">
        <x:v>EEZ_104</x:v>
      </x:c>
      <x:c r="B360" s="25" t="str">
        <x:v>unmatched_taxa_count</x:v>
      </x:c>
      <x:c r="C360" s="25" t="n">
        <x:v>0</x:v>
      </x:c>
      <x:c r="D360" s="25" t="str">
        <x:v>count</x:v>
      </x:c>
    </x:row>
    <x:row r="361" ht="18" customHeight="1">
      <x:c r="A361" s="25" t="str">
        <x:v>EEZ_104</x:v>
      </x:c>
      <x:c r="B361" s="25" t="str">
        <x:v>species_ppr</x:v>
      </x:c>
      <x:c r="C361" s="25" t="n">
        <x:v>719846370.2034029</x:v>
      </x:c>
      <x:c r="D361" s="25" t="str">
        <x:v>tonnes_primary_production_equivalent</x:v>
      </x:c>
    </x:row>
    <x:row r="362" ht="18" customHeight="1">
      <x:c r="A362" s="25" t="str">
        <x:v>EEZ_104</x:v>
      </x:c>
      <x:c r="B362" s="25" t="str">
        <x:v>commercial_ppr</x:v>
      </x:c>
      <x:c r="C362" s="25" t="n">
        <x:v>533876617.67672706</x:v>
      </x:c>
      <x:c r="D362" s="25" t="str">
        <x:v>tonnes_primary_production_equivalent</x:v>
      </x:c>
    </x:row>
    <x:row r="363" ht="18" customHeight="1">
      <x:c r="A363" s="25" t="str">
        <x:v>EEZ_104</x:v>
      </x:c>
      <x:c r="B363" s="25" t="str">
        <x:v>functional_ppr</x:v>
      </x:c>
      <x:c r="C363" s="25" t="n">
        <x:v>614533774.7229358</x:v>
      </x:c>
      <x:c r="D363" s="25" t="str">
        <x:v>tonnes_primary_production_equivalent</x:v>
      </x:c>
    </x:row>
    <x:row r="364" ht="18" customHeight="1">
      <x:c r="A364" s="25" t="str">
        <x:v>EEZ_104</x:v>
      </x:c>
      <x:c r="B364" s="25" t="str">
        <x:v>commercial_ppr_difference</x:v>
      </x:c>
      <x:c r="C364" s="25" t="n">
        <x:v>-185969752.52667582</x:v>
      </x:c>
      <x:c r="D364" s="25" t="str">
        <x:v>tonnes_primary_production_equivalent</x:v>
      </x:c>
    </x:row>
    <x:row r="365" ht="18" customHeight="1">
      <x:c r="A365" s="25" t="str">
        <x:v>EEZ_104</x:v>
      </x:c>
      <x:c r="B365" s="25" t="str">
        <x:v>functional_ppr_difference</x:v>
      </x:c>
      <x:c r="C365" s="25" t="n">
        <x:v>-105312595.48046708</x:v>
      </x:c>
      <x:c r="D365" s="25" t="str">
        <x:v>tonnes_primary_production_equivalent</x:v>
      </x:c>
    </x:row>
    <x:row r="366" ht="18" customHeight="1">
      <x:c r="A366" s="25" t="str">
        <x:v>EEZ_111</x:v>
      </x:c>
      <x:c r="B366" s="25" t="str">
        <x:v>raw_filtered_tonnes</x:v>
      </x:c>
      <x:c r="C366" s="25" t="n">
        <x:v>10673.4414939733</x:v>
      </x:c>
      <x:c r="D366" s="25" t="str">
        <x:v>tonnes</x:v>
      </x:c>
    </x:row>
    <x:row r="367" ht="18" customHeight="1">
      <x:c r="A367" s="25" t="str">
        <x:v>EEZ_111</x:v>
      </x:c>
      <x:c r="B367" s="25" t="str">
        <x:v>species_catch_tonnes</x:v>
      </x:c>
      <x:c r="C367" s="25" t="n">
        <x:v>10673.441493973301</x:v>
      </x:c>
      <x:c r="D367" s="25" t="str">
        <x:v>tonnes</x:v>
      </x:c>
    </x:row>
    <x:row r="368" ht="18" customHeight="1">
      <x:c r="A368" s="25" t="str">
        <x:v>EEZ_111</x:v>
      </x:c>
      <x:c r="B368" s="25" t="str">
        <x:v>catch_difference_tonnes</x:v>
      </x:c>
      <x:c r="C368" s="25" t="n">
        <x:v>1.8189894035458565e-12</x:v>
      </x:c>
      <x:c r="D368" s="25" t="str">
        <x:v>tonnes</x:v>
      </x:c>
    </x:row>
    <x:row r="369" ht="18" customHeight="1">
      <x:c r="A369" s="25" t="str">
        <x:v>EEZ_111</x:v>
      </x:c>
      <x:c r="B369" s="25" t="str">
        <x:v>catch_reconciled</x:v>
      </x:c>
      <x:c r="C369" s="36" t="b">
        <x:v>1</x:v>
      </x:c>
      <x:c r="D369" s="25" t="str">
        <x:v>boolean</x:v>
      </x:c>
    </x:row>
    <x:row r="370" ht="18" customHeight="1">
      <x:c r="A370" s="25" t="str">
        <x:v>EEZ_111</x:v>
      </x:c>
      <x:c r="B370" s="25" t="str">
        <x:v>matched_catch_tonnes</x:v>
      </x:c>
      <x:c r="C370" s="25" t="n">
        <x:v>10673.441493973301</x:v>
      </x:c>
      <x:c r="D370" s="25" t="str">
        <x:v>tonnes</x:v>
      </x:c>
    </x:row>
    <x:row r="371" ht="18" customHeight="1">
      <x:c r="A371" s="25" t="str">
        <x:v>EEZ_111</x:v>
      </x:c>
      <x:c r="B371" s="25" t="str">
        <x:v>catch_coverage_fraction</x:v>
      </x:c>
      <x:c r="C371" s="25" t="n">
        <x:v>1</x:v>
      </x:c>
      <x:c r="D371" s="25" t="str">
        <x:v>fraction</x:v>
      </x:c>
    </x:row>
    <x:row r="372" ht="18" customHeight="1">
      <x:c r="A372" s="25" t="str">
        <x:v>EEZ_111</x:v>
      </x:c>
      <x:c r="B372" s="25" t="str">
        <x:v>taxa_count</x:v>
      </x:c>
      <x:c r="C372" s="25" t="n">
        <x:v>58</x:v>
      </x:c>
      <x:c r="D372" s="25" t="str">
        <x:v>count</x:v>
      </x:c>
    </x:row>
    <x:row r="373" ht="18" customHeight="1">
      <x:c r="A373" s="25" t="str">
        <x:v>EEZ_111</x:v>
      </x:c>
      <x:c r="B373" s="25" t="str">
        <x:v>matched_taxa_count</x:v>
      </x:c>
      <x:c r="C373" s="25" t="n">
        <x:v>58</x:v>
      </x:c>
      <x:c r="D373" s="25" t="str">
        <x:v>count</x:v>
      </x:c>
    </x:row>
    <x:row r="374" ht="18" customHeight="1">
      <x:c r="A374" s="25" t="str">
        <x:v>EEZ_111</x:v>
      </x:c>
      <x:c r="B374" s="25" t="str">
        <x:v>unmatched_taxa_count</x:v>
      </x:c>
      <x:c r="C374" s="25" t="n">
        <x:v>0</x:v>
      </x:c>
      <x:c r="D374" s="25" t="str">
        <x:v>count</x:v>
      </x:c>
    </x:row>
    <x:row r="375" ht="18" customHeight="1">
      <x:c r="A375" s="25" t="str">
        <x:v>EEZ_111</x:v>
      </x:c>
      <x:c r="B375" s="25" t="str">
        <x:v>species_ppr</x:v>
      </x:c>
      <x:c r="C375" s="25" t="n">
        <x:v>8796685.401941154</x:v>
      </x:c>
      <x:c r="D375" s="25" t="str">
        <x:v>tonnes_primary_production_equivalent</x:v>
      </x:c>
    </x:row>
    <x:row r="376" ht="18" customHeight="1">
      <x:c r="A376" s="25" t="str">
        <x:v>EEZ_111</x:v>
      </x:c>
      <x:c r="B376" s="25" t="str">
        <x:v>commercial_ppr</x:v>
      </x:c>
      <x:c r="C376" s="25" t="n">
        <x:v>2898023.2958751377</x:v>
      </x:c>
      <x:c r="D376" s="25" t="str">
        <x:v>tonnes_primary_production_equivalent</x:v>
      </x:c>
    </x:row>
    <x:row r="377" ht="18" customHeight="1">
      <x:c r="A377" s="25" t="str">
        <x:v>EEZ_111</x:v>
      </x:c>
      <x:c r="B377" s="25" t="str">
        <x:v>functional_ppr</x:v>
      </x:c>
      <x:c r="C377" s="25" t="n">
        <x:v>6605497.291251106</x:v>
      </x:c>
      <x:c r="D377" s="25" t="str">
        <x:v>tonnes_primary_production_equivalent</x:v>
      </x:c>
    </x:row>
    <x:row r="378" ht="18" customHeight="1">
      <x:c r="A378" s="25" t="str">
        <x:v>EEZ_111</x:v>
      </x:c>
      <x:c r="B378" s="25" t="str">
        <x:v>commercial_ppr_difference</x:v>
      </x:c>
      <x:c r="C378" s="25" t="n">
        <x:v>-5898662.1060660165</x:v>
      </x:c>
      <x:c r="D378" s="25" t="str">
        <x:v>tonnes_primary_production_equivalent</x:v>
      </x:c>
    </x:row>
    <x:row r="379" ht="18" customHeight="1">
      <x:c r="A379" s="25" t="str">
        <x:v>EEZ_111</x:v>
      </x:c>
      <x:c r="B379" s="25" t="str">
        <x:v>functional_ppr_difference</x:v>
      </x:c>
      <x:c r="C379" s="25" t="n">
        <x:v>-2191188.110690048</x:v>
      </x:c>
      <x:c r="D379" s="25" t="str">
        <x:v>tonnes_primary_production_equivalent</x:v>
      </x:c>
    </x:row>
    <x:row r="380" ht="18" customHeight="1">
      <x:c r="A380" s="25" t="str">
        <x:v>EEZ_116</x:v>
      </x:c>
      <x:c r="B380" s="25" t="str">
        <x:v>raw_filtered_tonnes</x:v>
      </x:c>
      <x:c r="C380" s="25" t="n">
        <x:v>211746.98448764198</x:v>
      </x:c>
      <x:c r="D380" s="25" t="str">
        <x:v>tonnes</x:v>
      </x:c>
    </x:row>
    <x:row r="381" ht="18" customHeight="1">
      <x:c r="A381" s="25" t="str">
        <x:v>EEZ_116</x:v>
      </x:c>
      <x:c r="B381" s="25" t="str">
        <x:v>species_catch_tonnes</x:v>
      </x:c>
      <x:c r="C381" s="25" t="n">
        <x:v>211746.984487642</x:v>
      </x:c>
      <x:c r="D381" s="25" t="str">
        <x:v>tonnes</x:v>
      </x:c>
    </x:row>
    <x:row r="382" ht="18" customHeight="1">
      <x:c r="A382" s="25" t="str">
        <x:v>EEZ_116</x:v>
      </x:c>
      <x:c r="B382" s="25" t="str">
        <x:v>catch_difference_tonnes</x:v>
      </x:c>
      <x:c r="C382" s="25" t="n">
        <x:v>2.9103830456733704e-11</x:v>
      </x:c>
      <x:c r="D382" s="25" t="str">
        <x:v>tonnes</x:v>
      </x:c>
    </x:row>
    <x:row r="383" ht="18" customHeight="1">
      <x:c r="A383" s="25" t="str">
        <x:v>EEZ_116</x:v>
      </x:c>
      <x:c r="B383" s="25" t="str">
        <x:v>catch_reconciled</x:v>
      </x:c>
      <x:c r="C383" s="36" t="b">
        <x:v>1</x:v>
      </x:c>
      <x:c r="D383" s="25" t="str">
        <x:v>boolean</x:v>
      </x:c>
    </x:row>
    <x:row r="384" ht="18" customHeight="1">
      <x:c r="A384" s="25" t="str">
        <x:v>EEZ_116</x:v>
      </x:c>
      <x:c r="B384" s="25" t="str">
        <x:v>matched_catch_tonnes</x:v>
      </x:c>
      <x:c r="C384" s="25" t="n">
        <x:v>211746.984487642</x:v>
      </x:c>
      <x:c r="D384" s="25" t="str">
        <x:v>tonnes</x:v>
      </x:c>
    </x:row>
    <x:row r="385" ht="18" customHeight="1">
      <x:c r="A385" s="25" t="str">
        <x:v>EEZ_116</x:v>
      </x:c>
      <x:c r="B385" s="25" t="str">
        <x:v>catch_coverage_fraction</x:v>
      </x:c>
      <x:c r="C385" s="25" t="n">
        <x:v>1</x:v>
      </x:c>
      <x:c r="D385" s="25" t="str">
        <x:v>fraction</x:v>
      </x:c>
    </x:row>
    <x:row r="386" ht="18" customHeight="1">
      <x:c r="A386" s="25" t="str">
        <x:v>EEZ_116</x:v>
      </x:c>
      <x:c r="B386" s="25" t="str">
        <x:v>taxa_count</x:v>
      </x:c>
      <x:c r="C386" s="25" t="n">
        <x:v>110</x:v>
      </x:c>
      <x:c r="D386" s="25" t="str">
        <x:v>count</x:v>
      </x:c>
    </x:row>
    <x:row r="387" ht="18" customHeight="1">
      <x:c r="A387" s="25" t="str">
        <x:v>EEZ_116</x:v>
      </x:c>
      <x:c r="B387" s="25" t="str">
        <x:v>matched_taxa_count</x:v>
      </x:c>
      <x:c r="C387" s="25" t="n">
        <x:v>110</x:v>
      </x:c>
      <x:c r="D387" s="25" t="str">
        <x:v>count</x:v>
      </x:c>
    </x:row>
    <x:row r="388" ht="18" customHeight="1">
      <x:c r="A388" s="25" t="str">
        <x:v>EEZ_116</x:v>
      </x:c>
      <x:c r="B388" s="25" t="str">
        <x:v>unmatched_taxa_count</x:v>
      </x:c>
      <x:c r="C388" s="25" t="n">
        <x:v>0</x:v>
      </x:c>
      <x:c r="D388" s="25" t="str">
        <x:v>count</x:v>
      </x:c>
    </x:row>
    <x:row r="389" ht="18" customHeight="1">
      <x:c r="A389" s="25" t="str">
        <x:v>EEZ_116</x:v>
      </x:c>
      <x:c r="B389" s="25" t="str">
        <x:v>species_ppr</x:v>
      </x:c>
      <x:c r="C389" s="25" t="n">
        <x:v>157736807.02534643</x:v>
      </x:c>
      <x:c r="D389" s="25" t="str">
        <x:v>tonnes_primary_production_equivalent</x:v>
      </x:c>
    </x:row>
    <x:row r="390" ht="18" customHeight="1">
      <x:c r="A390" s="25" t="str">
        <x:v>EEZ_116</x:v>
      </x:c>
      <x:c r="B390" s="25" t="str">
        <x:v>commercial_ppr</x:v>
      </x:c>
      <x:c r="C390" s="25" t="n">
        <x:v>95406747.0645604</x:v>
      </x:c>
      <x:c r="D390" s="25" t="str">
        <x:v>tonnes_primary_production_equivalent</x:v>
      </x:c>
    </x:row>
    <x:row r="391" ht="18" customHeight="1">
      <x:c r="A391" s="25" t="str">
        <x:v>EEZ_116</x:v>
      </x:c>
      <x:c r="B391" s="25" t="str">
        <x:v>functional_ppr</x:v>
      </x:c>
      <x:c r="C391" s="25" t="n">
        <x:v>134067533.23490132</x:v>
      </x:c>
      <x:c r="D391" s="25" t="str">
        <x:v>tonnes_primary_production_equivalent</x:v>
      </x:c>
    </x:row>
    <x:row r="392" ht="18" customHeight="1">
      <x:c r="A392" s="25" t="str">
        <x:v>EEZ_116</x:v>
      </x:c>
      <x:c r="B392" s="25" t="str">
        <x:v>commercial_ppr_difference</x:v>
      </x:c>
      <x:c r="C392" s="25" t="n">
        <x:v>-62330059.96078603</x:v>
      </x:c>
      <x:c r="D392" s="25" t="str">
        <x:v>tonnes_primary_production_equivalent</x:v>
      </x:c>
    </x:row>
    <x:row r="393" ht="18" customHeight="1">
      <x:c r="A393" s="25" t="str">
        <x:v>EEZ_116</x:v>
      </x:c>
      <x:c r="B393" s="25" t="str">
        <x:v>functional_ppr_difference</x:v>
      </x:c>
      <x:c r="C393" s="25" t="n">
        <x:v>-23669273.790445104</x:v>
      </x:c>
      <x:c r="D393" s="25" t="str">
        <x:v>tonnes_primary_production_equivalent</x:v>
      </x:c>
    </x:row>
    <x:row r="394" ht="18" customHeight="1">
      <x:c r="A394" s="25" t="str">
        <x:v>EEZ_120</x:v>
      </x:c>
      <x:c r="B394" s="25" t="str">
        <x:v>raw_filtered_tonnes</x:v>
      </x:c>
      <x:c r="C394" s="25" t="n">
        <x:v>280509.9182943579</x:v>
      </x:c>
      <x:c r="D394" s="25" t="str">
        <x:v>tonnes</x:v>
      </x:c>
    </x:row>
    <x:row r="395" ht="18" customHeight="1">
      <x:c r="A395" s="25" t="str">
        <x:v>EEZ_120</x:v>
      </x:c>
      <x:c r="B395" s="25" t="str">
        <x:v>species_catch_tonnes</x:v>
      </x:c>
      <x:c r="C395" s="25" t="n">
        <x:v>280509.9182943578</x:v>
      </x:c>
      <x:c r="D395" s="25" t="str">
        <x:v>tonnes</x:v>
      </x:c>
    </x:row>
    <x:row r="396" ht="18" customHeight="1">
      <x:c r="A396" s="25" t="str">
        <x:v>EEZ_120</x:v>
      </x:c>
      <x:c r="B396" s="25" t="str">
        <x:v>catch_difference_tonnes</x:v>
      </x:c>
      <x:c r="C396" s="25" t="n">
        <x:v>-1.1641532182693481e-10</x:v>
      </x:c>
      <x:c r="D396" s="25" t="str">
        <x:v>tonnes</x:v>
      </x:c>
    </x:row>
    <x:row r="397" ht="18" customHeight="1">
      <x:c r="A397" s="25" t="str">
        <x:v>EEZ_120</x:v>
      </x:c>
      <x:c r="B397" s="25" t="str">
        <x:v>catch_reconciled</x:v>
      </x:c>
      <x:c r="C397" s="36" t="b">
        <x:v>1</x:v>
      </x:c>
      <x:c r="D397" s="25" t="str">
        <x:v>boolean</x:v>
      </x:c>
    </x:row>
    <x:row r="398" ht="18" customHeight="1">
      <x:c r="A398" s="25" t="str">
        <x:v>EEZ_120</x:v>
      </x:c>
      <x:c r="B398" s="25" t="str">
        <x:v>matched_catch_tonnes</x:v>
      </x:c>
      <x:c r="C398" s="25" t="n">
        <x:v>280509.9182943578</x:v>
      </x:c>
      <x:c r="D398" s="25" t="str">
        <x:v>tonnes</x:v>
      </x:c>
    </x:row>
    <x:row r="399" ht="18" customHeight="1">
      <x:c r="A399" s="25" t="str">
        <x:v>EEZ_120</x:v>
      </x:c>
      <x:c r="B399" s="25" t="str">
        <x:v>catch_coverage_fraction</x:v>
      </x:c>
      <x:c r="C399" s="25" t="n">
        <x:v>1</x:v>
      </x:c>
      <x:c r="D399" s="25" t="str">
        <x:v>fraction</x:v>
      </x:c>
    </x:row>
    <x:row r="400" ht="18" customHeight="1">
      <x:c r="A400" s="25" t="str">
        <x:v>EEZ_120</x:v>
      </x:c>
      <x:c r="B400" s="25" t="str">
        <x:v>taxa_count</x:v>
      </x:c>
      <x:c r="C400" s="25" t="n">
        <x:v>63</x:v>
      </x:c>
      <x:c r="D400" s="25" t="str">
        <x:v>count</x:v>
      </x:c>
    </x:row>
    <x:row r="401" ht="18" customHeight="1">
      <x:c r="A401" s="25" t="str">
        <x:v>EEZ_120</x:v>
      </x:c>
      <x:c r="B401" s="25" t="str">
        <x:v>matched_taxa_count</x:v>
      </x:c>
      <x:c r="C401" s="25" t="n">
        <x:v>63</x:v>
      </x:c>
      <x:c r="D401" s="25" t="str">
        <x:v>count</x:v>
      </x:c>
    </x:row>
    <x:row r="402" ht="18" customHeight="1">
      <x:c r="A402" s="25" t="str">
        <x:v>EEZ_120</x:v>
      </x:c>
      <x:c r="B402" s="25" t="str">
        <x:v>unmatched_taxa_count</x:v>
      </x:c>
      <x:c r="C402" s="25" t="n">
        <x:v>0</x:v>
      </x:c>
      <x:c r="D402" s="25" t="str">
        <x:v>count</x:v>
      </x:c>
    </x:row>
    <x:row r="403" ht="18" customHeight="1">
      <x:c r="A403" s="25" t="str">
        <x:v>EEZ_120</x:v>
      </x:c>
      <x:c r="B403" s="25" t="str">
        <x:v>species_ppr</x:v>
      </x:c>
      <x:c r="C403" s="25" t="n">
        <x:v>101123441.33925112</x:v>
      </x:c>
      <x:c r="D403" s="25" t="str">
        <x:v>tonnes_primary_production_equivalent</x:v>
      </x:c>
    </x:row>
    <x:row r="404" ht="18" customHeight="1">
      <x:c r="A404" s="25" t="str">
        <x:v>EEZ_120</x:v>
      </x:c>
      <x:c r="B404" s="25" t="str">
        <x:v>commercial_ppr</x:v>
      </x:c>
      <x:c r="C404" s="25" t="n">
        <x:v>79121776.76546197</x:v>
      </x:c>
      <x:c r="D404" s="25" t="str">
        <x:v>tonnes_primary_production_equivalent</x:v>
      </x:c>
    </x:row>
    <x:row r="405" ht="18" customHeight="1">
      <x:c r="A405" s="25" t="str">
        <x:v>EEZ_120</x:v>
      </x:c>
      <x:c r="B405" s="25" t="str">
        <x:v>functional_ppr</x:v>
      </x:c>
      <x:c r="C405" s="25" t="n">
        <x:v>86478242.55571876</x:v>
      </x:c>
      <x:c r="D405" s="25" t="str">
        <x:v>tonnes_primary_production_equivalent</x:v>
      </x:c>
    </x:row>
    <x:row r="406" ht="18" customHeight="1">
      <x:c r="A406" s="25" t="str">
        <x:v>EEZ_120</x:v>
      </x:c>
      <x:c r="B406" s="25" t="str">
        <x:v>commercial_ppr_difference</x:v>
      </x:c>
      <x:c r="C406" s="25" t="n">
        <x:v>-22001664.57378915</x:v>
      </x:c>
      <x:c r="D406" s="25" t="str">
        <x:v>tonnes_primary_production_equivalent</x:v>
      </x:c>
    </x:row>
    <x:row r="407" ht="18" customHeight="1">
      <x:c r="A407" s="25" t="str">
        <x:v>EEZ_120</x:v>
      </x:c>
      <x:c r="B407" s="25" t="str">
        <x:v>functional_ppr_difference</x:v>
      </x:c>
      <x:c r="C407" s="25" t="n">
        <x:v>-14645198.783532351</x:v>
      </x:c>
      <x:c r="D407" s="25" t="str">
        <x:v>tonnes_primary_production_equivalent</x:v>
      </x:c>
    </x:row>
    <x:row r="408" ht="18" customHeight="1">
      <x:c r="A408" s="25" t="str">
        <x:v>EEZ_132</x:v>
      </x:c>
      <x:c r="B408" s="25" t="str">
        <x:v>raw_filtered_tonnes</x:v>
      </x:c>
      <x:c r="C408" s="25" t="n">
        <x:v>41113.69898257351</x:v>
      </x:c>
      <x:c r="D408" s="25" t="str">
        <x:v>tonnes</x:v>
      </x:c>
    </x:row>
    <x:row r="409" ht="18" customHeight="1">
      <x:c r="A409" s="25" t="str">
        <x:v>EEZ_132</x:v>
      </x:c>
      <x:c r="B409" s="25" t="str">
        <x:v>species_catch_tonnes</x:v>
      </x:c>
      <x:c r="C409" s="25" t="n">
        <x:v>41113.6989825735</x:v>
      </x:c>
      <x:c r="D409" s="25" t="str">
        <x:v>tonnes</x:v>
      </x:c>
    </x:row>
    <x:row r="410" ht="18" customHeight="1">
      <x:c r="A410" s="25" t="str">
        <x:v>EEZ_132</x:v>
      </x:c>
      <x:c r="B410" s="25" t="str">
        <x:v>catch_difference_tonnes</x:v>
      </x:c>
      <x:c r="C410" s="25" t="n">
        <x:v>-7.275957614183426e-12</x:v>
      </x:c>
      <x:c r="D410" s="25" t="str">
        <x:v>tonnes</x:v>
      </x:c>
    </x:row>
    <x:row r="411" ht="18" customHeight="1">
      <x:c r="A411" s="25" t="str">
        <x:v>EEZ_132</x:v>
      </x:c>
      <x:c r="B411" s="25" t="str">
        <x:v>catch_reconciled</x:v>
      </x:c>
      <x:c r="C411" s="36" t="b">
        <x:v>1</x:v>
      </x:c>
      <x:c r="D411" s="25" t="str">
        <x:v>boolean</x:v>
      </x:c>
    </x:row>
    <x:row r="412" ht="18" customHeight="1">
      <x:c r="A412" s="25" t="str">
        <x:v>EEZ_132</x:v>
      </x:c>
      <x:c r="B412" s="25" t="str">
        <x:v>matched_catch_tonnes</x:v>
      </x:c>
      <x:c r="C412" s="25" t="n">
        <x:v>41113.6989825735</x:v>
      </x:c>
      <x:c r="D412" s="25" t="str">
        <x:v>tonnes</x:v>
      </x:c>
    </x:row>
    <x:row r="413" ht="18" customHeight="1">
      <x:c r="A413" s="25" t="str">
        <x:v>EEZ_132</x:v>
      </x:c>
      <x:c r="B413" s="25" t="str">
        <x:v>catch_coverage_fraction</x:v>
      </x:c>
      <x:c r="C413" s="25" t="n">
        <x:v>1</x:v>
      </x:c>
      <x:c r="D413" s="25" t="str">
        <x:v>fraction</x:v>
      </x:c>
    </x:row>
    <x:row r="414" ht="18" customHeight="1">
      <x:c r="A414" s="25" t="str">
        <x:v>EEZ_132</x:v>
      </x:c>
      <x:c r="B414" s="25" t="str">
        <x:v>taxa_count</x:v>
      </x:c>
      <x:c r="C414" s="25" t="n">
        <x:v>91</x:v>
      </x:c>
      <x:c r="D414" s="25" t="str">
        <x:v>count</x:v>
      </x:c>
    </x:row>
    <x:row r="415" ht="18" customHeight="1">
      <x:c r="A415" s="25" t="str">
        <x:v>EEZ_132</x:v>
      </x:c>
      <x:c r="B415" s="25" t="str">
        <x:v>matched_taxa_count</x:v>
      </x:c>
      <x:c r="C415" s="25" t="n">
        <x:v>91</x:v>
      </x:c>
      <x:c r="D415" s="25" t="str">
        <x:v>count</x:v>
      </x:c>
    </x:row>
    <x:row r="416" ht="18" customHeight="1">
      <x:c r="A416" s="25" t="str">
        <x:v>EEZ_132</x:v>
      </x:c>
      <x:c r="B416" s="25" t="str">
        <x:v>unmatched_taxa_count</x:v>
      </x:c>
      <x:c r="C416" s="25" t="n">
        <x:v>0</x:v>
      </x:c>
      <x:c r="D416" s="25" t="str">
        <x:v>count</x:v>
      </x:c>
    </x:row>
    <x:row r="417" ht="18" customHeight="1">
      <x:c r="A417" s="25" t="str">
        <x:v>EEZ_132</x:v>
      </x:c>
      <x:c r="B417" s="25" t="str">
        <x:v>species_ppr</x:v>
      </x:c>
      <x:c r="C417" s="25" t="n">
        <x:v>68290801.75380284</x:v>
      </x:c>
      <x:c r="D417" s="25" t="str">
        <x:v>tonnes_primary_production_equivalent</x:v>
      </x:c>
    </x:row>
    <x:row r="418" ht="18" customHeight="1">
      <x:c r="A418" s="25" t="str">
        <x:v>EEZ_132</x:v>
      </x:c>
      <x:c r="B418" s="25" t="str">
        <x:v>commercial_ppr</x:v>
      </x:c>
      <x:c r="C418" s="25" t="n">
        <x:v>65453403.432502314</x:v>
      </x:c>
      <x:c r="D418" s="25" t="str">
        <x:v>tonnes_primary_production_equivalent</x:v>
      </x:c>
    </x:row>
    <x:row r="419" ht="18" customHeight="1">
      <x:c r="A419" s="25" t="str">
        <x:v>EEZ_132</x:v>
      </x:c>
      <x:c r="B419" s="25" t="str">
        <x:v>functional_ppr</x:v>
      </x:c>
      <x:c r="C419" s="25" t="n">
        <x:v>65735516.97741273</x:v>
      </x:c>
      <x:c r="D419" s="25" t="str">
        <x:v>tonnes_primary_production_equivalent</x:v>
      </x:c>
    </x:row>
    <x:row r="420" ht="18" customHeight="1">
      <x:c r="A420" s="25" t="str">
        <x:v>EEZ_132</x:v>
      </x:c>
      <x:c r="B420" s="25" t="str">
        <x:v>commercial_ppr_difference</x:v>
      </x:c>
      <x:c r="C420" s="25" t="n">
        <x:v>-2837398.3213005215</x:v>
      </x:c>
      <x:c r="D420" s="25" t="str">
        <x:v>tonnes_primary_production_equivalent</x:v>
      </x:c>
    </x:row>
    <x:row r="421" ht="18" customHeight="1">
      <x:c r="A421" s="25" t="str">
        <x:v>EEZ_132</x:v>
      </x:c>
      <x:c r="B421" s="25" t="str">
        <x:v>functional_ppr_difference</x:v>
      </x:c>
      <x:c r="C421" s="25" t="n">
        <x:v>-2555284.7763901055</x:v>
      </x:c>
      <x:c r="D421" s="25" t="str">
        <x:v>tonnes_primary_production_equivalent</x:v>
      </x:c>
    </x:row>
    <x:row r="422" ht="18" customHeight="1">
      <x:c r="A422" s="25" t="str">
        <x:v>EEZ_136</x:v>
      </x:c>
      <x:c r="B422" s="25" t="str">
        <x:v>raw_filtered_tonnes</x:v>
      </x:c>
      <x:c r="C422" s="25" t="n">
        <x:v>244.3796527111</x:v>
      </x:c>
      <x:c r="D422" s="25" t="str">
        <x:v>tonnes</x:v>
      </x:c>
    </x:row>
    <x:row r="423" ht="18" customHeight="1">
      <x:c r="A423" s="25" t="str">
        <x:v>EEZ_136</x:v>
      </x:c>
      <x:c r="B423" s="25" t="str">
        <x:v>species_catch_tonnes</x:v>
      </x:c>
      <x:c r="C423" s="25" t="n">
        <x:v>244.37965271110005</x:v>
      </x:c>
      <x:c r="D423" s="25" t="str">
        <x:v>tonnes</x:v>
      </x:c>
    </x:row>
    <x:row r="424" ht="18" customHeight="1">
      <x:c r="A424" s="25" t="str">
        <x:v>EEZ_136</x:v>
      </x:c>
      <x:c r="B424" s="25" t="str">
        <x:v>catch_difference_tonnes</x:v>
      </x:c>
      <x:c r="C424" s="25" t="n">
        <x:v>5.684341886080802e-14</x:v>
      </x:c>
      <x:c r="D424" s="25" t="str">
        <x:v>tonnes</x:v>
      </x:c>
    </x:row>
    <x:row r="425" ht="18" customHeight="1">
      <x:c r="A425" s="25" t="str">
        <x:v>EEZ_136</x:v>
      </x:c>
      <x:c r="B425" s="25" t="str">
        <x:v>catch_reconciled</x:v>
      </x:c>
      <x:c r="C425" s="36" t="b">
        <x:v>1</x:v>
      </x:c>
      <x:c r="D425" s="25" t="str">
        <x:v>boolean</x:v>
      </x:c>
    </x:row>
    <x:row r="426" ht="18" customHeight="1">
      <x:c r="A426" s="25" t="str">
        <x:v>EEZ_136</x:v>
      </x:c>
      <x:c r="B426" s="25" t="str">
        <x:v>matched_catch_tonnes</x:v>
      </x:c>
      <x:c r="C426" s="25" t="n">
        <x:v>244.37965271110005</x:v>
      </x:c>
      <x:c r="D426" s="25" t="str">
        <x:v>tonnes</x:v>
      </x:c>
    </x:row>
    <x:row r="427" ht="18" customHeight="1">
      <x:c r="A427" s="25" t="str">
        <x:v>EEZ_136</x:v>
      </x:c>
      <x:c r="B427" s="25" t="str">
        <x:v>catch_coverage_fraction</x:v>
      </x:c>
      <x:c r="C427" s="25" t="n">
        <x:v>1</x:v>
      </x:c>
      <x:c r="D427" s="25" t="str">
        <x:v>fraction</x:v>
      </x:c>
    </x:row>
    <x:row r="428" ht="18" customHeight="1">
      <x:c r="A428" s="25" t="str">
        <x:v>EEZ_136</x:v>
      </x:c>
      <x:c r="B428" s="25" t="str">
        <x:v>taxa_count</x:v>
      </x:c>
      <x:c r="C428" s="25" t="n">
        <x:v>13</x:v>
      </x:c>
      <x:c r="D428" s="25" t="str">
        <x:v>count</x:v>
      </x:c>
    </x:row>
    <x:row r="429" ht="18" customHeight="1">
      <x:c r="A429" s="25" t="str">
        <x:v>EEZ_136</x:v>
      </x:c>
      <x:c r="B429" s="25" t="str">
        <x:v>matched_taxa_count</x:v>
      </x:c>
      <x:c r="C429" s="25" t="n">
        <x:v>13</x:v>
      </x:c>
      <x:c r="D429" s="25" t="str">
        <x:v>count</x:v>
      </x:c>
    </x:row>
    <x:row r="430" ht="18" customHeight="1">
      <x:c r="A430" s="25" t="str">
        <x:v>EEZ_136</x:v>
      </x:c>
      <x:c r="B430" s="25" t="str">
        <x:v>unmatched_taxa_count</x:v>
      </x:c>
      <x:c r="C430" s="25" t="n">
        <x:v>0</x:v>
      </x:c>
      <x:c r="D430" s="25" t="str">
        <x:v>count</x:v>
      </x:c>
    </x:row>
    <x:row r="431" ht="18" customHeight="1">
      <x:c r="A431" s="25" t="str">
        <x:v>EEZ_136</x:v>
      </x:c>
      <x:c r="B431" s="25" t="str">
        <x:v>species_ppr</x:v>
      </x:c>
      <x:c r="C431" s="25" t="n">
        <x:v>174518.88545299374</x:v>
      </x:c>
      <x:c r="D431" s="25" t="str">
        <x:v>tonnes_primary_production_equivalent</x:v>
      </x:c>
    </x:row>
    <x:row r="432" ht="18" customHeight="1">
      <x:c r="A432" s="25" t="str">
        <x:v>EEZ_136</x:v>
      </x:c>
      <x:c r="B432" s="25" t="str">
        <x:v>commercial_ppr</x:v>
      </x:c>
      <x:c r="C432" s="25" t="n">
        <x:v>168159.99955340067</x:v>
      </x:c>
      <x:c r="D432" s="25" t="str">
        <x:v>tonnes_primary_production_equivalent</x:v>
      </x:c>
    </x:row>
    <x:row r="433" ht="18" customHeight="1">
      <x:c r="A433" s="25" t="str">
        <x:v>EEZ_136</x:v>
      </x:c>
      <x:c r="B433" s="25" t="str">
        <x:v>functional_ppr</x:v>
      </x:c>
      <x:c r="C433" s="25" t="n">
        <x:v>174253.67994425655</x:v>
      </x:c>
      <x:c r="D433" s="25" t="str">
        <x:v>tonnes_primary_production_equivalent</x:v>
      </x:c>
    </x:row>
    <x:row r="434" ht="18" customHeight="1">
      <x:c r="A434" s="25" t="str">
        <x:v>EEZ_136</x:v>
      </x:c>
      <x:c r="B434" s="25" t="str">
        <x:v>commercial_ppr_difference</x:v>
      </x:c>
      <x:c r="C434" s="25" t="n">
        <x:v>-6358.885899593064</x:v>
      </x:c>
      <x:c r="D434" s="25" t="str">
        <x:v>tonnes_primary_production_equivalent</x:v>
      </x:c>
    </x:row>
    <x:row r="435" ht="18" customHeight="1">
      <x:c r="A435" s="25" t="str">
        <x:v>EEZ_136</x:v>
      </x:c>
      <x:c r="B435" s="25" t="str">
        <x:v>functional_ppr_difference</x:v>
      </x:c>
      <x:c r="C435" s="25" t="n">
        <x:v>-265.2055087371846</x:v>
      </x:c>
      <x:c r="D435" s="25" t="str">
        <x:v>tonnes_primary_production_equivalent</x:v>
      </x:c>
    </x:row>
    <x:row r="436" ht="18" customHeight="1">
      <x:c r="A436" s="25" t="str">
        <x:v>EEZ_144</x:v>
      </x:c>
      <x:c r="B436" s="25" t="str">
        <x:v>raw_filtered_tonnes</x:v>
      </x:c>
      <x:c r="C436" s="25" t="n">
        <x:v>312721.78206485964</x:v>
      </x:c>
      <x:c r="D436" s="25" t="str">
        <x:v>tonnes</x:v>
      </x:c>
    </x:row>
    <x:row r="437" ht="18" customHeight="1">
      <x:c r="A437" s="25" t="str">
        <x:v>EEZ_144</x:v>
      </x:c>
      <x:c r="B437" s="25" t="str">
        <x:v>species_catch_tonnes</x:v>
      </x:c>
      <x:c r="C437" s="25" t="n">
        <x:v>312721.78206485976</x:v>
      </x:c>
      <x:c r="D437" s="25" t="str">
        <x:v>tonnes</x:v>
      </x:c>
    </x:row>
    <x:row r="438" ht="18" customHeight="1">
      <x:c r="A438" s="25" t="str">
        <x:v>EEZ_144</x:v>
      </x:c>
      <x:c r="B438" s="25" t="str">
        <x:v>catch_difference_tonnes</x:v>
      </x:c>
      <x:c r="C438" s="25" t="n">
        <x:v>1.1641532182693481e-10</x:v>
      </x:c>
      <x:c r="D438" s="25" t="str">
        <x:v>tonnes</x:v>
      </x:c>
    </x:row>
    <x:row r="439" ht="18" customHeight="1">
      <x:c r="A439" s="25" t="str">
        <x:v>EEZ_144</x:v>
      </x:c>
      <x:c r="B439" s="25" t="str">
        <x:v>catch_reconciled</x:v>
      </x:c>
      <x:c r="C439" s="36" t="b">
        <x:v>1</x:v>
      </x:c>
      <x:c r="D439" s="25" t="str">
        <x:v>boolean</x:v>
      </x:c>
    </x:row>
    <x:row r="440" ht="18" customHeight="1">
      <x:c r="A440" s="25" t="str">
        <x:v>EEZ_144</x:v>
      </x:c>
      <x:c r="B440" s="25" t="str">
        <x:v>matched_catch_tonnes</x:v>
      </x:c>
      <x:c r="C440" s="25" t="n">
        <x:v>312721.78206485976</x:v>
      </x:c>
      <x:c r="D440" s="25" t="str">
        <x:v>tonnes</x:v>
      </x:c>
    </x:row>
    <x:row r="441" ht="18" customHeight="1">
      <x:c r="A441" s="25" t="str">
        <x:v>EEZ_144</x:v>
      </x:c>
      <x:c r="B441" s="25" t="str">
        <x:v>catch_coverage_fraction</x:v>
      </x:c>
      <x:c r="C441" s="25" t="n">
        <x:v>1</x:v>
      </x:c>
      <x:c r="D441" s="25" t="str">
        <x:v>fraction</x:v>
      </x:c>
    </x:row>
    <x:row r="442" ht="18" customHeight="1">
      <x:c r="A442" s="25" t="str">
        <x:v>EEZ_144</x:v>
      </x:c>
      <x:c r="B442" s="25" t="str">
        <x:v>taxa_count</x:v>
      </x:c>
      <x:c r="C442" s="25" t="n">
        <x:v>79</x:v>
      </x:c>
      <x:c r="D442" s="25" t="str">
        <x:v>count</x:v>
      </x:c>
    </x:row>
    <x:row r="443" ht="18" customHeight="1">
      <x:c r="A443" s="25" t="str">
        <x:v>EEZ_144</x:v>
      </x:c>
      <x:c r="B443" s="25" t="str">
        <x:v>matched_taxa_count</x:v>
      </x:c>
      <x:c r="C443" s="25" t="n">
        <x:v>79</x:v>
      </x:c>
      <x:c r="D443" s="25" t="str">
        <x:v>count</x:v>
      </x:c>
    </x:row>
    <x:row r="444" ht="18" customHeight="1">
      <x:c r="A444" s="25" t="str">
        <x:v>EEZ_144</x:v>
      </x:c>
      <x:c r="B444" s="25" t="str">
        <x:v>unmatched_taxa_count</x:v>
      </x:c>
      <x:c r="C444" s="25" t="n">
        <x:v>0</x:v>
      </x:c>
      <x:c r="D444" s="25" t="str">
        <x:v>count</x:v>
      </x:c>
    </x:row>
    <x:row r="445" ht="18" customHeight="1">
      <x:c r="A445" s="25" t="str">
        <x:v>EEZ_144</x:v>
      </x:c>
      <x:c r="B445" s="25" t="str">
        <x:v>species_ppr</x:v>
      </x:c>
      <x:c r="C445" s="25" t="n">
        <x:v>124000252.48143452</x:v>
      </x:c>
      <x:c r="D445" s="25" t="str">
        <x:v>tonnes_primary_production_equivalent</x:v>
      </x:c>
    </x:row>
    <x:row r="446" ht="18" customHeight="1">
      <x:c r="A446" s="25" t="str">
        <x:v>EEZ_144</x:v>
      </x:c>
      <x:c r="B446" s="25" t="str">
        <x:v>commercial_ppr</x:v>
      </x:c>
      <x:c r="C446" s="25" t="n">
        <x:v>93655505.52803203</x:v>
      </x:c>
      <x:c r="D446" s="25" t="str">
        <x:v>tonnes_primary_production_equivalent</x:v>
      </x:c>
    </x:row>
    <x:row r="447" ht="18" customHeight="1">
      <x:c r="A447" s="25" t="str">
        <x:v>EEZ_144</x:v>
      </x:c>
      <x:c r="B447" s="25" t="str">
        <x:v>functional_ppr</x:v>
      </x:c>
      <x:c r="C447" s="25" t="n">
        <x:v>108693151.46193188</x:v>
      </x:c>
      <x:c r="D447" s="25" t="str">
        <x:v>tonnes_primary_production_equivalent</x:v>
      </x:c>
    </x:row>
    <x:row r="448" ht="18" customHeight="1">
      <x:c r="A448" s="25" t="str">
        <x:v>EEZ_144</x:v>
      </x:c>
      <x:c r="B448" s="25" t="str">
        <x:v>commercial_ppr_difference</x:v>
      </x:c>
      <x:c r="C448" s="25" t="n">
        <x:v>-30344746.95340249</x:v>
      </x:c>
      <x:c r="D448" s="25" t="str">
        <x:v>tonnes_primary_production_equivalent</x:v>
      </x:c>
    </x:row>
    <x:row r="449" ht="18" customHeight="1">
      <x:c r="A449" s="25" t="str">
        <x:v>EEZ_144</x:v>
      </x:c>
      <x:c r="B449" s="25" t="str">
        <x:v>functional_ppr_difference</x:v>
      </x:c>
      <x:c r="C449" s="25" t="n">
        <x:v>-15307101.01950264</x:v>
      </x:c>
      <x:c r="D449" s="25" t="str">
        <x:v>tonnes_primary_production_equivalent</x:v>
      </x:c>
    </x:row>
    <x:row r="450" ht="18" customHeight="1">
      <x:c r="A450" s="25" t="str">
        <x:v>EEZ_152</x:v>
      </x:c>
      <x:c r="B450" s="25" t="str">
        <x:v>raw_filtered_tonnes</x:v>
      </x:c>
      <x:c r="C450" s="25" t="n">
        <x:v>1654215.5401263882</x:v>
      </x:c>
      <x:c r="D450" s="25" t="str">
        <x:v>tonnes</x:v>
      </x:c>
    </x:row>
    <x:row r="451" ht="18" customHeight="1">
      <x:c r="A451" s="25" t="str">
        <x:v>EEZ_152</x:v>
      </x:c>
      <x:c r="B451" s="25" t="str">
        <x:v>species_catch_tonnes</x:v>
      </x:c>
      <x:c r="C451" s="25" t="n">
        <x:v>1654215.540126388</x:v>
      </x:c>
      <x:c r="D451" s="25" t="str">
        <x:v>tonnes</x:v>
      </x:c>
    </x:row>
    <x:row r="452" ht="18" customHeight="1">
      <x:c r="A452" s="25" t="str">
        <x:v>EEZ_152</x:v>
      </x:c>
      <x:c r="B452" s="25" t="str">
        <x:v>catch_difference_tonnes</x:v>
      </x:c>
      <x:c r="C452" s="25" t="n">
        <x:v>-2.3283064365386963e-10</x:v>
      </x:c>
      <x:c r="D452" s="25" t="str">
        <x:v>tonnes</x:v>
      </x:c>
    </x:row>
    <x:row r="453" ht="18" customHeight="1">
      <x:c r="A453" s="25" t="str">
        <x:v>EEZ_152</x:v>
      </x:c>
      <x:c r="B453" s="25" t="str">
        <x:v>catch_reconciled</x:v>
      </x:c>
      <x:c r="C453" s="36" t="b">
        <x:v>1</x:v>
      </x:c>
      <x:c r="D453" s="25" t="str">
        <x:v>boolean</x:v>
      </x:c>
    </x:row>
    <x:row r="454" ht="18" customHeight="1">
      <x:c r="A454" s="25" t="str">
        <x:v>EEZ_152</x:v>
      </x:c>
      <x:c r="B454" s="25" t="str">
        <x:v>matched_catch_tonnes</x:v>
      </x:c>
      <x:c r="C454" s="25" t="n">
        <x:v>1654215.540126388</x:v>
      </x:c>
      <x:c r="D454" s="25" t="str">
        <x:v>tonnes</x:v>
      </x:c>
    </x:row>
    <x:row r="455" ht="18" customHeight="1">
      <x:c r="A455" s="25" t="str">
        <x:v>EEZ_152</x:v>
      </x:c>
      <x:c r="B455" s="25" t="str">
        <x:v>catch_coverage_fraction</x:v>
      </x:c>
      <x:c r="C455" s="25" t="n">
        <x:v>1</x:v>
      </x:c>
      <x:c r="D455" s="25" t="str">
        <x:v>fraction</x:v>
      </x:c>
    </x:row>
    <x:row r="456" ht="18" customHeight="1">
      <x:c r="A456" s="25" t="str">
        <x:v>EEZ_152</x:v>
      </x:c>
      <x:c r="B456" s="25" t="str">
        <x:v>taxa_count</x:v>
      </x:c>
      <x:c r="C456" s="25" t="n">
        <x:v>129</x:v>
      </x:c>
      <x:c r="D456" s="25" t="str">
        <x:v>count</x:v>
      </x:c>
    </x:row>
    <x:row r="457" ht="18" customHeight="1">
      <x:c r="A457" s="25" t="str">
        <x:v>EEZ_152</x:v>
      </x:c>
      <x:c r="B457" s="25" t="str">
        <x:v>matched_taxa_count</x:v>
      </x:c>
      <x:c r="C457" s="25" t="n">
        <x:v>129</x:v>
      </x:c>
      <x:c r="D457" s="25" t="str">
        <x:v>count</x:v>
      </x:c>
    </x:row>
    <x:row r="458" ht="18" customHeight="1">
      <x:c r="A458" s="25" t="str">
        <x:v>EEZ_152</x:v>
      </x:c>
      <x:c r="B458" s="25" t="str">
        <x:v>unmatched_taxa_count</x:v>
      </x:c>
      <x:c r="C458" s="25" t="n">
        <x:v>0</x:v>
      </x:c>
      <x:c r="D458" s="25" t="str">
        <x:v>count</x:v>
      </x:c>
    </x:row>
    <x:row r="459" ht="18" customHeight="1">
      <x:c r="A459" s="25" t="str">
        <x:v>EEZ_152</x:v>
      </x:c>
      <x:c r="B459" s="25" t="str">
        <x:v>species_ppr</x:v>
      </x:c>
      <x:c r="C459" s="25" t="n">
        <x:v>345575776.78016967</x:v>
      </x:c>
      <x:c r="D459" s="25" t="str">
        <x:v>tonnes_primary_production_equivalent</x:v>
      </x:c>
    </x:row>
    <x:row r="460" ht="18" customHeight="1">
      <x:c r="A460" s="25" t="str">
        <x:v>EEZ_152</x:v>
      </x:c>
      <x:c r="B460" s="25" t="str">
        <x:v>commercial_ppr</x:v>
      </x:c>
      <x:c r="C460" s="25" t="n">
        <x:v>255387213.71260306</x:v>
      </x:c>
      <x:c r="D460" s="25" t="str">
        <x:v>tonnes_primary_production_equivalent</x:v>
      </x:c>
    </x:row>
    <x:row r="461" ht="18" customHeight="1">
      <x:c r="A461" s="25" t="str">
        <x:v>EEZ_152</x:v>
      </x:c>
      <x:c r="B461" s="25" t="str">
        <x:v>functional_ppr</x:v>
      </x:c>
      <x:c r="C461" s="25" t="n">
        <x:v>286243706.13320345</x:v>
      </x:c>
      <x:c r="D461" s="25" t="str">
        <x:v>tonnes_primary_production_equivalent</x:v>
      </x:c>
    </x:row>
    <x:row r="462" ht="18" customHeight="1">
      <x:c r="A462" s="25" t="str">
        <x:v>EEZ_152</x:v>
      </x:c>
      <x:c r="B462" s="25" t="str">
        <x:v>commercial_ppr_difference</x:v>
      </x:c>
      <x:c r="C462" s="25" t="n">
        <x:v>-90188563.0675666</x:v>
      </x:c>
      <x:c r="D462" s="25" t="str">
        <x:v>tonnes_primary_production_equivalent</x:v>
      </x:c>
    </x:row>
    <x:row r="463" ht="18" customHeight="1">
      <x:c r="A463" s="25" t="str">
        <x:v>EEZ_152</x:v>
      </x:c>
      <x:c r="B463" s="25" t="str">
        <x:v>functional_ppr_difference</x:v>
      </x:c>
      <x:c r="C463" s="25" t="n">
        <x:v>-59332070.64696622</x:v>
      </x:c>
      <x:c r="D463" s="25" t="str">
        <x:v>tonnes_primary_production_equivalent</x:v>
      </x:c>
    </x:row>
    <x:row r="464" ht="18" customHeight="1">
      <x:c r="A464" s="25" t="str">
        <x:v>EEZ_153</x:v>
      </x:c>
      <x:c r="B464" s="25" t="str">
        <x:v>raw_filtered_tonnes</x:v>
      </x:c>
      <x:c r="C464" s="25" t="n">
        <x:v>3582.4039295136</x:v>
      </x:c>
      <x:c r="D464" s="25" t="str">
        <x:v>tonnes</x:v>
      </x:c>
    </x:row>
    <x:row r="465" ht="18" customHeight="1">
      <x:c r="A465" s="25" t="str">
        <x:v>EEZ_153</x:v>
      </x:c>
      <x:c r="B465" s="25" t="str">
        <x:v>species_catch_tonnes</x:v>
      </x:c>
      <x:c r="C465" s="25" t="n">
        <x:v>3582.4039295135995</x:v>
      </x:c>
      <x:c r="D465" s="25" t="str">
        <x:v>tonnes</x:v>
      </x:c>
    </x:row>
    <x:row r="466" ht="18" customHeight="1">
      <x:c r="A466" s="25" t="str">
        <x:v>EEZ_153</x:v>
      </x:c>
      <x:c r="B466" s="25" t="str">
        <x:v>catch_difference_tonnes</x:v>
      </x:c>
      <x:c r="C466" s="25" t="n">
        <x:v>-4.547473508864641e-13</x:v>
      </x:c>
      <x:c r="D466" s="25" t="str">
        <x:v>tonnes</x:v>
      </x:c>
    </x:row>
    <x:row r="467" ht="18" customHeight="1">
      <x:c r="A467" s="25" t="str">
        <x:v>EEZ_153</x:v>
      </x:c>
      <x:c r="B467" s="25" t="str">
        <x:v>catch_reconciled</x:v>
      </x:c>
      <x:c r="C467" s="36" t="b">
        <x:v>1</x:v>
      </x:c>
      <x:c r="D467" s="25" t="str">
        <x:v>boolean</x:v>
      </x:c>
    </x:row>
    <x:row r="468" ht="18" customHeight="1">
      <x:c r="A468" s="25" t="str">
        <x:v>EEZ_153</x:v>
      </x:c>
      <x:c r="B468" s="25" t="str">
        <x:v>matched_catch_tonnes</x:v>
      </x:c>
      <x:c r="C468" s="25" t="n">
        <x:v>3582.4039295135995</x:v>
      </x:c>
      <x:c r="D468" s="25" t="str">
        <x:v>tonnes</x:v>
      </x:c>
    </x:row>
    <x:row r="469" ht="18" customHeight="1">
      <x:c r="A469" s="25" t="str">
        <x:v>EEZ_153</x:v>
      </x:c>
      <x:c r="B469" s="25" t="str">
        <x:v>catch_coverage_fraction</x:v>
      </x:c>
      <x:c r="C469" s="25" t="n">
        <x:v>1</x:v>
      </x:c>
      <x:c r="D469" s="25" t="str">
        <x:v>fraction</x:v>
      </x:c>
    </x:row>
    <x:row r="470" ht="18" customHeight="1">
      <x:c r="A470" s="25" t="str">
        <x:v>EEZ_153</x:v>
      </x:c>
      <x:c r="B470" s="25" t="str">
        <x:v>taxa_count</x:v>
      </x:c>
      <x:c r="C470" s="25" t="n">
        <x:v>36</x:v>
      </x:c>
      <x:c r="D470" s="25" t="str">
        <x:v>count</x:v>
      </x:c>
    </x:row>
    <x:row r="471" ht="18" customHeight="1">
      <x:c r="A471" s="25" t="str">
        <x:v>EEZ_153</x:v>
      </x:c>
      <x:c r="B471" s="25" t="str">
        <x:v>matched_taxa_count</x:v>
      </x:c>
      <x:c r="C471" s="25" t="n">
        <x:v>36</x:v>
      </x:c>
      <x:c r="D471" s="25" t="str">
        <x:v>count</x:v>
      </x:c>
    </x:row>
    <x:row r="472" ht="18" customHeight="1">
      <x:c r="A472" s="25" t="str">
        <x:v>EEZ_153</x:v>
      </x:c>
      <x:c r="B472" s="25" t="str">
        <x:v>unmatched_taxa_count</x:v>
      </x:c>
      <x:c r="C472" s="25" t="n">
        <x:v>0</x:v>
      </x:c>
      <x:c r="D472" s="25" t="str">
        <x:v>count</x:v>
      </x:c>
    </x:row>
    <x:row r="473" ht="18" customHeight="1">
      <x:c r="A473" s="25" t="str">
        <x:v>EEZ_153</x:v>
      </x:c>
      <x:c r="B473" s="25" t="str">
        <x:v>species_ppr</x:v>
      </x:c>
      <x:c r="C473" s="25" t="n">
        <x:v>7297323.667236304</x:v>
      </x:c>
      <x:c r="D473" s="25" t="str">
        <x:v>tonnes_primary_production_equivalent</x:v>
      </x:c>
    </x:row>
    <x:row r="474" ht="18" customHeight="1">
      <x:c r="A474" s="25" t="str">
        <x:v>EEZ_153</x:v>
      </x:c>
      <x:c r="B474" s="25" t="str">
        <x:v>commercial_ppr</x:v>
      </x:c>
      <x:c r="C474" s="25" t="n">
        <x:v>6917234.642278184</x:v>
      </x:c>
      <x:c r="D474" s="25" t="str">
        <x:v>tonnes_primary_production_equivalent</x:v>
      </x:c>
    </x:row>
    <x:row r="475" ht="18" customHeight="1">
      <x:c r="A475" s="25" t="str">
        <x:v>EEZ_153</x:v>
      </x:c>
      <x:c r="B475" s="25" t="str">
        <x:v>functional_ppr</x:v>
      </x:c>
      <x:c r="C475" s="25" t="n">
        <x:v>6957741.323394586</x:v>
      </x:c>
      <x:c r="D475" s="25" t="str">
        <x:v>tonnes_primary_production_equivalent</x:v>
      </x:c>
    </x:row>
    <x:row r="476" ht="18" customHeight="1">
      <x:c r="A476" s="25" t="str">
        <x:v>EEZ_153</x:v>
      </x:c>
      <x:c r="B476" s="25" t="str">
        <x:v>commercial_ppr_difference</x:v>
      </x:c>
      <x:c r="C476" s="25" t="n">
        <x:v>-380089.0249581197</x:v>
      </x:c>
      <x:c r="D476" s="25" t="str">
        <x:v>tonnes_primary_production_equivalent</x:v>
      </x:c>
    </x:row>
    <x:row r="477" ht="18" customHeight="1">
      <x:c r="A477" s="25" t="str">
        <x:v>EEZ_153</x:v>
      </x:c>
      <x:c r="B477" s="25" t="str">
        <x:v>functional_ppr_difference</x:v>
      </x:c>
      <x:c r="C477" s="25" t="n">
        <x:v>-339582.3438417176</x:v>
      </x:c>
      <x:c r="D477" s="25" t="str">
        <x:v>tonnes_primary_production_equivalent</x:v>
      </x:c>
    </x:row>
    <x:row r="478" ht="18" customHeight="1">
      <x:c r="A478" s="25" t="str">
        <x:v>EEZ_154</x:v>
      </x:c>
      <x:c r="B478" s="25" t="str">
        <x:v>raw_filtered_tonnes</x:v>
      </x:c>
      <x:c r="C478" s="25" t="n">
        <x:v>21.535833428</x:v>
      </x:c>
      <x:c r="D478" s="25" t="str">
        <x:v>tonnes</x:v>
      </x:c>
    </x:row>
    <x:row r="479" ht="18" customHeight="1">
      <x:c r="A479" s="25" t="str">
        <x:v>EEZ_154</x:v>
      </x:c>
      <x:c r="B479" s="25" t="str">
        <x:v>species_catch_tonnes</x:v>
      </x:c>
      <x:c r="C479" s="25" t="n">
        <x:v>21.535833428</x:v>
      </x:c>
      <x:c r="D479" s="25" t="str">
        <x:v>tonnes</x:v>
      </x:c>
    </x:row>
    <x:row r="480" ht="18" customHeight="1">
      <x:c r="A480" s="25" t="str">
        <x:v>EEZ_154</x:v>
      </x:c>
      <x:c r="B480" s="25" t="str">
        <x:v>catch_difference_tonnes</x:v>
      </x:c>
      <x:c r="C480" s="25" t="n">
        <x:v>0</x:v>
      </x:c>
      <x:c r="D480" s="25" t="str">
        <x:v>tonnes</x:v>
      </x:c>
    </x:row>
    <x:row r="481" ht="18" customHeight="1">
      <x:c r="A481" s="25" t="str">
        <x:v>EEZ_154</x:v>
      </x:c>
      <x:c r="B481" s="25" t="str">
        <x:v>catch_reconciled</x:v>
      </x:c>
      <x:c r="C481" s="36" t="b">
        <x:v>1</x:v>
      </x:c>
      <x:c r="D481" s="25" t="str">
        <x:v>boolean</x:v>
      </x:c>
    </x:row>
    <x:row r="482" ht="18" customHeight="1">
      <x:c r="A482" s="25" t="str">
        <x:v>EEZ_154</x:v>
      </x:c>
      <x:c r="B482" s="25" t="str">
        <x:v>matched_catch_tonnes</x:v>
      </x:c>
      <x:c r="C482" s="25" t="n">
        <x:v>21.535833428</x:v>
      </x:c>
      <x:c r="D482" s="25" t="str">
        <x:v>tonnes</x:v>
      </x:c>
    </x:row>
    <x:row r="483" ht="18" customHeight="1">
      <x:c r="A483" s="25" t="str">
        <x:v>EEZ_154</x:v>
      </x:c>
      <x:c r="B483" s="25" t="str">
        <x:v>catch_coverage_fraction</x:v>
      </x:c>
      <x:c r="C483" s="25" t="n">
        <x:v>1</x:v>
      </x:c>
      <x:c r="D483" s="25" t="str">
        <x:v>fraction</x:v>
      </x:c>
    </x:row>
    <x:row r="484" ht="18" customHeight="1">
      <x:c r="A484" s="25" t="str">
        <x:v>EEZ_154</x:v>
      </x:c>
      <x:c r="B484" s="25" t="str">
        <x:v>taxa_count</x:v>
      </x:c>
      <x:c r="C484" s="25" t="n">
        <x:v>12</x:v>
      </x:c>
      <x:c r="D484" s="25" t="str">
        <x:v>count</x:v>
      </x:c>
    </x:row>
    <x:row r="485" ht="18" customHeight="1">
      <x:c r="A485" s="25" t="str">
        <x:v>EEZ_154</x:v>
      </x:c>
      <x:c r="B485" s="25" t="str">
        <x:v>matched_taxa_count</x:v>
      </x:c>
      <x:c r="C485" s="25" t="n">
        <x:v>12</x:v>
      </x:c>
      <x:c r="D485" s="25" t="str">
        <x:v>count</x:v>
      </x:c>
    </x:row>
    <x:row r="486" ht="18" customHeight="1">
      <x:c r="A486" s="25" t="str">
        <x:v>EEZ_154</x:v>
      </x:c>
      <x:c r="B486" s="25" t="str">
        <x:v>unmatched_taxa_count</x:v>
      </x:c>
      <x:c r="C486" s="25" t="n">
        <x:v>0</x:v>
      </x:c>
      <x:c r="D486" s="25" t="str">
        <x:v>count</x:v>
      </x:c>
    </x:row>
    <x:row r="487" ht="18" customHeight="1">
      <x:c r="A487" s="25" t="str">
        <x:v>EEZ_154</x:v>
      </x:c>
      <x:c r="B487" s="25" t="str">
        <x:v>species_ppr</x:v>
      </x:c>
      <x:c r="C487" s="25" t="n">
        <x:v>4740.625617241974</x:v>
      </x:c>
      <x:c r="D487" s="25" t="str">
        <x:v>tonnes_primary_production_equivalent</x:v>
      </x:c>
    </x:row>
    <x:row r="488" ht="18" customHeight="1">
      <x:c r="A488" s="25" t="str">
        <x:v>EEZ_154</x:v>
      </x:c>
      <x:c r="B488" s="25" t="str">
        <x:v>commercial_ppr</x:v>
      </x:c>
      <x:c r="C488" s="25" t="n">
        <x:v>4634.427692116524</x:v>
      </x:c>
      <x:c r="D488" s="25" t="str">
        <x:v>tonnes_primary_production_equivalent</x:v>
      </x:c>
    </x:row>
    <x:row r="489" ht="18" customHeight="1">
      <x:c r="A489" s="25" t="str">
        <x:v>EEZ_154</x:v>
      </x:c>
      <x:c r="B489" s="25" t="str">
        <x:v>functional_ppr</x:v>
      </x:c>
      <x:c r="C489" s="25" t="n">
        <x:v>4730.844234245481</x:v>
      </x:c>
      <x:c r="D489" s="25" t="str">
        <x:v>tonnes_primary_production_equivalent</x:v>
      </x:c>
    </x:row>
    <x:row r="490" ht="18" customHeight="1">
      <x:c r="A490" s="25" t="str">
        <x:v>EEZ_154</x:v>
      </x:c>
      <x:c r="B490" s="25" t="str">
        <x:v>commercial_ppr_difference</x:v>
      </x:c>
      <x:c r="C490" s="25" t="n">
        <x:v>-106.19792512545064</x:v>
      </x:c>
      <x:c r="D490" s="25" t="str">
        <x:v>tonnes_primary_production_equivalent</x:v>
      </x:c>
    </x:row>
    <x:row r="491" ht="18" customHeight="1">
      <x:c r="A491" s="25" t="str">
        <x:v>EEZ_154</x:v>
      </x:c>
      <x:c r="B491" s="25" t="str">
        <x:v>functional_ppr_difference</x:v>
      </x:c>
      <x:c r="C491" s="25" t="n">
        <x:v>-9.781382996493448</x:v>
      </x:c>
      <x:c r="D491" s="25" t="str">
        <x:v>tonnes_primary_production_equivalent</x:v>
      </x:c>
    </x:row>
    <x:row r="492" ht="18" customHeight="1">
      <x:c r="A492" s="25" t="str">
        <x:v>EEZ_155</x:v>
      </x:c>
      <x:c r="B492" s="25" t="str">
        <x:v>raw_filtered_tonnes</x:v>
      </x:c>
      <x:c r="C492" s="25" t="n">
        <x:v>42555.5279449449</x:v>
      </x:c>
      <x:c r="D492" s="25" t="str">
        <x:v>tonnes</x:v>
      </x:c>
    </x:row>
    <x:row r="493" ht="18" customHeight="1">
      <x:c r="A493" s="25" t="str">
        <x:v>EEZ_155</x:v>
      </x:c>
      <x:c r="B493" s="25" t="str">
        <x:v>species_catch_tonnes</x:v>
      </x:c>
      <x:c r="C493" s="25" t="n">
        <x:v>42555.52794494491</x:v>
      </x:c>
      <x:c r="D493" s="25" t="str">
        <x:v>tonnes</x:v>
      </x:c>
    </x:row>
    <x:row r="494" ht="18" customHeight="1">
      <x:c r="A494" s="25" t="str">
        <x:v>EEZ_155</x:v>
      </x:c>
      <x:c r="B494" s="25" t="str">
        <x:v>catch_difference_tonnes</x:v>
      </x:c>
      <x:c r="C494" s="25" t="n">
        <x:v>7.275957614183426e-12</x:v>
      </x:c>
      <x:c r="D494" s="25" t="str">
        <x:v>tonnes</x:v>
      </x:c>
    </x:row>
    <x:row r="495" ht="18" customHeight="1">
      <x:c r="A495" s="25" t="str">
        <x:v>EEZ_155</x:v>
      </x:c>
      <x:c r="B495" s="25" t="str">
        <x:v>catch_reconciled</x:v>
      </x:c>
      <x:c r="C495" s="36" t="b">
        <x:v>1</x:v>
      </x:c>
      <x:c r="D495" s="25" t="str">
        <x:v>boolean</x:v>
      </x:c>
    </x:row>
    <x:row r="496" ht="18" customHeight="1">
      <x:c r="A496" s="25" t="str">
        <x:v>EEZ_155</x:v>
      </x:c>
      <x:c r="B496" s="25" t="str">
        <x:v>matched_catch_tonnes</x:v>
      </x:c>
      <x:c r="C496" s="25" t="n">
        <x:v>42555.52794494491</x:v>
      </x:c>
      <x:c r="D496" s="25" t="str">
        <x:v>tonnes</x:v>
      </x:c>
    </x:row>
    <x:row r="497" ht="18" customHeight="1">
      <x:c r="A497" s="25" t="str">
        <x:v>EEZ_155</x:v>
      </x:c>
      <x:c r="B497" s="25" t="str">
        <x:v>catch_coverage_fraction</x:v>
      </x:c>
      <x:c r="C497" s="25" t="n">
        <x:v>1</x:v>
      </x:c>
      <x:c r="D497" s="25" t="str">
        <x:v>fraction</x:v>
      </x:c>
    </x:row>
    <x:row r="498" ht="18" customHeight="1">
      <x:c r="A498" s="25" t="str">
        <x:v>EEZ_155</x:v>
      </x:c>
      <x:c r="B498" s="25" t="str">
        <x:v>taxa_count</x:v>
      </x:c>
      <x:c r="C498" s="25" t="n">
        <x:v>22</x:v>
      </x:c>
      <x:c r="D498" s="25" t="str">
        <x:v>count</x:v>
      </x:c>
    </x:row>
    <x:row r="499" ht="18" customHeight="1">
      <x:c r="A499" s="25" t="str">
        <x:v>EEZ_155</x:v>
      </x:c>
      <x:c r="B499" s="25" t="str">
        <x:v>matched_taxa_count</x:v>
      </x:c>
      <x:c r="C499" s="25" t="n">
        <x:v>22</x:v>
      </x:c>
      <x:c r="D499" s="25" t="str">
        <x:v>count</x:v>
      </x:c>
    </x:row>
    <x:row r="500" ht="18" customHeight="1">
      <x:c r="A500" s="25" t="str">
        <x:v>EEZ_155</x:v>
      </x:c>
      <x:c r="B500" s="25" t="str">
        <x:v>unmatched_taxa_count</x:v>
      </x:c>
      <x:c r="C500" s="25" t="n">
        <x:v>0</x:v>
      </x:c>
      <x:c r="D500" s="25" t="str">
        <x:v>count</x:v>
      </x:c>
    </x:row>
    <x:row r="501" ht="18" customHeight="1">
      <x:c r="A501" s="25" t="str">
        <x:v>EEZ_155</x:v>
      </x:c>
      <x:c r="B501" s="25" t="str">
        <x:v>species_ppr</x:v>
      </x:c>
      <x:c r="C501" s="25" t="n">
        <x:v>10134000.51502535</x:v>
      </x:c>
      <x:c r="D501" s="25" t="str">
        <x:v>tonnes_primary_production_equivalent</x:v>
      </x:c>
    </x:row>
    <x:row r="502" ht="18" customHeight="1">
      <x:c r="A502" s="25" t="str">
        <x:v>EEZ_155</x:v>
      </x:c>
      <x:c r="B502" s="25" t="str">
        <x:v>commercial_ppr</x:v>
      </x:c>
      <x:c r="C502" s="25" t="n">
        <x:v>9872422.321179826</x:v>
      </x:c>
      <x:c r="D502" s="25" t="str">
        <x:v>tonnes_primary_production_equivalent</x:v>
      </x:c>
    </x:row>
    <x:row r="503" ht="18" customHeight="1">
      <x:c r="A503" s="25" t="str">
        <x:v>EEZ_155</x:v>
      </x:c>
      <x:c r="B503" s="25" t="str">
        <x:v>functional_ppr</x:v>
      </x:c>
      <x:c r="C503" s="25" t="n">
        <x:v>9922996.107974112</x:v>
      </x:c>
      <x:c r="D503" s="25" t="str">
        <x:v>tonnes_primary_production_equivalent</x:v>
      </x:c>
    </x:row>
    <x:row r="504" ht="18" customHeight="1">
      <x:c r="A504" s="25" t="str">
        <x:v>EEZ_155</x:v>
      </x:c>
      <x:c r="B504" s="25" t="str">
        <x:v>commercial_ppr_difference</x:v>
      </x:c>
      <x:c r="C504" s="25" t="n">
        <x:v>-261578.19384552352</x:v>
      </x:c>
      <x:c r="D504" s="25" t="str">
        <x:v>tonnes_primary_production_equivalent</x:v>
      </x:c>
    </x:row>
    <x:row r="505" ht="18" customHeight="1">
      <x:c r="A505" s="25" t="str">
        <x:v>EEZ_155</x:v>
      </x:c>
      <x:c r="B505" s="25" t="str">
        <x:v>functional_ppr_difference</x:v>
      </x:c>
      <x:c r="C505" s="25" t="n">
        <x:v>-211004.4070512373</x:v>
      </x:c>
      <x:c r="D505" s="25" t="str">
        <x:v>tonnes_primary_production_equivalent</x:v>
      </x:c>
    </x:row>
    <x:row r="506" ht="18" customHeight="1">
      <x:c r="A506" s="25" t="str">
        <x:v>EEZ_156</x:v>
      </x:c>
      <x:c r="B506" s="25" t="str">
        <x:v>raw_filtered_tonnes</x:v>
      </x:c>
      <x:c r="C506" s="25" t="n">
        <x:v>9568140.597730292</x:v>
      </x:c>
      <x:c r="D506" s="25" t="str">
        <x:v>tonnes</x:v>
      </x:c>
    </x:row>
    <x:row r="507" ht="18" customHeight="1">
      <x:c r="A507" s="25" t="str">
        <x:v>EEZ_156</x:v>
      </x:c>
      <x:c r="B507" s="25" t="str">
        <x:v>species_catch_tonnes</x:v>
      </x:c>
      <x:c r="C507" s="25" t="n">
        <x:v>9568140.59773029</x:v>
      </x:c>
      <x:c r="D507" s="25" t="str">
        <x:v>tonnes</x:v>
      </x:c>
    </x:row>
    <x:row r="508" ht="18" customHeight="1">
      <x:c r="A508" s="25" t="str">
        <x:v>EEZ_156</x:v>
      </x:c>
      <x:c r="B508" s="25" t="str">
        <x:v>catch_difference_tonnes</x:v>
      </x:c>
      <x:c r="C508" s="25" t="n">
        <x:v>-1.862645149230957e-9</x:v>
      </x:c>
      <x:c r="D508" s="25" t="str">
        <x:v>tonnes</x:v>
      </x:c>
    </x:row>
    <x:row r="509" ht="18" customHeight="1">
      <x:c r="A509" s="25" t="str">
        <x:v>EEZ_156</x:v>
      </x:c>
      <x:c r="B509" s="25" t="str">
        <x:v>catch_reconciled</x:v>
      </x:c>
      <x:c r="C509" s="36" t="b">
        <x:v>1</x:v>
      </x:c>
      <x:c r="D509" s="25" t="str">
        <x:v>boolean</x:v>
      </x:c>
    </x:row>
    <x:row r="510" ht="18" customHeight="1">
      <x:c r="A510" s="25" t="str">
        <x:v>EEZ_156</x:v>
      </x:c>
      <x:c r="B510" s="25" t="str">
        <x:v>matched_catch_tonnes</x:v>
      </x:c>
      <x:c r="C510" s="25" t="n">
        <x:v>9568140.59773029</x:v>
      </x:c>
      <x:c r="D510" s="25" t="str">
        <x:v>tonnes</x:v>
      </x:c>
    </x:row>
    <x:row r="511" ht="18" customHeight="1">
      <x:c r="A511" s="25" t="str">
        <x:v>EEZ_156</x:v>
      </x:c>
      <x:c r="B511" s="25" t="str">
        <x:v>catch_coverage_fraction</x:v>
      </x:c>
      <x:c r="C511" s="25" t="n">
        <x:v>1</x:v>
      </x:c>
      <x:c r="D511" s="25" t="str">
        <x:v>fraction</x:v>
      </x:c>
    </x:row>
    <x:row r="512" ht="18" customHeight="1">
      <x:c r="A512" s="25" t="str">
        <x:v>EEZ_156</x:v>
      </x:c>
      <x:c r="B512" s="25" t="str">
        <x:v>taxa_count</x:v>
      </x:c>
      <x:c r="C512" s="25" t="n">
        <x:v>180</x:v>
      </x:c>
      <x:c r="D512" s="25" t="str">
        <x:v>count</x:v>
      </x:c>
    </x:row>
    <x:row r="513" ht="18" customHeight="1">
      <x:c r="A513" s="25" t="str">
        <x:v>EEZ_156</x:v>
      </x:c>
      <x:c r="B513" s="25" t="str">
        <x:v>matched_taxa_count</x:v>
      </x:c>
      <x:c r="C513" s="25" t="n">
        <x:v>180</x:v>
      </x:c>
      <x:c r="D513" s="25" t="str">
        <x:v>count</x:v>
      </x:c>
    </x:row>
    <x:row r="514" ht="18" customHeight="1">
      <x:c r="A514" s="25" t="str">
        <x:v>EEZ_156</x:v>
      </x:c>
      <x:c r="B514" s="25" t="str">
        <x:v>unmatched_taxa_count</x:v>
      </x:c>
      <x:c r="C514" s="25" t="n">
        <x:v>0</x:v>
      </x:c>
      <x:c r="D514" s="25" t="str">
        <x:v>count</x:v>
      </x:c>
    </x:row>
    <x:row r="515" ht="18" customHeight="1">
      <x:c r="A515" s="25" t="str">
        <x:v>EEZ_156</x:v>
      </x:c>
      <x:c r="B515" s="25" t="str">
        <x:v>species_ppr</x:v>
      </x:c>
      <x:c r="C515" s="25" t="n">
        <x:v>6165828606.948386</x:v>
      </x:c>
      <x:c r="D515" s="25" t="str">
        <x:v>tonnes_primary_production_equivalent</x:v>
      </x:c>
    </x:row>
    <x:row r="516" ht="18" customHeight="1">
      <x:c r="A516" s="25" t="str">
        <x:v>EEZ_156</x:v>
      </x:c>
      <x:c r="B516" s="25" t="str">
        <x:v>commercial_ppr</x:v>
      </x:c>
      <x:c r="C516" s="25" t="n">
        <x:v>3630393758.877296</x:v>
      </x:c>
      <x:c r="D516" s="25" t="str">
        <x:v>tonnes_primary_production_equivalent</x:v>
      </x:c>
    </x:row>
    <x:row r="517" ht="18" customHeight="1">
      <x:c r="A517" s="25" t="str">
        <x:v>EEZ_156</x:v>
      </x:c>
      <x:c r="B517" s="25" t="str">
        <x:v>functional_ppr</x:v>
      </x:c>
      <x:c r="C517" s="25" t="n">
        <x:v>5114923632.251522</x:v>
      </x:c>
      <x:c r="D517" s="25" t="str">
        <x:v>tonnes_primary_production_equivalent</x:v>
      </x:c>
    </x:row>
    <x:row r="518" ht="18" customHeight="1">
      <x:c r="A518" s="25" t="str">
        <x:v>EEZ_156</x:v>
      </x:c>
      <x:c r="B518" s="25" t="str">
        <x:v>commercial_ppr_difference</x:v>
      </x:c>
      <x:c r="C518" s="25" t="n">
        <x:v>-2535434848.07109</x:v>
      </x:c>
      <x:c r="D518" s="25" t="str">
        <x:v>tonnes_primary_production_equivalent</x:v>
      </x:c>
    </x:row>
    <x:row r="519" ht="18" customHeight="1">
      <x:c r="A519" s="25" t="str">
        <x:v>EEZ_156</x:v>
      </x:c>
      <x:c r="B519" s="25" t="str">
        <x:v>functional_ppr_difference</x:v>
      </x:c>
      <x:c r="C519" s="25" t="n">
        <x:v>-1050904974.6968641</x:v>
      </x:c>
      <x:c r="D519" s="25" t="str">
        <x:v>tonnes_primary_production_equivalent</x:v>
      </x:c>
    </x:row>
    <x:row r="520" ht="18" customHeight="1">
      <x:c r="A520" s="25" t="str">
        <x:v>EEZ_157</x:v>
      </x:c>
      <x:c r="B520" s="25" t="str">
        <x:v>raw_filtered_tonnes</x:v>
      </x:c>
      <x:c r="C520" s="25" t="n">
        <x:v>974842.5837373973</x:v>
      </x:c>
      <x:c r="D520" s="25" t="str">
        <x:v>tonnes</x:v>
      </x:c>
    </x:row>
    <x:row r="521" ht="18" customHeight="1">
      <x:c r="A521" s="25" t="str">
        <x:v>EEZ_157</x:v>
      </x:c>
      <x:c r="B521" s="25" t="str">
        <x:v>species_catch_tonnes</x:v>
      </x:c>
      <x:c r="C521" s="25" t="n">
        <x:v>974842.5837373973</x:v>
      </x:c>
      <x:c r="D521" s="25" t="str">
        <x:v>tonnes</x:v>
      </x:c>
    </x:row>
    <x:row r="522" ht="18" customHeight="1">
      <x:c r="A522" s="25" t="str">
        <x:v>EEZ_157</x:v>
      </x:c>
      <x:c r="B522" s="25" t="str">
        <x:v>catch_difference_tonnes</x:v>
      </x:c>
      <x:c r="C522" s="25" t="n">
        <x:v>0</x:v>
      </x:c>
      <x:c r="D522" s="25" t="str">
        <x:v>tonnes</x:v>
      </x:c>
    </x:row>
    <x:row r="523" ht="18" customHeight="1">
      <x:c r="A523" s="25" t="str">
        <x:v>EEZ_157</x:v>
      </x:c>
      <x:c r="B523" s="25" t="str">
        <x:v>catch_reconciled</x:v>
      </x:c>
      <x:c r="C523" s="36" t="b">
        <x:v>1</x:v>
      </x:c>
      <x:c r="D523" s="25" t="str">
        <x:v>boolean</x:v>
      </x:c>
    </x:row>
    <x:row r="524" ht="18" customHeight="1">
      <x:c r="A524" s="25" t="str">
        <x:v>EEZ_157</x:v>
      </x:c>
      <x:c r="B524" s="25" t="str">
        <x:v>matched_catch_tonnes</x:v>
      </x:c>
      <x:c r="C524" s="25" t="n">
        <x:v>974842.5837373973</x:v>
      </x:c>
      <x:c r="D524" s="25" t="str">
        <x:v>tonnes</x:v>
      </x:c>
    </x:row>
    <x:row r="525" ht="18" customHeight="1">
      <x:c r="A525" s="25" t="str">
        <x:v>EEZ_157</x:v>
      </x:c>
      <x:c r="B525" s="25" t="str">
        <x:v>catch_coverage_fraction</x:v>
      </x:c>
      <x:c r="C525" s="25" t="n">
        <x:v>1</x:v>
      </x:c>
      <x:c r="D525" s="25" t="str">
        <x:v>fraction</x:v>
      </x:c>
    </x:row>
    <x:row r="526" ht="18" customHeight="1">
      <x:c r="A526" s="25" t="str">
        <x:v>EEZ_157</x:v>
      </x:c>
      <x:c r="B526" s="25" t="str">
        <x:v>taxa_count</x:v>
      </x:c>
      <x:c r="C526" s="25" t="n">
        <x:v>149</x:v>
      </x:c>
      <x:c r="D526" s="25" t="str">
        <x:v>count</x:v>
      </x:c>
    </x:row>
    <x:row r="527" ht="18" customHeight="1">
      <x:c r="A527" s="25" t="str">
        <x:v>EEZ_157</x:v>
      </x:c>
      <x:c r="B527" s="25" t="str">
        <x:v>matched_taxa_count</x:v>
      </x:c>
      <x:c r="C527" s="25" t="n">
        <x:v>149</x:v>
      </x:c>
      <x:c r="D527" s="25" t="str">
        <x:v>count</x:v>
      </x:c>
    </x:row>
    <x:row r="528" ht="18" customHeight="1">
      <x:c r="A528" s="25" t="str">
        <x:v>EEZ_157</x:v>
      </x:c>
      <x:c r="B528" s="25" t="str">
        <x:v>unmatched_taxa_count</x:v>
      </x:c>
      <x:c r="C528" s="25" t="n">
        <x:v>0</x:v>
      </x:c>
      <x:c r="D528" s="25" t="str">
        <x:v>count</x:v>
      </x:c>
    </x:row>
    <x:row r="529" ht="18" customHeight="1">
      <x:c r="A529" s="25" t="str">
        <x:v>EEZ_157</x:v>
      </x:c>
      <x:c r="B529" s="25" t="str">
        <x:v>species_ppr</x:v>
      </x:c>
      <x:c r="C529" s="25" t="n">
        <x:v>651770218.0518247</x:v>
      </x:c>
      <x:c r="D529" s="25" t="str">
        <x:v>tonnes_primary_production_equivalent</x:v>
      </x:c>
    </x:row>
    <x:row r="530" ht="18" customHeight="1">
      <x:c r="A530" s="25" t="str">
        <x:v>EEZ_157</x:v>
      </x:c>
      <x:c r="B530" s="25" t="str">
        <x:v>commercial_ppr</x:v>
      </x:c>
      <x:c r="C530" s="25" t="n">
        <x:v>393540157.69617546</x:v>
      </x:c>
      <x:c r="D530" s="25" t="str">
        <x:v>tonnes_primary_production_equivalent</x:v>
      </x:c>
    </x:row>
    <x:row r="531" ht="18" customHeight="1">
      <x:c r="A531" s="25" t="str">
        <x:v>EEZ_157</x:v>
      </x:c>
      <x:c r="B531" s="25" t="str">
        <x:v>functional_ppr</x:v>
      </x:c>
      <x:c r="C531" s="25" t="n">
        <x:v>564684929.637638</x:v>
      </x:c>
      <x:c r="D531" s="25" t="str">
        <x:v>tonnes_primary_production_equivalent</x:v>
      </x:c>
    </x:row>
    <x:row r="532" ht="18" customHeight="1">
      <x:c r="A532" s="25" t="str">
        <x:v>EEZ_157</x:v>
      </x:c>
      <x:c r="B532" s="25" t="str">
        <x:v>commercial_ppr_difference</x:v>
      </x:c>
      <x:c r="C532" s="25" t="n">
        <x:v>-258230060.35564923</x:v>
      </x:c>
      <x:c r="D532" s="25" t="str">
        <x:v>tonnes_primary_production_equivalent</x:v>
      </x:c>
    </x:row>
    <x:row r="533" ht="18" customHeight="1">
      <x:c r="A533" s="25" t="str">
        <x:v>EEZ_157</x:v>
      </x:c>
      <x:c r="B533" s="25" t="str">
        <x:v>functional_ppr_difference</x:v>
      </x:c>
      <x:c r="C533" s="25" t="n">
        <x:v>-87085288.41418672</x:v>
      </x:c>
      <x:c r="D533" s="25" t="str">
        <x:v>tonnes_primary_production_equivalent</x:v>
      </x:c>
    </x:row>
    <x:row r="534" ht="18" customHeight="1">
      <x:c r="A534" s="25" t="str">
        <x:v>EEZ_162</x:v>
      </x:c>
      <x:c r="B534" s="25" t="str">
        <x:v>raw_filtered_tonnes</x:v>
      </x:c>
      <x:c r="C534" s="25" t="n">
        <x:v>25.629903931000005</x:v>
      </x:c>
      <x:c r="D534" s="25" t="str">
        <x:v>tonnes</x:v>
      </x:c>
    </x:row>
    <x:row r="535" ht="18" customHeight="1">
      <x:c r="A535" s="25" t="str">
        <x:v>EEZ_162</x:v>
      </x:c>
      <x:c r="B535" s="25" t="str">
        <x:v>species_catch_tonnes</x:v>
      </x:c>
      <x:c r="C535" s="25" t="n">
        <x:v>25.629903931</x:v>
      </x:c>
      <x:c r="D535" s="25" t="str">
        <x:v>tonnes</x:v>
      </x:c>
    </x:row>
    <x:row r="536" ht="18" customHeight="1">
      <x:c r="A536" s="25" t="str">
        <x:v>EEZ_162</x:v>
      </x:c>
      <x:c r="B536" s="25" t="str">
        <x:v>catch_difference_tonnes</x:v>
      </x:c>
      <x:c r="C536" s="25" t="n">
        <x:v>-3.552713678800501e-15</x:v>
      </x:c>
      <x:c r="D536" s="25" t="str">
        <x:v>tonnes</x:v>
      </x:c>
    </x:row>
    <x:row r="537" ht="18" customHeight="1">
      <x:c r="A537" s="25" t="str">
        <x:v>EEZ_162</x:v>
      </x:c>
      <x:c r="B537" s="25" t="str">
        <x:v>catch_reconciled</x:v>
      </x:c>
      <x:c r="C537" s="36" t="b">
        <x:v>1</x:v>
      </x:c>
      <x:c r="D537" s="25" t="str">
        <x:v>boolean</x:v>
      </x:c>
    </x:row>
    <x:row r="538" ht="18" customHeight="1">
      <x:c r="A538" s="25" t="str">
        <x:v>EEZ_162</x:v>
      </x:c>
      <x:c r="B538" s="25" t="str">
        <x:v>matched_catch_tonnes</x:v>
      </x:c>
      <x:c r="C538" s="25" t="n">
        <x:v>25.629903931</x:v>
      </x:c>
      <x:c r="D538" s="25" t="str">
        <x:v>tonnes</x:v>
      </x:c>
    </x:row>
    <x:row r="539" ht="18" customHeight="1">
      <x:c r="A539" s="25" t="str">
        <x:v>EEZ_162</x:v>
      </x:c>
      <x:c r="B539" s="25" t="str">
        <x:v>catch_coverage_fraction</x:v>
      </x:c>
      <x:c r="C539" s="25" t="n">
        <x:v>1</x:v>
      </x:c>
      <x:c r="D539" s="25" t="str">
        <x:v>fraction</x:v>
      </x:c>
    </x:row>
    <x:row r="540" ht="18" customHeight="1">
      <x:c r="A540" s="25" t="str">
        <x:v>EEZ_162</x:v>
      </x:c>
      <x:c r="B540" s="25" t="str">
        <x:v>taxa_count</x:v>
      </x:c>
      <x:c r="C540" s="25" t="n">
        <x:v>13</x:v>
      </x:c>
      <x:c r="D540" s="25" t="str">
        <x:v>count</x:v>
      </x:c>
    </x:row>
    <x:row r="541" ht="18" customHeight="1">
      <x:c r="A541" s="25" t="str">
        <x:v>EEZ_162</x:v>
      </x:c>
      <x:c r="B541" s="25" t="str">
        <x:v>matched_taxa_count</x:v>
      </x:c>
      <x:c r="C541" s="25" t="n">
        <x:v>13</x:v>
      </x:c>
      <x:c r="D541" s="25" t="str">
        <x:v>count</x:v>
      </x:c>
    </x:row>
    <x:row r="542" ht="18" customHeight="1">
      <x:c r="A542" s="25" t="str">
        <x:v>EEZ_162</x:v>
      </x:c>
      <x:c r="B542" s="25" t="str">
        <x:v>unmatched_taxa_count</x:v>
      </x:c>
      <x:c r="C542" s="25" t="n">
        <x:v>0</x:v>
      </x:c>
      <x:c r="D542" s="25" t="str">
        <x:v>count</x:v>
      </x:c>
    </x:row>
    <x:row r="543" ht="18" customHeight="1">
      <x:c r="A543" s="25" t="str">
        <x:v>EEZ_162</x:v>
      </x:c>
      <x:c r="B543" s="25" t="str">
        <x:v>species_ppr</x:v>
      </x:c>
      <x:c r="C543" s="25" t="n">
        <x:v>22536.376227926667</x:v>
      </x:c>
      <x:c r="D543" s="25" t="str">
        <x:v>tonnes_primary_production_equivalent</x:v>
      </x:c>
    </x:row>
    <x:row r="544" ht="18" customHeight="1">
      <x:c r="A544" s="25" t="str">
        <x:v>EEZ_162</x:v>
      </x:c>
      <x:c r="B544" s="25" t="str">
        <x:v>commercial_ppr</x:v>
      </x:c>
      <x:c r="C544" s="25" t="n">
        <x:v>16565.76244561606</x:v>
      </x:c>
      <x:c r="D544" s="25" t="str">
        <x:v>tonnes_primary_production_equivalent</x:v>
      </x:c>
    </x:row>
    <x:row r="545" ht="18" customHeight="1">
      <x:c r="A545" s="25" t="str">
        <x:v>EEZ_162</x:v>
      </x:c>
      <x:c r="B545" s="25" t="str">
        <x:v>functional_ppr</x:v>
      </x:c>
      <x:c r="C545" s="25" t="n">
        <x:v>21870.251374306274</x:v>
      </x:c>
      <x:c r="D545" s="25" t="str">
        <x:v>tonnes_primary_production_equivalent</x:v>
      </x:c>
    </x:row>
    <x:row r="546" ht="18" customHeight="1">
      <x:c r="A546" s="25" t="str">
        <x:v>EEZ_162</x:v>
      </x:c>
      <x:c r="B546" s="25" t="str">
        <x:v>commercial_ppr_difference</x:v>
      </x:c>
      <x:c r="C546" s="25" t="n">
        <x:v>-5970.613782310607</x:v>
      </x:c>
      <x:c r="D546" s="25" t="str">
        <x:v>tonnes_primary_production_equivalent</x:v>
      </x:c>
    </x:row>
    <x:row r="547" ht="18" customHeight="1">
      <x:c r="A547" s="25" t="str">
        <x:v>EEZ_162</x:v>
      </x:c>
      <x:c r="B547" s="25" t="str">
        <x:v>functional_ppr_difference</x:v>
      </x:c>
      <x:c r="C547" s="25" t="n">
        <x:v>-666.124853620393</x:v>
      </x:c>
      <x:c r="D547" s="25" t="str">
        <x:v>tonnes_primary_production_equivalent</x:v>
      </x:c>
    </x:row>
    <x:row r="548" ht="18" customHeight="1">
      <x:c r="A548" s="25" t="str">
        <x:v>EEZ_166</x:v>
      </x:c>
      <x:c r="B548" s="25" t="str">
        <x:v>raw_filtered_tonnes</x:v>
      </x:c>
      <x:c r="C548" s="25" t="n">
        <x:v>268.594720107</x:v>
      </x:c>
      <x:c r="D548" s="25" t="str">
        <x:v>tonnes</x:v>
      </x:c>
    </x:row>
    <x:row r="549" ht="18" customHeight="1">
      <x:c r="A549" s="25" t="str">
        <x:v>EEZ_166</x:v>
      </x:c>
      <x:c r="B549" s="25" t="str">
        <x:v>species_catch_tonnes</x:v>
      </x:c>
      <x:c r="C549" s="25" t="n">
        <x:v>268.594720107</x:v>
      </x:c>
      <x:c r="D549" s="25" t="str">
        <x:v>tonnes</x:v>
      </x:c>
    </x:row>
    <x:row r="550" ht="18" customHeight="1">
      <x:c r="A550" s="25" t="str">
        <x:v>EEZ_166</x:v>
      </x:c>
      <x:c r="B550" s="25" t="str">
        <x:v>catch_difference_tonnes</x:v>
      </x:c>
      <x:c r="C550" s="25" t="n">
        <x:v>0</x:v>
      </x:c>
      <x:c r="D550" s="25" t="str">
        <x:v>tonnes</x:v>
      </x:c>
    </x:row>
    <x:row r="551" ht="18" customHeight="1">
      <x:c r="A551" s="25" t="str">
        <x:v>EEZ_166</x:v>
      </x:c>
      <x:c r="B551" s="25" t="str">
        <x:v>catch_reconciled</x:v>
      </x:c>
      <x:c r="C551" s="36" t="b">
        <x:v>1</x:v>
      </x:c>
      <x:c r="D551" s="25" t="str">
        <x:v>boolean</x:v>
      </x:c>
    </x:row>
    <x:row r="552" ht="18" customHeight="1">
      <x:c r="A552" s="25" t="str">
        <x:v>EEZ_166</x:v>
      </x:c>
      <x:c r="B552" s="25" t="str">
        <x:v>matched_catch_tonnes</x:v>
      </x:c>
      <x:c r="C552" s="25" t="n">
        <x:v>268.594720107</x:v>
      </x:c>
      <x:c r="D552" s="25" t="str">
        <x:v>tonnes</x:v>
      </x:c>
    </x:row>
    <x:row r="553" ht="18" customHeight="1">
      <x:c r="A553" s="25" t="str">
        <x:v>EEZ_166</x:v>
      </x:c>
      <x:c r="B553" s="25" t="str">
        <x:v>catch_coverage_fraction</x:v>
      </x:c>
      <x:c r="C553" s="25" t="n">
        <x:v>1</x:v>
      </x:c>
      <x:c r="D553" s="25" t="str">
        <x:v>fraction</x:v>
      </x:c>
    </x:row>
    <x:row r="554" ht="18" customHeight="1">
      <x:c r="A554" s="25" t="str">
        <x:v>EEZ_166</x:v>
      </x:c>
      <x:c r="B554" s="25" t="str">
        <x:v>taxa_count</x:v>
      </x:c>
      <x:c r="C554" s="25" t="n">
        <x:v>10</x:v>
      </x:c>
      <x:c r="D554" s="25" t="str">
        <x:v>count</x:v>
      </x:c>
    </x:row>
    <x:row r="555" ht="18" customHeight="1">
      <x:c r="A555" s="25" t="str">
        <x:v>EEZ_166</x:v>
      </x:c>
      <x:c r="B555" s="25" t="str">
        <x:v>matched_taxa_count</x:v>
      </x:c>
      <x:c r="C555" s="25" t="n">
        <x:v>10</x:v>
      </x:c>
      <x:c r="D555" s="25" t="str">
        <x:v>count</x:v>
      </x:c>
    </x:row>
    <x:row r="556" ht="18" customHeight="1">
      <x:c r="A556" s="25" t="str">
        <x:v>EEZ_166</x:v>
      </x:c>
      <x:c r="B556" s="25" t="str">
        <x:v>unmatched_taxa_count</x:v>
      </x:c>
      <x:c r="C556" s="25" t="n">
        <x:v>0</x:v>
      </x:c>
      <x:c r="D556" s="25" t="str">
        <x:v>count</x:v>
      </x:c>
    </x:row>
    <x:row r="557" ht="18" customHeight="1">
      <x:c r="A557" s="25" t="str">
        <x:v>EEZ_166</x:v>
      </x:c>
      <x:c r="B557" s="25" t="str">
        <x:v>species_ppr</x:v>
      </x:c>
      <x:c r="C557" s="25" t="n">
        <x:v>192511.2290212681</x:v>
      </x:c>
      <x:c r="D557" s="25" t="str">
        <x:v>tonnes_primary_production_equivalent</x:v>
      </x:c>
    </x:row>
    <x:row r="558" ht="18" customHeight="1">
      <x:c r="A558" s="25" t="str">
        <x:v>EEZ_166</x:v>
      </x:c>
      <x:c r="B558" s="25" t="str">
        <x:v>commercial_ppr</x:v>
      </x:c>
      <x:c r="C558" s="25" t="n">
        <x:v>129506.11473900735</x:v>
      </x:c>
      <x:c r="D558" s="25" t="str">
        <x:v>tonnes_primary_production_equivalent</x:v>
      </x:c>
    </x:row>
    <x:row r="559" ht="18" customHeight="1">
      <x:c r="A559" s="25" t="str">
        <x:v>EEZ_166</x:v>
      </x:c>
      <x:c r="B559" s="25" t="str">
        <x:v>functional_ppr</x:v>
      </x:c>
      <x:c r="C559" s="25" t="n">
        <x:v>182353.21410370438</x:v>
      </x:c>
      <x:c r="D559" s="25" t="str">
        <x:v>tonnes_primary_production_equivalent</x:v>
      </x:c>
    </x:row>
    <x:row r="560" ht="18" customHeight="1">
      <x:c r="A560" s="25" t="str">
        <x:v>EEZ_166</x:v>
      </x:c>
      <x:c r="B560" s="25" t="str">
        <x:v>commercial_ppr_difference</x:v>
      </x:c>
      <x:c r="C560" s="25" t="n">
        <x:v>-63005.114282260765</x:v>
      </x:c>
      <x:c r="D560" s="25" t="str">
        <x:v>tonnes_primary_production_equivalent</x:v>
      </x:c>
    </x:row>
    <x:row r="561" ht="18" customHeight="1">
      <x:c r="A561" s="25" t="str">
        <x:v>EEZ_166</x:v>
      </x:c>
      <x:c r="B561" s="25" t="str">
        <x:v>functional_ppr_difference</x:v>
      </x:c>
      <x:c r="C561" s="25" t="n">
        <x:v>-10158.014917563734</x:v>
      </x:c>
      <x:c r="D561" s="25" t="str">
        <x:v>tonnes_primary_production_equivalent</x:v>
      </x:c>
    </x:row>
    <x:row r="562" ht="18" customHeight="1">
      <x:c r="A562" s="25" t="str">
        <x:v>EEZ_174</x:v>
      </x:c>
      <x:c r="B562" s="25" t="str">
        <x:v>raw_filtered_tonnes</x:v>
      </x:c>
      <x:c r="C562" s="25" t="n">
        <x:v>20265.440293107597</x:v>
      </x:c>
      <x:c r="D562" s="25" t="str">
        <x:v>tonnes</x:v>
      </x:c>
    </x:row>
    <x:row r="563" ht="18" customHeight="1">
      <x:c r="A563" s="25" t="str">
        <x:v>EEZ_174</x:v>
      </x:c>
      <x:c r="B563" s="25" t="str">
        <x:v>species_catch_tonnes</x:v>
      </x:c>
      <x:c r="C563" s="25" t="n">
        <x:v>20265.440293107604</x:v>
      </x:c>
      <x:c r="D563" s="25" t="str">
        <x:v>tonnes</x:v>
      </x:c>
    </x:row>
    <x:row r="564" ht="18" customHeight="1">
      <x:c r="A564" s="25" t="str">
        <x:v>EEZ_174</x:v>
      </x:c>
      <x:c r="B564" s="25" t="str">
        <x:v>catch_difference_tonnes</x:v>
      </x:c>
      <x:c r="C564" s="25" t="n">
        <x:v>7.275957614183426e-12</x:v>
      </x:c>
      <x:c r="D564" s="25" t="str">
        <x:v>tonnes</x:v>
      </x:c>
    </x:row>
    <x:row r="565" ht="18" customHeight="1">
      <x:c r="A565" s="25" t="str">
        <x:v>EEZ_174</x:v>
      </x:c>
      <x:c r="B565" s="25" t="str">
        <x:v>catch_reconciled</x:v>
      </x:c>
      <x:c r="C565" s="36" t="b">
        <x:v>1</x:v>
      </x:c>
      <x:c r="D565" s="25" t="str">
        <x:v>boolean</x:v>
      </x:c>
    </x:row>
    <x:row r="566" ht="18" customHeight="1">
      <x:c r="A566" s="25" t="str">
        <x:v>EEZ_174</x:v>
      </x:c>
      <x:c r="B566" s="25" t="str">
        <x:v>matched_catch_tonnes</x:v>
      </x:c>
      <x:c r="C566" s="25" t="n">
        <x:v>20265.440293107604</x:v>
      </x:c>
      <x:c r="D566" s="25" t="str">
        <x:v>tonnes</x:v>
      </x:c>
    </x:row>
    <x:row r="567" ht="18" customHeight="1">
      <x:c r="A567" s="25" t="str">
        <x:v>EEZ_174</x:v>
      </x:c>
      <x:c r="B567" s="25" t="str">
        <x:v>catch_coverage_fraction</x:v>
      </x:c>
      <x:c r="C567" s="25" t="n">
        <x:v>1</x:v>
      </x:c>
      <x:c r="D567" s="25" t="str">
        <x:v>fraction</x:v>
      </x:c>
    </x:row>
    <x:row r="568" ht="18" customHeight="1">
      <x:c r="A568" s="25" t="str">
        <x:v>EEZ_174</x:v>
      </x:c>
      <x:c r="B568" s="25" t="str">
        <x:v>taxa_count</x:v>
      </x:c>
      <x:c r="C568" s="25" t="n">
        <x:v>42</x:v>
      </x:c>
      <x:c r="D568" s="25" t="str">
        <x:v>count</x:v>
      </x:c>
    </x:row>
    <x:row r="569" ht="18" customHeight="1">
      <x:c r="A569" s="25" t="str">
        <x:v>EEZ_174</x:v>
      </x:c>
      <x:c r="B569" s="25" t="str">
        <x:v>matched_taxa_count</x:v>
      </x:c>
      <x:c r="C569" s="25" t="n">
        <x:v>42</x:v>
      </x:c>
      <x:c r="D569" s="25" t="str">
        <x:v>count</x:v>
      </x:c>
    </x:row>
    <x:row r="570" ht="18" customHeight="1">
      <x:c r="A570" s="25" t="str">
        <x:v>EEZ_174</x:v>
      </x:c>
      <x:c r="B570" s="25" t="str">
        <x:v>unmatched_taxa_count</x:v>
      </x:c>
      <x:c r="C570" s="25" t="n">
        <x:v>0</x:v>
      </x:c>
      <x:c r="D570" s="25" t="str">
        <x:v>count</x:v>
      </x:c>
    </x:row>
    <x:row r="571" ht="18" customHeight="1">
      <x:c r="A571" s="25" t="str">
        <x:v>EEZ_174</x:v>
      </x:c>
      <x:c r="B571" s="25" t="str">
        <x:v>species_ppr</x:v>
      </x:c>
      <x:c r="C571" s="25" t="n">
        <x:v>42645896.13210497</x:v>
      </x:c>
      <x:c r="D571" s="25" t="str">
        <x:v>tonnes_primary_production_equivalent</x:v>
      </x:c>
    </x:row>
    <x:row r="572" ht="18" customHeight="1">
      <x:c r="A572" s="25" t="str">
        <x:v>EEZ_174</x:v>
      </x:c>
      <x:c r="B572" s="25" t="str">
        <x:v>commercial_ppr</x:v>
      </x:c>
      <x:c r="C572" s="25" t="n">
        <x:v>41548418.877320364</x:v>
      </x:c>
      <x:c r="D572" s="25" t="str">
        <x:v>tonnes_primary_production_equivalent</x:v>
      </x:c>
    </x:row>
    <x:row r="573" ht="18" customHeight="1">
      <x:c r="A573" s="25" t="str">
        <x:v>EEZ_174</x:v>
      </x:c>
      <x:c r="B573" s="25" t="str">
        <x:v>functional_ppr</x:v>
      </x:c>
      <x:c r="C573" s="25" t="n">
        <x:v>41639538.32029089</x:v>
      </x:c>
      <x:c r="D573" s="25" t="str">
        <x:v>tonnes_primary_production_equivalent</x:v>
      </x:c>
    </x:row>
    <x:row r="574" ht="18" customHeight="1">
      <x:c r="A574" s="25" t="str">
        <x:v>EEZ_174</x:v>
      </x:c>
      <x:c r="B574" s="25" t="str">
        <x:v>commercial_ppr_difference</x:v>
      </x:c>
      <x:c r="C574" s="25" t="n">
        <x:v>-1097477.2547846064</x:v>
      </x:c>
      <x:c r="D574" s="25" t="str">
        <x:v>tonnes_primary_production_equivalent</x:v>
      </x:c>
    </x:row>
    <x:row r="575" ht="18" customHeight="1">
      <x:c r="A575" s="25" t="str">
        <x:v>EEZ_174</x:v>
      </x:c>
      <x:c r="B575" s="25" t="str">
        <x:v>functional_ppr_difference</x:v>
      </x:c>
      <x:c r="C575" s="25" t="n">
        <x:v>-1006357.8118140772</x:v>
      </x:c>
      <x:c r="D575" s="25" t="str">
        <x:v>tonnes_primary_production_equivalent</x:v>
      </x:c>
    </x:row>
    <x:row r="576" ht="18" customHeight="1">
      <x:c r="A576" s="25" t="str">
        <x:v>EEZ_175</x:v>
      </x:c>
      <x:c r="B576" s="25" t="str">
        <x:v>raw_filtered_tonnes</x:v>
      </x:c>
      <x:c r="C576" s="25" t="n">
        <x:v>2674.2376296267003</x:v>
      </x:c>
      <x:c r="D576" s="25" t="str">
        <x:v>tonnes</x:v>
      </x:c>
    </x:row>
    <x:row r="577" ht="18" customHeight="1">
      <x:c r="A577" s="25" t="str">
        <x:v>EEZ_175</x:v>
      </x:c>
      <x:c r="B577" s="25" t="str">
        <x:v>species_catch_tonnes</x:v>
      </x:c>
      <x:c r="C577" s="25" t="n">
        <x:v>2674.2376296267003</x:v>
      </x:c>
      <x:c r="D577" s="25" t="str">
        <x:v>tonnes</x:v>
      </x:c>
    </x:row>
    <x:row r="578" ht="18" customHeight="1">
      <x:c r="A578" s="25" t="str">
        <x:v>EEZ_175</x:v>
      </x:c>
      <x:c r="B578" s="25" t="str">
        <x:v>catch_difference_tonnes</x:v>
      </x:c>
      <x:c r="C578" s="25" t="n">
        <x:v>0</x:v>
      </x:c>
      <x:c r="D578" s="25" t="str">
        <x:v>tonnes</x:v>
      </x:c>
    </x:row>
    <x:row r="579" ht="18" customHeight="1">
      <x:c r="A579" s="25" t="str">
        <x:v>EEZ_175</x:v>
      </x:c>
      <x:c r="B579" s="25" t="str">
        <x:v>catch_reconciled</x:v>
      </x:c>
      <x:c r="C579" s="36" t="b">
        <x:v>1</x:v>
      </x:c>
      <x:c r="D579" s="25" t="str">
        <x:v>boolean</x:v>
      </x:c>
    </x:row>
    <x:row r="580" ht="18" customHeight="1">
      <x:c r="A580" s="25" t="str">
        <x:v>EEZ_175</x:v>
      </x:c>
      <x:c r="B580" s="25" t="str">
        <x:v>matched_catch_tonnes</x:v>
      </x:c>
      <x:c r="C580" s="25" t="n">
        <x:v>2674.2376296267003</x:v>
      </x:c>
      <x:c r="D580" s="25" t="str">
        <x:v>tonnes</x:v>
      </x:c>
    </x:row>
    <x:row r="581" ht="18" customHeight="1">
      <x:c r="A581" s="25" t="str">
        <x:v>EEZ_175</x:v>
      </x:c>
      <x:c r="B581" s="25" t="str">
        <x:v>catch_coverage_fraction</x:v>
      </x:c>
      <x:c r="C581" s="25" t="n">
        <x:v>1</x:v>
      </x:c>
      <x:c r="D581" s="25" t="str">
        <x:v>fraction</x:v>
      </x:c>
    </x:row>
    <x:row r="582" ht="18" customHeight="1">
      <x:c r="A582" s="25" t="str">
        <x:v>EEZ_175</x:v>
      </x:c>
      <x:c r="B582" s="25" t="str">
        <x:v>taxa_count</x:v>
      </x:c>
      <x:c r="C582" s="25" t="n">
        <x:v>104</x:v>
      </x:c>
      <x:c r="D582" s="25" t="str">
        <x:v>count</x:v>
      </x:c>
    </x:row>
    <x:row r="583" ht="18" customHeight="1">
      <x:c r="A583" s="25" t="str">
        <x:v>EEZ_175</x:v>
      </x:c>
      <x:c r="B583" s="25" t="str">
        <x:v>matched_taxa_count</x:v>
      </x:c>
      <x:c r="C583" s="25" t="n">
        <x:v>104</x:v>
      </x:c>
      <x:c r="D583" s="25" t="str">
        <x:v>count</x:v>
      </x:c>
    </x:row>
    <x:row r="584" ht="18" customHeight="1">
      <x:c r="A584" s="25" t="str">
        <x:v>EEZ_175</x:v>
      </x:c>
      <x:c r="B584" s="25" t="str">
        <x:v>unmatched_taxa_count</x:v>
      </x:c>
      <x:c r="C584" s="25" t="n">
        <x:v>0</x:v>
      </x:c>
      <x:c r="D584" s="25" t="str">
        <x:v>count</x:v>
      </x:c>
    </x:row>
    <x:row r="585" ht="18" customHeight="1">
      <x:c r="A585" s="25" t="str">
        <x:v>EEZ_175</x:v>
      </x:c>
      <x:c r="B585" s="25" t="str">
        <x:v>species_ppr</x:v>
      </x:c>
      <x:c r="C585" s="25" t="n">
        <x:v>4420008.906455407</x:v>
      </x:c>
      <x:c r="D585" s="25" t="str">
        <x:v>tonnes_primary_production_equivalent</x:v>
      </x:c>
    </x:row>
    <x:row r="586" ht="18" customHeight="1">
      <x:c r="A586" s="25" t="str">
        <x:v>EEZ_175</x:v>
      </x:c>
      <x:c r="B586" s="25" t="str">
        <x:v>commercial_ppr</x:v>
      </x:c>
      <x:c r="C586" s="25" t="n">
        <x:v>3744885.6635713265</x:v>
      </x:c>
      <x:c r="D586" s="25" t="str">
        <x:v>tonnes_primary_production_equivalent</x:v>
      </x:c>
    </x:row>
    <x:row r="587" ht="18" customHeight="1">
      <x:c r="A587" s="25" t="str">
        <x:v>EEZ_175</x:v>
      </x:c>
      <x:c r="B587" s="25" t="str">
        <x:v>functional_ppr</x:v>
      </x:c>
      <x:c r="C587" s="25" t="n">
        <x:v>4023581.6593649206</x:v>
      </x:c>
      <x:c r="D587" s="25" t="str">
        <x:v>tonnes_primary_production_equivalent</x:v>
      </x:c>
    </x:row>
    <x:row r="588" ht="18" customHeight="1">
      <x:c r="A588" s="25" t="str">
        <x:v>EEZ_175</x:v>
      </x:c>
      <x:c r="B588" s="25" t="str">
        <x:v>commercial_ppr_difference</x:v>
      </x:c>
      <x:c r="C588" s="25" t="n">
        <x:v>-675123.2428840804</x:v>
      </x:c>
      <x:c r="D588" s="25" t="str">
        <x:v>tonnes_primary_production_equivalent</x:v>
      </x:c>
    </x:row>
    <x:row r="589" ht="18" customHeight="1">
      <x:c r="A589" s="25" t="str">
        <x:v>EEZ_175</x:v>
      </x:c>
      <x:c r="B589" s="25" t="str">
        <x:v>functional_ppr_difference</x:v>
      </x:c>
      <x:c r="C589" s="25" t="n">
        <x:v>-396427.24709048634</x:v>
      </x:c>
      <x:c r="D589" s="25" t="str">
        <x:v>tonnes_primary_production_equivalent</x:v>
      </x:c>
    </x:row>
    <x:row r="590" ht="18" customHeight="1">
      <x:c r="A590" s="25" t="str">
        <x:v>EEZ_178</x:v>
      </x:c>
      <x:c r="B590" s="25" t="str">
        <x:v>raw_filtered_tonnes</x:v>
      </x:c>
      <x:c r="C590" s="25" t="n">
        <x:v>43444.3810041495</x:v>
      </x:c>
      <x:c r="D590" s="25" t="str">
        <x:v>tonnes</x:v>
      </x:c>
    </x:row>
    <x:row r="591" ht="18" customHeight="1">
      <x:c r="A591" s="25" t="str">
        <x:v>EEZ_178</x:v>
      </x:c>
      <x:c r="B591" s="25" t="str">
        <x:v>species_catch_tonnes</x:v>
      </x:c>
      <x:c r="C591" s="25" t="n">
        <x:v>43444.3810041495</x:v>
      </x:c>
      <x:c r="D591" s="25" t="str">
        <x:v>tonnes</x:v>
      </x:c>
    </x:row>
    <x:row r="592" ht="18" customHeight="1">
      <x:c r="A592" s="25" t="str">
        <x:v>EEZ_178</x:v>
      </x:c>
      <x:c r="B592" s="25" t="str">
        <x:v>catch_difference_tonnes</x:v>
      </x:c>
      <x:c r="C592" s="25" t="n">
        <x:v>0</x:v>
      </x:c>
      <x:c r="D592" s="25" t="str">
        <x:v>tonnes</x:v>
      </x:c>
    </x:row>
    <x:row r="593" ht="18" customHeight="1">
      <x:c r="A593" s="25" t="str">
        <x:v>EEZ_178</x:v>
      </x:c>
      <x:c r="B593" s="25" t="str">
        <x:v>catch_reconciled</x:v>
      </x:c>
      <x:c r="C593" s="36" t="b">
        <x:v>1</x:v>
      </x:c>
      <x:c r="D593" s="25" t="str">
        <x:v>boolean</x:v>
      </x:c>
    </x:row>
    <x:row r="594" ht="18" customHeight="1">
      <x:c r="A594" s="25" t="str">
        <x:v>EEZ_178</x:v>
      </x:c>
      <x:c r="B594" s="25" t="str">
        <x:v>matched_catch_tonnes</x:v>
      </x:c>
      <x:c r="C594" s="25" t="n">
        <x:v>43444.3810041495</x:v>
      </x:c>
      <x:c r="D594" s="25" t="str">
        <x:v>tonnes</x:v>
      </x:c>
    </x:row>
    <x:row r="595" ht="18" customHeight="1">
      <x:c r="A595" s="25" t="str">
        <x:v>EEZ_178</x:v>
      </x:c>
      <x:c r="B595" s="25" t="str">
        <x:v>catch_coverage_fraction</x:v>
      </x:c>
      <x:c r="C595" s="25" t="n">
        <x:v>1</x:v>
      </x:c>
      <x:c r="D595" s="25" t="str">
        <x:v>fraction</x:v>
      </x:c>
    </x:row>
    <x:row r="596" ht="18" customHeight="1">
      <x:c r="A596" s="25" t="str">
        <x:v>EEZ_178</x:v>
      </x:c>
      <x:c r="B596" s="25" t="str">
        <x:v>taxa_count</x:v>
      </x:c>
      <x:c r="C596" s="25" t="n">
        <x:v>56</x:v>
      </x:c>
      <x:c r="D596" s="25" t="str">
        <x:v>count</x:v>
      </x:c>
    </x:row>
    <x:row r="597" ht="18" customHeight="1">
      <x:c r="A597" s="25" t="str">
        <x:v>EEZ_178</x:v>
      </x:c>
      <x:c r="B597" s="25" t="str">
        <x:v>matched_taxa_count</x:v>
      </x:c>
      <x:c r="C597" s="25" t="n">
        <x:v>56</x:v>
      </x:c>
      <x:c r="D597" s="25" t="str">
        <x:v>count</x:v>
      </x:c>
    </x:row>
    <x:row r="598" ht="18" customHeight="1">
      <x:c r="A598" s="25" t="str">
        <x:v>EEZ_178</x:v>
      </x:c>
      <x:c r="B598" s="25" t="str">
        <x:v>unmatched_taxa_count</x:v>
      </x:c>
      <x:c r="C598" s="25" t="n">
        <x:v>0</x:v>
      </x:c>
      <x:c r="D598" s="25" t="str">
        <x:v>count</x:v>
      </x:c>
    </x:row>
    <x:row r="599" ht="18" customHeight="1">
      <x:c r="A599" s="25" t="str">
        <x:v>EEZ_178</x:v>
      </x:c>
      <x:c r="B599" s="25" t="str">
        <x:v>species_ppr</x:v>
      </x:c>
      <x:c r="C599" s="25" t="n">
        <x:v>19991660.548274387</x:v>
      </x:c>
      <x:c r="D599" s="25" t="str">
        <x:v>tonnes_primary_production_equivalent</x:v>
      </x:c>
    </x:row>
    <x:row r="600" ht="18" customHeight="1">
      <x:c r="A600" s="25" t="str">
        <x:v>EEZ_178</x:v>
      </x:c>
      <x:c r="B600" s="25" t="str">
        <x:v>commercial_ppr</x:v>
      </x:c>
      <x:c r="C600" s="25" t="n">
        <x:v>14978805.28126635</x:v>
      </x:c>
      <x:c r="D600" s="25" t="str">
        <x:v>tonnes_primary_production_equivalent</x:v>
      </x:c>
    </x:row>
    <x:row r="601" ht="18" customHeight="1">
      <x:c r="A601" s="25" t="str">
        <x:v>EEZ_178</x:v>
      </x:c>
      <x:c r="B601" s="25" t="str">
        <x:v>functional_ppr</x:v>
      </x:c>
      <x:c r="C601" s="25" t="n">
        <x:v>17945908.04055065</x:v>
      </x:c>
      <x:c r="D601" s="25" t="str">
        <x:v>tonnes_primary_production_equivalent</x:v>
      </x:c>
    </x:row>
    <x:row r="602" ht="18" customHeight="1">
      <x:c r="A602" s="25" t="str">
        <x:v>EEZ_178</x:v>
      </x:c>
      <x:c r="B602" s="25" t="str">
        <x:v>commercial_ppr_difference</x:v>
      </x:c>
      <x:c r="C602" s="25" t="n">
        <x:v>-5012855.267008036</x:v>
      </x:c>
      <x:c r="D602" s="25" t="str">
        <x:v>tonnes_primary_production_equivalent</x:v>
      </x:c>
    </x:row>
    <x:row r="603" ht="18" customHeight="1">
      <x:c r="A603" s="25" t="str">
        <x:v>EEZ_178</x:v>
      </x:c>
      <x:c r="B603" s="25" t="str">
        <x:v>functional_ppr_difference</x:v>
      </x:c>
      <x:c r="C603" s="25" t="n">
        <x:v>-2045752.5077237375</x:v>
      </x:c>
      <x:c r="D603" s="25" t="str">
        <x:v>tonnes_primary_production_equivalent</x:v>
      </x:c>
    </x:row>
    <x:row r="604" ht="18" customHeight="1">
      <x:c r="A604" s="25" t="str">
        <x:v>EEZ_180</x:v>
      </x:c>
      <x:c r="B604" s="25" t="str">
        <x:v>raw_filtered_tonnes</x:v>
      </x:c>
      <x:c r="C604" s="25" t="n">
        <x:v>23378.3558839915</x:v>
      </x:c>
      <x:c r="D604" s="25" t="str">
        <x:v>tonnes</x:v>
      </x:c>
    </x:row>
    <x:row r="605" ht="18" customHeight="1">
      <x:c r="A605" s="25" t="str">
        <x:v>EEZ_180</x:v>
      </x:c>
      <x:c r="B605" s="25" t="str">
        <x:v>species_catch_tonnes</x:v>
      </x:c>
      <x:c r="C605" s="25" t="n">
        <x:v>23378.3558839915</x:v>
      </x:c>
      <x:c r="D605" s="25" t="str">
        <x:v>tonnes</x:v>
      </x:c>
    </x:row>
    <x:row r="606" ht="18" customHeight="1">
      <x:c r="A606" s="25" t="str">
        <x:v>EEZ_180</x:v>
      </x:c>
      <x:c r="B606" s="25" t="str">
        <x:v>catch_difference_tonnes</x:v>
      </x:c>
      <x:c r="C606" s="25" t="n">
        <x:v>0</x:v>
      </x:c>
      <x:c r="D606" s="25" t="str">
        <x:v>tonnes</x:v>
      </x:c>
    </x:row>
    <x:row r="607" ht="18" customHeight="1">
      <x:c r="A607" s="25" t="str">
        <x:v>EEZ_180</x:v>
      </x:c>
      <x:c r="B607" s="25" t="str">
        <x:v>catch_reconciled</x:v>
      </x:c>
      <x:c r="C607" s="36" t="b">
        <x:v>1</x:v>
      </x:c>
      <x:c r="D607" s="25" t="str">
        <x:v>boolean</x:v>
      </x:c>
    </x:row>
    <x:row r="608" ht="18" customHeight="1">
      <x:c r="A608" s="25" t="str">
        <x:v>EEZ_180</x:v>
      </x:c>
      <x:c r="B608" s="25" t="str">
        <x:v>matched_catch_tonnes</x:v>
      </x:c>
      <x:c r="C608" s="25" t="n">
        <x:v>23378.3558839915</x:v>
      </x:c>
      <x:c r="D608" s="25" t="str">
        <x:v>tonnes</x:v>
      </x:c>
    </x:row>
    <x:row r="609" ht="18" customHeight="1">
      <x:c r="A609" s="25" t="str">
        <x:v>EEZ_180</x:v>
      </x:c>
      <x:c r="B609" s="25" t="str">
        <x:v>catch_coverage_fraction</x:v>
      </x:c>
      <x:c r="C609" s="25" t="n">
        <x:v>1</x:v>
      </x:c>
      <x:c r="D609" s="25" t="str">
        <x:v>fraction</x:v>
      </x:c>
    </x:row>
    <x:row r="610" ht="18" customHeight="1">
      <x:c r="A610" s="25" t="str">
        <x:v>EEZ_180</x:v>
      </x:c>
      <x:c r="B610" s="25" t="str">
        <x:v>taxa_count</x:v>
      </x:c>
      <x:c r="C610" s="25" t="n">
        <x:v>34</x:v>
      </x:c>
      <x:c r="D610" s="25" t="str">
        <x:v>count</x:v>
      </x:c>
    </x:row>
    <x:row r="611" ht="18" customHeight="1">
      <x:c r="A611" s="25" t="str">
        <x:v>EEZ_180</x:v>
      </x:c>
      <x:c r="B611" s="25" t="str">
        <x:v>matched_taxa_count</x:v>
      </x:c>
      <x:c r="C611" s="25" t="n">
        <x:v>34</x:v>
      </x:c>
      <x:c r="D611" s="25" t="str">
        <x:v>count</x:v>
      </x:c>
    </x:row>
    <x:row r="612" ht="18" customHeight="1">
      <x:c r="A612" s="25" t="str">
        <x:v>EEZ_180</x:v>
      </x:c>
      <x:c r="B612" s="25" t="str">
        <x:v>unmatched_taxa_count</x:v>
      </x:c>
      <x:c r="C612" s="25" t="n">
        <x:v>0</x:v>
      </x:c>
      <x:c r="D612" s="25" t="str">
        <x:v>count</x:v>
      </x:c>
    </x:row>
    <x:row r="613" ht="18" customHeight="1">
      <x:c r="A613" s="25" t="str">
        <x:v>EEZ_180</x:v>
      </x:c>
      <x:c r="B613" s="25" t="str">
        <x:v>species_ppr</x:v>
      </x:c>
      <x:c r="C613" s="25" t="n">
        <x:v>13711656.088833181</x:v>
      </x:c>
      <x:c r="D613" s="25" t="str">
        <x:v>tonnes_primary_production_equivalent</x:v>
      </x:c>
    </x:row>
    <x:row r="614" ht="18" customHeight="1">
      <x:c r="A614" s="25" t="str">
        <x:v>EEZ_180</x:v>
      </x:c>
      <x:c r="B614" s="25" t="str">
        <x:v>commercial_ppr</x:v>
      </x:c>
      <x:c r="C614" s="25" t="n">
        <x:v>10401757.13049382</x:v>
      </x:c>
      <x:c r="D614" s="25" t="str">
        <x:v>tonnes_primary_production_equivalent</x:v>
      </x:c>
    </x:row>
    <x:row r="615" ht="18" customHeight="1">
      <x:c r="A615" s="25" t="str">
        <x:v>EEZ_180</x:v>
      </x:c>
      <x:c r="B615" s="25" t="str">
        <x:v>functional_ppr</x:v>
      </x:c>
      <x:c r="C615" s="25" t="n">
        <x:v>12802584.122159634</x:v>
      </x:c>
      <x:c r="D615" s="25" t="str">
        <x:v>tonnes_primary_production_equivalent</x:v>
      </x:c>
    </x:row>
    <x:row r="616" ht="18" customHeight="1">
      <x:c r="A616" s="25" t="str">
        <x:v>EEZ_180</x:v>
      </x:c>
      <x:c r="B616" s="25" t="str">
        <x:v>commercial_ppr_difference</x:v>
      </x:c>
      <x:c r="C616" s="25" t="n">
        <x:v>-3309898.9583393615</x:v>
      </x:c>
      <x:c r="D616" s="25" t="str">
        <x:v>tonnes_primary_production_equivalent</x:v>
      </x:c>
    </x:row>
    <x:row r="617" ht="18" customHeight="1">
      <x:c r="A617" s="25" t="str">
        <x:v>EEZ_180</x:v>
      </x:c>
      <x:c r="B617" s="25" t="str">
        <x:v>functional_ppr_difference</x:v>
      </x:c>
      <x:c r="C617" s="25" t="n">
        <x:v>-909071.9666735474</x:v>
      </x:c>
      <x:c r="D617" s="25" t="str">
        <x:v>tonnes_primary_production_equivalent</x:v>
      </x:c>
    </x:row>
    <x:row r="618" ht="18" customHeight="1">
      <x:c r="A618" s="25" t="str">
        <x:v>EEZ_184</x:v>
      </x:c>
      <x:c r="B618" s="25" t="str">
        <x:v>raw_filtered_tonnes</x:v>
      </x:c>
      <x:c r="C618" s="25" t="n">
        <x:v>57850.2090052755</x:v>
      </x:c>
      <x:c r="D618" s="25" t="str">
        <x:v>tonnes</x:v>
      </x:c>
    </x:row>
    <x:row r="619" ht="18" customHeight="1">
      <x:c r="A619" s="25" t="str">
        <x:v>EEZ_184</x:v>
      </x:c>
      <x:c r="B619" s="25" t="str">
        <x:v>species_catch_tonnes</x:v>
      </x:c>
      <x:c r="C619" s="25" t="n">
        <x:v>57850.209005275494</x:v>
      </x:c>
      <x:c r="D619" s="25" t="str">
        <x:v>tonnes</x:v>
      </x:c>
    </x:row>
    <x:row r="620" ht="18" customHeight="1">
      <x:c r="A620" s="25" t="str">
        <x:v>EEZ_184</x:v>
      </x:c>
      <x:c r="B620" s="25" t="str">
        <x:v>catch_difference_tonnes</x:v>
      </x:c>
      <x:c r="C620" s="25" t="n">
        <x:v>-7.275957614183426e-12</x:v>
      </x:c>
      <x:c r="D620" s="25" t="str">
        <x:v>tonnes</x:v>
      </x:c>
    </x:row>
    <x:row r="621" ht="18" customHeight="1">
      <x:c r="A621" s="25" t="str">
        <x:v>EEZ_184</x:v>
      </x:c>
      <x:c r="B621" s="25" t="str">
        <x:v>catch_reconciled</x:v>
      </x:c>
      <x:c r="C621" s="36" t="b">
        <x:v>1</x:v>
      </x:c>
      <x:c r="D621" s="25" t="str">
        <x:v>boolean</x:v>
      </x:c>
    </x:row>
    <x:row r="622" ht="18" customHeight="1">
      <x:c r="A622" s="25" t="str">
        <x:v>EEZ_184</x:v>
      </x:c>
      <x:c r="B622" s="25" t="str">
        <x:v>matched_catch_tonnes</x:v>
      </x:c>
      <x:c r="C622" s="25" t="n">
        <x:v>57850.209005275494</x:v>
      </x:c>
      <x:c r="D622" s="25" t="str">
        <x:v>tonnes</x:v>
      </x:c>
    </x:row>
    <x:row r="623" ht="18" customHeight="1">
      <x:c r="A623" s="25" t="str">
        <x:v>EEZ_184</x:v>
      </x:c>
      <x:c r="B623" s="25" t="str">
        <x:v>catch_coverage_fraction</x:v>
      </x:c>
      <x:c r="C623" s="25" t="n">
        <x:v>1</x:v>
      </x:c>
      <x:c r="D623" s="25" t="str">
        <x:v>fraction</x:v>
      </x:c>
    </x:row>
    <x:row r="624" ht="18" customHeight="1">
      <x:c r="A624" s="25" t="str">
        <x:v>EEZ_184</x:v>
      </x:c>
      <x:c r="B624" s="25" t="str">
        <x:v>taxa_count</x:v>
      </x:c>
      <x:c r="C624" s="25" t="n">
        <x:v>38</x:v>
      </x:c>
      <x:c r="D624" s="25" t="str">
        <x:v>count</x:v>
      </x:c>
    </x:row>
    <x:row r="625" ht="18" customHeight="1">
      <x:c r="A625" s="25" t="str">
        <x:v>EEZ_184</x:v>
      </x:c>
      <x:c r="B625" s="25" t="str">
        <x:v>matched_taxa_count</x:v>
      </x:c>
      <x:c r="C625" s="25" t="n">
        <x:v>38</x:v>
      </x:c>
      <x:c r="D625" s="25" t="str">
        <x:v>count</x:v>
      </x:c>
    </x:row>
    <x:row r="626" ht="18" customHeight="1">
      <x:c r="A626" s="25" t="str">
        <x:v>EEZ_184</x:v>
      </x:c>
      <x:c r="B626" s="25" t="str">
        <x:v>unmatched_taxa_count</x:v>
      </x:c>
      <x:c r="C626" s="25" t="n">
        <x:v>0</x:v>
      </x:c>
      <x:c r="D626" s="25" t="str">
        <x:v>count</x:v>
      </x:c>
    </x:row>
    <x:row r="627" ht="18" customHeight="1">
      <x:c r="A627" s="25" t="str">
        <x:v>EEZ_184</x:v>
      </x:c>
      <x:c r="B627" s="25" t="str">
        <x:v>species_ppr</x:v>
      </x:c>
      <x:c r="C627" s="25" t="n">
        <x:v>137382390.5661584</x:v>
      </x:c>
      <x:c r="D627" s="25" t="str">
        <x:v>tonnes_primary_production_equivalent</x:v>
      </x:c>
    </x:row>
    <x:row r="628" ht="18" customHeight="1">
      <x:c r="A628" s="25" t="str">
        <x:v>EEZ_184</x:v>
      </x:c>
      <x:c r="B628" s="25" t="str">
        <x:v>commercial_ppr</x:v>
      </x:c>
      <x:c r="C628" s="25" t="n">
        <x:v>135375928.81434494</x:v>
      </x:c>
      <x:c r="D628" s="25" t="str">
        <x:v>tonnes_primary_production_equivalent</x:v>
      </x:c>
    </x:row>
    <x:row r="629" ht="18" customHeight="1">
      <x:c r="A629" s="25" t="str">
        <x:v>EEZ_184</x:v>
      </x:c>
      <x:c r="B629" s="25" t="str">
        <x:v>functional_ppr</x:v>
      </x:c>
      <x:c r="C629" s="25" t="n">
        <x:v>135482637.65419087</x:v>
      </x:c>
      <x:c r="D629" s="25" t="str">
        <x:v>tonnes_primary_production_equivalent</x:v>
      </x:c>
    </x:row>
    <x:row r="630" ht="18" customHeight="1">
      <x:c r="A630" s="25" t="str">
        <x:v>EEZ_184</x:v>
      </x:c>
      <x:c r="B630" s="25" t="str">
        <x:v>commercial_ppr_difference</x:v>
      </x:c>
      <x:c r="C630" s="25" t="n">
        <x:v>-2006461.7518134713</x:v>
      </x:c>
      <x:c r="D630" s="25" t="str">
        <x:v>tonnes_primary_production_equivalent</x:v>
      </x:c>
    </x:row>
    <x:row r="631" ht="18" customHeight="1">
      <x:c r="A631" s="25" t="str">
        <x:v>EEZ_184</x:v>
      </x:c>
      <x:c r="B631" s="25" t="str">
        <x:v>functional_ppr_difference</x:v>
      </x:c>
      <x:c r="C631" s="25" t="n">
        <x:v>-1899752.9119675457</x:v>
      </x:c>
      <x:c r="D631" s="25" t="str">
        <x:v>tonnes_primary_production_equivalent</x:v>
      </x:c>
    </x:row>
    <x:row r="632" ht="18" customHeight="1">
      <x:c r="A632" s="25" t="str">
        <x:v>EEZ_191</x:v>
      </x:c>
      <x:c r="B632" s="25" t="str">
        <x:v>raw_filtered_tonnes</x:v>
      </x:c>
      <x:c r="C632" s="25" t="n">
        <x:v>77072.9733877067</x:v>
      </x:c>
      <x:c r="D632" s="25" t="str">
        <x:v>tonnes</x:v>
      </x:c>
    </x:row>
    <x:row r="633" ht="18" customHeight="1">
      <x:c r="A633" s="25" t="str">
        <x:v>EEZ_191</x:v>
      </x:c>
      <x:c r="B633" s="25" t="str">
        <x:v>species_catch_tonnes</x:v>
      </x:c>
      <x:c r="C633" s="25" t="n">
        <x:v>77072.9733877067</x:v>
      </x:c>
      <x:c r="D633" s="25" t="str">
        <x:v>tonnes</x:v>
      </x:c>
    </x:row>
    <x:row r="634" ht="18" customHeight="1">
      <x:c r="A634" s="25" t="str">
        <x:v>EEZ_191</x:v>
      </x:c>
      <x:c r="B634" s="25" t="str">
        <x:v>catch_difference_tonnes</x:v>
      </x:c>
      <x:c r="C634" s="25" t="n">
        <x:v>0</x:v>
      </x:c>
      <x:c r="D634" s="25" t="str">
        <x:v>tonnes</x:v>
      </x:c>
    </x:row>
    <x:row r="635" ht="18" customHeight="1">
      <x:c r="A635" s="25" t="str">
        <x:v>EEZ_191</x:v>
      </x:c>
      <x:c r="B635" s="25" t="str">
        <x:v>catch_reconciled</x:v>
      </x:c>
      <x:c r="C635" s="36" t="b">
        <x:v>1</x:v>
      </x:c>
      <x:c r="D635" s="25" t="str">
        <x:v>boolean</x:v>
      </x:c>
    </x:row>
    <x:row r="636" ht="18" customHeight="1">
      <x:c r="A636" s="25" t="str">
        <x:v>EEZ_191</x:v>
      </x:c>
      <x:c r="B636" s="25" t="str">
        <x:v>matched_catch_tonnes</x:v>
      </x:c>
      <x:c r="C636" s="25" t="n">
        <x:v>77072.9733877067</x:v>
      </x:c>
      <x:c r="D636" s="25" t="str">
        <x:v>tonnes</x:v>
      </x:c>
    </x:row>
    <x:row r="637" ht="18" customHeight="1">
      <x:c r="A637" s="25" t="str">
        <x:v>EEZ_191</x:v>
      </x:c>
      <x:c r="B637" s="25" t="str">
        <x:v>catch_coverage_fraction</x:v>
      </x:c>
      <x:c r="C637" s="25" t="n">
        <x:v>1</x:v>
      </x:c>
      <x:c r="D637" s="25" t="str">
        <x:v>fraction</x:v>
      </x:c>
    </x:row>
    <x:row r="638" ht="18" customHeight="1">
      <x:c r="A638" s="25" t="str">
        <x:v>EEZ_191</x:v>
      </x:c>
      <x:c r="B638" s="25" t="str">
        <x:v>taxa_count</x:v>
      </x:c>
      <x:c r="C638" s="25" t="n">
        <x:v>45</x:v>
      </x:c>
      <x:c r="D638" s="25" t="str">
        <x:v>count</x:v>
      </x:c>
    </x:row>
    <x:row r="639" ht="18" customHeight="1">
      <x:c r="A639" s="25" t="str">
        <x:v>EEZ_191</x:v>
      </x:c>
      <x:c r="B639" s="25" t="str">
        <x:v>matched_taxa_count</x:v>
      </x:c>
      <x:c r="C639" s="25" t="n">
        <x:v>45</x:v>
      </x:c>
      <x:c r="D639" s="25" t="str">
        <x:v>count</x:v>
      </x:c>
    </x:row>
    <x:row r="640" ht="18" customHeight="1">
      <x:c r="A640" s="25" t="str">
        <x:v>EEZ_191</x:v>
      </x:c>
      <x:c r="B640" s="25" t="str">
        <x:v>unmatched_taxa_count</x:v>
      </x:c>
      <x:c r="C640" s="25" t="n">
        <x:v>0</x:v>
      </x:c>
      <x:c r="D640" s="25" t="str">
        <x:v>count</x:v>
      </x:c>
    </x:row>
    <x:row r="641" ht="18" customHeight="1">
      <x:c r="A641" s="25" t="str">
        <x:v>EEZ_191</x:v>
      </x:c>
      <x:c r="B641" s="25" t="str">
        <x:v>species_ppr</x:v>
      </x:c>
      <x:c r="C641" s="25" t="n">
        <x:v>21110760.218235113</x:v>
      </x:c>
      <x:c r="D641" s="25" t="str">
        <x:v>tonnes_primary_production_equivalent</x:v>
      </x:c>
    </x:row>
    <x:row r="642" ht="18" customHeight="1">
      <x:c r="A642" s="25" t="str">
        <x:v>EEZ_191</x:v>
      </x:c>
      <x:c r="B642" s="25" t="str">
        <x:v>commercial_ppr</x:v>
      </x:c>
      <x:c r="C642" s="25" t="n">
        <x:v>19747737.5377062</x:v>
      </x:c>
      <x:c r="D642" s="25" t="str">
        <x:v>tonnes_primary_production_equivalent</x:v>
      </x:c>
    </x:row>
    <x:row r="643" ht="18" customHeight="1">
      <x:c r="A643" s="25" t="str">
        <x:v>EEZ_191</x:v>
      </x:c>
      <x:c r="B643" s="25" t="str">
        <x:v>functional_ppr</x:v>
      </x:c>
      <x:c r="C643" s="25" t="n">
        <x:v>20518792.64284078</x:v>
      </x:c>
      <x:c r="D643" s="25" t="str">
        <x:v>tonnes_primary_production_equivalent</x:v>
      </x:c>
    </x:row>
    <x:row r="644" ht="18" customHeight="1">
      <x:c r="A644" s="25" t="str">
        <x:v>EEZ_191</x:v>
      </x:c>
      <x:c r="B644" s="25" t="str">
        <x:v>commercial_ppr_difference</x:v>
      </x:c>
      <x:c r="C644" s="25" t="n">
        <x:v>-1363022.6805289127</x:v>
      </x:c>
      <x:c r="D644" s="25" t="str">
        <x:v>tonnes_primary_production_equivalent</x:v>
      </x:c>
    </x:row>
    <x:row r="645" ht="18" customHeight="1">
      <x:c r="A645" s="25" t="str">
        <x:v>EEZ_191</x:v>
      </x:c>
      <x:c r="B645" s="25" t="str">
        <x:v>functional_ppr_difference</x:v>
      </x:c>
      <x:c r="C645" s="25" t="n">
        <x:v>-591967.5753943324</x:v>
      </x:c>
      <x:c r="D645" s="25" t="str">
        <x:v>tonnes_primary_production_equivalent</x:v>
      </x:c>
    </x:row>
    <x:row r="646" ht="18" customHeight="1">
      <x:c r="A646" s="25" t="str">
        <x:v>EEZ_192</x:v>
      </x:c>
      <x:c r="B646" s="25" t="str">
        <x:v>raw_filtered_tonnes</x:v>
      </x:c>
      <x:c r="C646" s="25" t="n">
        <x:v>24306.8393757785</x:v>
      </x:c>
      <x:c r="D646" s="25" t="str">
        <x:v>tonnes</x:v>
      </x:c>
    </x:row>
    <x:row r="647" ht="18" customHeight="1">
      <x:c r="A647" s="25" t="str">
        <x:v>EEZ_192</x:v>
      </x:c>
      <x:c r="B647" s="25" t="str">
        <x:v>species_catch_tonnes</x:v>
      </x:c>
      <x:c r="C647" s="25" t="n">
        <x:v>24306.8393757785</x:v>
      </x:c>
      <x:c r="D647" s="25" t="str">
        <x:v>tonnes</x:v>
      </x:c>
    </x:row>
    <x:row r="648" ht="18" customHeight="1">
      <x:c r="A648" s="25" t="str">
        <x:v>EEZ_192</x:v>
      </x:c>
      <x:c r="B648" s="25" t="str">
        <x:v>catch_difference_tonnes</x:v>
      </x:c>
      <x:c r="C648" s="25" t="n">
        <x:v>0</x:v>
      </x:c>
      <x:c r="D648" s="25" t="str">
        <x:v>tonnes</x:v>
      </x:c>
    </x:row>
    <x:row r="649" ht="18" customHeight="1">
      <x:c r="A649" s="25" t="str">
        <x:v>EEZ_192</x:v>
      </x:c>
      <x:c r="B649" s="25" t="str">
        <x:v>catch_reconciled</x:v>
      </x:c>
      <x:c r="C649" s="36" t="b">
        <x:v>1</x:v>
      </x:c>
      <x:c r="D649" s="25" t="str">
        <x:v>boolean</x:v>
      </x:c>
    </x:row>
    <x:row r="650" ht="18" customHeight="1">
      <x:c r="A650" s="25" t="str">
        <x:v>EEZ_192</x:v>
      </x:c>
      <x:c r="B650" s="25" t="str">
        <x:v>matched_catch_tonnes</x:v>
      </x:c>
      <x:c r="C650" s="25" t="n">
        <x:v>24306.8393757785</x:v>
      </x:c>
      <x:c r="D650" s="25" t="str">
        <x:v>tonnes</x:v>
      </x:c>
    </x:row>
    <x:row r="651" ht="18" customHeight="1">
      <x:c r="A651" s="25" t="str">
        <x:v>EEZ_192</x:v>
      </x:c>
      <x:c r="B651" s="25" t="str">
        <x:v>catch_coverage_fraction</x:v>
      </x:c>
      <x:c r="C651" s="25" t="n">
        <x:v>1</x:v>
      </x:c>
      <x:c r="D651" s="25" t="str">
        <x:v>fraction</x:v>
      </x:c>
    </x:row>
    <x:row r="652" ht="18" customHeight="1">
      <x:c r="A652" s="25" t="str">
        <x:v>EEZ_192</x:v>
      </x:c>
      <x:c r="B652" s="25" t="str">
        <x:v>taxa_count</x:v>
      </x:c>
      <x:c r="C652" s="25" t="n">
        <x:v>33</x:v>
      </x:c>
      <x:c r="D652" s="25" t="str">
        <x:v>count</x:v>
      </x:c>
    </x:row>
    <x:row r="653" ht="18" customHeight="1">
      <x:c r="A653" s="25" t="str">
        <x:v>EEZ_192</x:v>
      </x:c>
      <x:c r="B653" s="25" t="str">
        <x:v>matched_taxa_count</x:v>
      </x:c>
      <x:c r="C653" s="25" t="n">
        <x:v>33</x:v>
      </x:c>
      <x:c r="D653" s="25" t="str">
        <x:v>count</x:v>
      </x:c>
    </x:row>
    <x:row r="654" ht="18" customHeight="1">
      <x:c r="A654" s="25" t="str">
        <x:v>EEZ_192</x:v>
      </x:c>
      <x:c r="B654" s="25" t="str">
        <x:v>unmatched_taxa_count</x:v>
      </x:c>
      <x:c r="C654" s="25" t="n">
        <x:v>0</x:v>
      </x:c>
      <x:c r="D654" s="25" t="str">
        <x:v>count</x:v>
      </x:c>
    </x:row>
    <x:row r="655" ht="18" customHeight="1">
      <x:c r="A655" s="25" t="str">
        <x:v>EEZ_192</x:v>
      </x:c>
      <x:c r="B655" s="25" t="str">
        <x:v>species_ppr</x:v>
      </x:c>
      <x:c r="C655" s="25" t="n">
        <x:v>12737892.20413025</x:v>
      </x:c>
      <x:c r="D655" s="25" t="str">
        <x:v>tonnes_primary_production_equivalent</x:v>
      </x:c>
    </x:row>
    <x:row r="656" ht="18" customHeight="1">
      <x:c r="A656" s="25" t="str">
        <x:v>EEZ_192</x:v>
      </x:c>
      <x:c r="B656" s="25" t="str">
        <x:v>commercial_ppr</x:v>
      </x:c>
      <x:c r="C656" s="25" t="n">
        <x:v>7466352.495718972</x:v>
      </x:c>
      <x:c r="D656" s="25" t="str">
        <x:v>tonnes_primary_production_equivalent</x:v>
      </x:c>
    </x:row>
    <x:row r="657" ht="18" customHeight="1">
      <x:c r="A657" s="25" t="str">
        <x:v>EEZ_192</x:v>
      </x:c>
      <x:c r="B657" s="25" t="str">
        <x:v>functional_ppr</x:v>
      </x:c>
      <x:c r="C657" s="25" t="n">
        <x:v>9593404.459549818</x:v>
      </x:c>
      <x:c r="D657" s="25" t="str">
        <x:v>tonnes_primary_production_equivalent</x:v>
      </x:c>
    </x:row>
    <x:row r="658" ht="18" customHeight="1">
      <x:c r="A658" s="25" t="str">
        <x:v>EEZ_192</x:v>
      </x:c>
      <x:c r="B658" s="25" t="str">
        <x:v>commercial_ppr_difference</x:v>
      </x:c>
      <x:c r="C658" s="25" t="n">
        <x:v>-5271539.708411277</x:v>
      </x:c>
      <x:c r="D658" s="25" t="str">
        <x:v>tonnes_primary_production_equivalent</x:v>
      </x:c>
    </x:row>
    <x:row r="659" ht="18" customHeight="1">
      <x:c r="A659" s="25" t="str">
        <x:v>EEZ_192</x:v>
      </x:c>
      <x:c r="B659" s="25" t="str">
        <x:v>functional_ppr_difference</x:v>
      </x:c>
      <x:c r="C659" s="25" t="n">
        <x:v>-3144487.744580431</x:v>
      </x:c>
      <x:c r="D659" s="25" t="str">
        <x:v>tonnes_primary_production_equivalent</x:v>
      </x:c>
    </x:row>
    <x:row r="660" ht="18" customHeight="1">
      <x:c r="A660" s="25" t="str">
        <x:v>EEZ_197</x:v>
      </x:c>
      <x:c r="B660" s="25" t="str">
        <x:v>raw_filtered_tonnes</x:v>
      </x:c>
      <x:c r="C660" s="25" t="n">
        <x:v>4715.9276116986</x:v>
      </x:c>
      <x:c r="D660" s="25" t="str">
        <x:v>tonnes</x:v>
      </x:c>
    </x:row>
    <x:row r="661" ht="18" customHeight="1">
      <x:c r="A661" s="25" t="str">
        <x:v>EEZ_197</x:v>
      </x:c>
      <x:c r="B661" s="25" t="str">
        <x:v>species_catch_tonnes</x:v>
      </x:c>
      <x:c r="C661" s="25" t="n">
        <x:v>4715.927611698601</x:v>
      </x:c>
      <x:c r="D661" s="25" t="str">
        <x:v>tonnes</x:v>
      </x:c>
    </x:row>
    <x:row r="662" ht="18" customHeight="1">
      <x:c r="A662" s="25" t="str">
        <x:v>EEZ_197</x:v>
      </x:c>
      <x:c r="B662" s="25" t="str">
        <x:v>catch_difference_tonnes</x:v>
      </x:c>
      <x:c r="C662" s="25" t="n">
        <x:v>9.094947017729282e-13</x:v>
      </x:c>
      <x:c r="D662" s="25" t="str">
        <x:v>tonnes</x:v>
      </x:c>
    </x:row>
    <x:row r="663" ht="18" customHeight="1">
      <x:c r="A663" s="25" t="str">
        <x:v>EEZ_197</x:v>
      </x:c>
      <x:c r="B663" s="25" t="str">
        <x:v>catch_reconciled</x:v>
      </x:c>
      <x:c r="C663" s="36" t="b">
        <x:v>1</x:v>
      </x:c>
      <x:c r="D663" s="25" t="str">
        <x:v>boolean</x:v>
      </x:c>
    </x:row>
    <x:row r="664" ht="18" customHeight="1">
      <x:c r="A664" s="25" t="str">
        <x:v>EEZ_197</x:v>
      </x:c>
      <x:c r="B664" s="25" t="str">
        <x:v>matched_catch_tonnes</x:v>
      </x:c>
      <x:c r="C664" s="25" t="n">
        <x:v>4715.927611698601</x:v>
      </x:c>
      <x:c r="D664" s="25" t="str">
        <x:v>tonnes</x:v>
      </x:c>
    </x:row>
    <x:row r="665" ht="18" customHeight="1">
      <x:c r="A665" s="25" t="str">
        <x:v>EEZ_197</x:v>
      </x:c>
      <x:c r="B665" s="25" t="str">
        <x:v>catch_coverage_fraction</x:v>
      </x:c>
      <x:c r="C665" s="25" t="n">
        <x:v>1</x:v>
      </x:c>
      <x:c r="D665" s="25" t="str">
        <x:v>fraction</x:v>
      </x:c>
    </x:row>
    <x:row r="666" ht="18" customHeight="1">
      <x:c r="A666" s="25" t="str">
        <x:v>EEZ_197</x:v>
      </x:c>
      <x:c r="B666" s="25" t="str">
        <x:v>taxa_count</x:v>
      </x:c>
      <x:c r="C666" s="25" t="n">
        <x:v>45</x:v>
      </x:c>
      <x:c r="D666" s="25" t="str">
        <x:v>count</x:v>
      </x:c>
    </x:row>
    <x:row r="667" ht="18" customHeight="1">
      <x:c r="A667" s="25" t="str">
        <x:v>EEZ_197</x:v>
      </x:c>
      <x:c r="B667" s="25" t="str">
        <x:v>matched_taxa_count</x:v>
      </x:c>
      <x:c r="C667" s="25" t="n">
        <x:v>45</x:v>
      </x:c>
      <x:c r="D667" s="25" t="str">
        <x:v>count</x:v>
      </x:c>
    </x:row>
    <x:row r="668" ht="18" customHeight="1">
      <x:c r="A668" s="25" t="str">
        <x:v>EEZ_197</x:v>
      </x:c>
      <x:c r="B668" s="25" t="str">
        <x:v>unmatched_taxa_count</x:v>
      </x:c>
      <x:c r="C668" s="25" t="n">
        <x:v>0</x:v>
      </x:c>
      <x:c r="D668" s="25" t="str">
        <x:v>count</x:v>
      </x:c>
    </x:row>
    <x:row r="669" ht="18" customHeight="1">
      <x:c r="A669" s="25" t="str">
        <x:v>EEZ_197</x:v>
      </x:c>
      <x:c r="B669" s="25" t="str">
        <x:v>species_ppr</x:v>
      </x:c>
      <x:c r="C669" s="25" t="n">
        <x:v>11569295.26355968</x:v>
      </x:c>
      <x:c r="D669" s="25" t="str">
        <x:v>tonnes_primary_production_equivalent</x:v>
      </x:c>
    </x:row>
    <x:row r="670" ht="18" customHeight="1">
      <x:c r="A670" s="25" t="str">
        <x:v>EEZ_197</x:v>
      </x:c>
      <x:c r="B670" s="25" t="str">
        <x:v>commercial_ppr</x:v>
      </x:c>
      <x:c r="C670" s="25" t="n">
        <x:v>10868762.794189973</x:v>
      </x:c>
      <x:c r="D670" s="25" t="str">
        <x:v>tonnes_primary_production_equivalent</x:v>
      </x:c>
    </x:row>
    <x:row r="671" ht="18" customHeight="1">
      <x:c r="A671" s="25" t="str">
        <x:v>EEZ_197</x:v>
      </x:c>
      <x:c r="B671" s="25" t="str">
        <x:v>functional_ppr</x:v>
      </x:c>
      <x:c r="C671" s="25" t="n">
        <x:v>11028655.177494759</x:v>
      </x:c>
      <x:c r="D671" s="25" t="str">
        <x:v>tonnes_primary_production_equivalent</x:v>
      </x:c>
    </x:row>
    <x:row r="672" ht="18" customHeight="1">
      <x:c r="A672" s="25" t="str">
        <x:v>EEZ_197</x:v>
      </x:c>
      <x:c r="B672" s="25" t="str">
        <x:v>commercial_ppr_difference</x:v>
      </x:c>
      <x:c r="C672" s="25" t="n">
        <x:v>-700532.4693697076</x:v>
      </x:c>
      <x:c r="D672" s="25" t="str">
        <x:v>tonnes_primary_production_equivalent</x:v>
      </x:c>
    </x:row>
    <x:row r="673" ht="18" customHeight="1">
      <x:c r="A673" s="25" t="str">
        <x:v>EEZ_197</x:v>
      </x:c>
      <x:c r="B673" s="25" t="str">
        <x:v>functional_ppr_difference</x:v>
      </x:c>
      <x:c r="C673" s="25" t="n">
        <x:v>-540640.0860649217</x:v>
      </x:c>
      <x:c r="D673" s="25" t="str">
        <x:v>tonnes_primary_production_equivalent</x:v>
      </x:c>
    </x:row>
    <x:row r="674" ht="18" customHeight="1">
      <x:c r="A674" s="25" t="str">
        <x:v>EEZ_198</x:v>
      </x:c>
      <x:c r="B674" s="25" t="str">
        <x:v>raw_filtered_tonnes</x:v>
      </x:c>
      <x:c r="C674" s="25" t="n">
        <x:v>2236.2086502549</x:v>
      </x:c>
      <x:c r="D674" s="25" t="str">
        <x:v>tonnes</x:v>
      </x:c>
    </x:row>
    <x:row r="675" ht="18" customHeight="1">
      <x:c r="A675" s="25" t="str">
        <x:v>EEZ_198</x:v>
      </x:c>
      <x:c r="B675" s="25" t="str">
        <x:v>species_catch_tonnes</x:v>
      </x:c>
      <x:c r="C675" s="25" t="n">
        <x:v>2236.2086502548996</x:v>
      </x:c>
      <x:c r="D675" s="25" t="str">
        <x:v>tonnes</x:v>
      </x:c>
    </x:row>
    <x:row r="676" ht="18" customHeight="1">
      <x:c r="A676" s="25" t="str">
        <x:v>EEZ_198</x:v>
      </x:c>
      <x:c r="B676" s="25" t="str">
        <x:v>catch_difference_tonnes</x:v>
      </x:c>
      <x:c r="C676" s="25" t="n">
        <x:v>-4.547473508864641e-13</x:v>
      </x:c>
      <x:c r="D676" s="25" t="str">
        <x:v>tonnes</x:v>
      </x:c>
    </x:row>
    <x:row r="677" ht="18" customHeight="1">
      <x:c r="A677" s="25" t="str">
        <x:v>EEZ_198</x:v>
      </x:c>
      <x:c r="B677" s="25" t="str">
        <x:v>catch_reconciled</x:v>
      </x:c>
      <x:c r="C677" s="36" t="b">
        <x:v>1</x:v>
      </x:c>
      <x:c r="D677" s="25" t="str">
        <x:v>boolean</x:v>
      </x:c>
    </x:row>
    <x:row r="678" ht="18" customHeight="1">
      <x:c r="A678" s="25" t="str">
        <x:v>EEZ_198</x:v>
      </x:c>
      <x:c r="B678" s="25" t="str">
        <x:v>matched_catch_tonnes</x:v>
      </x:c>
      <x:c r="C678" s="25" t="n">
        <x:v>2236.2086502548996</x:v>
      </x:c>
      <x:c r="D678" s="25" t="str">
        <x:v>tonnes</x:v>
      </x:c>
    </x:row>
    <x:row r="679" ht="18" customHeight="1">
      <x:c r="A679" s="25" t="str">
        <x:v>EEZ_198</x:v>
      </x:c>
      <x:c r="B679" s="25" t="str">
        <x:v>catch_coverage_fraction</x:v>
      </x:c>
      <x:c r="C679" s="25" t="n">
        <x:v>1</x:v>
      </x:c>
      <x:c r="D679" s="25" t="str">
        <x:v>fraction</x:v>
      </x:c>
    </x:row>
    <x:row r="680" ht="18" customHeight="1">
      <x:c r="A680" s="25" t="str">
        <x:v>EEZ_198</x:v>
      </x:c>
      <x:c r="B680" s="25" t="str">
        <x:v>taxa_count</x:v>
      </x:c>
      <x:c r="C680" s="25" t="n">
        <x:v>90</x:v>
      </x:c>
      <x:c r="D680" s="25" t="str">
        <x:v>count</x:v>
      </x:c>
    </x:row>
    <x:row r="681" ht="18" customHeight="1">
      <x:c r="A681" s="25" t="str">
        <x:v>EEZ_198</x:v>
      </x:c>
      <x:c r="B681" s="25" t="str">
        <x:v>matched_taxa_count</x:v>
      </x:c>
      <x:c r="C681" s="25" t="n">
        <x:v>90</x:v>
      </x:c>
      <x:c r="D681" s="25" t="str">
        <x:v>count</x:v>
      </x:c>
    </x:row>
    <x:row r="682" ht="18" customHeight="1">
      <x:c r="A682" s="25" t="str">
        <x:v>EEZ_198</x:v>
      </x:c>
      <x:c r="B682" s="25" t="str">
        <x:v>unmatched_taxa_count</x:v>
      </x:c>
      <x:c r="C682" s="25" t="n">
        <x:v>0</x:v>
      </x:c>
      <x:c r="D682" s="25" t="str">
        <x:v>count</x:v>
      </x:c>
    </x:row>
    <x:row r="683" ht="18" customHeight="1">
      <x:c r="A683" s="25" t="str">
        <x:v>EEZ_198</x:v>
      </x:c>
      <x:c r="B683" s="25" t="str">
        <x:v>species_ppr</x:v>
      </x:c>
      <x:c r="C683" s="25" t="n">
        <x:v>2155727.606393967</x:v>
      </x:c>
      <x:c r="D683" s="25" t="str">
        <x:v>tonnes_primary_production_equivalent</x:v>
      </x:c>
    </x:row>
    <x:row r="684" ht="18" customHeight="1">
      <x:c r="A684" s="25" t="str">
        <x:v>EEZ_198</x:v>
      </x:c>
      <x:c r="B684" s="25" t="str">
        <x:v>commercial_ppr</x:v>
      </x:c>
      <x:c r="C684" s="25" t="n">
        <x:v>1838666.2815867038</x:v>
      </x:c>
      <x:c r="D684" s="25" t="str">
        <x:v>tonnes_primary_production_equivalent</x:v>
      </x:c>
    </x:row>
    <x:row r="685" ht="18" customHeight="1">
      <x:c r="A685" s="25" t="str">
        <x:v>EEZ_198</x:v>
      </x:c>
      <x:c r="B685" s="25" t="str">
        <x:v>functional_ppr</x:v>
      </x:c>
      <x:c r="C685" s="25" t="n">
        <x:v>1926519.177215979</x:v>
      </x:c>
      <x:c r="D685" s="25" t="str">
        <x:v>tonnes_primary_production_equivalent</x:v>
      </x:c>
    </x:row>
    <x:row r="686" ht="18" customHeight="1">
      <x:c r="A686" s="25" t="str">
        <x:v>EEZ_198</x:v>
      </x:c>
      <x:c r="B686" s="25" t="str">
        <x:v>commercial_ppr_difference</x:v>
      </x:c>
      <x:c r="C686" s="25" t="n">
        <x:v>-317061.324807263</x:v>
      </x:c>
      <x:c r="D686" s="25" t="str">
        <x:v>tonnes_primary_production_equivalent</x:v>
      </x:c>
    </x:row>
    <x:row r="687" ht="18" customHeight="1">
      <x:c r="A687" s="25" t="str">
        <x:v>EEZ_198</x:v>
      </x:c>
      <x:c r="B687" s="25" t="str">
        <x:v>functional_ppr_difference</x:v>
      </x:c>
      <x:c r="C687" s="25" t="n">
        <x:v>-229208.42917798785</x:v>
      </x:c>
      <x:c r="D687" s="25" t="str">
        <x:v>tonnes_primary_production_equivalent</x:v>
      </x:c>
    </x:row>
    <x:row r="688" ht="18" customHeight="1">
      <x:c r="A688" s="25" t="str">
        <x:v>EEZ_204</x:v>
      </x:c>
      <x:c r="B688" s="25" t="str">
        <x:v>raw_filtered_tonnes</x:v>
      </x:c>
      <x:c r="C688" s="25" t="n">
        <x:v>83987.6435485869</x:v>
      </x:c>
      <x:c r="D688" s="25" t="str">
        <x:v>tonnes</x:v>
      </x:c>
    </x:row>
    <x:row r="689" ht="18" customHeight="1">
      <x:c r="A689" s="25" t="str">
        <x:v>EEZ_204</x:v>
      </x:c>
      <x:c r="B689" s="25" t="str">
        <x:v>species_catch_tonnes</x:v>
      </x:c>
      <x:c r="C689" s="25" t="n">
        <x:v>83987.6435485869</x:v>
      </x:c>
      <x:c r="D689" s="25" t="str">
        <x:v>tonnes</x:v>
      </x:c>
    </x:row>
    <x:row r="690" ht="18" customHeight="1">
      <x:c r="A690" s="25" t="str">
        <x:v>EEZ_204</x:v>
      </x:c>
      <x:c r="B690" s="25" t="str">
        <x:v>catch_difference_tonnes</x:v>
      </x:c>
      <x:c r="C690" s="25" t="n">
        <x:v>0</x:v>
      </x:c>
      <x:c r="D690" s="25" t="str">
        <x:v>tonnes</x:v>
      </x:c>
    </x:row>
    <x:row r="691" ht="18" customHeight="1">
      <x:c r="A691" s="25" t="str">
        <x:v>EEZ_204</x:v>
      </x:c>
      <x:c r="B691" s="25" t="str">
        <x:v>catch_reconciled</x:v>
      </x:c>
      <x:c r="C691" s="36" t="b">
        <x:v>1</x:v>
      </x:c>
      <x:c r="D691" s="25" t="str">
        <x:v>boolean</x:v>
      </x:c>
    </x:row>
    <x:row r="692" ht="18" customHeight="1">
      <x:c r="A692" s="25" t="str">
        <x:v>EEZ_204</x:v>
      </x:c>
      <x:c r="B692" s="25" t="str">
        <x:v>matched_catch_tonnes</x:v>
      </x:c>
      <x:c r="C692" s="25" t="n">
        <x:v>83987.6435485869</x:v>
      </x:c>
      <x:c r="D692" s="25" t="str">
        <x:v>tonnes</x:v>
      </x:c>
    </x:row>
    <x:row r="693" ht="18" customHeight="1">
      <x:c r="A693" s="25" t="str">
        <x:v>EEZ_204</x:v>
      </x:c>
      <x:c r="B693" s="25" t="str">
        <x:v>catch_coverage_fraction</x:v>
      </x:c>
      <x:c r="C693" s="25" t="n">
        <x:v>1</x:v>
      </x:c>
      <x:c r="D693" s="25" t="str">
        <x:v>fraction</x:v>
      </x:c>
    </x:row>
    <x:row r="694" ht="18" customHeight="1">
      <x:c r="A694" s="25" t="str">
        <x:v>EEZ_204</x:v>
      </x:c>
      <x:c r="B694" s="25" t="str">
        <x:v>taxa_count</x:v>
      </x:c>
      <x:c r="C694" s="25" t="n">
        <x:v>96</x:v>
      </x:c>
      <x:c r="D694" s="25" t="str">
        <x:v>count</x:v>
      </x:c>
    </x:row>
    <x:row r="695" ht="18" customHeight="1">
      <x:c r="A695" s="25" t="str">
        <x:v>EEZ_204</x:v>
      </x:c>
      <x:c r="B695" s="25" t="str">
        <x:v>matched_taxa_count</x:v>
      </x:c>
      <x:c r="C695" s="25" t="n">
        <x:v>96</x:v>
      </x:c>
      <x:c r="D695" s="25" t="str">
        <x:v>count</x:v>
      </x:c>
    </x:row>
    <x:row r="696" ht="18" customHeight="1">
      <x:c r="A696" s="25" t="str">
        <x:v>EEZ_204</x:v>
      </x:c>
      <x:c r="B696" s="25" t="str">
        <x:v>unmatched_taxa_count</x:v>
      </x:c>
      <x:c r="C696" s="25" t="n">
        <x:v>0</x:v>
      </x:c>
      <x:c r="D696" s="25" t="str">
        <x:v>count</x:v>
      </x:c>
    </x:row>
    <x:row r="697" ht="18" customHeight="1">
      <x:c r="A697" s="25" t="str">
        <x:v>EEZ_204</x:v>
      </x:c>
      <x:c r="B697" s="25" t="str">
        <x:v>species_ppr</x:v>
      </x:c>
      <x:c r="C697" s="25" t="n">
        <x:v>78537967.78151909</x:v>
      </x:c>
      <x:c r="D697" s="25" t="str">
        <x:v>tonnes_primary_production_equivalent</x:v>
      </x:c>
    </x:row>
    <x:row r="698" ht="18" customHeight="1">
      <x:c r="A698" s="25" t="str">
        <x:v>EEZ_204</x:v>
      </x:c>
      <x:c r="B698" s="25" t="str">
        <x:v>commercial_ppr</x:v>
      </x:c>
      <x:c r="C698" s="25" t="n">
        <x:v>52952929.63848208</x:v>
      </x:c>
      <x:c r="D698" s="25" t="str">
        <x:v>tonnes_primary_production_equivalent</x:v>
      </x:c>
    </x:row>
    <x:row r="699" ht="18" customHeight="1">
      <x:c r="A699" s="25" t="str">
        <x:v>EEZ_204</x:v>
      </x:c>
      <x:c r="B699" s="25" t="str">
        <x:v>functional_ppr</x:v>
      </x:c>
      <x:c r="C699" s="25" t="n">
        <x:v>68960954.54882826</x:v>
      </x:c>
      <x:c r="D699" s="25" t="str">
        <x:v>tonnes_primary_production_equivalent</x:v>
      </x:c>
    </x:row>
    <x:row r="700" ht="18" customHeight="1">
      <x:c r="A700" s="25" t="str">
        <x:v>EEZ_204</x:v>
      </x:c>
      <x:c r="B700" s="25" t="str">
        <x:v>commercial_ppr_difference</x:v>
      </x:c>
      <x:c r="C700" s="25" t="n">
        <x:v>-25585038.143037006</x:v>
      </x:c>
      <x:c r="D700" s="25" t="str">
        <x:v>tonnes_primary_production_equivalent</x:v>
      </x:c>
    </x:row>
    <x:row r="701" ht="18" customHeight="1">
      <x:c r="A701" s="25" t="str">
        <x:v>EEZ_204</x:v>
      </x:c>
      <x:c r="B701" s="25" t="str">
        <x:v>functional_ppr_difference</x:v>
      </x:c>
      <x:c r="C701" s="25" t="n">
        <x:v>-9577013.232690826</x:v>
      </x:c>
      <x:c r="D701" s="25" t="str">
        <x:v>tonnes_primary_production_equivalent</x:v>
      </x:c>
    </x:row>
    <x:row r="702" ht="18" customHeight="1">
      <x:c r="A702" s="25" t="str">
        <x:v>EEZ_212</x:v>
      </x:c>
      <x:c r="B702" s="25" t="str">
        <x:v>raw_filtered_tonnes</x:v>
      </x:c>
      <x:c r="C702" s="25" t="n">
        <x:v>1874.1702079982</x:v>
      </x:c>
      <x:c r="D702" s="25" t="str">
        <x:v>tonnes</x:v>
      </x:c>
    </x:row>
    <x:row r="703" ht="18" customHeight="1">
      <x:c r="A703" s="25" t="str">
        <x:v>EEZ_212</x:v>
      </x:c>
      <x:c r="B703" s="25" t="str">
        <x:v>species_catch_tonnes</x:v>
      </x:c>
      <x:c r="C703" s="25" t="n">
        <x:v>1874.1702079981997</x:v>
      </x:c>
      <x:c r="D703" s="25" t="str">
        <x:v>tonnes</x:v>
      </x:c>
    </x:row>
    <x:row r="704" ht="18" customHeight="1">
      <x:c r="A704" s="25" t="str">
        <x:v>EEZ_212</x:v>
      </x:c>
      <x:c r="B704" s="25" t="str">
        <x:v>catch_difference_tonnes</x:v>
      </x:c>
      <x:c r="C704" s="25" t="n">
        <x:v>-4.547473508864641e-13</x:v>
      </x:c>
      <x:c r="D704" s="25" t="str">
        <x:v>tonnes</x:v>
      </x:c>
    </x:row>
    <x:row r="705" ht="18" customHeight="1">
      <x:c r="A705" s="25" t="str">
        <x:v>EEZ_212</x:v>
      </x:c>
      <x:c r="B705" s="25" t="str">
        <x:v>catch_reconciled</x:v>
      </x:c>
      <x:c r="C705" s="36" t="b">
        <x:v>1</x:v>
      </x:c>
      <x:c r="D705" s="25" t="str">
        <x:v>boolean</x:v>
      </x:c>
    </x:row>
    <x:row r="706" ht="18" customHeight="1">
      <x:c r="A706" s="25" t="str">
        <x:v>EEZ_212</x:v>
      </x:c>
      <x:c r="B706" s="25" t="str">
        <x:v>matched_catch_tonnes</x:v>
      </x:c>
      <x:c r="C706" s="25" t="n">
        <x:v>1874.1702079981997</x:v>
      </x:c>
      <x:c r="D706" s="25" t="str">
        <x:v>tonnes</x:v>
      </x:c>
    </x:row>
    <x:row r="707" ht="18" customHeight="1">
      <x:c r="A707" s="25" t="str">
        <x:v>EEZ_212</x:v>
      </x:c>
      <x:c r="B707" s="25" t="str">
        <x:v>catch_coverage_fraction</x:v>
      </x:c>
      <x:c r="C707" s="25" t="n">
        <x:v>1</x:v>
      </x:c>
      <x:c r="D707" s="25" t="str">
        <x:v>fraction</x:v>
      </x:c>
    </x:row>
    <x:row r="708" ht="18" customHeight="1">
      <x:c r="A708" s="25" t="str">
        <x:v>EEZ_212</x:v>
      </x:c>
      <x:c r="B708" s="25" t="str">
        <x:v>taxa_count</x:v>
      </x:c>
      <x:c r="C708" s="25" t="n">
        <x:v>40</x:v>
      </x:c>
      <x:c r="D708" s="25" t="str">
        <x:v>count</x:v>
      </x:c>
    </x:row>
    <x:row r="709" ht="18" customHeight="1">
      <x:c r="A709" s="25" t="str">
        <x:v>EEZ_212</x:v>
      </x:c>
      <x:c r="B709" s="25" t="str">
        <x:v>matched_taxa_count</x:v>
      </x:c>
      <x:c r="C709" s="25" t="n">
        <x:v>40</x:v>
      </x:c>
      <x:c r="D709" s="25" t="str">
        <x:v>count</x:v>
      </x:c>
    </x:row>
    <x:row r="710" ht="18" customHeight="1">
      <x:c r="A710" s="25" t="str">
        <x:v>EEZ_212</x:v>
      </x:c>
      <x:c r="B710" s="25" t="str">
        <x:v>unmatched_taxa_count</x:v>
      </x:c>
      <x:c r="C710" s="25" t="n">
        <x:v>0</x:v>
      </x:c>
      <x:c r="D710" s="25" t="str">
        <x:v>count</x:v>
      </x:c>
    </x:row>
    <x:row r="711" ht="18" customHeight="1">
      <x:c r="A711" s="25" t="str">
        <x:v>EEZ_212</x:v>
      </x:c>
      <x:c r="B711" s="25" t="str">
        <x:v>species_ppr</x:v>
      </x:c>
      <x:c r="C711" s="25" t="n">
        <x:v>3053112.649782929</x:v>
      </x:c>
      <x:c r="D711" s="25" t="str">
        <x:v>tonnes_primary_production_equivalent</x:v>
      </x:c>
    </x:row>
    <x:row r="712" ht="18" customHeight="1">
      <x:c r="A712" s="25" t="str">
        <x:v>EEZ_212</x:v>
      </x:c>
      <x:c r="B712" s="25" t="str">
        <x:v>commercial_ppr</x:v>
      </x:c>
      <x:c r="C712" s="25" t="n">
        <x:v>2854880.1953996676</x:v>
      </x:c>
      <x:c r="D712" s="25" t="str">
        <x:v>tonnes_primary_production_equivalent</x:v>
      </x:c>
    </x:row>
    <x:row r="713" ht="18" customHeight="1">
      <x:c r="A713" s="25" t="str">
        <x:v>EEZ_212</x:v>
      </x:c>
      <x:c r="B713" s="25" t="str">
        <x:v>functional_ppr</x:v>
      </x:c>
      <x:c r="C713" s="25" t="n">
        <x:v>2889152.4813644695</x:v>
      </x:c>
      <x:c r="D713" s="25" t="str">
        <x:v>tonnes_primary_production_equivalent</x:v>
      </x:c>
    </x:row>
    <x:row r="714" ht="18" customHeight="1">
      <x:c r="A714" s="25" t="str">
        <x:v>EEZ_212</x:v>
      </x:c>
      <x:c r="B714" s="25" t="str">
        <x:v>commercial_ppr_difference</x:v>
      </x:c>
      <x:c r="C714" s="25" t="n">
        <x:v>-198232.4543832615</x:v>
      </x:c>
      <x:c r="D714" s="25" t="str">
        <x:v>tonnes_primary_production_equivalent</x:v>
      </x:c>
    </x:row>
    <x:row r="715" ht="18" customHeight="1">
      <x:c r="A715" s="25" t="str">
        <x:v>EEZ_212</x:v>
      </x:c>
      <x:c r="B715" s="25" t="str">
        <x:v>functional_ppr_difference</x:v>
      </x:c>
      <x:c r="C715" s="25" t="n">
        <x:v>-163960.1684184596</x:v>
      </x:c>
      <x:c r="D715" s="25" t="str">
        <x:v>tonnes_primary_production_equivalent</x:v>
      </x:c>
    </x:row>
    <x:row r="716" ht="18" customHeight="1">
      <x:c r="A716" s="25" t="str">
        <x:v>EEZ_214</x:v>
      </x:c>
      <x:c r="B716" s="25" t="str">
        <x:v>raw_filtered_tonnes</x:v>
      </x:c>
      <x:c r="C716" s="25" t="n">
        <x:v>54410.016272012</x:v>
      </x:c>
      <x:c r="D716" s="25" t="str">
        <x:v>tonnes</x:v>
      </x:c>
    </x:row>
    <x:row r="717" ht="18" customHeight="1">
      <x:c r="A717" s="25" t="str">
        <x:v>EEZ_214</x:v>
      </x:c>
      <x:c r="B717" s="25" t="str">
        <x:v>species_catch_tonnes</x:v>
      </x:c>
      <x:c r="C717" s="25" t="n">
        <x:v>54410.016272012</x:v>
      </x:c>
      <x:c r="D717" s="25" t="str">
        <x:v>tonnes</x:v>
      </x:c>
    </x:row>
    <x:row r="718" ht="18" customHeight="1">
      <x:c r="A718" s="25" t="str">
        <x:v>EEZ_214</x:v>
      </x:c>
      <x:c r="B718" s="25" t="str">
        <x:v>catch_difference_tonnes</x:v>
      </x:c>
      <x:c r="C718" s="25" t="n">
        <x:v>0</x:v>
      </x:c>
      <x:c r="D718" s="25" t="str">
        <x:v>tonnes</x:v>
      </x:c>
    </x:row>
    <x:row r="719" ht="18" customHeight="1">
      <x:c r="A719" s="25" t="str">
        <x:v>EEZ_214</x:v>
      </x:c>
      <x:c r="B719" s="25" t="str">
        <x:v>catch_reconciled</x:v>
      </x:c>
      <x:c r="C719" s="36" t="b">
        <x:v>1</x:v>
      </x:c>
      <x:c r="D719" s="25" t="str">
        <x:v>boolean</x:v>
      </x:c>
    </x:row>
    <x:row r="720" ht="18" customHeight="1">
      <x:c r="A720" s="25" t="str">
        <x:v>EEZ_214</x:v>
      </x:c>
      <x:c r="B720" s="25" t="str">
        <x:v>matched_catch_tonnes</x:v>
      </x:c>
      <x:c r="C720" s="25" t="n">
        <x:v>54410.016272012</x:v>
      </x:c>
      <x:c r="D720" s="25" t="str">
        <x:v>tonnes</x:v>
      </x:c>
    </x:row>
    <x:row r="721" ht="18" customHeight="1">
      <x:c r="A721" s="25" t="str">
        <x:v>EEZ_214</x:v>
      </x:c>
      <x:c r="B721" s="25" t="str">
        <x:v>catch_coverage_fraction</x:v>
      </x:c>
      <x:c r="C721" s="25" t="n">
        <x:v>1</x:v>
      </x:c>
      <x:c r="D721" s="25" t="str">
        <x:v>fraction</x:v>
      </x:c>
    </x:row>
    <x:row r="722" ht="18" customHeight="1">
      <x:c r="A722" s="25" t="str">
        <x:v>EEZ_214</x:v>
      </x:c>
      <x:c r="B722" s="25" t="str">
        <x:v>taxa_count</x:v>
      </x:c>
      <x:c r="C722" s="25" t="n">
        <x:v>80</x:v>
      </x:c>
      <x:c r="D722" s="25" t="str">
        <x:v>count</x:v>
      </x:c>
    </x:row>
    <x:row r="723" ht="18" customHeight="1">
      <x:c r="A723" s="25" t="str">
        <x:v>EEZ_214</x:v>
      </x:c>
      <x:c r="B723" s="25" t="str">
        <x:v>matched_taxa_count</x:v>
      </x:c>
      <x:c r="C723" s="25" t="n">
        <x:v>80</x:v>
      </x:c>
      <x:c r="D723" s="25" t="str">
        <x:v>count</x:v>
      </x:c>
    </x:row>
    <x:row r="724" ht="18" customHeight="1">
      <x:c r="A724" s="25" t="str">
        <x:v>EEZ_214</x:v>
      </x:c>
      <x:c r="B724" s="25" t="str">
        <x:v>unmatched_taxa_count</x:v>
      </x:c>
      <x:c r="C724" s="25" t="n">
        <x:v>0</x:v>
      </x:c>
      <x:c r="D724" s="25" t="str">
        <x:v>count</x:v>
      </x:c>
    </x:row>
    <x:row r="725" ht="18" customHeight="1">
      <x:c r="A725" s="25" t="str">
        <x:v>EEZ_214</x:v>
      </x:c>
      <x:c r="B725" s="25" t="str">
        <x:v>species_ppr</x:v>
      </x:c>
      <x:c r="C725" s="25" t="n">
        <x:v>37213224.13606851</x:v>
      </x:c>
      <x:c r="D725" s="25" t="str">
        <x:v>tonnes_primary_production_equivalent</x:v>
      </x:c>
    </x:row>
    <x:row r="726" ht="18" customHeight="1">
      <x:c r="A726" s="25" t="str">
        <x:v>EEZ_214</x:v>
      </x:c>
      <x:c r="B726" s="25" t="str">
        <x:v>commercial_ppr</x:v>
      </x:c>
      <x:c r="C726" s="25" t="n">
        <x:v>28029391.484373044</x:v>
      </x:c>
      <x:c r="D726" s="25" t="str">
        <x:v>tonnes_primary_production_equivalent</x:v>
      </x:c>
    </x:row>
    <x:row r="727" ht="18" customHeight="1">
      <x:c r="A727" s="25" t="str">
        <x:v>EEZ_214</x:v>
      </x:c>
      <x:c r="B727" s="25" t="str">
        <x:v>functional_ppr</x:v>
      </x:c>
      <x:c r="C727" s="25" t="n">
        <x:v>32421356.943761438</x:v>
      </x:c>
      <x:c r="D727" s="25" t="str">
        <x:v>tonnes_primary_production_equivalent</x:v>
      </x:c>
    </x:row>
    <x:row r="728" ht="18" customHeight="1">
      <x:c r="A728" s="25" t="str">
        <x:v>EEZ_214</x:v>
      </x:c>
      <x:c r="B728" s="25" t="str">
        <x:v>commercial_ppr_difference</x:v>
      </x:c>
      <x:c r="C728" s="25" t="n">
        <x:v>-9183832.651695464</x:v>
      </x:c>
      <x:c r="D728" s="25" t="str">
        <x:v>tonnes_primary_production_equivalent</x:v>
      </x:c>
    </x:row>
    <x:row r="729" ht="18" customHeight="1">
      <x:c r="A729" s="25" t="str">
        <x:v>EEZ_214</x:v>
      </x:c>
      <x:c r="B729" s="25" t="str">
        <x:v>functional_ppr_difference</x:v>
      </x:c>
      <x:c r="C729" s="25" t="n">
        <x:v>-4791867.19230707</x:v>
      </x:c>
      <x:c r="D729" s="25" t="str">
        <x:v>tonnes_primary_production_equivalent</x:v>
      </x:c>
    </x:row>
    <x:row r="730" ht="18" customHeight="1">
      <x:c r="A730" s="25" t="str">
        <x:v>EEZ_218</x:v>
      </x:c>
      <x:c r="B730" s="25" t="str">
        <x:v>raw_filtered_tonnes</x:v>
      </x:c>
      <x:c r="C730" s="25" t="n">
        <x:v>227592.5966285953</x:v>
      </x:c>
      <x:c r="D730" s="25" t="str">
        <x:v>tonnes</x:v>
      </x:c>
    </x:row>
    <x:row r="731" ht="18" customHeight="1">
      <x:c r="A731" s="25" t="str">
        <x:v>EEZ_218</x:v>
      </x:c>
      <x:c r="B731" s="25" t="str">
        <x:v>species_catch_tonnes</x:v>
      </x:c>
      <x:c r="C731" s="25" t="n">
        <x:v>227592.59662859532</x:v>
      </x:c>
      <x:c r="D731" s="25" t="str">
        <x:v>tonnes</x:v>
      </x:c>
    </x:row>
    <x:row r="732" ht="18" customHeight="1">
      <x:c r="A732" s="25" t="str">
        <x:v>EEZ_218</x:v>
      </x:c>
      <x:c r="B732" s="25" t="str">
        <x:v>catch_difference_tonnes</x:v>
      </x:c>
      <x:c r="C732" s="25" t="n">
        <x:v>2.9103830456733704e-11</x:v>
      </x:c>
      <x:c r="D732" s="25" t="str">
        <x:v>tonnes</x:v>
      </x:c>
    </x:row>
    <x:row r="733" ht="18" customHeight="1">
      <x:c r="A733" s="25" t="str">
        <x:v>EEZ_218</x:v>
      </x:c>
      <x:c r="B733" s="25" t="str">
        <x:v>catch_reconciled</x:v>
      </x:c>
      <x:c r="C733" s="36" t="b">
        <x:v>1</x:v>
      </x:c>
      <x:c r="D733" s="25" t="str">
        <x:v>boolean</x:v>
      </x:c>
    </x:row>
    <x:row r="734" ht="18" customHeight="1">
      <x:c r="A734" s="25" t="str">
        <x:v>EEZ_218</x:v>
      </x:c>
      <x:c r="B734" s="25" t="str">
        <x:v>matched_catch_tonnes</x:v>
      </x:c>
      <x:c r="C734" s="25" t="n">
        <x:v>227592.59662859532</x:v>
      </x:c>
      <x:c r="D734" s="25" t="str">
        <x:v>tonnes</x:v>
      </x:c>
    </x:row>
    <x:row r="735" ht="18" customHeight="1">
      <x:c r="A735" s="25" t="str">
        <x:v>EEZ_218</x:v>
      </x:c>
      <x:c r="B735" s="25" t="str">
        <x:v>catch_coverage_fraction</x:v>
      </x:c>
      <x:c r="C735" s="25" t="n">
        <x:v>1</x:v>
      </x:c>
      <x:c r="D735" s="25" t="str">
        <x:v>fraction</x:v>
      </x:c>
    </x:row>
    <x:row r="736" ht="18" customHeight="1">
      <x:c r="A736" s="25" t="str">
        <x:v>EEZ_218</x:v>
      </x:c>
      <x:c r="B736" s="25" t="str">
        <x:v>taxa_count</x:v>
      </x:c>
      <x:c r="C736" s="25" t="n">
        <x:v>82</x:v>
      </x:c>
      <x:c r="D736" s="25" t="str">
        <x:v>count</x:v>
      </x:c>
    </x:row>
    <x:row r="737" ht="18" customHeight="1">
      <x:c r="A737" s="25" t="str">
        <x:v>EEZ_218</x:v>
      </x:c>
      <x:c r="B737" s="25" t="str">
        <x:v>matched_taxa_count</x:v>
      </x:c>
      <x:c r="C737" s="25" t="n">
        <x:v>82</x:v>
      </x:c>
      <x:c r="D737" s="25" t="str">
        <x:v>count</x:v>
      </x:c>
    </x:row>
    <x:row r="738" ht="18" customHeight="1">
      <x:c r="A738" s="25" t="str">
        <x:v>EEZ_218</x:v>
      </x:c>
      <x:c r="B738" s="25" t="str">
        <x:v>unmatched_taxa_count</x:v>
      </x:c>
      <x:c r="C738" s="25" t="n">
        <x:v>0</x:v>
      </x:c>
      <x:c r="D738" s="25" t="str">
        <x:v>count</x:v>
      </x:c>
    </x:row>
    <x:row r="739" ht="18" customHeight="1">
      <x:c r="A739" s="25" t="str">
        <x:v>EEZ_218</x:v>
      </x:c>
      <x:c r="B739" s="25" t="str">
        <x:v>species_ppr</x:v>
      </x:c>
      <x:c r="C739" s="25" t="n">
        <x:v>156635027.49107185</x:v>
      </x:c>
      <x:c r="D739" s="25" t="str">
        <x:v>tonnes_primary_production_equivalent</x:v>
      </x:c>
    </x:row>
    <x:row r="740" ht="18" customHeight="1">
      <x:c r="A740" s="25" t="str">
        <x:v>EEZ_218</x:v>
      </x:c>
      <x:c r="B740" s="25" t="str">
        <x:v>commercial_ppr</x:v>
      </x:c>
      <x:c r="C740" s="25" t="n">
        <x:v>115235123.32919997</x:v>
      </x:c>
      <x:c r="D740" s="25" t="str">
        <x:v>tonnes_primary_production_equivalent</x:v>
      </x:c>
    </x:row>
    <x:row r="741" ht="18" customHeight="1">
      <x:c r="A741" s="25" t="str">
        <x:v>EEZ_218</x:v>
      </x:c>
      <x:c r="B741" s="25" t="str">
        <x:v>functional_ppr</x:v>
      </x:c>
      <x:c r="C741" s="25" t="n">
        <x:v>134427165.56673172</x:v>
      </x:c>
      <x:c r="D741" s="25" t="str">
        <x:v>tonnes_primary_production_equivalent</x:v>
      </x:c>
    </x:row>
    <x:row r="742" ht="18" customHeight="1">
      <x:c r="A742" s="25" t="str">
        <x:v>EEZ_218</x:v>
      </x:c>
      <x:c r="B742" s="25" t="str">
        <x:v>commercial_ppr_difference</x:v>
      </x:c>
      <x:c r="C742" s="25" t="n">
        <x:v>-41399904.16187188</x:v>
      </x:c>
      <x:c r="D742" s="25" t="str">
        <x:v>tonnes_primary_production_equivalent</x:v>
      </x:c>
    </x:row>
    <x:row r="743" ht="18" customHeight="1">
      <x:c r="A743" s="25" t="str">
        <x:v>EEZ_218</x:v>
      </x:c>
      <x:c r="B743" s="25" t="str">
        <x:v>functional_ppr_difference</x:v>
      </x:c>
      <x:c r="C743" s="25" t="n">
        <x:v>-22207861.92434013</x:v>
      </x:c>
      <x:c r="D743" s="25" t="str">
        <x:v>tonnes_primary_production_equivalent</x:v>
      </x:c>
    </x:row>
    <x:row r="744" ht="18" customHeight="1">
      <x:c r="A744" s="25" t="str">
        <x:v>EEZ_219</x:v>
      </x:c>
      <x:c r="B744" s="25" t="str">
        <x:v>raw_filtered_tonnes</x:v>
      </x:c>
      <x:c r="C744" s="25" t="n">
        <x:v>68947.833359488</x:v>
      </x:c>
      <x:c r="D744" s="25" t="str">
        <x:v>tonnes</x:v>
      </x:c>
    </x:row>
    <x:row r="745" ht="18" customHeight="1">
      <x:c r="A745" s="25" t="str">
        <x:v>EEZ_219</x:v>
      </x:c>
      <x:c r="B745" s="25" t="str">
        <x:v>species_catch_tonnes</x:v>
      </x:c>
      <x:c r="C745" s="25" t="n">
        <x:v>68947.83335948801</x:v>
      </x:c>
      <x:c r="D745" s="25" t="str">
        <x:v>tonnes</x:v>
      </x:c>
    </x:row>
    <x:row r="746" ht="18" customHeight="1">
      <x:c r="A746" s="25" t="str">
        <x:v>EEZ_219</x:v>
      </x:c>
      <x:c r="B746" s="25" t="str">
        <x:v>catch_difference_tonnes</x:v>
      </x:c>
      <x:c r="C746" s="25" t="n">
        <x:v>1.4551915228366852e-11</x:v>
      </x:c>
      <x:c r="D746" s="25" t="str">
        <x:v>tonnes</x:v>
      </x:c>
    </x:row>
    <x:row r="747" ht="18" customHeight="1">
      <x:c r="A747" s="25" t="str">
        <x:v>EEZ_219</x:v>
      </x:c>
      <x:c r="B747" s="25" t="str">
        <x:v>catch_reconciled</x:v>
      </x:c>
      <x:c r="C747" s="36" t="b">
        <x:v>1</x:v>
      </x:c>
      <x:c r="D747" s="25" t="str">
        <x:v>boolean</x:v>
      </x:c>
    </x:row>
    <x:row r="748" ht="18" customHeight="1">
      <x:c r="A748" s="25" t="str">
        <x:v>EEZ_219</x:v>
      </x:c>
      <x:c r="B748" s="25" t="str">
        <x:v>matched_catch_tonnes</x:v>
      </x:c>
      <x:c r="C748" s="25" t="n">
        <x:v>68947.83335948801</x:v>
      </x:c>
      <x:c r="D748" s="25" t="str">
        <x:v>tonnes</x:v>
      </x:c>
    </x:row>
    <x:row r="749" ht="18" customHeight="1">
      <x:c r="A749" s="25" t="str">
        <x:v>EEZ_219</x:v>
      </x:c>
      <x:c r="B749" s="25" t="str">
        <x:v>catch_coverage_fraction</x:v>
      </x:c>
      <x:c r="C749" s="25" t="n">
        <x:v>1</x:v>
      </x:c>
      <x:c r="D749" s="25" t="str">
        <x:v>fraction</x:v>
      </x:c>
    </x:row>
    <x:row r="750" ht="18" customHeight="1">
      <x:c r="A750" s="25" t="str">
        <x:v>EEZ_219</x:v>
      </x:c>
      <x:c r="B750" s="25" t="str">
        <x:v>taxa_count</x:v>
      </x:c>
      <x:c r="C750" s="25" t="n">
        <x:v>47</x:v>
      </x:c>
      <x:c r="D750" s="25" t="str">
        <x:v>count</x:v>
      </x:c>
    </x:row>
    <x:row r="751" ht="18" customHeight="1">
      <x:c r="A751" s="25" t="str">
        <x:v>EEZ_219</x:v>
      </x:c>
      <x:c r="B751" s="25" t="str">
        <x:v>matched_taxa_count</x:v>
      </x:c>
      <x:c r="C751" s="25" t="n">
        <x:v>47</x:v>
      </x:c>
      <x:c r="D751" s="25" t="str">
        <x:v>count</x:v>
      </x:c>
    </x:row>
    <x:row r="752" ht="18" customHeight="1">
      <x:c r="A752" s="25" t="str">
        <x:v>EEZ_219</x:v>
      </x:c>
      <x:c r="B752" s="25" t="str">
        <x:v>unmatched_taxa_count</x:v>
      </x:c>
      <x:c r="C752" s="25" t="n">
        <x:v>0</x:v>
      </x:c>
      <x:c r="D752" s="25" t="str">
        <x:v>count</x:v>
      </x:c>
    </x:row>
    <x:row r="753" ht="18" customHeight="1">
      <x:c r="A753" s="25" t="str">
        <x:v>EEZ_219</x:v>
      </x:c>
      <x:c r="B753" s="25" t="str">
        <x:v>species_ppr</x:v>
      </x:c>
      <x:c r="C753" s="25" t="n">
        <x:v>178171427.7951421</x:v>
      </x:c>
      <x:c r="D753" s="25" t="str">
        <x:v>tonnes_primary_production_equivalent</x:v>
      </x:c>
    </x:row>
    <x:row r="754" ht="18" customHeight="1">
      <x:c r="A754" s="25" t="str">
        <x:v>EEZ_219</x:v>
      </x:c>
      <x:c r="B754" s="25" t="str">
        <x:v>commercial_ppr</x:v>
      </x:c>
      <x:c r="C754" s="25" t="n">
        <x:v>175820957.12708527</x:v>
      </x:c>
      <x:c r="D754" s="25" t="str">
        <x:v>tonnes_primary_production_equivalent</x:v>
      </x:c>
    </x:row>
    <x:row r="755" ht="18" customHeight="1">
      <x:c r="A755" s="25" t="str">
        <x:v>EEZ_219</x:v>
      </x:c>
      <x:c r="B755" s="25" t="str">
        <x:v>functional_ppr</x:v>
      </x:c>
      <x:c r="C755" s="25" t="n">
        <x:v>177166073.02531397</x:v>
      </x:c>
      <x:c r="D755" s="25" t="str">
        <x:v>tonnes_primary_production_equivalent</x:v>
      </x:c>
    </x:row>
    <x:row r="756" ht="18" customHeight="1">
      <x:c r="A756" s="25" t="str">
        <x:v>EEZ_219</x:v>
      </x:c>
      <x:c r="B756" s="25" t="str">
        <x:v>commercial_ppr_difference</x:v>
      </x:c>
      <x:c r="C756" s="25" t="n">
        <x:v>-2350470.6680568457</x:v>
      </x:c>
      <x:c r="D756" s="25" t="str">
        <x:v>tonnes_primary_production_equivalent</x:v>
      </x:c>
    </x:row>
    <x:row r="757" ht="18" customHeight="1">
      <x:c r="A757" s="25" t="str">
        <x:v>EEZ_219</x:v>
      </x:c>
      <x:c r="B757" s="25" t="str">
        <x:v>functional_ppr_difference</x:v>
      </x:c>
      <x:c r="C757" s="25" t="n">
        <x:v>-1005354.7698281407</x:v>
      </x:c>
      <x:c r="D757" s="25" t="str">
        <x:v>tonnes_primary_production_equivalent</x:v>
      </x:c>
    </x:row>
    <x:row r="758" ht="18" customHeight="1">
      <x:c r="A758" s="25" t="str">
        <x:v>EEZ_222</x:v>
      </x:c>
      <x:c r="B758" s="25" t="str">
        <x:v>raw_filtered_tonnes</x:v>
      </x:c>
      <x:c r="C758" s="25" t="n">
        <x:v>19144.4662436629</x:v>
      </x:c>
      <x:c r="D758" s="25" t="str">
        <x:v>tonnes</x:v>
      </x:c>
    </x:row>
    <x:row r="759" ht="18" customHeight="1">
      <x:c r="A759" s="25" t="str">
        <x:v>EEZ_222</x:v>
      </x:c>
      <x:c r="B759" s="25" t="str">
        <x:v>species_catch_tonnes</x:v>
      </x:c>
      <x:c r="C759" s="25" t="n">
        <x:v>19144.466243662904</x:v>
      </x:c>
      <x:c r="D759" s="25" t="str">
        <x:v>tonnes</x:v>
      </x:c>
    </x:row>
    <x:row r="760" ht="18" customHeight="1">
      <x:c r="A760" s="25" t="str">
        <x:v>EEZ_222</x:v>
      </x:c>
      <x:c r="B760" s="25" t="str">
        <x:v>catch_difference_tonnes</x:v>
      </x:c>
      <x:c r="C760" s="25" t="n">
        <x:v>3.637978807091713e-12</x:v>
      </x:c>
      <x:c r="D760" s="25" t="str">
        <x:v>tonnes</x:v>
      </x:c>
    </x:row>
    <x:row r="761" ht="18" customHeight="1">
      <x:c r="A761" s="25" t="str">
        <x:v>EEZ_222</x:v>
      </x:c>
      <x:c r="B761" s="25" t="str">
        <x:v>catch_reconciled</x:v>
      </x:c>
      <x:c r="C761" s="36" t="b">
        <x:v>1</x:v>
      </x:c>
      <x:c r="D761" s="25" t="str">
        <x:v>boolean</x:v>
      </x:c>
    </x:row>
    <x:row r="762" ht="18" customHeight="1">
      <x:c r="A762" s="25" t="str">
        <x:v>EEZ_222</x:v>
      </x:c>
      <x:c r="B762" s="25" t="str">
        <x:v>matched_catch_tonnes</x:v>
      </x:c>
      <x:c r="C762" s="25" t="n">
        <x:v>19144.466243662904</x:v>
      </x:c>
      <x:c r="D762" s="25" t="str">
        <x:v>tonnes</x:v>
      </x:c>
    </x:row>
    <x:row r="763" ht="18" customHeight="1">
      <x:c r="A763" s="25" t="str">
        <x:v>EEZ_222</x:v>
      </x:c>
      <x:c r="B763" s="25" t="str">
        <x:v>catch_coverage_fraction</x:v>
      </x:c>
      <x:c r="C763" s="25" t="n">
        <x:v>1</x:v>
      </x:c>
      <x:c r="D763" s="25" t="str">
        <x:v>fraction</x:v>
      </x:c>
    </x:row>
    <x:row r="764" ht="18" customHeight="1">
      <x:c r="A764" s="25" t="str">
        <x:v>EEZ_222</x:v>
      </x:c>
      <x:c r="B764" s="25" t="str">
        <x:v>taxa_count</x:v>
      </x:c>
      <x:c r="C764" s="25" t="n">
        <x:v>59</x:v>
      </x:c>
      <x:c r="D764" s="25" t="str">
        <x:v>count</x:v>
      </x:c>
    </x:row>
    <x:row r="765" ht="18" customHeight="1">
      <x:c r="A765" s="25" t="str">
        <x:v>EEZ_222</x:v>
      </x:c>
      <x:c r="B765" s="25" t="str">
        <x:v>matched_taxa_count</x:v>
      </x:c>
      <x:c r="C765" s="25" t="n">
        <x:v>59</x:v>
      </x:c>
      <x:c r="D765" s="25" t="str">
        <x:v>count</x:v>
      </x:c>
    </x:row>
    <x:row r="766" ht="18" customHeight="1">
      <x:c r="A766" s="25" t="str">
        <x:v>EEZ_222</x:v>
      </x:c>
      <x:c r="B766" s="25" t="str">
        <x:v>unmatched_taxa_count</x:v>
      </x:c>
      <x:c r="C766" s="25" t="n">
        <x:v>0</x:v>
      </x:c>
      <x:c r="D766" s="25" t="str">
        <x:v>count</x:v>
      </x:c>
    </x:row>
    <x:row r="767" ht="18" customHeight="1">
      <x:c r="A767" s="25" t="str">
        <x:v>EEZ_222</x:v>
      </x:c>
      <x:c r="B767" s="25" t="str">
        <x:v>species_ppr</x:v>
      </x:c>
      <x:c r="C767" s="25" t="n">
        <x:v>12763185.689767089</x:v>
      </x:c>
      <x:c r="D767" s="25" t="str">
        <x:v>tonnes_primary_production_equivalent</x:v>
      </x:c>
    </x:row>
    <x:row r="768" ht="18" customHeight="1">
      <x:c r="A768" s="25" t="str">
        <x:v>EEZ_222</x:v>
      </x:c>
      <x:c r="B768" s="25" t="str">
        <x:v>commercial_ppr</x:v>
      </x:c>
      <x:c r="C768" s="25" t="n">
        <x:v>11638267.52708928</x:v>
      </x:c>
      <x:c r="D768" s="25" t="str">
        <x:v>tonnes_primary_production_equivalent</x:v>
      </x:c>
    </x:row>
    <x:row r="769" ht="18" customHeight="1">
      <x:c r="A769" s="25" t="str">
        <x:v>EEZ_222</x:v>
      </x:c>
      <x:c r="B769" s="25" t="str">
        <x:v>functional_ppr</x:v>
      </x:c>
      <x:c r="C769" s="25" t="n">
        <x:v>12067122.731464569</x:v>
      </x:c>
      <x:c r="D769" s="25" t="str">
        <x:v>tonnes_primary_production_equivalent</x:v>
      </x:c>
    </x:row>
    <x:row r="770" ht="18" customHeight="1">
      <x:c r="A770" s="25" t="str">
        <x:v>EEZ_222</x:v>
      </x:c>
      <x:c r="B770" s="25" t="str">
        <x:v>commercial_ppr_difference</x:v>
      </x:c>
      <x:c r="C770" s="25" t="n">
        <x:v>-1124918.1626778096</x:v>
      </x:c>
      <x:c r="D770" s="25" t="str">
        <x:v>tonnes_primary_production_equivalent</x:v>
      </x:c>
    </x:row>
    <x:row r="771" ht="18" customHeight="1">
      <x:c r="A771" s="25" t="str">
        <x:v>EEZ_222</x:v>
      </x:c>
      <x:c r="B771" s="25" t="str">
        <x:v>functional_ppr_difference</x:v>
      </x:c>
      <x:c r="C771" s="25" t="n">
        <x:v>-696062.9583025202</x:v>
      </x:c>
      <x:c r="D771" s="25" t="str">
        <x:v>tonnes_primary_production_equivalent</x:v>
      </x:c>
    </x:row>
    <x:row r="772" ht="18" customHeight="1">
      <x:c r="A772" s="25" t="str">
        <x:v>EEZ_226</x:v>
      </x:c>
      <x:c r="B772" s="25" t="str">
        <x:v>raw_filtered_tonnes</x:v>
      </x:c>
      <x:c r="C772" s="25" t="n">
        <x:v>23094.192527557498</x:v>
      </x:c>
      <x:c r="D772" s="25" t="str">
        <x:v>tonnes</x:v>
      </x:c>
    </x:row>
    <x:row r="773" ht="18" customHeight="1">
      <x:c r="A773" s="25" t="str">
        <x:v>EEZ_226</x:v>
      </x:c>
      <x:c r="B773" s="25" t="str">
        <x:v>species_catch_tonnes</x:v>
      </x:c>
      <x:c r="C773" s="25" t="n">
        <x:v>23094.1925275575</x:v>
      </x:c>
      <x:c r="D773" s="25" t="str">
        <x:v>tonnes</x:v>
      </x:c>
    </x:row>
    <x:row r="774" ht="18" customHeight="1">
      <x:c r="A774" s="25" t="str">
        <x:v>EEZ_226</x:v>
      </x:c>
      <x:c r="B774" s="25" t="str">
        <x:v>catch_difference_tonnes</x:v>
      </x:c>
      <x:c r="C774" s="25" t="n">
        <x:v>3.637978807091713e-12</x:v>
      </x:c>
      <x:c r="D774" s="25" t="str">
        <x:v>tonnes</x:v>
      </x:c>
    </x:row>
    <x:row r="775" ht="18" customHeight="1">
      <x:c r="A775" s="25" t="str">
        <x:v>EEZ_226</x:v>
      </x:c>
      <x:c r="B775" s="25" t="str">
        <x:v>catch_reconciled</x:v>
      </x:c>
      <x:c r="C775" s="36" t="b">
        <x:v>1</x:v>
      </x:c>
      <x:c r="D775" s="25" t="str">
        <x:v>boolean</x:v>
      </x:c>
    </x:row>
    <x:row r="776" ht="18" customHeight="1">
      <x:c r="A776" s="25" t="str">
        <x:v>EEZ_226</x:v>
      </x:c>
      <x:c r="B776" s="25" t="str">
        <x:v>matched_catch_tonnes</x:v>
      </x:c>
      <x:c r="C776" s="25" t="n">
        <x:v>23094.1925275575</x:v>
      </x:c>
      <x:c r="D776" s="25" t="str">
        <x:v>tonnes</x:v>
      </x:c>
    </x:row>
    <x:row r="777" ht="18" customHeight="1">
      <x:c r="A777" s="25" t="str">
        <x:v>EEZ_226</x:v>
      </x:c>
      <x:c r="B777" s="25" t="str">
        <x:v>catch_coverage_fraction</x:v>
      </x:c>
      <x:c r="C777" s="25" t="n">
        <x:v>1</x:v>
      </x:c>
      <x:c r="D777" s="25" t="str">
        <x:v>fraction</x:v>
      </x:c>
    </x:row>
    <x:row r="778" ht="18" customHeight="1">
      <x:c r="A778" s="25" t="str">
        <x:v>EEZ_226</x:v>
      </x:c>
      <x:c r="B778" s="25" t="str">
        <x:v>taxa_count</x:v>
      </x:c>
      <x:c r="C778" s="25" t="n">
        <x:v>66</x:v>
      </x:c>
      <x:c r="D778" s="25" t="str">
        <x:v>count</x:v>
      </x:c>
    </x:row>
    <x:row r="779" ht="18" customHeight="1">
      <x:c r="A779" s="25" t="str">
        <x:v>EEZ_226</x:v>
      </x:c>
      <x:c r="B779" s="25" t="str">
        <x:v>matched_taxa_count</x:v>
      </x:c>
      <x:c r="C779" s="25" t="n">
        <x:v>66</x:v>
      </x:c>
      <x:c r="D779" s="25" t="str">
        <x:v>count</x:v>
      </x:c>
    </x:row>
    <x:row r="780" ht="18" customHeight="1">
      <x:c r="A780" s="25" t="str">
        <x:v>EEZ_226</x:v>
      </x:c>
      <x:c r="B780" s="25" t="str">
        <x:v>unmatched_taxa_count</x:v>
      </x:c>
      <x:c r="C780" s="25" t="n">
        <x:v>0</x:v>
      </x:c>
      <x:c r="D780" s="25" t="str">
        <x:v>count</x:v>
      </x:c>
    </x:row>
    <x:row r="781" ht="18" customHeight="1">
      <x:c r="A781" s="25" t="str">
        <x:v>EEZ_226</x:v>
      </x:c>
      <x:c r="B781" s="25" t="str">
        <x:v>species_ppr</x:v>
      </x:c>
      <x:c r="C781" s="25" t="n">
        <x:v>13733577.498158086</x:v>
      </x:c>
      <x:c r="D781" s="25" t="str">
        <x:v>tonnes_primary_production_equivalent</x:v>
      </x:c>
    </x:row>
    <x:row r="782" ht="18" customHeight="1">
      <x:c r="A782" s="25" t="str">
        <x:v>EEZ_226</x:v>
      </x:c>
      <x:c r="B782" s="25" t="str">
        <x:v>commercial_ppr</x:v>
      </x:c>
      <x:c r="C782" s="25" t="n">
        <x:v>11871421.201981438</x:v>
      </x:c>
      <x:c r="D782" s="25" t="str">
        <x:v>tonnes_primary_production_equivalent</x:v>
      </x:c>
    </x:row>
    <x:row r="783" ht="18" customHeight="1">
      <x:c r="A783" s="25" t="str">
        <x:v>EEZ_226</x:v>
      </x:c>
      <x:c r="B783" s="25" t="str">
        <x:v>functional_ppr</x:v>
      </x:c>
      <x:c r="C783" s="25" t="n">
        <x:v>13198646.387086893</x:v>
      </x:c>
      <x:c r="D783" s="25" t="str">
        <x:v>tonnes_primary_production_equivalent</x:v>
      </x:c>
    </x:row>
    <x:row r="784" ht="18" customHeight="1">
      <x:c r="A784" s="25" t="str">
        <x:v>EEZ_226</x:v>
      </x:c>
      <x:c r="B784" s="25" t="str">
        <x:v>commercial_ppr_difference</x:v>
      </x:c>
      <x:c r="C784" s="25" t="n">
        <x:v>-1862156.2961766478</x:v>
      </x:c>
      <x:c r="D784" s="25" t="str">
        <x:v>tonnes_primary_production_equivalent</x:v>
      </x:c>
    </x:row>
    <x:row r="785" ht="18" customHeight="1">
      <x:c r="A785" s="25" t="str">
        <x:v>EEZ_226</x:v>
      </x:c>
      <x:c r="B785" s="25" t="str">
        <x:v>functional_ppr_difference</x:v>
      </x:c>
      <x:c r="C785" s="25" t="n">
        <x:v>-534931.1110711936</x:v>
      </x:c>
      <x:c r="D785" s="25" t="str">
        <x:v>tonnes_primary_production_equivalent</x:v>
      </x:c>
    </x:row>
    <x:row r="786" ht="18" customHeight="1">
      <x:c r="A786" s="25" t="str">
        <x:v>EEZ_233</x:v>
      </x:c>
      <x:c r="B786" s="25" t="str">
        <x:v>raw_filtered_tonnes</x:v>
      </x:c>
      <x:c r="C786" s="25" t="n">
        <x:v>79757.3063875073</x:v>
      </x:c>
      <x:c r="D786" s="25" t="str">
        <x:v>tonnes</x:v>
      </x:c>
    </x:row>
    <x:row r="787" ht="18" customHeight="1">
      <x:c r="A787" s="25" t="str">
        <x:v>EEZ_233</x:v>
      </x:c>
      <x:c r="B787" s="25" t="str">
        <x:v>species_catch_tonnes</x:v>
      </x:c>
      <x:c r="C787" s="25" t="n">
        <x:v>79757.30638750728</x:v>
      </x:c>
      <x:c r="D787" s="25" t="str">
        <x:v>tonnes</x:v>
      </x:c>
    </x:row>
    <x:row r="788" ht="18" customHeight="1">
      <x:c r="A788" s="25" t="str">
        <x:v>EEZ_233</x:v>
      </x:c>
      <x:c r="B788" s="25" t="str">
        <x:v>catch_difference_tonnes</x:v>
      </x:c>
      <x:c r="C788" s="25" t="n">
        <x:v>-1.4551915228366852e-11</x:v>
      </x:c>
      <x:c r="D788" s="25" t="str">
        <x:v>tonnes</x:v>
      </x:c>
    </x:row>
    <x:row r="789" ht="18" customHeight="1">
      <x:c r="A789" s="25" t="str">
        <x:v>EEZ_233</x:v>
      </x:c>
      <x:c r="B789" s="25" t="str">
        <x:v>catch_reconciled</x:v>
      </x:c>
      <x:c r="C789" s="36" t="b">
        <x:v>1</x:v>
      </x:c>
      <x:c r="D789" s="25" t="str">
        <x:v>boolean</x:v>
      </x:c>
    </x:row>
    <x:row r="790" ht="18" customHeight="1">
      <x:c r="A790" s="25" t="str">
        <x:v>EEZ_233</x:v>
      </x:c>
      <x:c r="B790" s="25" t="str">
        <x:v>matched_catch_tonnes</x:v>
      </x:c>
      <x:c r="C790" s="25" t="n">
        <x:v>79757.30638750728</x:v>
      </x:c>
      <x:c r="D790" s="25" t="str">
        <x:v>tonnes</x:v>
      </x:c>
    </x:row>
    <x:row r="791" ht="18" customHeight="1">
      <x:c r="A791" s="25" t="str">
        <x:v>EEZ_233</x:v>
      </x:c>
      <x:c r="B791" s="25" t="str">
        <x:v>catch_coverage_fraction</x:v>
      </x:c>
      <x:c r="C791" s="25" t="n">
        <x:v>1</x:v>
      </x:c>
      <x:c r="D791" s="25" t="str">
        <x:v>fraction</x:v>
      </x:c>
    </x:row>
    <x:row r="792" ht="18" customHeight="1">
      <x:c r="A792" s="25" t="str">
        <x:v>EEZ_233</x:v>
      </x:c>
      <x:c r="B792" s="25" t="str">
        <x:v>taxa_count</x:v>
      </x:c>
      <x:c r="C792" s="25" t="n">
        <x:v>46</x:v>
      </x:c>
      <x:c r="D792" s="25" t="str">
        <x:v>count</x:v>
      </x:c>
    </x:row>
    <x:row r="793" ht="18" customHeight="1">
      <x:c r="A793" s="25" t="str">
        <x:v>EEZ_233</x:v>
      </x:c>
      <x:c r="B793" s="25" t="str">
        <x:v>matched_taxa_count</x:v>
      </x:c>
      <x:c r="C793" s="25" t="n">
        <x:v>46</x:v>
      </x:c>
      <x:c r="D793" s="25" t="str">
        <x:v>count</x:v>
      </x:c>
    </x:row>
    <x:row r="794" ht="18" customHeight="1">
      <x:c r="A794" s="25" t="str">
        <x:v>EEZ_233</x:v>
      </x:c>
      <x:c r="B794" s="25" t="str">
        <x:v>unmatched_taxa_count</x:v>
      </x:c>
      <x:c r="C794" s="25" t="n">
        <x:v>0</x:v>
      </x:c>
      <x:c r="D794" s="25" t="str">
        <x:v>count</x:v>
      </x:c>
    </x:row>
    <x:row r="795" ht="18" customHeight="1">
      <x:c r="A795" s="25" t="str">
        <x:v>EEZ_233</x:v>
      </x:c>
      <x:c r="B795" s="25" t="str">
        <x:v>species_ppr</x:v>
      </x:c>
      <x:c r="C795" s="25" t="n">
        <x:v>16197878.05939343</x:v>
      </x:c>
      <x:c r="D795" s="25" t="str">
        <x:v>tonnes_primary_production_equivalent</x:v>
      </x:c>
    </x:row>
    <x:row r="796" ht="18" customHeight="1">
      <x:c r="A796" s="25" t="str">
        <x:v>EEZ_233</x:v>
      </x:c>
      <x:c r="B796" s="25" t="str">
        <x:v>commercial_ppr</x:v>
      </x:c>
      <x:c r="C796" s="25" t="n">
        <x:v>14312701.838149164</x:v>
      </x:c>
      <x:c r="D796" s="25" t="str">
        <x:v>tonnes_primary_production_equivalent</x:v>
      </x:c>
    </x:row>
    <x:row r="797" ht="18" customHeight="1">
      <x:c r="A797" s="25" t="str">
        <x:v>EEZ_233</x:v>
      </x:c>
      <x:c r="B797" s="25" t="str">
        <x:v>functional_ppr</x:v>
      </x:c>
      <x:c r="C797" s="25" t="n">
        <x:v>15527713.484062083</x:v>
      </x:c>
      <x:c r="D797" s="25" t="str">
        <x:v>tonnes_primary_production_equivalent</x:v>
      </x:c>
    </x:row>
    <x:row r="798" ht="18" customHeight="1">
      <x:c r="A798" s="25" t="str">
        <x:v>EEZ_233</x:v>
      </x:c>
      <x:c r="B798" s="25" t="str">
        <x:v>commercial_ppr_difference</x:v>
      </x:c>
      <x:c r="C798" s="25" t="n">
        <x:v>-1885176.2212442663</x:v>
      </x:c>
      <x:c r="D798" s="25" t="str">
        <x:v>tonnes_primary_production_equivalent</x:v>
      </x:c>
    </x:row>
    <x:row r="799" ht="18" customHeight="1">
      <x:c r="A799" s="25" t="str">
        <x:v>EEZ_233</x:v>
      </x:c>
      <x:c r="B799" s="25" t="str">
        <x:v>functional_ppr_difference</x:v>
      </x:c>
      <x:c r="C799" s="25" t="n">
        <x:v>-670164.5753313471</x:v>
      </x:c>
      <x:c r="D799" s="25" t="str">
        <x:v>tonnes_primary_production_equivalent</x:v>
      </x:c>
    </x:row>
    <x:row r="800" ht="18" customHeight="1">
      <x:c r="A800" s="25" t="str">
        <x:v>EEZ_234</x:v>
      </x:c>
      <x:c r="B800" s="25" t="str">
        <x:v>raw_filtered_tonnes</x:v>
      </x:c>
      <x:c r="C800" s="25" t="n">
        <x:v>573325.9947069995</x:v>
      </x:c>
      <x:c r="D800" s="25" t="str">
        <x:v>tonnes</x:v>
      </x:c>
    </x:row>
    <x:row r="801" ht="18" customHeight="1">
      <x:c r="A801" s="25" t="str">
        <x:v>EEZ_234</x:v>
      </x:c>
      <x:c r="B801" s="25" t="str">
        <x:v>species_catch_tonnes</x:v>
      </x:c>
      <x:c r="C801" s="25" t="n">
        <x:v>573325.9947069994</x:v>
      </x:c>
      <x:c r="D801" s="25" t="str">
        <x:v>tonnes</x:v>
      </x:c>
    </x:row>
    <x:row r="802" ht="18" customHeight="1">
      <x:c r="A802" s="25" t="str">
        <x:v>EEZ_234</x:v>
      </x:c>
      <x:c r="B802" s="25" t="str">
        <x:v>catch_difference_tonnes</x:v>
      </x:c>
      <x:c r="C802" s="25" t="n">
        <x:v>-1.1641532182693481e-10</x:v>
      </x:c>
      <x:c r="D802" s="25" t="str">
        <x:v>tonnes</x:v>
      </x:c>
    </x:row>
    <x:row r="803" ht="18" customHeight="1">
      <x:c r="A803" s="25" t="str">
        <x:v>EEZ_234</x:v>
      </x:c>
      <x:c r="B803" s="25" t="str">
        <x:v>catch_reconciled</x:v>
      </x:c>
      <x:c r="C803" s="36" t="b">
        <x:v>1</x:v>
      </x:c>
      <x:c r="D803" s="25" t="str">
        <x:v>boolean</x:v>
      </x:c>
    </x:row>
    <x:row r="804" ht="18" customHeight="1">
      <x:c r="A804" s="25" t="str">
        <x:v>EEZ_234</x:v>
      </x:c>
      <x:c r="B804" s="25" t="str">
        <x:v>matched_catch_tonnes</x:v>
      </x:c>
      <x:c r="C804" s="25" t="n">
        <x:v>573325.9947069994</x:v>
      </x:c>
      <x:c r="D804" s="25" t="str">
        <x:v>tonnes</x:v>
      </x:c>
    </x:row>
    <x:row r="805" ht="18" customHeight="1">
      <x:c r="A805" s="25" t="str">
        <x:v>EEZ_234</x:v>
      </x:c>
      <x:c r="B805" s="25" t="str">
        <x:v>catch_coverage_fraction</x:v>
      </x:c>
      <x:c r="C805" s="25" t="n">
        <x:v>1</x:v>
      </x:c>
      <x:c r="D805" s="25" t="str">
        <x:v>fraction</x:v>
      </x:c>
    </x:row>
    <x:row r="806" ht="18" customHeight="1">
      <x:c r="A806" s="25" t="str">
        <x:v>EEZ_234</x:v>
      </x:c>
      <x:c r="B806" s="25" t="str">
        <x:v>taxa_count</x:v>
      </x:c>
      <x:c r="C806" s="25" t="n">
        <x:v>104</x:v>
      </x:c>
      <x:c r="D806" s="25" t="str">
        <x:v>count</x:v>
      </x:c>
    </x:row>
    <x:row r="807" ht="18" customHeight="1">
      <x:c r="A807" s="25" t="str">
        <x:v>EEZ_234</x:v>
      </x:c>
      <x:c r="B807" s="25" t="str">
        <x:v>matched_taxa_count</x:v>
      </x:c>
      <x:c r="C807" s="25" t="n">
        <x:v>104</x:v>
      </x:c>
      <x:c r="D807" s="25" t="str">
        <x:v>count</x:v>
      </x:c>
    </x:row>
    <x:row r="808" ht="18" customHeight="1">
      <x:c r="A808" s="25" t="str">
        <x:v>EEZ_234</x:v>
      </x:c>
      <x:c r="B808" s="25" t="str">
        <x:v>unmatched_taxa_count</x:v>
      </x:c>
      <x:c r="C808" s="25" t="n">
        <x:v>0</x:v>
      </x:c>
      <x:c r="D808" s="25" t="str">
        <x:v>count</x:v>
      </x:c>
    </x:row>
    <x:row r="809" ht="18" customHeight="1">
      <x:c r="A809" s="25" t="str">
        <x:v>EEZ_234</x:v>
      </x:c>
      <x:c r="B809" s="25" t="str">
        <x:v>species_ppr</x:v>
      </x:c>
      <x:c r="C809" s="25" t="n">
        <x:v>566189494.4616262</x:v>
      </x:c>
      <x:c r="D809" s="25" t="str">
        <x:v>tonnes_primary_production_equivalent</x:v>
      </x:c>
    </x:row>
    <x:row r="810" ht="18" customHeight="1">
      <x:c r="A810" s="25" t="str">
        <x:v>EEZ_234</x:v>
      </x:c>
      <x:c r="B810" s="25" t="str">
        <x:v>commercial_ppr</x:v>
      </x:c>
      <x:c r="C810" s="25" t="n">
        <x:v>553973447.5587559</x:v>
      </x:c>
      <x:c r="D810" s="25" t="str">
        <x:v>tonnes_primary_production_equivalent</x:v>
      </x:c>
    </x:row>
    <x:row r="811" ht="18" customHeight="1">
      <x:c r="A811" s="25" t="str">
        <x:v>EEZ_234</x:v>
      </x:c>
      <x:c r="B811" s="25" t="str">
        <x:v>functional_ppr</x:v>
      </x:c>
      <x:c r="C811" s="25" t="n">
        <x:v>555775924.898848</x:v>
      </x:c>
      <x:c r="D811" s="25" t="str">
        <x:v>tonnes_primary_production_equivalent</x:v>
      </x:c>
    </x:row>
    <x:row r="812" ht="18" customHeight="1">
      <x:c r="A812" s="25" t="str">
        <x:v>EEZ_234</x:v>
      </x:c>
      <x:c r="B812" s="25" t="str">
        <x:v>commercial_ppr_difference</x:v>
      </x:c>
      <x:c r="C812" s="25" t="n">
        <x:v>-12216046.902870297</x:v>
      </x:c>
      <x:c r="D812" s="25" t="str">
        <x:v>tonnes_primary_production_equivalent</x:v>
      </x:c>
    </x:row>
    <x:row r="813" ht="18" customHeight="1">
      <x:c r="A813" s="25" t="str">
        <x:v>EEZ_234</x:v>
      </x:c>
      <x:c r="B813" s="25" t="str">
        <x:v>functional_ppr_difference</x:v>
      </x:c>
      <x:c r="C813" s="25" t="n">
        <x:v>-10413569.562778115</x:v>
      </x:c>
      <x:c r="D813" s="25" t="str">
        <x:v>tonnes_primary_production_equivalent</x:v>
      </x:c>
    </x:row>
    <x:row r="814" ht="18" customHeight="1">
      <x:c r="A814" s="25" t="str">
        <x:v>EEZ_238</x:v>
      </x:c>
      <x:c r="B814" s="25" t="str">
        <x:v>raw_filtered_tonnes</x:v>
      </x:c>
      <x:c r="C814" s="25" t="n">
        <x:v>278214.98085805017</x:v>
      </x:c>
      <x:c r="D814" s="25" t="str">
        <x:v>tonnes</x:v>
      </x:c>
    </x:row>
    <x:row r="815" ht="18" customHeight="1">
      <x:c r="A815" s="25" t="str">
        <x:v>EEZ_238</x:v>
      </x:c>
      <x:c r="B815" s="25" t="str">
        <x:v>species_catch_tonnes</x:v>
      </x:c>
      <x:c r="C815" s="25" t="n">
        <x:v>278214.9808580502</x:v>
      </x:c>
      <x:c r="D815" s="25" t="str">
        <x:v>tonnes</x:v>
      </x:c>
    </x:row>
    <x:row r="816" ht="18" customHeight="1">
      <x:c r="A816" s="25" t="str">
        <x:v>EEZ_238</x:v>
      </x:c>
      <x:c r="B816" s="25" t="str">
        <x:v>catch_difference_tonnes</x:v>
      </x:c>
      <x:c r="C816" s="25" t="n">
        <x:v>5.820766091346741e-11</x:v>
      </x:c>
      <x:c r="D816" s="25" t="str">
        <x:v>tonnes</x:v>
      </x:c>
    </x:row>
    <x:row r="817" ht="18" customHeight="1">
      <x:c r="A817" s="25" t="str">
        <x:v>EEZ_238</x:v>
      </x:c>
      <x:c r="B817" s="25" t="str">
        <x:v>catch_reconciled</x:v>
      </x:c>
      <x:c r="C817" s="36" t="b">
        <x:v>1</x:v>
      </x:c>
      <x:c r="D817" s="25" t="str">
        <x:v>boolean</x:v>
      </x:c>
    </x:row>
    <x:row r="818" ht="18" customHeight="1">
      <x:c r="A818" s="25" t="str">
        <x:v>EEZ_238</x:v>
      </x:c>
      <x:c r="B818" s="25" t="str">
        <x:v>matched_catch_tonnes</x:v>
      </x:c>
      <x:c r="C818" s="25" t="n">
        <x:v>278214.9808580502</x:v>
      </x:c>
      <x:c r="D818" s="25" t="str">
        <x:v>tonnes</x:v>
      </x:c>
    </x:row>
    <x:row r="819" ht="18" customHeight="1">
      <x:c r="A819" s="25" t="str">
        <x:v>EEZ_238</x:v>
      </x:c>
      <x:c r="B819" s="25" t="str">
        <x:v>catch_coverage_fraction</x:v>
      </x:c>
      <x:c r="C819" s="25" t="n">
        <x:v>1</x:v>
      </x:c>
      <x:c r="D819" s="25" t="str">
        <x:v>fraction</x:v>
      </x:c>
    </x:row>
    <x:row r="820" ht="18" customHeight="1">
      <x:c r="A820" s="25" t="str">
        <x:v>EEZ_238</x:v>
      </x:c>
      <x:c r="B820" s="25" t="str">
        <x:v>taxa_count</x:v>
      </x:c>
      <x:c r="C820" s="25" t="n">
        <x:v>33</x:v>
      </x:c>
      <x:c r="D820" s="25" t="str">
        <x:v>count</x:v>
      </x:c>
    </x:row>
    <x:row r="821" ht="18" customHeight="1">
      <x:c r="A821" s="25" t="str">
        <x:v>EEZ_238</x:v>
      </x:c>
      <x:c r="B821" s="25" t="str">
        <x:v>matched_taxa_count</x:v>
      </x:c>
      <x:c r="C821" s="25" t="n">
        <x:v>33</x:v>
      </x:c>
      <x:c r="D821" s="25" t="str">
        <x:v>count</x:v>
      </x:c>
    </x:row>
    <x:row r="822" ht="18" customHeight="1">
      <x:c r="A822" s="25" t="str">
        <x:v>EEZ_238</x:v>
      </x:c>
      <x:c r="B822" s="25" t="str">
        <x:v>unmatched_taxa_count</x:v>
      </x:c>
      <x:c r="C822" s="25" t="n">
        <x:v>0</x:v>
      </x:c>
      <x:c r="D822" s="25" t="str">
        <x:v>count</x:v>
      </x:c>
    </x:row>
    <x:row r="823" ht="18" customHeight="1">
      <x:c r="A823" s="25" t="str">
        <x:v>EEZ_238</x:v>
      </x:c>
      <x:c r="B823" s="25" t="str">
        <x:v>species_ppr</x:v>
      </x:c>
      <x:c r="C823" s="25" t="n">
        <x:v>240475941.02839914</x:v>
      </x:c>
      <x:c r="D823" s="25" t="str">
        <x:v>tonnes_primary_production_equivalent</x:v>
      </x:c>
    </x:row>
    <x:row r="824" ht="18" customHeight="1">
      <x:c r="A824" s="25" t="str">
        <x:v>EEZ_238</x:v>
      </x:c>
      <x:c r="B824" s="25" t="str">
        <x:v>commercial_ppr</x:v>
      </x:c>
      <x:c r="C824" s="25" t="n">
        <x:v>218731675.69853857</x:v>
      </x:c>
      <x:c r="D824" s="25" t="str">
        <x:v>tonnes_primary_production_equivalent</x:v>
      </x:c>
    </x:row>
    <x:row r="825" ht="18" customHeight="1">
      <x:c r="A825" s="25" t="str">
        <x:v>EEZ_238</x:v>
      </x:c>
      <x:c r="B825" s="25" t="str">
        <x:v>functional_ppr</x:v>
      </x:c>
      <x:c r="C825" s="25" t="n">
        <x:v>218030091.2427321</x:v>
      </x:c>
      <x:c r="D825" s="25" t="str">
        <x:v>tonnes_primary_production_equivalent</x:v>
      </x:c>
    </x:row>
    <x:row r="826" ht="18" customHeight="1">
      <x:c r="A826" s="25" t="str">
        <x:v>EEZ_238</x:v>
      </x:c>
      <x:c r="B826" s="25" t="str">
        <x:v>commercial_ppr_difference</x:v>
      </x:c>
      <x:c r="C826" s="25" t="n">
        <x:v>-21744265.329860568</x:v>
      </x:c>
      <x:c r="D826" s="25" t="str">
        <x:v>tonnes_primary_production_equivalent</x:v>
      </x:c>
    </x:row>
    <x:row r="827" ht="18" customHeight="1">
      <x:c r="A827" s="25" t="str">
        <x:v>EEZ_238</x:v>
      </x:c>
      <x:c r="B827" s="25" t="str">
        <x:v>functional_ppr_difference</x:v>
      </x:c>
      <x:c r="C827" s="25" t="n">
        <x:v>-22445849.785667032</x:v>
      </x:c>
      <x:c r="D827" s="25" t="str">
        <x:v>tonnes_primary_production_equivalent</x:v>
      </x:c>
    </x:row>
    <x:row r="828" ht="18" customHeight="1">
      <x:c r="A828" s="25" t="str">
        <x:v>EEZ_239</x:v>
      </x:c>
      <x:c r="B828" s="25" t="str">
        <x:v>raw_filtered_tonnes</x:v>
      </x:c>
      <x:c r="C828" s="25" t="n">
        <x:v>142823.9584061877</x:v>
      </x:c>
      <x:c r="D828" s="25" t="str">
        <x:v>tonnes</x:v>
      </x:c>
    </x:row>
    <x:row r="829" ht="18" customHeight="1">
      <x:c r="A829" s="25" t="str">
        <x:v>EEZ_239</x:v>
      </x:c>
      <x:c r="B829" s="25" t="str">
        <x:v>species_catch_tonnes</x:v>
      </x:c>
      <x:c r="C829" s="25" t="n">
        <x:v>142823.95840618768</x:v>
      </x:c>
      <x:c r="D829" s="25" t="str">
        <x:v>tonnes</x:v>
      </x:c>
    </x:row>
    <x:row r="830" ht="18" customHeight="1">
      <x:c r="A830" s="25" t="str">
        <x:v>EEZ_239</x:v>
      </x:c>
      <x:c r="B830" s="25" t="str">
        <x:v>catch_difference_tonnes</x:v>
      </x:c>
      <x:c r="C830" s="25" t="n">
        <x:v>-2.9103830456733704e-11</x:v>
      </x:c>
      <x:c r="D830" s="25" t="str">
        <x:v>tonnes</x:v>
      </x:c>
    </x:row>
    <x:row r="831" ht="18" customHeight="1">
      <x:c r="A831" s="25" t="str">
        <x:v>EEZ_239</x:v>
      </x:c>
      <x:c r="B831" s="25" t="str">
        <x:v>catch_reconciled</x:v>
      </x:c>
      <x:c r="C831" s="36" t="b">
        <x:v>1</x:v>
      </x:c>
      <x:c r="D831" s="25" t="str">
        <x:v>boolean</x:v>
      </x:c>
    </x:row>
    <x:row r="832" ht="18" customHeight="1">
      <x:c r="A832" s="25" t="str">
        <x:v>EEZ_239</x:v>
      </x:c>
      <x:c r="B832" s="25" t="str">
        <x:v>matched_catch_tonnes</x:v>
      </x:c>
      <x:c r="C832" s="25" t="n">
        <x:v>142823.95840618768</x:v>
      </x:c>
      <x:c r="D832" s="25" t="str">
        <x:v>tonnes</x:v>
      </x:c>
    </x:row>
    <x:row r="833" ht="18" customHeight="1">
      <x:c r="A833" s="25" t="str">
        <x:v>EEZ_239</x:v>
      </x:c>
      <x:c r="B833" s="25" t="str">
        <x:v>catch_coverage_fraction</x:v>
      </x:c>
      <x:c r="C833" s="25" t="n">
        <x:v>1</x:v>
      </x:c>
      <x:c r="D833" s="25" t="str">
        <x:v>fraction</x:v>
      </x:c>
    </x:row>
    <x:row r="834" ht="18" customHeight="1">
      <x:c r="A834" s="25" t="str">
        <x:v>EEZ_239</x:v>
      </x:c>
      <x:c r="B834" s="25" t="str">
        <x:v>taxa_count</x:v>
      </x:c>
      <x:c r="C834" s="25" t="n">
        <x:v>33</x:v>
      </x:c>
      <x:c r="D834" s="25" t="str">
        <x:v>count</x:v>
      </x:c>
    </x:row>
    <x:row r="835" ht="18" customHeight="1">
      <x:c r="A835" s="25" t="str">
        <x:v>EEZ_239</x:v>
      </x:c>
      <x:c r="B835" s="25" t="str">
        <x:v>matched_taxa_count</x:v>
      </x:c>
      <x:c r="C835" s="25" t="n">
        <x:v>33</x:v>
      </x:c>
      <x:c r="D835" s="25" t="str">
        <x:v>count</x:v>
      </x:c>
    </x:row>
    <x:row r="836" ht="18" customHeight="1">
      <x:c r="A836" s="25" t="str">
        <x:v>EEZ_239</x:v>
      </x:c>
      <x:c r="B836" s="25" t="str">
        <x:v>unmatched_taxa_count</x:v>
      </x:c>
      <x:c r="C836" s="25" t="n">
        <x:v>0</x:v>
      </x:c>
      <x:c r="D836" s="25" t="str">
        <x:v>count</x:v>
      </x:c>
    </x:row>
    <x:row r="837" ht="18" customHeight="1">
      <x:c r="A837" s="25" t="str">
        <x:v>EEZ_239</x:v>
      </x:c>
      <x:c r="B837" s="25" t="str">
        <x:v>species_ppr</x:v>
      </x:c>
      <x:c r="C837" s="25" t="n">
        <x:v>4624410.7040542485</x:v>
      </x:c>
      <x:c r="D837" s="25" t="str">
        <x:v>tonnes_primary_production_equivalent</x:v>
      </x:c>
    </x:row>
    <x:row r="838" ht="18" customHeight="1">
      <x:c r="A838" s="25" t="str">
        <x:v>EEZ_239</x:v>
      </x:c>
      <x:c r="B838" s="25" t="str">
        <x:v>commercial_ppr</x:v>
      </x:c>
      <x:c r="C838" s="25" t="n">
        <x:v>4600691.82463027</x:v>
      </x:c>
      <x:c r="D838" s="25" t="str">
        <x:v>tonnes_primary_production_equivalent</x:v>
      </x:c>
    </x:row>
    <x:row r="839" ht="18" customHeight="1">
      <x:c r="A839" s="25" t="str">
        <x:v>EEZ_239</x:v>
      </x:c>
      <x:c r="B839" s="25" t="str">
        <x:v>functional_ppr</x:v>
      </x:c>
      <x:c r="C839" s="25" t="n">
        <x:v>4624140.932766819</x:v>
      </x:c>
      <x:c r="D839" s="25" t="str">
        <x:v>tonnes_primary_production_equivalent</x:v>
      </x:c>
    </x:row>
    <x:row r="840" ht="18" customHeight="1">
      <x:c r="A840" s="25" t="str">
        <x:v>EEZ_239</x:v>
      </x:c>
      <x:c r="B840" s="25" t="str">
        <x:v>commercial_ppr_difference</x:v>
      </x:c>
      <x:c r="C840" s="25" t="n">
        <x:v>-23718.87942397874</x:v>
      </x:c>
      <x:c r="D840" s="25" t="str">
        <x:v>tonnes_primary_production_equivalent</x:v>
      </x:c>
    </x:row>
    <x:row r="841" ht="18" customHeight="1">
      <x:c r="A841" s="25" t="str">
        <x:v>EEZ_239</x:v>
      </x:c>
      <x:c r="B841" s="25" t="str">
        <x:v>functional_ppr_difference</x:v>
      </x:c>
      <x:c r="C841" s="25" t="n">
        <x:v>-269.77128742914647</x:v>
      </x:c>
      <x:c r="D841" s="25" t="str">
        <x:v>tonnes_primary_production_equivalent</x:v>
      </x:c>
    </x:row>
    <x:row r="842" ht="18" customHeight="1">
      <x:c r="A842" s="25" t="str">
        <x:v>EEZ_242</x:v>
      </x:c>
      <x:c r="B842" s="25" t="str">
        <x:v>raw_filtered_tonnes</x:v>
      </x:c>
      <x:c r="C842" s="25" t="n">
        <x:v>57561.8277487637</x:v>
      </x:c>
      <x:c r="D842" s="25" t="str">
        <x:v>tonnes</x:v>
      </x:c>
    </x:row>
    <x:row r="843" ht="18" customHeight="1">
      <x:c r="A843" s="25" t="str">
        <x:v>EEZ_242</x:v>
      </x:c>
      <x:c r="B843" s="25" t="str">
        <x:v>species_catch_tonnes</x:v>
      </x:c>
      <x:c r="C843" s="25" t="n">
        <x:v>57561.8277487637</x:v>
      </x:c>
      <x:c r="D843" s="25" t="str">
        <x:v>tonnes</x:v>
      </x:c>
    </x:row>
    <x:row r="844" ht="18" customHeight="1">
      <x:c r="A844" s="25" t="str">
        <x:v>EEZ_242</x:v>
      </x:c>
      <x:c r="B844" s="25" t="str">
        <x:v>catch_difference_tonnes</x:v>
      </x:c>
      <x:c r="C844" s="25" t="n">
        <x:v>0</x:v>
      </x:c>
      <x:c r="D844" s="25" t="str">
        <x:v>tonnes</x:v>
      </x:c>
    </x:row>
    <x:row r="845" ht="18" customHeight="1">
      <x:c r="A845" s="25" t="str">
        <x:v>EEZ_242</x:v>
      </x:c>
      <x:c r="B845" s="25" t="str">
        <x:v>catch_reconciled</x:v>
      </x:c>
      <x:c r="C845" s="36" t="b">
        <x:v>1</x:v>
      </x:c>
      <x:c r="D845" s="25" t="str">
        <x:v>boolean</x:v>
      </x:c>
    </x:row>
    <x:row r="846" ht="18" customHeight="1">
      <x:c r="A846" s="25" t="str">
        <x:v>EEZ_242</x:v>
      </x:c>
      <x:c r="B846" s="25" t="str">
        <x:v>matched_catch_tonnes</x:v>
      </x:c>
      <x:c r="C846" s="25" t="n">
        <x:v>57561.8277487637</x:v>
      </x:c>
      <x:c r="D846" s="25" t="str">
        <x:v>tonnes</x:v>
      </x:c>
    </x:row>
    <x:row r="847" ht="18" customHeight="1">
      <x:c r="A847" s="25" t="str">
        <x:v>EEZ_242</x:v>
      </x:c>
      <x:c r="B847" s="25" t="str">
        <x:v>catch_coverage_fraction</x:v>
      </x:c>
      <x:c r="C847" s="25" t="n">
        <x:v>1</x:v>
      </x:c>
      <x:c r="D847" s="25" t="str">
        <x:v>fraction</x:v>
      </x:c>
    </x:row>
    <x:row r="848" ht="18" customHeight="1">
      <x:c r="A848" s="25" t="str">
        <x:v>EEZ_242</x:v>
      </x:c>
      <x:c r="B848" s="25" t="str">
        <x:v>taxa_count</x:v>
      </x:c>
      <x:c r="C848" s="25" t="n">
        <x:v>57</x:v>
      </x:c>
      <x:c r="D848" s="25" t="str">
        <x:v>count</x:v>
      </x:c>
    </x:row>
    <x:row r="849" ht="18" customHeight="1">
      <x:c r="A849" s="25" t="str">
        <x:v>EEZ_242</x:v>
      </x:c>
      <x:c r="B849" s="25" t="str">
        <x:v>matched_taxa_count</x:v>
      </x:c>
      <x:c r="C849" s="25" t="n">
        <x:v>57</x:v>
      </x:c>
      <x:c r="D849" s="25" t="str">
        <x:v>count</x:v>
      </x:c>
    </x:row>
    <x:row r="850" ht="18" customHeight="1">
      <x:c r="A850" s="25" t="str">
        <x:v>EEZ_242</x:v>
      </x:c>
      <x:c r="B850" s="25" t="str">
        <x:v>unmatched_taxa_count</x:v>
      </x:c>
      <x:c r="C850" s="25" t="n">
        <x:v>0</x:v>
      </x:c>
      <x:c r="D850" s="25" t="str">
        <x:v>count</x:v>
      </x:c>
    </x:row>
    <x:row r="851" ht="18" customHeight="1">
      <x:c r="A851" s="25" t="str">
        <x:v>EEZ_242</x:v>
      </x:c>
      <x:c r="B851" s="25" t="str">
        <x:v>species_ppr</x:v>
      </x:c>
      <x:c r="C851" s="25" t="n">
        <x:v>79413036.45710625</x:v>
      </x:c>
      <x:c r="D851" s="25" t="str">
        <x:v>tonnes_primary_production_equivalent</x:v>
      </x:c>
    </x:row>
    <x:row r="852" ht="18" customHeight="1">
      <x:c r="A852" s="25" t="str">
        <x:v>EEZ_242</x:v>
      </x:c>
      <x:c r="B852" s="25" t="str">
        <x:v>commercial_ppr</x:v>
      </x:c>
      <x:c r="C852" s="25" t="n">
        <x:v>68827217.75327721</x:v>
      </x:c>
      <x:c r="D852" s="25" t="str">
        <x:v>tonnes_primary_production_equivalent</x:v>
      </x:c>
    </x:row>
    <x:row r="853" ht="18" customHeight="1">
      <x:c r="A853" s="25" t="str">
        <x:v>EEZ_242</x:v>
      </x:c>
      <x:c r="B853" s="25" t="str">
        <x:v>functional_ppr</x:v>
      </x:c>
      <x:c r="C853" s="25" t="n">
        <x:v>74891764.60643005</x:v>
      </x:c>
      <x:c r="D853" s="25" t="str">
        <x:v>tonnes_primary_production_equivalent</x:v>
      </x:c>
    </x:row>
    <x:row r="854" ht="18" customHeight="1">
      <x:c r="A854" s="25" t="str">
        <x:v>EEZ_242</x:v>
      </x:c>
      <x:c r="B854" s="25" t="str">
        <x:v>commercial_ppr_difference</x:v>
      </x:c>
      <x:c r="C854" s="25" t="n">
        <x:v>-10585818.703829035</x:v>
      </x:c>
      <x:c r="D854" s="25" t="str">
        <x:v>tonnes_primary_production_equivalent</x:v>
      </x:c>
    </x:row>
    <x:row r="855" ht="18" customHeight="1">
      <x:c r="A855" s="25" t="str">
        <x:v>EEZ_242</x:v>
      </x:c>
      <x:c r="B855" s="25" t="str">
        <x:v>functional_ppr_difference</x:v>
      </x:c>
      <x:c r="C855" s="25" t="n">
        <x:v>-4521271.850676194</x:v>
      </x:c>
      <x:c r="D855" s="25" t="str">
        <x:v>tonnes_primary_production_equivalent</x:v>
      </x:c>
    </x:row>
    <x:row r="856" ht="18" customHeight="1">
      <x:c r="A856" s="25" t="str">
        <x:v>EEZ_246</x:v>
      </x:c>
      <x:c r="B856" s="25" t="str">
        <x:v>raw_filtered_tonnes</x:v>
      </x:c>
      <x:c r="C856" s="25" t="n">
        <x:v>122751.58946063151</x:v>
      </x:c>
      <x:c r="D856" s="25" t="str">
        <x:v>tonnes</x:v>
      </x:c>
    </x:row>
    <x:row r="857" ht="18" customHeight="1">
      <x:c r="A857" s="25" t="str">
        <x:v>EEZ_246</x:v>
      </x:c>
      <x:c r="B857" s="25" t="str">
        <x:v>species_catch_tonnes</x:v>
      </x:c>
      <x:c r="C857" s="25" t="n">
        <x:v>122751.58946063148</x:v>
      </x:c>
      <x:c r="D857" s="25" t="str">
        <x:v>tonnes</x:v>
      </x:c>
    </x:row>
    <x:row r="858" ht="18" customHeight="1">
      <x:c r="A858" s="25" t="str">
        <x:v>EEZ_246</x:v>
      </x:c>
      <x:c r="B858" s="25" t="str">
        <x:v>catch_difference_tonnes</x:v>
      </x:c>
      <x:c r="C858" s="25" t="n">
        <x:v>-2.9103830456733704e-11</x:v>
      </x:c>
      <x:c r="D858" s="25" t="str">
        <x:v>tonnes</x:v>
      </x:c>
    </x:row>
    <x:row r="859" ht="18" customHeight="1">
      <x:c r="A859" s="25" t="str">
        <x:v>EEZ_246</x:v>
      </x:c>
      <x:c r="B859" s="25" t="str">
        <x:v>catch_reconciled</x:v>
      </x:c>
      <x:c r="C859" s="36" t="b">
        <x:v>1</x:v>
      </x:c>
      <x:c r="D859" s="25" t="str">
        <x:v>boolean</x:v>
      </x:c>
    </x:row>
    <x:row r="860" ht="18" customHeight="1">
      <x:c r="A860" s="25" t="str">
        <x:v>EEZ_246</x:v>
      </x:c>
      <x:c r="B860" s="25" t="str">
        <x:v>matched_catch_tonnes</x:v>
      </x:c>
      <x:c r="C860" s="25" t="n">
        <x:v>122751.58946063148</x:v>
      </x:c>
      <x:c r="D860" s="25" t="str">
        <x:v>tonnes</x:v>
      </x:c>
    </x:row>
    <x:row r="861" ht="18" customHeight="1">
      <x:c r="A861" s="25" t="str">
        <x:v>EEZ_246</x:v>
      </x:c>
      <x:c r="B861" s="25" t="str">
        <x:v>catch_coverage_fraction</x:v>
      </x:c>
      <x:c r="C861" s="25" t="n">
        <x:v>1</x:v>
      </x:c>
      <x:c r="D861" s="25" t="str">
        <x:v>fraction</x:v>
      </x:c>
    </x:row>
    <x:row r="862" ht="18" customHeight="1">
      <x:c r="A862" s="25" t="str">
        <x:v>EEZ_246</x:v>
      </x:c>
      <x:c r="B862" s="25" t="str">
        <x:v>taxa_count</x:v>
      </x:c>
      <x:c r="C862" s="25" t="n">
        <x:v>43</x:v>
      </x:c>
      <x:c r="D862" s="25" t="str">
        <x:v>count</x:v>
      </x:c>
    </x:row>
    <x:row r="863" ht="18" customHeight="1">
      <x:c r="A863" s="25" t="str">
        <x:v>EEZ_246</x:v>
      </x:c>
      <x:c r="B863" s="25" t="str">
        <x:v>matched_taxa_count</x:v>
      </x:c>
      <x:c r="C863" s="25" t="n">
        <x:v>43</x:v>
      </x:c>
      <x:c r="D863" s="25" t="str">
        <x:v>count</x:v>
      </x:c>
    </x:row>
    <x:row r="864" ht="18" customHeight="1">
      <x:c r="A864" s="25" t="str">
        <x:v>EEZ_246</x:v>
      </x:c>
      <x:c r="B864" s="25" t="str">
        <x:v>unmatched_taxa_count</x:v>
      </x:c>
      <x:c r="C864" s="25" t="n">
        <x:v>0</x:v>
      </x:c>
      <x:c r="D864" s="25" t="str">
        <x:v>count</x:v>
      </x:c>
    </x:row>
    <x:row r="865" ht="18" customHeight="1">
      <x:c r="A865" s="25" t="str">
        <x:v>EEZ_246</x:v>
      </x:c>
      <x:c r="B865" s="25" t="str">
        <x:v>species_ppr</x:v>
      </x:c>
      <x:c r="C865" s="25" t="n">
        <x:v>33509013.98870027</x:v>
      </x:c>
      <x:c r="D865" s="25" t="str">
        <x:v>tonnes_primary_production_equivalent</x:v>
      </x:c>
    </x:row>
    <x:row r="866" ht="18" customHeight="1">
      <x:c r="A866" s="25" t="str">
        <x:v>EEZ_246</x:v>
      </x:c>
      <x:c r="B866" s="25" t="str">
        <x:v>commercial_ppr</x:v>
      </x:c>
      <x:c r="C866" s="25" t="n">
        <x:v>30445812.056477316</x:v>
      </x:c>
      <x:c r="D866" s="25" t="str">
        <x:v>tonnes_primary_production_equivalent</x:v>
      </x:c>
    </x:row>
    <x:row r="867" ht="18" customHeight="1">
      <x:c r="A867" s="25" t="str">
        <x:v>EEZ_246</x:v>
      </x:c>
      <x:c r="B867" s="25" t="str">
        <x:v>functional_ppr</x:v>
      </x:c>
      <x:c r="C867" s="25" t="n">
        <x:v>30675380.581763048</x:v>
      </x:c>
      <x:c r="D867" s="25" t="str">
        <x:v>tonnes_primary_production_equivalent</x:v>
      </x:c>
    </x:row>
    <x:row r="868" ht="18" customHeight="1">
      <x:c r="A868" s="25" t="str">
        <x:v>EEZ_246</x:v>
      </x:c>
      <x:c r="B868" s="25" t="str">
        <x:v>commercial_ppr_difference</x:v>
      </x:c>
      <x:c r="C868" s="25" t="n">
        <x:v>-3063201.932222955</x:v>
      </x:c>
      <x:c r="D868" s="25" t="str">
        <x:v>tonnes_primary_production_equivalent</x:v>
      </x:c>
    </x:row>
    <x:row r="869" ht="18" customHeight="1">
      <x:c r="A869" s="25" t="str">
        <x:v>EEZ_246</x:v>
      </x:c>
      <x:c r="B869" s="25" t="str">
        <x:v>functional_ppr_difference</x:v>
      </x:c>
      <x:c r="C869" s="25" t="n">
        <x:v>-2833633.406937223</x:v>
      </x:c>
      <x:c r="D869" s="25" t="str">
        <x:v>tonnes_primary_production_equivalent</x:v>
      </x:c>
    </x:row>
    <x:row r="870" ht="18" customHeight="1">
      <x:c r="A870" s="25" t="str">
        <x:v>EEZ_251</x:v>
      </x:c>
      <x:c r="B870" s="25" t="str">
        <x:v>raw_filtered_tonnes</x:v>
      </x:c>
      <x:c r="C870" s="25" t="n">
        <x:v>3801.8421879604</x:v>
      </x:c>
      <x:c r="D870" s="25" t="str">
        <x:v>tonnes</x:v>
      </x:c>
    </x:row>
    <x:row r="871" ht="18" customHeight="1">
      <x:c r="A871" s="25" t="str">
        <x:v>EEZ_251</x:v>
      </x:c>
      <x:c r="B871" s="25" t="str">
        <x:v>species_catch_tonnes</x:v>
      </x:c>
      <x:c r="C871" s="25" t="n">
        <x:v>3801.8421879604</x:v>
      </x:c>
      <x:c r="D871" s="25" t="str">
        <x:v>tonnes</x:v>
      </x:c>
    </x:row>
    <x:row r="872" ht="18" customHeight="1">
      <x:c r="A872" s="25" t="str">
        <x:v>EEZ_251</x:v>
      </x:c>
      <x:c r="B872" s="25" t="str">
        <x:v>catch_difference_tonnes</x:v>
      </x:c>
      <x:c r="C872" s="25" t="n">
        <x:v>0</x:v>
      </x:c>
      <x:c r="D872" s="25" t="str">
        <x:v>tonnes</x:v>
      </x:c>
    </x:row>
    <x:row r="873" ht="18" customHeight="1">
      <x:c r="A873" s="25" t="str">
        <x:v>EEZ_251</x:v>
      </x:c>
      <x:c r="B873" s="25" t="str">
        <x:v>catch_reconciled</x:v>
      </x:c>
      <x:c r="C873" s="36" t="b">
        <x:v>1</x:v>
      </x:c>
      <x:c r="D873" s="25" t="str">
        <x:v>boolean</x:v>
      </x:c>
    </x:row>
    <x:row r="874" ht="18" customHeight="1">
      <x:c r="A874" s="25" t="str">
        <x:v>EEZ_251</x:v>
      </x:c>
      <x:c r="B874" s="25" t="str">
        <x:v>matched_catch_tonnes</x:v>
      </x:c>
      <x:c r="C874" s="25" t="n">
        <x:v>3801.8421879604</x:v>
      </x:c>
      <x:c r="D874" s="25" t="str">
        <x:v>tonnes</x:v>
      </x:c>
    </x:row>
    <x:row r="875" ht="18" customHeight="1">
      <x:c r="A875" s="25" t="str">
        <x:v>EEZ_251</x:v>
      </x:c>
      <x:c r="B875" s="25" t="str">
        <x:v>catch_coverage_fraction</x:v>
      </x:c>
      <x:c r="C875" s="25" t="n">
        <x:v>1</x:v>
      </x:c>
      <x:c r="D875" s="25" t="str">
        <x:v>fraction</x:v>
      </x:c>
    </x:row>
    <x:row r="876" ht="18" customHeight="1">
      <x:c r="A876" s="25" t="str">
        <x:v>EEZ_251</x:v>
      </x:c>
      <x:c r="B876" s="25" t="str">
        <x:v>taxa_count</x:v>
      </x:c>
      <x:c r="C876" s="25" t="n">
        <x:v>27</x:v>
      </x:c>
      <x:c r="D876" s="25" t="str">
        <x:v>count</x:v>
      </x:c>
    </x:row>
    <x:row r="877" ht="18" customHeight="1">
      <x:c r="A877" s="25" t="str">
        <x:v>EEZ_251</x:v>
      </x:c>
      <x:c r="B877" s="25" t="str">
        <x:v>matched_taxa_count</x:v>
      </x:c>
      <x:c r="C877" s="25" t="n">
        <x:v>27</x:v>
      </x:c>
      <x:c r="D877" s="25" t="str">
        <x:v>count</x:v>
      </x:c>
    </x:row>
    <x:row r="878" ht="18" customHeight="1">
      <x:c r="A878" s="25" t="str">
        <x:v>EEZ_251</x:v>
      </x:c>
      <x:c r="B878" s="25" t="str">
        <x:v>unmatched_taxa_count</x:v>
      </x:c>
      <x:c r="C878" s="25" t="n">
        <x:v>0</x:v>
      </x:c>
      <x:c r="D878" s="25" t="str">
        <x:v>count</x:v>
      </x:c>
    </x:row>
    <x:row r="879" ht="18" customHeight="1">
      <x:c r="A879" s="25" t="str">
        <x:v>EEZ_251</x:v>
      </x:c>
      <x:c r="B879" s="25" t="str">
        <x:v>species_ppr</x:v>
      </x:c>
      <x:c r="C879" s="25" t="n">
        <x:v>9217280.300397815</x:v>
      </x:c>
      <x:c r="D879" s="25" t="str">
        <x:v>tonnes_primary_production_equivalent</x:v>
      </x:c>
    </x:row>
    <x:row r="880" ht="18" customHeight="1">
      <x:c r="A880" s="25" t="str">
        <x:v>EEZ_251</x:v>
      </x:c>
      <x:c r="B880" s="25" t="str">
        <x:v>commercial_ppr</x:v>
      </x:c>
      <x:c r="C880" s="25" t="n">
        <x:v>9145338.936293395</x:v>
      </x:c>
      <x:c r="D880" s="25" t="str">
        <x:v>tonnes_primary_production_equivalent</x:v>
      </x:c>
    </x:row>
    <x:row r="881" ht="18" customHeight="1">
      <x:c r="A881" s="25" t="str">
        <x:v>EEZ_251</x:v>
      </x:c>
      <x:c r="B881" s="25" t="str">
        <x:v>functional_ppr</x:v>
      </x:c>
      <x:c r="C881" s="25" t="n">
        <x:v>9129597.461660808</x:v>
      </x:c>
      <x:c r="D881" s="25" t="str">
        <x:v>tonnes_primary_production_equivalent</x:v>
      </x:c>
    </x:row>
    <x:row r="882" ht="18" customHeight="1">
      <x:c r="A882" s="25" t="str">
        <x:v>EEZ_251</x:v>
      </x:c>
      <x:c r="B882" s="25" t="str">
        <x:v>commercial_ppr_difference</x:v>
      </x:c>
      <x:c r="C882" s="25" t="n">
        <x:v>-71941.36410441995</x:v>
      </x:c>
      <x:c r="D882" s="25" t="str">
        <x:v>tonnes_primary_production_equivalent</x:v>
      </x:c>
    </x:row>
    <x:row r="883" ht="18" customHeight="1">
      <x:c r="A883" s="25" t="str">
        <x:v>EEZ_251</x:v>
      </x:c>
      <x:c r="B883" s="25" t="str">
        <x:v>functional_ppr_difference</x:v>
      </x:c>
      <x:c r="C883" s="25" t="n">
        <x:v>-87682.83873700723</x:v>
      </x:c>
      <x:c r="D883" s="25" t="str">
        <x:v>tonnes_primary_production_equivalent</x:v>
      </x:c>
    </x:row>
    <x:row r="884" ht="18" customHeight="1">
      <x:c r="A884" s="25" t="str">
        <x:v>EEZ_252</x:v>
      </x:c>
      <x:c r="B884" s="25" t="str">
        <x:v>raw_filtered_tonnes</x:v>
      </x:c>
      <x:c r="C884" s="25" t="n">
        <x:v>20.057971261</x:v>
      </x:c>
      <x:c r="D884" s="25" t="str">
        <x:v>tonnes</x:v>
      </x:c>
    </x:row>
    <x:row r="885" ht="18" customHeight="1">
      <x:c r="A885" s="25" t="str">
        <x:v>EEZ_252</x:v>
      </x:c>
      <x:c r="B885" s="25" t="str">
        <x:v>species_catch_tonnes</x:v>
      </x:c>
      <x:c r="C885" s="25" t="n">
        <x:v>20.057971261000002</x:v>
      </x:c>
      <x:c r="D885" s="25" t="str">
        <x:v>tonnes</x:v>
      </x:c>
    </x:row>
    <x:row r="886" ht="18" customHeight="1">
      <x:c r="A886" s="25" t="str">
        <x:v>EEZ_252</x:v>
      </x:c>
      <x:c r="B886" s="25" t="str">
        <x:v>catch_difference_tonnes</x:v>
      </x:c>
      <x:c r="C886" s="25" t="n">
        <x:v>3.552713678800501e-15</x:v>
      </x:c>
      <x:c r="D886" s="25" t="str">
        <x:v>tonnes</x:v>
      </x:c>
    </x:row>
    <x:row r="887" ht="18" customHeight="1">
      <x:c r="A887" s="25" t="str">
        <x:v>EEZ_252</x:v>
      </x:c>
      <x:c r="B887" s="25" t="str">
        <x:v>catch_reconciled</x:v>
      </x:c>
      <x:c r="C887" s="36" t="b">
        <x:v>1</x:v>
      </x:c>
      <x:c r="D887" s="25" t="str">
        <x:v>boolean</x:v>
      </x:c>
    </x:row>
    <x:row r="888" ht="18" customHeight="1">
      <x:c r="A888" s="25" t="str">
        <x:v>EEZ_252</x:v>
      </x:c>
      <x:c r="B888" s="25" t="str">
        <x:v>matched_catch_tonnes</x:v>
      </x:c>
      <x:c r="C888" s="25" t="n">
        <x:v>20.057971261000002</x:v>
      </x:c>
      <x:c r="D888" s="25" t="str">
        <x:v>tonnes</x:v>
      </x:c>
    </x:row>
    <x:row r="889" ht="18" customHeight="1">
      <x:c r="A889" s="25" t="str">
        <x:v>EEZ_252</x:v>
      </x:c>
      <x:c r="B889" s="25" t="str">
        <x:v>catch_coverage_fraction</x:v>
      </x:c>
      <x:c r="C889" s="25" t="n">
        <x:v>1</x:v>
      </x:c>
      <x:c r="D889" s="25" t="str">
        <x:v>fraction</x:v>
      </x:c>
    </x:row>
    <x:row r="890" ht="18" customHeight="1">
      <x:c r="A890" s="25" t="str">
        <x:v>EEZ_252</x:v>
      </x:c>
      <x:c r="B890" s="25" t="str">
        <x:v>taxa_count</x:v>
      </x:c>
      <x:c r="C890" s="25" t="n">
        <x:v>16</x:v>
      </x:c>
      <x:c r="D890" s="25" t="str">
        <x:v>count</x:v>
      </x:c>
    </x:row>
    <x:row r="891" ht="18" customHeight="1">
      <x:c r="A891" s="25" t="str">
        <x:v>EEZ_252</x:v>
      </x:c>
      <x:c r="B891" s="25" t="str">
        <x:v>matched_taxa_count</x:v>
      </x:c>
      <x:c r="C891" s="25" t="n">
        <x:v>16</x:v>
      </x:c>
      <x:c r="D891" s="25" t="str">
        <x:v>count</x:v>
      </x:c>
    </x:row>
    <x:row r="892" ht="18" customHeight="1">
      <x:c r="A892" s="25" t="str">
        <x:v>EEZ_252</x:v>
      </x:c>
      <x:c r="B892" s="25" t="str">
        <x:v>unmatched_taxa_count</x:v>
      </x:c>
      <x:c r="C892" s="25" t="n">
        <x:v>0</x:v>
      </x:c>
      <x:c r="D892" s="25" t="str">
        <x:v>count</x:v>
      </x:c>
    </x:row>
    <x:row r="893" ht="18" customHeight="1">
      <x:c r="A893" s="25" t="str">
        <x:v>EEZ_252</x:v>
      </x:c>
      <x:c r="B893" s="25" t="str">
        <x:v>species_ppr</x:v>
      </x:c>
      <x:c r="C893" s="25" t="n">
        <x:v>40630.07009385537</x:v>
      </x:c>
      <x:c r="D893" s="25" t="str">
        <x:v>tonnes_primary_production_equivalent</x:v>
      </x:c>
    </x:row>
    <x:row r="894" ht="18" customHeight="1">
      <x:c r="A894" s="25" t="str">
        <x:v>EEZ_252</x:v>
      </x:c>
      <x:c r="B894" s="25" t="str">
        <x:v>commercial_ppr</x:v>
      </x:c>
      <x:c r="C894" s="25" t="n">
        <x:v>39751.77255060211</x:v>
      </x:c>
      <x:c r="D894" s="25" t="str">
        <x:v>tonnes_primary_production_equivalent</x:v>
      </x:c>
    </x:row>
    <x:row r="895" ht="18" customHeight="1">
      <x:c r="A895" s="25" t="str">
        <x:v>EEZ_252</x:v>
      </x:c>
      <x:c r="B895" s="25" t="str">
        <x:v>functional_ppr</x:v>
      </x:c>
      <x:c r="C895" s="25" t="n">
        <x:v>40142.98870266437</x:v>
      </x:c>
      <x:c r="D895" s="25" t="str">
        <x:v>tonnes_primary_production_equivalent</x:v>
      </x:c>
    </x:row>
    <x:row r="896" ht="18" customHeight="1">
      <x:c r="A896" s="25" t="str">
        <x:v>EEZ_252</x:v>
      </x:c>
      <x:c r="B896" s="25" t="str">
        <x:v>commercial_ppr_difference</x:v>
      </x:c>
      <x:c r="C896" s="25" t="n">
        <x:v>-878.2975432532621</x:v>
      </x:c>
      <x:c r="D896" s="25" t="str">
        <x:v>tonnes_primary_production_equivalent</x:v>
      </x:c>
    </x:row>
    <x:row r="897" ht="18" customHeight="1">
      <x:c r="A897" s="25" t="str">
        <x:v>EEZ_252</x:v>
      </x:c>
      <x:c r="B897" s="25" t="str">
        <x:v>functional_ppr_difference</x:v>
      </x:c>
      <x:c r="C897" s="25" t="n">
        <x:v>-487.0813911910009</x:v>
      </x:c>
      <x:c r="D897" s="25" t="str">
        <x:v>tonnes_primary_production_equivalent</x:v>
      </x:c>
    </x:row>
    <x:row r="898" ht="18" customHeight="1">
      <x:c r="A898" s="25" t="str">
        <x:v>EEZ_254</x:v>
      </x:c>
      <x:c r="B898" s="25" t="str">
        <x:v>raw_filtered_tonnes</x:v>
      </x:c>
      <x:c r="C898" s="25" t="n">
        <x:v>6463.655097239699</x:v>
      </x:c>
      <x:c r="D898" s="25" t="str">
        <x:v>tonnes</x:v>
      </x:c>
    </x:row>
    <x:row r="899" ht="18" customHeight="1">
      <x:c r="A899" s="25" t="str">
        <x:v>EEZ_254</x:v>
      </x:c>
      <x:c r="B899" s="25" t="str">
        <x:v>species_catch_tonnes</x:v>
      </x:c>
      <x:c r="C899" s="25" t="n">
        <x:v>6463.6550972397</x:v>
      </x:c>
      <x:c r="D899" s="25" t="str">
        <x:v>tonnes</x:v>
      </x:c>
    </x:row>
    <x:row r="900" ht="18" customHeight="1">
      <x:c r="A900" s="25" t="str">
        <x:v>EEZ_254</x:v>
      </x:c>
      <x:c r="B900" s="25" t="str">
        <x:v>catch_difference_tonnes</x:v>
      </x:c>
      <x:c r="C900" s="25" t="n">
        <x:v>9.094947017729282e-13</x:v>
      </x:c>
      <x:c r="D900" s="25" t="str">
        <x:v>tonnes</x:v>
      </x:c>
    </x:row>
    <x:row r="901" ht="18" customHeight="1">
      <x:c r="A901" s="25" t="str">
        <x:v>EEZ_254</x:v>
      </x:c>
      <x:c r="B901" s="25" t="str">
        <x:v>catch_reconciled</x:v>
      </x:c>
      <x:c r="C901" s="36" t="b">
        <x:v>1</x:v>
      </x:c>
      <x:c r="D901" s="25" t="str">
        <x:v>boolean</x:v>
      </x:c>
    </x:row>
    <x:row r="902" ht="18" customHeight="1">
      <x:c r="A902" s="25" t="str">
        <x:v>EEZ_254</x:v>
      </x:c>
      <x:c r="B902" s="25" t="str">
        <x:v>matched_catch_tonnes</x:v>
      </x:c>
      <x:c r="C902" s="25" t="n">
        <x:v>6463.6550972397</x:v>
      </x:c>
      <x:c r="D902" s="25" t="str">
        <x:v>tonnes</x:v>
      </x:c>
    </x:row>
    <x:row r="903" ht="18" customHeight="1">
      <x:c r="A903" s="25" t="str">
        <x:v>EEZ_254</x:v>
      </x:c>
      <x:c r="B903" s="25" t="str">
        <x:v>catch_coverage_fraction</x:v>
      </x:c>
      <x:c r="C903" s="25" t="n">
        <x:v>1</x:v>
      </x:c>
      <x:c r="D903" s="25" t="str">
        <x:v>fraction</x:v>
      </x:c>
    </x:row>
    <x:row r="904" ht="18" customHeight="1">
      <x:c r="A904" s="25" t="str">
        <x:v>EEZ_254</x:v>
      </x:c>
      <x:c r="B904" s="25" t="str">
        <x:v>taxa_count</x:v>
      </x:c>
      <x:c r="C904" s="25" t="n">
        <x:v>65</x:v>
      </x:c>
      <x:c r="D904" s="25" t="str">
        <x:v>count</x:v>
      </x:c>
    </x:row>
    <x:row r="905" ht="18" customHeight="1">
      <x:c r="A905" s="25" t="str">
        <x:v>EEZ_254</x:v>
      </x:c>
      <x:c r="B905" s="25" t="str">
        <x:v>matched_taxa_count</x:v>
      </x:c>
      <x:c r="C905" s="25" t="n">
        <x:v>65</x:v>
      </x:c>
      <x:c r="D905" s="25" t="str">
        <x:v>count</x:v>
      </x:c>
    </x:row>
    <x:row r="906" ht="18" customHeight="1">
      <x:c r="A906" s="25" t="str">
        <x:v>EEZ_254</x:v>
      </x:c>
      <x:c r="B906" s="25" t="str">
        <x:v>unmatched_taxa_count</x:v>
      </x:c>
      <x:c r="C906" s="25" t="n">
        <x:v>0</x:v>
      </x:c>
      <x:c r="D906" s="25" t="str">
        <x:v>count</x:v>
      </x:c>
    </x:row>
    <x:row r="907" ht="18" customHeight="1">
      <x:c r="A907" s="25" t="str">
        <x:v>EEZ_254</x:v>
      </x:c>
      <x:c r="B907" s="25" t="str">
        <x:v>species_ppr</x:v>
      </x:c>
      <x:c r="C907" s="25" t="n">
        <x:v>4898958.650204303</x:v>
      </x:c>
      <x:c r="D907" s="25" t="str">
        <x:v>tonnes_primary_production_equivalent</x:v>
      </x:c>
    </x:row>
    <x:row r="908" ht="18" customHeight="1">
      <x:c r="A908" s="25" t="str">
        <x:v>EEZ_254</x:v>
      </x:c>
      <x:c r="B908" s="25" t="str">
        <x:v>commercial_ppr</x:v>
      </x:c>
      <x:c r="C908" s="25" t="n">
        <x:v>3759036.2749106656</x:v>
      </x:c>
      <x:c r="D908" s="25" t="str">
        <x:v>tonnes_primary_production_equivalent</x:v>
      </x:c>
    </x:row>
    <x:row r="909" ht="18" customHeight="1">
      <x:c r="A909" s="25" t="str">
        <x:v>EEZ_254</x:v>
      </x:c>
      <x:c r="B909" s="25" t="str">
        <x:v>functional_ppr</x:v>
      </x:c>
      <x:c r="C909" s="25" t="n">
        <x:v>3968148.359222739</x:v>
      </x:c>
      <x:c r="D909" s="25" t="str">
        <x:v>tonnes_primary_production_equivalent</x:v>
      </x:c>
    </x:row>
    <x:row r="910" ht="18" customHeight="1">
      <x:c r="A910" s="25" t="str">
        <x:v>EEZ_254</x:v>
      </x:c>
      <x:c r="B910" s="25" t="str">
        <x:v>commercial_ppr_difference</x:v>
      </x:c>
      <x:c r="C910" s="25" t="n">
        <x:v>-1139922.3752936372</x:v>
      </x:c>
      <x:c r="D910" s="25" t="str">
        <x:v>tonnes_primary_production_equivalent</x:v>
      </x:c>
    </x:row>
    <x:row r="911" ht="18" customHeight="1">
      <x:c r="A911" s="25" t="str">
        <x:v>EEZ_254</x:v>
      </x:c>
      <x:c r="B911" s="25" t="str">
        <x:v>functional_ppr_difference</x:v>
      </x:c>
      <x:c r="C911" s="25" t="n">
        <x:v>-930810.2909815637</x:v>
      </x:c>
      <x:c r="D911" s="25" t="str">
        <x:v>tonnes_primary_production_equivalent</x:v>
      </x:c>
    </x:row>
    <x:row r="912" ht="18" customHeight="1">
      <x:c r="A912" s="25" t="str">
        <x:v>EEZ_258</x:v>
      </x:c>
      <x:c r="B912" s="25" t="str">
        <x:v>raw_filtered_tonnes</x:v>
      </x:c>
      <x:c r="C912" s="25" t="n">
        <x:v>30503.7776851117</x:v>
      </x:c>
      <x:c r="D912" s="25" t="str">
        <x:v>tonnes</x:v>
      </x:c>
    </x:row>
    <x:row r="913" ht="18" customHeight="1">
      <x:c r="A913" s="25" t="str">
        <x:v>EEZ_258</x:v>
      </x:c>
      <x:c r="B913" s="25" t="str">
        <x:v>species_catch_tonnes</x:v>
      </x:c>
      <x:c r="C913" s="25" t="n">
        <x:v>30503.7776851117</x:v>
      </x:c>
      <x:c r="D913" s="25" t="str">
        <x:v>tonnes</x:v>
      </x:c>
    </x:row>
    <x:row r="914" ht="18" customHeight="1">
      <x:c r="A914" s="25" t="str">
        <x:v>EEZ_258</x:v>
      </x:c>
      <x:c r="B914" s="25" t="str">
        <x:v>catch_difference_tonnes</x:v>
      </x:c>
      <x:c r="C914" s="25" t="n">
        <x:v>0</x:v>
      </x:c>
      <x:c r="D914" s="25" t="str">
        <x:v>tonnes</x:v>
      </x:c>
    </x:row>
    <x:row r="915" ht="18" customHeight="1">
      <x:c r="A915" s="25" t="str">
        <x:v>EEZ_258</x:v>
      </x:c>
      <x:c r="B915" s="25" t="str">
        <x:v>catch_reconciled</x:v>
      </x:c>
      <x:c r="C915" s="36" t="b">
        <x:v>1</x:v>
      </x:c>
      <x:c r="D915" s="25" t="str">
        <x:v>boolean</x:v>
      </x:c>
    </x:row>
    <x:row r="916" ht="18" customHeight="1">
      <x:c r="A916" s="25" t="str">
        <x:v>EEZ_258</x:v>
      </x:c>
      <x:c r="B916" s="25" t="str">
        <x:v>matched_catch_tonnes</x:v>
      </x:c>
      <x:c r="C916" s="25" t="n">
        <x:v>30503.7776851117</x:v>
      </x:c>
      <x:c r="D916" s="25" t="str">
        <x:v>tonnes</x:v>
      </x:c>
    </x:row>
    <x:row r="917" ht="18" customHeight="1">
      <x:c r="A917" s="25" t="str">
        <x:v>EEZ_258</x:v>
      </x:c>
      <x:c r="B917" s="25" t="str">
        <x:v>catch_coverage_fraction</x:v>
      </x:c>
      <x:c r="C917" s="25" t="n">
        <x:v>1</x:v>
      </x:c>
      <x:c r="D917" s="25" t="str">
        <x:v>fraction</x:v>
      </x:c>
    </x:row>
    <x:row r="918" ht="18" customHeight="1">
      <x:c r="A918" s="25" t="str">
        <x:v>EEZ_258</x:v>
      </x:c>
      <x:c r="B918" s="25" t="str">
        <x:v>taxa_count</x:v>
      </x:c>
      <x:c r="C918" s="25" t="n">
        <x:v>63</x:v>
      </x:c>
      <x:c r="D918" s="25" t="str">
        <x:v>count</x:v>
      </x:c>
    </x:row>
    <x:row r="919" ht="18" customHeight="1">
      <x:c r="A919" s="25" t="str">
        <x:v>EEZ_258</x:v>
      </x:c>
      <x:c r="B919" s="25" t="str">
        <x:v>matched_taxa_count</x:v>
      </x:c>
      <x:c r="C919" s="25" t="n">
        <x:v>63</x:v>
      </x:c>
      <x:c r="D919" s="25" t="str">
        <x:v>count</x:v>
      </x:c>
    </x:row>
    <x:row r="920" ht="18" customHeight="1">
      <x:c r="A920" s="25" t="str">
        <x:v>EEZ_258</x:v>
      </x:c>
      <x:c r="B920" s="25" t="str">
        <x:v>unmatched_taxa_count</x:v>
      </x:c>
      <x:c r="C920" s="25" t="n">
        <x:v>0</x:v>
      </x:c>
      <x:c r="D920" s="25" t="str">
        <x:v>count</x:v>
      </x:c>
    </x:row>
    <x:row r="921" ht="18" customHeight="1">
      <x:c r="A921" s="25" t="str">
        <x:v>EEZ_258</x:v>
      </x:c>
      <x:c r="B921" s="25" t="str">
        <x:v>species_ppr</x:v>
      </x:c>
      <x:c r="C921" s="25" t="n">
        <x:v>47721884.851591855</x:v>
      </x:c>
      <x:c r="D921" s="25" t="str">
        <x:v>tonnes_primary_production_equivalent</x:v>
      </x:c>
    </x:row>
    <x:row r="922" ht="18" customHeight="1">
      <x:c r="A922" s="25" t="str">
        <x:v>EEZ_258</x:v>
      </x:c>
      <x:c r="B922" s="25" t="str">
        <x:v>commercial_ppr</x:v>
      </x:c>
      <x:c r="C922" s="25" t="n">
        <x:v>43868719.699264675</x:v>
      </x:c>
      <x:c r="D922" s="25" t="str">
        <x:v>tonnes_primary_production_equivalent</x:v>
      </x:c>
    </x:row>
    <x:row r="923" ht="18" customHeight="1">
      <x:c r="A923" s="25" t="str">
        <x:v>EEZ_258</x:v>
      </x:c>
      <x:c r="B923" s="25" t="str">
        <x:v>functional_ppr</x:v>
      </x:c>
      <x:c r="C923" s="25" t="n">
        <x:v>45438783.845118515</x:v>
      </x:c>
      <x:c r="D923" s="25" t="str">
        <x:v>tonnes_primary_production_equivalent</x:v>
      </x:c>
    </x:row>
    <x:row r="924" ht="18" customHeight="1">
      <x:c r="A924" s="25" t="str">
        <x:v>EEZ_258</x:v>
      </x:c>
      <x:c r="B924" s="25" t="str">
        <x:v>commercial_ppr_difference</x:v>
      </x:c>
      <x:c r="C924" s="25" t="n">
        <x:v>-3853165.15232718</x:v>
      </x:c>
      <x:c r="D924" s="25" t="str">
        <x:v>tonnes_primary_production_equivalent</x:v>
      </x:c>
    </x:row>
    <x:row r="925" ht="18" customHeight="1">
      <x:c r="A925" s="25" t="str">
        <x:v>EEZ_258</x:v>
      </x:c>
      <x:c r="B925" s="25" t="str">
        <x:v>functional_ppr_difference</x:v>
      </x:c>
      <x:c r="C925" s="25" t="n">
        <x:v>-2283101.00647334</x:v>
      </x:c>
      <x:c r="D925" s="25" t="str">
        <x:v>tonnes_primary_production_equivalent</x:v>
      </x:c>
    </x:row>
    <x:row r="926" ht="18" customHeight="1">
      <x:c r="A926" s="25" t="str">
        <x:v>EEZ_262</x:v>
      </x:c>
      <x:c r="B926" s="25" t="str">
        <x:v>raw_filtered_tonnes</x:v>
      </x:c>
      <x:c r="C926" s="25" t="n">
        <x:v>3605.0535873440003</x:v>
      </x:c>
      <x:c r="D926" s="25" t="str">
        <x:v>tonnes</x:v>
      </x:c>
    </x:row>
    <x:row r="927" ht="18" customHeight="1">
      <x:c r="A927" s="25" t="str">
        <x:v>EEZ_262</x:v>
      </x:c>
      <x:c r="B927" s="25" t="str">
        <x:v>species_catch_tonnes</x:v>
      </x:c>
      <x:c r="C927" s="25" t="n">
        <x:v>3605.053587344</x:v>
      </x:c>
      <x:c r="D927" s="25" t="str">
        <x:v>tonnes</x:v>
      </x:c>
    </x:row>
    <x:row r="928" ht="18" customHeight="1">
      <x:c r="A928" s="25" t="str">
        <x:v>EEZ_262</x:v>
      </x:c>
      <x:c r="B928" s="25" t="str">
        <x:v>catch_difference_tonnes</x:v>
      </x:c>
      <x:c r="C928" s="25" t="n">
        <x:v>-4.547473508864641e-13</x:v>
      </x:c>
      <x:c r="D928" s="25" t="str">
        <x:v>tonnes</x:v>
      </x:c>
    </x:row>
    <x:row r="929" ht="18" customHeight="1">
      <x:c r="A929" s="25" t="str">
        <x:v>EEZ_262</x:v>
      </x:c>
      <x:c r="B929" s="25" t="str">
        <x:v>catch_reconciled</x:v>
      </x:c>
      <x:c r="C929" s="36" t="b">
        <x:v>1</x:v>
      </x:c>
      <x:c r="D929" s="25" t="str">
        <x:v>boolean</x:v>
      </x:c>
    </x:row>
    <x:row r="930" ht="18" customHeight="1">
      <x:c r="A930" s="25" t="str">
        <x:v>EEZ_262</x:v>
      </x:c>
      <x:c r="B930" s="25" t="str">
        <x:v>matched_catch_tonnes</x:v>
      </x:c>
      <x:c r="C930" s="25" t="n">
        <x:v>3605.053587344</x:v>
      </x:c>
      <x:c r="D930" s="25" t="str">
        <x:v>tonnes</x:v>
      </x:c>
    </x:row>
    <x:row r="931" ht="18" customHeight="1">
      <x:c r="A931" s="25" t="str">
        <x:v>EEZ_262</x:v>
      </x:c>
      <x:c r="B931" s="25" t="str">
        <x:v>catch_coverage_fraction</x:v>
      </x:c>
      <x:c r="C931" s="25" t="n">
        <x:v>1</x:v>
      </x:c>
      <x:c r="D931" s="25" t="str">
        <x:v>fraction</x:v>
      </x:c>
    </x:row>
    <x:row r="932" ht="18" customHeight="1">
      <x:c r="A932" s="25" t="str">
        <x:v>EEZ_262</x:v>
      </x:c>
      <x:c r="B932" s="25" t="str">
        <x:v>taxa_count</x:v>
      </x:c>
      <x:c r="C932" s="25" t="n">
        <x:v>41</x:v>
      </x:c>
      <x:c r="D932" s="25" t="str">
        <x:v>count</x:v>
      </x:c>
    </x:row>
    <x:row r="933" ht="18" customHeight="1">
      <x:c r="A933" s="25" t="str">
        <x:v>EEZ_262</x:v>
      </x:c>
      <x:c r="B933" s="25" t="str">
        <x:v>matched_taxa_count</x:v>
      </x:c>
      <x:c r="C933" s="25" t="n">
        <x:v>41</x:v>
      </x:c>
      <x:c r="D933" s="25" t="str">
        <x:v>count</x:v>
      </x:c>
    </x:row>
    <x:row r="934" ht="18" customHeight="1">
      <x:c r="A934" s="25" t="str">
        <x:v>EEZ_262</x:v>
      </x:c>
      <x:c r="B934" s="25" t="str">
        <x:v>unmatched_taxa_count</x:v>
      </x:c>
      <x:c r="C934" s="25" t="n">
        <x:v>0</x:v>
      </x:c>
      <x:c r="D934" s="25" t="str">
        <x:v>count</x:v>
      </x:c>
    </x:row>
    <x:row r="935" ht="18" customHeight="1">
      <x:c r="A935" s="25" t="str">
        <x:v>EEZ_262</x:v>
      </x:c>
      <x:c r="B935" s="25" t="str">
        <x:v>species_ppr</x:v>
      </x:c>
      <x:c r="C935" s="25" t="n">
        <x:v>6543782.7076633</x:v>
      </x:c>
      <x:c r="D935" s="25" t="str">
        <x:v>tonnes_primary_production_equivalent</x:v>
      </x:c>
    </x:row>
    <x:row r="936" ht="18" customHeight="1">
      <x:c r="A936" s="25" t="str">
        <x:v>EEZ_262</x:v>
      </x:c>
      <x:c r="B936" s="25" t="str">
        <x:v>commercial_ppr</x:v>
      </x:c>
      <x:c r="C936" s="25" t="n">
        <x:v>5472646.548147077</x:v>
      </x:c>
      <x:c r="D936" s="25" t="str">
        <x:v>tonnes_primary_production_equivalent</x:v>
      </x:c>
    </x:row>
    <x:row r="937" ht="18" customHeight="1">
      <x:c r="A937" s="25" t="str">
        <x:v>EEZ_262</x:v>
      </x:c>
      <x:c r="B937" s="25" t="str">
        <x:v>functional_ppr</x:v>
      </x:c>
      <x:c r="C937" s="25" t="n">
        <x:v>5937417.360052854</x:v>
      </x:c>
      <x:c r="D937" s="25" t="str">
        <x:v>tonnes_primary_production_equivalent</x:v>
      </x:c>
    </x:row>
    <x:row r="938" ht="18" customHeight="1">
      <x:c r="A938" s="25" t="str">
        <x:v>EEZ_262</x:v>
      </x:c>
      <x:c r="B938" s="25" t="str">
        <x:v>commercial_ppr_difference</x:v>
      </x:c>
      <x:c r="C938" s="25" t="n">
        <x:v>-1071136.1595162237</x:v>
      </x:c>
      <x:c r="D938" s="25" t="str">
        <x:v>tonnes_primary_production_equivalent</x:v>
      </x:c>
    </x:row>
    <x:row r="939" ht="18" customHeight="1">
      <x:c r="A939" s="25" t="str">
        <x:v>EEZ_262</x:v>
      </x:c>
      <x:c r="B939" s="25" t="str">
        <x:v>functional_ppr_difference</x:v>
      </x:c>
      <x:c r="C939" s="25" t="n">
        <x:v>-606365.3476104466</x:v>
      </x:c>
      <x:c r="D939" s="25" t="str">
        <x:v>tonnes_primary_production_equivalent</x:v>
      </x:c>
    </x:row>
    <x:row r="940" ht="18" customHeight="1">
      <x:c r="A940" s="25" t="str">
        <x:v>EEZ_266</x:v>
      </x:c>
      <x:c r="B940" s="25" t="str">
        <x:v>raw_filtered_tonnes</x:v>
      </x:c>
      <x:c r="C940" s="25" t="n">
        <x:v>158907.5327978865</x:v>
      </x:c>
      <x:c r="D940" s="25" t="str">
        <x:v>tonnes</x:v>
      </x:c>
    </x:row>
    <x:row r="941" ht="18" customHeight="1">
      <x:c r="A941" s="25" t="str">
        <x:v>EEZ_266</x:v>
      </x:c>
      <x:c r="B941" s="25" t="str">
        <x:v>species_catch_tonnes</x:v>
      </x:c>
      <x:c r="C941" s="25" t="n">
        <x:v>158907.53279788652</x:v>
      </x:c>
      <x:c r="D941" s="25" t="str">
        <x:v>tonnes</x:v>
      </x:c>
    </x:row>
    <x:row r="942" ht="18" customHeight="1">
      <x:c r="A942" s="25" t="str">
        <x:v>EEZ_266</x:v>
      </x:c>
      <x:c r="B942" s="25" t="str">
        <x:v>catch_difference_tonnes</x:v>
      </x:c>
      <x:c r="C942" s="25" t="n">
        <x:v>2.9103830456733704e-11</x:v>
      </x:c>
      <x:c r="D942" s="25" t="str">
        <x:v>tonnes</x:v>
      </x:c>
    </x:row>
    <x:row r="943" ht="18" customHeight="1">
      <x:c r="A943" s="25" t="str">
        <x:v>EEZ_266</x:v>
      </x:c>
      <x:c r="B943" s="25" t="str">
        <x:v>catch_reconciled</x:v>
      </x:c>
      <x:c r="C943" s="36" t="b">
        <x:v>1</x:v>
      </x:c>
      <x:c r="D943" s="25" t="str">
        <x:v>boolean</x:v>
      </x:c>
    </x:row>
    <x:row r="944" ht="18" customHeight="1">
      <x:c r="A944" s="25" t="str">
        <x:v>EEZ_266</x:v>
      </x:c>
      <x:c r="B944" s="25" t="str">
        <x:v>matched_catch_tonnes</x:v>
      </x:c>
      <x:c r="C944" s="25" t="n">
        <x:v>158907.53279788652</x:v>
      </x:c>
      <x:c r="D944" s="25" t="str">
        <x:v>tonnes</x:v>
      </x:c>
    </x:row>
    <x:row r="945" ht="18" customHeight="1">
      <x:c r="A945" s="25" t="str">
        <x:v>EEZ_266</x:v>
      </x:c>
      <x:c r="B945" s="25" t="str">
        <x:v>catch_coverage_fraction</x:v>
      </x:c>
      <x:c r="C945" s="25" t="n">
        <x:v>1</x:v>
      </x:c>
      <x:c r="D945" s="25" t="str">
        <x:v>fraction</x:v>
      </x:c>
    </x:row>
    <x:row r="946" ht="18" customHeight="1">
      <x:c r="A946" s="25" t="str">
        <x:v>EEZ_266</x:v>
      </x:c>
      <x:c r="B946" s="25" t="str">
        <x:v>taxa_count</x:v>
      </x:c>
      <x:c r="C946" s="25" t="n">
        <x:v>184</x:v>
      </x:c>
      <x:c r="D946" s="25" t="str">
        <x:v>count</x:v>
      </x:c>
    </x:row>
    <x:row r="947" ht="18" customHeight="1">
      <x:c r="A947" s="25" t="str">
        <x:v>EEZ_266</x:v>
      </x:c>
      <x:c r="B947" s="25" t="str">
        <x:v>matched_taxa_count</x:v>
      </x:c>
      <x:c r="C947" s="25" t="n">
        <x:v>184</x:v>
      </x:c>
      <x:c r="D947" s="25" t="str">
        <x:v>count</x:v>
      </x:c>
    </x:row>
    <x:row r="948" ht="18" customHeight="1">
      <x:c r="A948" s="25" t="str">
        <x:v>EEZ_266</x:v>
      </x:c>
      <x:c r="B948" s="25" t="str">
        <x:v>unmatched_taxa_count</x:v>
      </x:c>
      <x:c r="C948" s="25" t="n">
        <x:v>0</x:v>
      </x:c>
      <x:c r="D948" s="25" t="str">
        <x:v>count</x:v>
      </x:c>
    </x:row>
    <x:row r="949" ht="18" customHeight="1">
      <x:c r="A949" s="25" t="str">
        <x:v>EEZ_266</x:v>
      </x:c>
      <x:c r="B949" s="25" t="str">
        <x:v>species_ppr</x:v>
      </x:c>
      <x:c r="C949" s="25" t="n">
        <x:v>113127683.75920805</x:v>
      </x:c>
      <x:c r="D949" s="25" t="str">
        <x:v>tonnes_primary_production_equivalent</x:v>
      </x:c>
    </x:row>
    <x:row r="950" ht="18" customHeight="1">
      <x:c r="A950" s="25" t="str">
        <x:v>EEZ_266</x:v>
      </x:c>
      <x:c r="B950" s="25" t="str">
        <x:v>commercial_ppr</x:v>
      </x:c>
      <x:c r="C950" s="25" t="n">
        <x:v>103957804.80366671</x:v>
      </x:c>
      <x:c r="D950" s="25" t="str">
        <x:v>tonnes_primary_production_equivalent</x:v>
      </x:c>
    </x:row>
    <x:row r="951" ht="18" customHeight="1">
      <x:c r="A951" s="25" t="str">
        <x:v>EEZ_266</x:v>
      </x:c>
      <x:c r="B951" s="25" t="str">
        <x:v>functional_ppr</x:v>
      </x:c>
      <x:c r="C951" s="25" t="n">
        <x:v>100969694.24424481</x:v>
      </x:c>
      <x:c r="D951" s="25" t="str">
        <x:v>tonnes_primary_production_equivalent</x:v>
      </x:c>
    </x:row>
    <x:row r="952" ht="18" customHeight="1">
      <x:c r="A952" s="25" t="str">
        <x:v>EEZ_266</x:v>
      </x:c>
      <x:c r="B952" s="25" t="str">
        <x:v>commercial_ppr_difference</x:v>
      </x:c>
      <x:c r="C952" s="25" t="n">
        <x:v>-9169878.955541342</x:v>
      </x:c>
      <x:c r="D952" s="25" t="str">
        <x:v>tonnes_primary_production_equivalent</x:v>
      </x:c>
    </x:row>
    <x:row r="953" ht="18" customHeight="1">
      <x:c r="A953" s="25" t="str">
        <x:v>EEZ_266</x:v>
      </x:c>
      <x:c r="B953" s="25" t="str">
        <x:v>functional_ppr_difference</x:v>
      </x:c>
      <x:c r="C953" s="25" t="n">
        <x:v>-12157989.51496324</x:v>
      </x:c>
      <x:c r="D953" s="25" t="str">
        <x:v>tonnes_primary_production_equivalent</x:v>
      </x:c>
    </x:row>
    <x:row r="954" ht="18" customHeight="1">
      <x:c r="A954" s="25" t="str">
        <x:v>EEZ_268</x:v>
      </x:c>
      <x:c r="B954" s="25" t="str">
        <x:v>raw_filtered_tonnes</x:v>
      </x:c>
      <x:c r="C954" s="25" t="n">
        <x:v>350092.28544285364</x:v>
      </x:c>
      <x:c r="D954" s="25" t="str">
        <x:v>tonnes</x:v>
      </x:c>
    </x:row>
    <x:row r="955" ht="18" customHeight="1">
      <x:c r="A955" s="25" t="str">
        <x:v>EEZ_268</x:v>
      </x:c>
      <x:c r="B955" s="25" t="str">
        <x:v>species_catch_tonnes</x:v>
      </x:c>
      <x:c r="C955" s="25" t="n">
        <x:v>350092.2854428537</x:v>
      </x:c>
      <x:c r="D955" s="25" t="str">
        <x:v>tonnes</x:v>
      </x:c>
    </x:row>
    <x:row r="956" ht="18" customHeight="1">
      <x:c r="A956" s="25" t="str">
        <x:v>EEZ_268</x:v>
      </x:c>
      <x:c r="B956" s="25" t="str">
        <x:v>catch_difference_tonnes</x:v>
      </x:c>
      <x:c r="C956" s="25" t="n">
        <x:v>5.820766091346741e-11</x:v>
      </x:c>
      <x:c r="D956" s="25" t="str">
        <x:v>tonnes</x:v>
      </x:c>
    </x:row>
    <x:row r="957" ht="18" customHeight="1">
      <x:c r="A957" s="25" t="str">
        <x:v>EEZ_268</x:v>
      </x:c>
      <x:c r="B957" s="25" t="str">
        <x:v>catch_reconciled</x:v>
      </x:c>
      <x:c r="C957" s="36" t="b">
        <x:v>1</x:v>
      </x:c>
      <x:c r="D957" s="25" t="str">
        <x:v>boolean</x:v>
      </x:c>
    </x:row>
    <x:row r="958" ht="18" customHeight="1">
      <x:c r="A958" s="25" t="str">
        <x:v>EEZ_268</x:v>
      </x:c>
      <x:c r="B958" s="25" t="str">
        <x:v>matched_catch_tonnes</x:v>
      </x:c>
      <x:c r="C958" s="25" t="n">
        <x:v>350092.2854428537</x:v>
      </x:c>
      <x:c r="D958" s="25" t="str">
        <x:v>tonnes</x:v>
      </x:c>
    </x:row>
    <x:row r="959" ht="18" customHeight="1">
      <x:c r="A959" s="25" t="str">
        <x:v>EEZ_268</x:v>
      </x:c>
      <x:c r="B959" s="25" t="str">
        <x:v>catch_coverage_fraction</x:v>
      </x:c>
      <x:c r="C959" s="25" t="n">
        <x:v>1</x:v>
      </x:c>
      <x:c r="D959" s="25" t="str">
        <x:v>fraction</x:v>
      </x:c>
    </x:row>
    <x:row r="960" ht="18" customHeight="1">
      <x:c r="A960" s="25" t="str">
        <x:v>EEZ_268</x:v>
      </x:c>
      <x:c r="B960" s="25" t="str">
        <x:v>taxa_count</x:v>
      </x:c>
      <x:c r="C960" s="25" t="n">
        <x:v>29</x:v>
      </x:c>
      <x:c r="D960" s="25" t="str">
        <x:v>count</x:v>
      </x:c>
    </x:row>
    <x:row r="961" ht="18" customHeight="1">
      <x:c r="A961" s="25" t="str">
        <x:v>EEZ_268</x:v>
      </x:c>
      <x:c r="B961" s="25" t="str">
        <x:v>matched_taxa_count</x:v>
      </x:c>
      <x:c r="C961" s="25" t="n">
        <x:v>29</x:v>
      </x:c>
      <x:c r="D961" s="25" t="str">
        <x:v>count</x:v>
      </x:c>
    </x:row>
    <x:row r="962" ht="18" customHeight="1">
      <x:c r="A962" s="25" t="str">
        <x:v>EEZ_268</x:v>
      </x:c>
      <x:c r="B962" s="25" t="str">
        <x:v>unmatched_taxa_count</x:v>
      </x:c>
      <x:c r="C962" s="25" t="n">
        <x:v>0</x:v>
      </x:c>
      <x:c r="D962" s="25" t="str">
        <x:v>count</x:v>
      </x:c>
    </x:row>
    <x:row r="963" ht="18" customHeight="1">
      <x:c r="A963" s="25" t="str">
        <x:v>EEZ_268</x:v>
      </x:c>
      <x:c r="B963" s="25" t="str">
        <x:v>species_ppr</x:v>
      </x:c>
      <x:c r="C963" s="25" t="n">
        <x:v>62582880.30789505</x:v>
      </x:c>
      <x:c r="D963" s="25" t="str">
        <x:v>tonnes_primary_production_equivalent</x:v>
      </x:c>
    </x:row>
    <x:row r="964" ht="18" customHeight="1">
      <x:c r="A964" s="25" t="str">
        <x:v>EEZ_268</x:v>
      </x:c>
      <x:c r="B964" s="25" t="str">
        <x:v>commercial_ppr</x:v>
      </x:c>
      <x:c r="C964" s="25" t="n">
        <x:v>56232930.953583054</x:v>
      </x:c>
      <x:c r="D964" s="25" t="str">
        <x:v>tonnes_primary_production_equivalent</x:v>
      </x:c>
    </x:row>
    <x:row r="965" ht="18" customHeight="1">
      <x:c r="A965" s="25" t="str">
        <x:v>EEZ_268</x:v>
      </x:c>
      <x:c r="B965" s="25" t="str">
        <x:v>functional_ppr</x:v>
      </x:c>
      <x:c r="C965" s="25" t="n">
        <x:v>61867120.80999226</x:v>
      </x:c>
      <x:c r="D965" s="25" t="str">
        <x:v>tonnes_primary_production_equivalent</x:v>
      </x:c>
    </x:row>
    <x:row r="966" ht="18" customHeight="1">
      <x:c r="A966" s="25" t="str">
        <x:v>EEZ_268</x:v>
      </x:c>
      <x:c r="B966" s="25" t="str">
        <x:v>commercial_ppr_difference</x:v>
      </x:c>
      <x:c r="C966" s="25" t="n">
        <x:v>-6349949.354311995</x:v>
      </x:c>
      <x:c r="D966" s="25" t="str">
        <x:v>tonnes_primary_production_equivalent</x:v>
      </x:c>
    </x:row>
    <x:row r="967" ht="18" customHeight="1">
      <x:c r="A967" s="25" t="str">
        <x:v>EEZ_268</x:v>
      </x:c>
      <x:c r="B967" s="25" t="str">
        <x:v>functional_ppr_difference</x:v>
      </x:c>
      <x:c r="C967" s="25" t="n">
        <x:v>-715759.4979027882</x:v>
      </x:c>
      <x:c r="D967" s="25" t="str">
        <x:v>tonnes_primary_production_equivalent</x:v>
      </x:c>
    </x:row>
    <x:row r="968" ht="18" customHeight="1">
      <x:c r="A968" s="25" t="str">
        <x:v>EEZ_270</x:v>
      </x:c>
      <x:c r="B968" s="25" t="str">
        <x:v>raw_filtered_tonnes</x:v>
      </x:c>
      <x:c r="C968" s="25" t="n">
        <x:v>168306.3027997336</x:v>
      </x:c>
      <x:c r="D968" s="25" t="str">
        <x:v>tonnes</x:v>
      </x:c>
    </x:row>
    <x:row r="969" ht="18" customHeight="1">
      <x:c r="A969" s="25" t="str">
        <x:v>EEZ_270</x:v>
      </x:c>
      <x:c r="B969" s="25" t="str">
        <x:v>species_catch_tonnes</x:v>
      </x:c>
      <x:c r="C969" s="25" t="n">
        <x:v>168306.30279973362</x:v>
      </x:c>
      <x:c r="D969" s="25" t="str">
        <x:v>tonnes</x:v>
      </x:c>
    </x:row>
    <x:row r="970" ht="18" customHeight="1">
      <x:c r="A970" s="25" t="str">
        <x:v>EEZ_270</x:v>
      </x:c>
      <x:c r="B970" s="25" t="str">
        <x:v>catch_difference_tonnes</x:v>
      </x:c>
      <x:c r="C970" s="25" t="n">
        <x:v>2.9103830456733704e-11</x:v>
      </x:c>
      <x:c r="D970" s="25" t="str">
        <x:v>tonnes</x:v>
      </x:c>
    </x:row>
    <x:row r="971" ht="18" customHeight="1">
      <x:c r="A971" s="25" t="str">
        <x:v>EEZ_270</x:v>
      </x:c>
      <x:c r="B971" s="25" t="str">
        <x:v>catch_reconciled</x:v>
      </x:c>
      <x:c r="C971" s="36" t="b">
        <x:v>1</x:v>
      </x:c>
      <x:c r="D971" s="25" t="str">
        <x:v>boolean</x:v>
      </x:c>
    </x:row>
    <x:row r="972" ht="18" customHeight="1">
      <x:c r="A972" s="25" t="str">
        <x:v>EEZ_270</x:v>
      </x:c>
      <x:c r="B972" s="25" t="str">
        <x:v>matched_catch_tonnes</x:v>
      </x:c>
      <x:c r="C972" s="25" t="n">
        <x:v>168306.30279973362</x:v>
      </x:c>
      <x:c r="D972" s="25" t="str">
        <x:v>tonnes</x:v>
      </x:c>
    </x:row>
    <x:row r="973" ht="18" customHeight="1">
      <x:c r="A973" s="25" t="str">
        <x:v>EEZ_270</x:v>
      </x:c>
      <x:c r="B973" s="25" t="str">
        <x:v>catch_coverage_fraction</x:v>
      </x:c>
      <x:c r="C973" s="25" t="n">
        <x:v>1</x:v>
      </x:c>
      <x:c r="D973" s="25" t="str">
        <x:v>fraction</x:v>
      </x:c>
    </x:row>
    <x:row r="974" ht="18" customHeight="1">
      <x:c r="A974" s="25" t="str">
        <x:v>EEZ_270</x:v>
      </x:c>
      <x:c r="B974" s="25" t="str">
        <x:v>taxa_count</x:v>
      </x:c>
      <x:c r="C974" s="25" t="n">
        <x:v>238</x:v>
      </x:c>
      <x:c r="D974" s="25" t="str">
        <x:v>count</x:v>
      </x:c>
    </x:row>
    <x:row r="975" ht="18" customHeight="1">
      <x:c r="A975" s="25" t="str">
        <x:v>EEZ_270</x:v>
      </x:c>
      <x:c r="B975" s="25" t="str">
        <x:v>matched_taxa_count</x:v>
      </x:c>
      <x:c r="C975" s="25" t="n">
        <x:v>238</x:v>
      </x:c>
      <x:c r="D975" s="25" t="str">
        <x:v>count</x:v>
      </x:c>
    </x:row>
    <x:row r="976" ht="18" customHeight="1">
      <x:c r="A976" s="25" t="str">
        <x:v>EEZ_270</x:v>
      </x:c>
      <x:c r="B976" s="25" t="str">
        <x:v>unmatched_taxa_count</x:v>
      </x:c>
      <x:c r="C976" s="25" t="n">
        <x:v>0</x:v>
      </x:c>
      <x:c r="D976" s="25" t="str">
        <x:v>count</x:v>
      </x:c>
    </x:row>
    <x:row r="977" ht="18" customHeight="1">
      <x:c r="A977" s="25" t="str">
        <x:v>EEZ_270</x:v>
      </x:c>
      <x:c r="B977" s="25" t="str">
        <x:v>species_ppr</x:v>
      </x:c>
      <x:c r="C977" s="25" t="n">
        <x:v>52717675.19812376</x:v>
      </x:c>
      <x:c r="D977" s="25" t="str">
        <x:v>tonnes_primary_production_equivalent</x:v>
      </x:c>
    </x:row>
    <x:row r="978" ht="18" customHeight="1">
      <x:c r="A978" s="25" t="str">
        <x:v>EEZ_270</x:v>
      </x:c>
      <x:c r="B978" s="25" t="str">
        <x:v>commercial_ppr</x:v>
      </x:c>
      <x:c r="C978" s="25" t="n">
        <x:v>36169282.05065127</x:v>
      </x:c>
      <x:c r="D978" s="25" t="str">
        <x:v>tonnes_primary_production_equivalent</x:v>
      </x:c>
    </x:row>
    <x:row r="979" ht="18" customHeight="1">
      <x:c r="A979" s="25" t="str">
        <x:v>EEZ_270</x:v>
      </x:c>
      <x:c r="B979" s="25" t="str">
        <x:v>functional_ppr</x:v>
      </x:c>
      <x:c r="C979" s="25" t="n">
        <x:v>40799827.85035961</x:v>
      </x:c>
      <x:c r="D979" s="25" t="str">
        <x:v>tonnes_primary_production_equivalent</x:v>
      </x:c>
    </x:row>
    <x:row r="980" ht="18" customHeight="1">
      <x:c r="A980" s="25" t="str">
        <x:v>EEZ_270</x:v>
      </x:c>
      <x:c r="B980" s="25" t="str">
        <x:v>commercial_ppr_difference</x:v>
      </x:c>
      <x:c r="C980" s="25" t="n">
        <x:v>-16548393.147472493</x:v>
      </x:c>
      <x:c r="D980" s="25" t="str">
        <x:v>tonnes_primary_production_equivalent</x:v>
      </x:c>
    </x:row>
    <x:row r="981" ht="18" customHeight="1">
      <x:c r="A981" s="25" t="str">
        <x:v>EEZ_270</x:v>
      </x:c>
      <x:c r="B981" s="25" t="str">
        <x:v>functional_ppr_difference</x:v>
      </x:c>
      <x:c r="C981" s="25" t="n">
        <x:v>-11917847.34776415</x:v>
      </x:c>
      <x:c r="D981" s="25" t="str">
        <x:v>tonnes_primary_production_equivalent</x:v>
      </x:c>
    </x:row>
    <x:row r="982" ht="18" customHeight="1">
      <x:c r="A982" s="25" t="str">
        <x:v>EEZ_274</x:v>
      </x:c>
      <x:c r="B982" s="25" t="str">
        <x:v>raw_filtered_tonnes</x:v>
      </x:c>
      <x:c r="C982" s="25" t="n">
        <x:v>6410.774318524</x:v>
      </x:c>
      <x:c r="D982" s="25" t="str">
        <x:v>tonnes</x:v>
      </x:c>
    </x:row>
    <x:row r="983" ht="18" customHeight="1">
      <x:c r="A983" s="25" t="str">
        <x:v>EEZ_274</x:v>
      </x:c>
      <x:c r="B983" s="25" t="str">
        <x:v>species_catch_tonnes</x:v>
      </x:c>
      <x:c r="C983" s="25" t="n">
        <x:v>6410.774318524</x:v>
      </x:c>
      <x:c r="D983" s="25" t="str">
        <x:v>tonnes</x:v>
      </x:c>
    </x:row>
    <x:row r="984" ht="18" customHeight="1">
      <x:c r="A984" s="25" t="str">
        <x:v>EEZ_274</x:v>
      </x:c>
      <x:c r="B984" s="25" t="str">
        <x:v>catch_difference_tonnes</x:v>
      </x:c>
      <x:c r="C984" s="25" t="n">
        <x:v>0</x:v>
      </x:c>
      <x:c r="D984" s="25" t="str">
        <x:v>tonnes</x:v>
      </x:c>
    </x:row>
    <x:row r="985" ht="18" customHeight="1">
      <x:c r="A985" s="25" t="str">
        <x:v>EEZ_274</x:v>
      </x:c>
      <x:c r="B985" s="25" t="str">
        <x:v>catch_reconciled</x:v>
      </x:c>
      <x:c r="C985" s="36" t="b">
        <x:v>1</x:v>
      </x:c>
      <x:c r="D985" s="25" t="str">
        <x:v>boolean</x:v>
      </x:c>
    </x:row>
    <x:row r="986" ht="18" customHeight="1">
      <x:c r="A986" s="25" t="str">
        <x:v>EEZ_274</x:v>
      </x:c>
      <x:c r="B986" s="25" t="str">
        <x:v>matched_catch_tonnes</x:v>
      </x:c>
      <x:c r="C986" s="25" t="n">
        <x:v>6410.774318524</x:v>
      </x:c>
      <x:c r="D986" s="25" t="str">
        <x:v>tonnes</x:v>
      </x:c>
    </x:row>
    <x:row r="987" ht="18" customHeight="1">
      <x:c r="A987" s="25" t="str">
        <x:v>EEZ_274</x:v>
      </x:c>
      <x:c r="B987" s="25" t="str">
        <x:v>catch_coverage_fraction</x:v>
      </x:c>
      <x:c r="C987" s="25" t="n">
        <x:v>1</x:v>
      </x:c>
      <x:c r="D987" s="25" t="str">
        <x:v>fraction</x:v>
      </x:c>
    </x:row>
    <x:row r="988" ht="18" customHeight="1">
      <x:c r="A988" s="25" t="str">
        <x:v>EEZ_274</x:v>
      </x:c>
      <x:c r="B988" s="25" t="str">
        <x:v>taxa_count</x:v>
      </x:c>
      <x:c r="C988" s="25" t="n">
        <x:v>36</x:v>
      </x:c>
      <x:c r="D988" s="25" t="str">
        <x:v>count</x:v>
      </x:c>
    </x:row>
    <x:row r="989" ht="18" customHeight="1">
      <x:c r="A989" s="25" t="str">
        <x:v>EEZ_274</x:v>
      </x:c>
      <x:c r="B989" s="25" t="str">
        <x:v>matched_taxa_count</x:v>
      </x:c>
      <x:c r="C989" s="25" t="n">
        <x:v>36</x:v>
      </x:c>
      <x:c r="D989" s="25" t="str">
        <x:v>count</x:v>
      </x:c>
    </x:row>
    <x:row r="990" ht="18" customHeight="1">
      <x:c r="A990" s="25" t="str">
        <x:v>EEZ_274</x:v>
      </x:c>
      <x:c r="B990" s="25" t="str">
        <x:v>unmatched_taxa_count</x:v>
      </x:c>
      <x:c r="C990" s="25" t="n">
        <x:v>0</x:v>
      </x:c>
      <x:c r="D990" s="25" t="str">
        <x:v>count</x:v>
      </x:c>
    </x:row>
    <x:row r="991" ht="18" customHeight="1">
      <x:c r="A991" s="25" t="str">
        <x:v>EEZ_274</x:v>
      </x:c>
      <x:c r="B991" s="25" t="str">
        <x:v>species_ppr</x:v>
      </x:c>
      <x:c r="C991" s="25" t="n">
        <x:v>2138099.0195414764</x:v>
      </x:c>
      <x:c r="D991" s="25" t="str">
        <x:v>tonnes_primary_production_equivalent</x:v>
      </x:c>
    </x:row>
    <x:row r="992" ht="18" customHeight="1">
      <x:c r="A992" s="25" t="str">
        <x:v>EEZ_274</x:v>
      </x:c>
      <x:c r="B992" s="25" t="str">
        <x:v>commercial_ppr</x:v>
      </x:c>
      <x:c r="C992" s="25" t="n">
        <x:v>1828535.1939779224</x:v>
      </x:c>
      <x:c r="D992" s="25" t="str">
        <x:v>tonnes_primary_production_equivalent</x:v>
      </x:c>
    </x:row>
    <x:row r="993" ht="18" customHeight="1">
      <x:c r="A993" s="25" t="str">
        <x:v>EEZ_274</x:v>
      </x:c>
      <x:c r="B993" s="25" t="str">
        <x:v>functional_ppr</x:v>
      </x:c>
      <x:c r="C993" s="25" t="n">
        <x:v>2053169.7933534263</x:v>
      </x:c>
      <x:c r="D993" s="25" t="str">
        <x:v>tonnes_primary_production_equivalent</x:v>
      </x:c>
    </x:row>
    <x:row r="994" ht="18" customHeight="1">
      <x:c r="A994" s="25" t="str">
        <x:v>EEZ_274</x:v>
      </x:c>
      <x:c r="B994" s="25" t="str">
        <x:v>commercial_ppr_difference</x:v>
      </x:c>
      <x:c r="C994" s="25" t="n">
        <x:v>-309563.82556355395</x:v>
      </x:c>
      <x:c r="D994" s="25" t="str">
        <x:v>tonnes_primary_production_equivalent</x:v>
      </x:c>
    </x:row>
    <x:row r="995" ht="18" customHeight="1">
      <x:c r="A995" s="25" t="str">
        <x:v>EEZ_274</x:v>
      </x:c>
      <x:c r="B995" s="25" t="str">
        <x:v>functional_ppr_difference</x:v>
      </x:c>
      <x:c r="C995" s="25" t="n">
        <x:v>-84929.22618805012</x:v>
      </x:c>
      <x:c r="D995" s="25" t="str">
        <x:v>tonnes_primary_production_equivalent</x:v>
      </x:c>
    </x:row>
    <x:row r="996" ht="18" customHeight="1">
      <x:c r="A996" s="25" t="str">
        <x:v>EEZ_277</x:v>
      </x:c>
      <x:c r="B996" s="25" t="str">
        <x:v>raw_filtered_tonnes</x:v>
      </x:c>
      <x:c r="C996" s="25" t="n">
        <x:v>93934.3963977611</x:v>
      </x:c>
      <x:c r="D996" s="25" t="str">
        <x:v>tonnes</x:v>
      </x:c>
    </x:row>
    <x:row r="997" ht="18" customHeight="1">
      <x:c r="A997" s="25" t="str">
        <x:v>EEZ_277</x:v>
      </x:c>
      <x:c r="B997" s="25" t="str">
        <x:v>species_catch_tonnes</x:v>
      </x:c>
      <x:c r="C997" s="25" t="n">
        <x:v>93934.39639776108</x:v>
      </x:c>
      <x:c r="D997" s="25" t="str">
        <x:v>tonnes</x:v>
      </x:c>
    </x:row>
    <x:row r="998" ht="18" customHeight="1">
      <x:c r="A998" s="25" t="str">
        <x:v>EEZ_277</x:v>
      </x:c>
      <x:c r="B998" s="25" t="str">
        <x:v>catch_difference_tonnes</x:v>
      </x:c>
      <x:c r="C998" s="25" t="n">
        <x:v>-1.4551915228366852e-11</x:v>
      </x:c>
      <x:c r="D998" s="25" t="str">
        <x:v>tonnes</x:v>
      </x:c>
    </x:row>
    <x:row r="999" ht="18" customHeight="1">
      <x:c r="A999" s="25" t="str">
        <x:v>EEZ_277</x:v>
      </x:c>
      <x:c r="B999" s="25" t="str">
        <x:v>catch_reconciled</x:v>
      </x:c>
      <x:c r="C999" s="36" t="b">
        <x:v>1</x:v>
      </x:c>
      <x:c r="D999" s="25" t="str">
        <x:v>boolean</x:v>
      </x:c>
    </x:row>
    <x:row r="1000" ht="18" customHeight="1">
      <x:c r="A1000" s="25" t="str">
        <x:v>EEZ_277</x:v>
      </x:c>
      <x:c r="B1000" s="25" t="str">
        <x:v>matched_catch_tonnes</x:v>
      </x:c>
      <x:c r="C1000" s="25" t="n">
        <x:v>93934.39639776108</x:v>
      </x:c>
      <x:c r="D1000" s="25" t="str">
        <x:v>tonnes</x:v>
      </x:c>
    </x:row>
    <x:row r="1001" ht="18" customHeight="1">
      <x:c r="A1001" s="25" t="str">
        <x:v>EEZ_277</x:v>
      </x:c>
      <x:c r="B1001" s="25" t="str">
        <x:v>catch_coverage_fraction</x:v>
      </x:c>
      <x:c r="C1001" s="25" t="n">
        <x:v>1</x:v>
      </x:c>
      <x:c r="D1001" s="25" t="str">
        <x:v>fraction</x:v>
      </x:c>
    </x:row>
    <x:row r="1002" ht="18" customHeight="1">
      <x:c r="A1002" s="25" t="str">
        <x:v>EEZ_277</x:v>
      </x:c>
      <x:c r="B1002" s="25" t="str">
        <x:v>taxa_count</x:v>
      </x:c>
      <x:c r="C1002" s="25" t="n">
        <x:v>181</x:v>
      </x:c>
      <x:c r="D1002" s="25" t="str">
        <x:v>count</x:v>
      </x:c>
    </x:row>
    <x:row r="1003" ht="18" customHeight="1">
      <x:c r="A1003" s="25" t="str">
        <x:v>EEZ_277</x:v>
      </x:c>
      <x:c r="B1003" s="25" t="str">
        <x:v>matched_taxa_count</x:v>
      </x:c>
      <x:c r="C1003" s="25" t="n">
        <x:v>181</x:v>
      </x:c>
      <x:c r="D1003" s="25" t="str">
        <x:v>count</x:v>
      </x:c>
    </x:row>
    <x:row r="1004" ht="18" customHeight="1">
      <x:c r="A1004" s="25" t="str">
        <x:v>EEZ_277</x:v>
      </x:c>
      <x:c r="B1004" s="25" t="str">
        <x:v>unmatched_taxa_count</x:v>
      </x:c>
      <x:c r="C1004" s="25" t="n">
        <x:v>0</x:v>
      </x:c>
      <x:c r="D1004" s="25" t="str">
        <x:v>count</x:v>
      </x:c>
    </x:row>
    <x:row r="1005" ht="18" customHeight="1">
      <x:c r="A1005" s="25" t="str">
        <x:v>EEZ_277</x:v>
      </x:c>
      <x:c r="B1005" s="25" t="str">
        <x:v>species_ppr</x:v>
      </x:c>
      <x:c r="C1005" s="25" t="n">
        <x:v>22262518.47000501</x:v>
      </x:c>
      <x:c r="D1005" s="25" t="str">
        <x:v>tonnes_primary_production_equivalent</x:v>
      </x:c>
    </x:row>
    <x:row r="1006" ht="18" customHeight="1">
      <x:c r="A1006" s="25" t="str">
        <x:v>EEZ_277</x:v>
      </x:c>
      <x:c r="B1006" s="25" t="str">
        <x:v>commercial_ppr</x:v>
      </x:c>
      <x:c r="C1006" s="25" t="n">
        <x:v>19233207.47995193</x:v>
      </x:c>
      <x:c r="D1006" s="25" t="str">
        <x:v>tonnes_primary_production_equivalent</x:v>
      </x:c>
    </x:row>
    <x:row r="1007" ht="18" customHeight="1">
      <x:c r="A1007" s="25" t="str">
        <x:v>EEZ_277</x:v>
      </x:c>
      <x:c r="B1007" s="25" t="str">
        <x:v>functional_ppr</x:v>
      </x:c>
      <x:c r="C1007" s="25" t="n">
        <x:v>20008624.253656026</x:v>
      </x:c>
      <x:c r="D1007" s="25" t="str">
        <x:v>tonnes_primary_production_equivalent</x:v>
      </x:c>
    </x:row>
    <x:row r="1008" ht="18" customHeight="1">
      <x:c r="A1008" s="25" t="str">
        <x:v>EEZ_277</x:v>
      </x:c>
      <x:c r="B1008" s="25" t="str">
        <x:v>commercial_ppr_difference</x:v>
      </x:c>
      <x:c r="C1008" s="25" t="n">
        <x:v>-3029310.99005308</x:v>
      </x:c>
      <x:c r="D1008" s="25" t="str">
        <x:v>tonnes_primary_production_equivalent</x:v>
      </x:c>
    </x:row>
    <x:row r="1009" ht="18" customHeight="1">
      <x:c r="A1009" s="25" t="str">
        <x:v>EEZ_277</x:v>
      </x:c>
      <x:c r="B1009" s="25" t="str">
        <x:v>functional_ppr_difference</x:v>
      </x:c>
      <x:c r="C1009" s="25" t="n">
        <x:v>-2253894.2163489833</x:v>
      </x:c>
      <x:c r="D1009" s="25" t="str">
        <x:v>tonnes_primary_production_equivalent</x:v>
      </x:c>
    </x:row>
    <x:row r="1010" ht="18" customHeight="1">
      <x:c r="A1010" s="25" t="str">
        <x:v>EEZ_278</x:v>
      </x:c>
      <x:c r="B1010" s="25" t="str">
        <x:v>raw_filtered_tonnes</x:v>
      </x:c>
      <x:c r="C1010" s="25" t="n">
        <x:v>26188.5128491544</x:v>
      </x:c>
      <x:c r="D1010" s="25" t="str">
        <x:v>tonnes</x:v>
      </x:c>
    </x:row>
    <x:row r="1011" ht="18" customHeight="1">
      <x:c r="A1011" s="25" t="str">
        <x:v>EEZ_278</x:v>
      </x:c>
      <x:c r="B1011" s="25" t="str">
        <x:v>species_catch_tonnes</x:v>
      </x:c>
      <x:c r="C1011" s="25" t="n">
        <x:v>26188.5128491544</x:v>
      </x:c>
      <x:c r="D1011" s="25" t="str">
        <x:v>tonnes</x:v>
      </x:c>
    </x:row>
    <x:row r="1012" ht="18" customHeight="1">
      <x:c r="A1012" s="25" t="str">
        <x:v>EEZ_278</x:v>
      </x:c>
      <x:c r="B1012" s="25" t="str">
        <x:v>catch_difference_tonnes</x:v>
      </x:c>
      <x:c r="C1012" s="25" t="n">
        <x:v>0</x:v>
      </x:c>
      <x:c r="D1012" s="25" t="str">
        <x:v>tonnes</x:v>
      </x:c>
    </x:row>
    <x:row r="1013" ht="18" customHeight="1">
      <x:c r="A1013" s="25" t="str">
        <x:v>EEZ_278</x:v>
      </x:c>
      <x:c r="B1013" s="25" t="str">
        <x:v>catch_reconciled</x:v>
      </x:c>
      <x:c r="C1013" s="36" t="b">
        <x:v>1</x:v>
      </x:c>
      <x:c r="D1013" s="25" t="str">
        <x:v>boolean</x:v>
      </x:c>
    </x:row>
    <x:row r="1014" ht="18" customHeight="1">
      <x:c r="A1014" s="25" t="str">
        <x:v>EEZ_278</x:v>
      </x:c>
      <x:c r="B1014" s="25" t="str">
        <x:v>matched_catch_tonnes</x:v>
      </x:c>
      <x:c r="C1014" s="25" t="n">
        <x:v>26188.5128491544</x:v>
      </x:c>
      <x:c r="D1014" s="25" t="str">
        <x:v>tonnes</x:v>
      </x:c>
    </x:row>
    <x:row r="1015" ht="18" customHeight="1">
      <x:c r="A1015" s="25" t="str">
        <x:v>EEZ_278</x:v>
      </x:c>
      <x:c r="B1015" s="25" t="str">
        <x:v>catch_coverage_fraction</x:v>
      </x:c>
      <x:c r="C1015" s="25" t="n">
        <x:v>1</x:v>
      </x:c>
      <x:c r="D1015" s="25" t="str">
        <x:v>fraction</x:v>
      </x:c>
    </x:row>
    <x:row r="1016" ht="18" customHeight="1">
      <x:c r="A1016" s="25" t="str">
        <x:v>EEZ_278</x:v>
      </x:c>
      <x:c r="B1016" s="25" t="str">
        <x:v>taxa_count</x:v>
      </x:c>
      <x:c r="C1016" s="25" t="n">
        <x:v>59</x:v>
      </x:c>
      <x:c r="D1016" s="25" t="str">
        <x:v>count</x:v>
      </x:c>
    </x:row>
    <x:row r="1017" ht="18" customHeight="1">
      <x:c r="A1017" s="25" t="str">
        <x:v>EEZ_278</x:v>
      </x:c>
      <x:c r="B1017" s="25" t="str">
        <x:v>matched_taxa_count</x:v>
      </x:c>
      <x:c r="C1017" s="25" t="n">
        <x:v>59</x:v>
      </x:c>
      <x:c r="D1017" s="25" t="str">
        <x:v>count</x:v>
      </x:c>
    </x:row>
    <x:row r="1018" ht="18" customHeight="1">
      <x:c r="A1018" s="25" t="str">
        <x:v>EEZ_278</x:v>
      </x:c>
      <x:c r="B1018" s="25" t="str">
        <x:v>unmatched_taxa_count</x:v>
      </x:c>
      <x:c r="C1018" s="25" t="n">
        <x:v>0</x:v>
      </x:c>
      <x:c r="D1018" s="25" t="str">
        <x:v>count</x:v>
      </x:c>
    </x:row>
    <x:row r="1019" ht="18" customHeight="1">
      <x:c r="A1019" s="25" t="str">
        <x:v>EEZ_278</x:v>
      </x:c>
      <x:c r="B1019" s="25" t="str">
        <x:v>species_ppr</x:v>
      </x:c>
      <x:c r="C1019" s="25" t="n">
        <x:v>12082330.078822175</x:v>
      </x:c>
      <x:c r="D1019" s="25" t="str">
        <x:v>tonnes_primary_production_equivalent</x:v>
      </x:c>
    </x:row>
    <x:row r="1020" ht="18" customHeight="1">
      <x:c r="A1020" s="25" t="str">
        <x:v>EEZ_278</x:v>
      </x:c>
      <x:c r="B1020" s="25" t="str">
        <x:v>commercial_ppr</x:v>
      </x:c>
      <x:c r="C1020" s="25" t="n">
        <x:v>11496799.626263414</x:v>
      </x:c>
      <x:c r="D1020" s="25" t="str">
        <x:v>tonnes_primary_production_equivalent</x:v>
      </x:c>
    </x:row>
    <x:row r="1021" ht="18" customHeight="1">
      <x:c r="A1021" s="25" t="str">
        <x:v>EEZ_278</x:v>
      </x:c>
      <x:c r="B1021" s="25" t="str">
        <x:v>functional_ppr</x:v>
      </x:c>
      <x:c r="C1021" s="25" t="n">
        <x:v>11129550.316418964</x:v>
      </x:c>
      <x:c r="D1021" s="25" t="str">
        <x:v>tonnes_primary_production_equivalent</x:v>
      </x:c>
    </x:row>
    <x:row r="1022" ht="18" customHeight="1">
      <x:c r="A1022" s="25" t="str">
        <x:v>EEZ_278</x:v>
      </x:c>
      <x:c r="B1022" s="25" t="str">
        <x:v>commercial_ppr_difference</x:v>
      </x:c>
      <x:c r="C1022" s="25" t="n">
        <x:v>-585530.4525587615</x:v>
      </x:c>
      <x:c r="D1022" s="25" t="str">
        <x:v>tonnes_primary_production_equivalent</x:v>
      </x:c>
    </x:row>
    <x:row r="1023" ht="18" customHeight="1">
      <x:c r="A1023" s="25" t="str">
        <x:v>EEZ_278</x:v>
      </x:c>
      <x:c r="B1023" s="25" t="str">
        <x:v>functional_ppr_difference</x:v>
      </x:c>
      <x:c r="C1023" s="25" t="n">
        <x:v>-952779.7624032106</x:v>
      </x:c>
      <x:c r="D1023" s="25" t="str">
        <x:v>tonnes_primary_production_equivalent</x:v>
      </x:c>
    </x:row>
    <x:row r="1024" ht="18" customHeight="1">
      <x:c r="A1024" s="25" t="str">
        <x:v>EEZ_288</x:v>
      </x:c>
      <x:c r="B1024" s="25" t="str">
        <x:v>raw_filtered_tonnes</x:v>
      </x:c>
      <x:c r="C1024" s="25" t="n">
        <x:v>476804.0080210729</x:v>
      </x:c>
      <x:c r="D1024" s="25" t="str">
        <x:v>tonnes</x:v>
      </x:c>
    </x:row>
    <x:row r="1025" ht="18" customHeight="1">
      <x:c r="A1025" s="25" t="str">
        <x:v>EEZ_288</x:v>
      </x:c>
      <x:c r="B1025" s="25" t="str">
        <x:v>species_catch_tonnes</x:v>
      </x:c>
      <x:c r="C1025" s="25" t="n">
        <x:v>476804.00802107295</x:v>
      </x:c>
      <x:c r="D1025" s="25" t="str">
        <x:v>tonnes</x:v>
      </x:c>
    </x:row>
    <x:row r="1026" ht="18" customHeight="1">
      <x:c r="A1026" s="25" t="str">
        <x:v>EEZ_288</x:v>
      </x:c>
      <x:c r="B1026" s="25" t="str">
        <x:v>catch_difference_tonnes</x:v>
      </x:c>
      <x:c r="C1026" s="25" t="n">
        <x:v>5.820766091346741e-11</x:v>
      </x:c>
      <x:c r="D1026" s="25" t="str">
        <x:v>tonnes</x:v>
      </x:c>
    </x:row>
    <x:row r="1027" ht="18" customHeight="1">
      <x:c r="A1027" s="25" t="str">
        <x:v>EEZ_288</x:v>
      </x:c>
      <x:c r="B1027" s="25" t="str">
        <x:v>catch_reconciled</x:v>
      </x:c>
      <x:c r="C1027" s="36" t="b">
        <x:v>1</x:v>
      </x:c>
      <x:c r="D1027" s="25" t="str">
        <x:v>boolean</x:v>
      </x:c>
    </x:row>
    <x:row r="1028" ht="18" customHeight="1">
      <x:c r="A1028" s="25" t="str">
        <x:v>EEZ_288</x:v>
      </x:c>
      <x:c r="B1028" s="25" t="str">
        <x:v>matched_catch_tonnes</x:v>
      </x:c>
      <x:c r="C1028" s="25" t="n">
        <x:v>476804.00802107295</x:v>
      </x:c>
      <x:c r="D1028" s="25" t="str">
        <x:v>tonnes</x:v>
      </x:c>
    </x:row>
    <x:row r="1029" ht="18" customHeight="1">
      <x:c r="A1029" s="25" t="str">
        <x:v>EEZ_288</x:v>
      </x:c>
      <x:c r="B1029" s="25" t="str">
        <x:v>catch_coverage_fraction</x:v>
      </x:c>
      <x:c r="C1029" s="25" t="n">
        <x:v>1</x:v>
      </x:c>
      <x:c r="D1029" s="25" t="str">
        <x:v>fraction</x:v>
      </x:c>
    </x:row>
    <x:row r="1030" ht="18" customHeight="1">
      <x:c r="A1030" s="25" t="str">
        <x:v>EEZ_288</x:v>
      </x:c>
      <x:c r="B1030" s="25" t="str">
        <x:v>taxa_count</x:v>
      </x:c>
      <x:c r="C1030" s="25" t="n">
        <x:v>103</x:v>
      </x:c>
      <x:c r="D1030" s="25" t="str">
        <x:v>count</x:v>
      </x:c>
    </x:row>
    <x:row r="1031" ht="18" customHeight="1">
      <x:c r="A1031" s="25" t="str">
        <x:v>EEZ_288</x:v>
      </x:c>
      <x:c r="B1031" s="25" t="str">
        <x:v>matched_taxa_count</x:v>
      </x:c>
      <x:c r="C1031" s="25" t="n">
        <x:v>103</x:v>
      </x:c>
      <x:c r="D1031" s="25" t="str">
        <x:v>count</x:v>
      </x:c>
    </x:row>
    <x:row r="1032" ht="18" customHeight="1">
      <x:c r="A1032" s="25" t="str">
        <x:v>EEZ_288</x:v>
      </x:c>
      <x:c r="B1032" s="25" t="str">
        <x:v>unmatched_taxa_count</x:v>
      </x:c>
      <x:c r="C1032" s="25" t="n">
        <x:v>0</x:v>
      </x:c>
      <x:c r="D1032" s="25" t="str">
        <x:v>count</x:v>
      </x:c>
    </x:row>
    <x:row r="1033" ht="18" customHeight="1">
      <x:c r="A1033" s="25" t="str">
        <x:v>EEZ_288</x:v>
      </x:c>
      <x:c r="B1033" s="25" t="str">
        <x:v>species_ppr</x:v>
      </x:c>
      <x:c r="C1033" s="25" t="n">
        <x:v>324126100.9393173</x:v>
      </x:c>
      <x:c r="D1033" s="25" t="str">
        <x:v>tonnes_primary_production_equivalent</x:v>
      </x:c>
    </x:row>
    <x:row r="1034" ht="18" customHeight="1">
      <x:c r="A1034" s="25" t="str">
        <x:v>EEZ_288</x:v>
      </x:c>
      <x:c r="B1034" s="25" t="str">
        <x:v>commercial_ppr</x:v>
      </x:c>
      <x:c r="C1034" s="25" t="n">
        <x:v>238206610.9968188</x:v>
      </x:c>
      <x:c r="D1034" s="25" t="str">
        <x:v>tonnes_primary_production_equivalent</x:v>
      </x:c>
    </x:row>
    <x:row r="1035" ht="18" customHeight="1">
      <x:c r="A1035" s="25" t="str">
        <x:v>EEZ_288</x:v>
      </x:c>
      <x:c r="B1035" s="25" t="str">
        <x:v>functional_ppr</x:v>
      </x:c>
      <x:c r="C1035" s="25" t="n">
        <x:v>274662612.9582115</x:v>
      </x:c>
      <x:c r="D1035" s="25" t="str">
        <x:v>tonnes_primary_production_equivalent</x:v>
      </x:c>
    </x:row>
    <x:row r="1036" ht="18" customHeight="1">
      <x:c r="A1036" s="25" t="str">
        <x:v>EEZ_288</x:v>
      </x:c>
      <x:c r="B1036" s="25" t="str">
        <x:v>commercial_ppr_difference</x:v>
      </x:c>
      <x:c r="C1036" s="25" t="n">
        <x:v>-85919489.94249848</x:v>
      </x:c>
      <x:c r="D1036" s="25" t="str">
        <x:v>tonnes_primary_production_equivalent</x:v>
      </x:c>
    </x:row>
    <x:row r="1037" ht="18" customHeight="1">
      <x:c r="A1037" s="25" t="str">
        <x:v>EEZ_288</x:v>
      </x:c>
      <x:c r="B1037" s="25" t="str">
        <x:v>functional_ppr_difference</x:v>
      </x:c>
      <x:c r="C1037" s="25" t="n">
        <x:v>-49463487.981105804</x:v>
      </x:c>
      <x:c r="D1037" s="25" t="str">
        <x:v>tonnes_primary_production_equivalent</x:v>
      </x:c>
    </x:row>
    <x:row r="1038" ht="18" customHeight="1">
      <x:c r="A1038" s="25" t="str">
        <x:v>EEZ_300</x:v>
      </x:c>
      <x:c r="B1038" s="25" t="str">
        <x:v>raw_filtered_tonnes</x:v>
      </x:c>
      <x:c r="C1038" s="25" t="n">
        <x:v>108516.7645129038</x:v>
      </x:c>
      <x:c r="D1038" s="25" t="str">
        <x:v>tonnes</x:v>
      </x:c>
    </x:row>
    <x:row r="1039" ht="18" customHeight="1">
      <x:c r="A1039" s="25" t="str">
        <x:v>EEZ_300</x:v>
      </x:c>
      <x:c r="B1039" s="25" t="str">
        <x:v>species_catch_tonnes</x:v>
      </x:c>
      <x:c r="C1039" s="25" t="n">
        <x:v>108516.7645129038</x:v>
      </x:c>
      <x:c r="D1039" s="25" t="str">
        <x:v>tonnes</x:v>
      </x:c>
    </x:row>
    <x:row r="1040" ht="18" customHeight="1">
      <x:c r="A1040" s="25" t="str">
        <x:v>EEZ_300</x:v>
      </x:c>
      <x:c r="B1040" s="25" t="str">
        <x:v>catch_difference_tonnes</x:v>
      </x:c>
      <x:c r="C1040" s="25" t="n">
        <x:v>0</x:v>
      </x:c>
      <x:c r="D1040" s="25" t="str">
        <x:v>tonnes</x:v>
      </x:c>
    </x:row>
    <x:row r="1041" ht="18" customHeight="1">
      <x:c r="A1041" s="25" t="str">
        <x:v>EEZ_300</x:v>
      </x:c>
      <x:c r="B1041" s="25" t="str">
        <x:v>catch_reconciled</x:v>
      </x:c>
      <x:c r="C1041" s="36" t="b">
        <x:v>1</x:v>
      </x:c>
      <x:c r="D1041" s="25" t="str">
        <x:v>boolean</x:v>
      </x:c>
    </x:row>
    <x:row r="1042" ht="18" customHeight="1">
      <x:c r="A1042" s="25" t="str">
        <x:v>EEZ_300</x:v>
      </x:c>
      <x:c r="B1042" s="25" t="str">
        <x:v>matched_catch_tonnes</x:v>
      </x:c>
      <x:c r="C1042" s="25" t="n">
        <x:v>108516.7645129038</x:v>
      </x:c>
      <x:c r="D1042" s="25" t="str">
        <x:v>tonnes</x:v>
      </x:c>
    </x:row>
    <x:row r="1043" ht="18" customHeight="1">
      <x:c r="A1043" s="25" t="str">
        <x:v>EEZ_300</x:v>
      </x:c>
      <x:c r="B1043" s="25" t="str">
        <x:v>catch_coverage_fraction</x:v>
      </x:c>
      <x:c r="C1043" s="25" t="n">
        <x:v>1</x:v>
      </x:c>
      <x:c r="D1043" s="25" t="str">
        <x:v>fraction</x:v>
      </x:c>
    </x:row>
    <x:row r="1044" ht="18" customHeight="1">
      <x:c r="A1044" s="25" t="str">
        <x:v>EEZ_300</x:v>
      </x:c>
      <x:c r="B1044" s="25" t="str">
        <x:v>taxa_count</x:v>
      </x:c>
      <x:c r="C1044" s="25" t="n">
        <x:v>155</x:v>
      </x:c>
      <x:c r="D1044" s="25" t="str">
        <x:v>count</x:v>
      </x:c>
    </x:row>
    <x:row r="1045" ht="18" customHeight="1">
      <x:c r="A1045" s="25" t="str">
        <x:v>EEZ_300</x:v>
      </x:c>
      <x:c r="B1045" s="25" t="str">
        <x:v>matched_taxa_count</x:v>
      </x:c>
      <x:c r="C1045" s="25" t="n">
        <x:v>155</x:v>
      </x:c>
      <x:c r="D1045" s="25" t="str">
        <x:v>count</x:v>
      </x:c>
    </x:row>
    <x:row r="1046" ht="18" customHeight="1">
      <x:c r="A1046" s="25" t="str">
        <x:v>EEZ_300</x:v>
      </x:c>
      <x:c r="B1046" s="25" t="str">
        <x:v>unmatched_taxa_count</x:v>
      </x:c>
      <x:c r="C1046" s="25" t="n">
        <x:v>0</x:v>
      </x:c>
      <x:c r="D1046" s="25" t="str">
        <x:v>count</x:v>
      </x:c>
    </x:row>
    <x:row r="1047" ht="18" customHeight="1">
      <x:c r="A1047" s="25" t="str">
        <x:v>EEZ_300</x:v>
      </x:c>
      <x:c r="B1047" s="25" t="str">
        <x:v>species_ppr</x:v>
      </x:c>
      <x:c r="C1047" s="25" t="n">
        <x:v>60672881.10444955</x:v>
      </x:c>
      <x:c r="D1047" s="25" t="str">
        <x:v>tonnes_primary_production_equivalent</x:v>
      </x:c>
    </x:row>
    <x:row r="1048" ht="18" customHeight="1">
      <x:c r="A1048" s="25" t="str">
        <x:v>EEZ_300</x:v>
      </x:c>
      <x:c r="B1048" s="25" t="str">
        <x:v>commercial_ppr</x:v>
      </x:c>
      <x:c r="C1048" s="25" t="n">
        <x:v>45202170.90468926</x:v>
      </x:c>
      <x:c r="D1048" s="25" t="str">
        <x:v>tonnes_primary_production_equivalent</x:v>
      </x:c>
    </x:row>
    <x:row r="1049" ht="18" customHeight="1">
      <x:c r="A1049" s="25" t="str">
        <x:v>EEZ_300</x:v>
      </x:c>
      <x:c r="B1049" s="25" t="str">
        <x:v>functional_ppr</x:v>
      </x:c>
      <x:c r="C1049" s="25" t="n">
        <x:v>51972308.116400525</x:v>
      </x:c>
      <x:c r="D1049" s="25" t="str">
        <x:v>tonnes_primary_production_equivalent</x:v>
      </x:c>
    </x:row>
    <x:row r="1050" ht="18" customHeight="1">
      <x:c r="A1050" s="25" t="str">
        <x:v>EEZ_300</x:v>
      </x:c>
      <x:c r="B1050" s="25" t="str">
        <x:v>commercial_ppr_difference</x:v>
      </x:c>
      <x:c r="C1050" s="25" t="n">
        <x:v>-15470710.199760288</x:v>
      </x:c>
      <x:c r="D1050" s="25" t="str">
        <x:v>tonnes_primary_production_equivalent</x:v>
      </x:c>
    </x:row>
    <x:row r="1051" ht="18" customHeight="1">
      <x:c r="A1051" s="25" t="str">
        <x:v>EEZ_300</x:v>
      </x:c>
      <x:c r="B1051" s="25" t="str">
        <x:v>functional_ppr_difference</x:v>
      </x:c>
      <x:c r="C1051" s="25" t="n">
        <x:v>-8700572.988049023</x:v>
      </x:c>
      <x:c r="D1051" s="25" t="str">
        <x:v>tonnes_primary_production_equivalent</x:v>
      </x:c>
    </x:row>
    <x:row r="1052" ht="18" customHeight="1">
      <x:c r="A1052" s="25" t="str">
        <x:v>EEZ_304</x:v>
      </x:c>
      <x:c r="B1052" s="25" t="str">
        <x:v>raw_filtered_tonnes</x:v>
      </x:c>
      <x:c r="C1052" s="25" t="n">
        <x:v>262286.0841378048</x:v>
      </x:c>
      <x:c r="D1052" s="25" t="str">
        <x:v>tonnes</x:v>
      </x:c>
    </x:row>
    <x:row r="1053" ht="18" customHeight="1">
      <x:c r="A1053" s="25" t="str">
        <x:v>EEZ_304</x:v>
      </x:c>
      <x:c r="B1053" s="25" t="str">
        <x:v>species_catch_tonnes</x:v>
      </x:c>
      <x:c r="C1053" s="25" t="n">
        <x:v>262286.0841378048</x:v>
      </x:c>
      <x:c r="D1053" s="25" t="str">
        <x:v>tonnes</x:v>
      </x:c>
    </x:row>
    <x:row r="1054" ht="18" customHeight="1">
      <x:c r="A1054" s="25" t="str">
        <x:v>EEZ_304</x:v>
      </x:c>
      <x:c r="B1054" s="25" t="str">
        <x:v>catch_difference_tonnes</x:v>
      </x:c>
      <x:c r="C1054" s="25" t="n">
        <x:v>0</x:v>
      </x:c>
      <x:c r="D1054" s="25" t="str">
        <x:v>tonnes</x:v>
      </x:c>
    </x:row>
    <x:row r="1055" ht="18" customHeight="1">
      <x:c r="A1055" s="25" t="str">
        <x:v>EEZ_304</x:v>
      </x:c>
      <x:c r="B1055" s="25" t="str">
        <x:v>catch_reconciled</x:v>
      </x:c>
      <x:c r="C1055" s="36" t="b">
        <x:v>1</x:v>
      </x:c>
      <x:c r="D1055" s="25" t="str">
        <x:v>boolean</x:v>
      </x:c>
    </x:row>
    <x:row r="1056" ht="18" customHeight="1">
      <x:c r="A1056" s="25" t="str">
        <x:v>EEZ_304</x:v>
      </x:c>
      <x:c r="B1056" s="25" t="str">
        <x:v>matched_catch_tonnes</x:v>
      </x:c>
      <x:c r="C1056" s="25" t="n">
        <x:v>262286.0841378048</x:v>
      </x:c>
      <x:c r="D1056" s="25" t="str">
        <x:v>tonnes</x:v>
      </x:c>
    </x:row>
    <x:row r="1057" ht="18" customHeight="1">
      <x:c r="A1057" s="25" t="str">
        <x:v>EEZ_304</x:v>
      </x:c>
      <x:c r="B1057" s="25" t="str">
        <x:v>catch_coverage_fraction</x:v>
      </x:c>
      <x:c r="C1057" s="25" t="n">
        <x:v>1</x:v>
      </x:c>
      <x:c r="D1057" s="25" t="str">
        <x:v>fraction</x:v>
      </x:c>
    </x:row>
    <x:row r="1058" ht="18" customHeight="1">
      <x:c r="A1058" s="25" t="str">
        <x:v>EEZ_304</x:v>
      </x:c>
      <x:c r="B1058" s="25" t="str">
        <x:v>taxa_count</x:v>
      </x:c>
      <x:c r="C1058" s="25" t="n">
        <x:v>54</x:v>
      </x:c>
      <x:c r="D1058" s="25" t="str">
        <x:v>count</x:v>
      </x:c>
    </x:row>
    <x:row r="1059" ht="18" customHeight="1">
      <x:c r="A1059" s="25" t="str">
        <x:v>EEZ_304</x:v>
      </x:c>
      <x:c r="B1059" s="25" t="str">
        <x:v>matched_taxa_count</x:v>
      </x:c>
      <x:c r="C1059" s="25" t="n">
        <x:v>54</x:v>
      </x:c>
      <x:c r="D1059" s="25" t="str">
        <x:v>count</x:v>
      </x:c>
    </x:row>
    <x:row r="1060" ht="18" customHeight="1">
      <x:c r="A1060" s="25" t="str">
        <x:v>EEZ_304</x:v>
      </x:c>
      <x:c r="B1060" s="25" t="str">
        <x:v>unmatched_taxa_count</x:v>
      </x:c>
      <x:c r="C1060" s="25" t="n">
        <x:v>0</x:v>
      </x:c>
      <x:c r="D1060" s="25" t="str">
        <x:v>count</x:v>
      </x:c>
    </x:row>
    <x:row r="1061" ht="18" customHeight="1">
      <x:c r="A1061" s="25" t="str">
        <x:v>EEZ_304</x:v>
      </x:c>
      <x:c r="B1061" s="25" t="str">
        <x:v>species_ppr</x:v>
      </x:c>
      <x:c r="C1061" s="25" t="n">
        <x:v>248197559.24175024</x:v>
      </x:c>
      <x:c r="D1061" s="25" t="str">
        <x:v>tonnes_primary_production_equivalent</x:v>
      </x:c>
    </x:row>
    <x:row r="1062" ht="18" customHeight="1">
      <x:c r="A1062" s="25" t="str">
        <x:v>EEZ_304</x:v>
      </x:c>
      <x:c r="B1062" s="25" t="str">
        <x:v>commercial_ppr</x:v>
      </x:c>
      <x:c r="C1062" s="25" t="n">
        <x:v>246954669.5936757</x:v>
      </x:c>
      <x:c r="D1062" s="25" t="str">
        <x:v>tonnes_primary_production_equivalent</x:v>
      </x:c>
    </x:row>
    <x:row r="1063" ht="18" customHeight="1">
      <x:c r="A1063" s="25" t="str">
        <x:v>EEZ_304</x:v>
      </x:c>
      <x:c r="B1063" s="25" t="str">
        <x:v>functional_ppr</x:v>
      </x:c>
      <x:c r="C1063" s="25" t="n">
        <x:v>247859388.53952336</x:v>
      </x:c>
      <x:c r="D1063" s="25" t="str">
        <x:v>tonnes_primary_production_equivalent</x:v>
      </x:c>
    </x:row>
    <x:row r="1064" ht="18" customHeight="1">
      <x:c r="A1064" s="25" t="str">
        <x:v>EEZ_304</x:v>
      </x:c>
      <x:c r="B1064" s="25" t="str">
        <x:v>commercial_ppr_difference</x:v>
      </x:c>
      <x:c r="C1064" s="25" t="n">
        <x:v>-1242889.6480745375</x:v>
      </x:c>
      <x:c r="D1064" s="25" t="str">
        <x:v>tonnes_primary_production_equivalent</x:v>
      </x:c>
    </x:row>
    <x:row r="1065" ht="18" customHeight="1">
      <x:c r="A1065" s="25" t="str">
        <x:v>EEZ_304</x:v>
      </x:c>
      <x:c r="B1065" s="25" t="str">
        <x:v>functional_ppr_difference</x:v>
      </x:c>
      <x:c r="C1065" s="25" t="n">
        <x:v>-338170.7022268772</x:v>
      </x:c>
      <x:c r="D1065" s="25" t="str">
        <x:v>tonnes_primary_production_equivalent</x:v>
      </x:c>
    </x:row>
    <x:row r="1066" ht="18" customHeight="1">
      <x:c r="A1066" s="25" t="str">
        <x:v>EEZ_308</x:v>
      </x:c>
      <x:c r="B1066" s="25" t="str">
        <x:v>raw_filtered_tonnes</x:v>
      </x:c>
      <x:c r="C1066" s="25" t="n">
        <x:v>3717.1043054866004</x:v>
      </x:c>
      <x:c r="D1066" s="25" t="str">
        <x:v>tonnes</x:v>
      </x:c>
    </x:row>
    <x:row r="1067" ht="18" customHeight="1">
      <x:c r="A1067" s="25" t="str">
        <x:v>EEZ_308</x:v>
      </x:c>
      <x:c r="B1067" s="25" t="str">
        <x:v>species_catch_tonnes</x:v>
      </x:c>
      <x:c r="C1067" s="25" t="n">
        <x:v>3717.1043054865995</x:v>
      </x:c>
      <x:c r="D1067" s="25" t="str">
        <x:v>tonnes</x:v>
      </x:c>
    </x:row>
    <x:row r="1068" ht="18" customHeight="1">
      <x:c r="A1068" s="25" t="str">
        <x:v>EEZ_308</x:v>
      </x:c>
      <x:c r="B1068" s="25" t="str">
        <x:v>catch_difference_tonnes</x:v>
      </x:c>
      <x:c r="C1068" s="25" t="n">
        <x:v>-9.094947017729282e-13</x:v>
      </x:c>
      <x:c r="D1068" s="25" t="str">
        <x:v>tonnes</x:v>
      </x:c>
    </x:row>
    <x:row r="1069" ht="18" customHeight="1">
      <x:c r="A1069" s="25" t="str">
        <x:v>EEZ_308</x:v>
      </x:c>
      <x:c r="B1069" s="25" t="str">
        <x:v>catch_reconciled</x:v>
      </x:c>
      <x:c r="C1069" s="36" t="b">
        <x:v>1</x:v>
      </x:c>
      <x:c r="D1069" s="25" t="str">
        <x:v>boolean</x:v>
      </x:c>
    </x:row>
    <x:row r="1070" ht="18" customHeight="1">
      <x:c r="A1070" s="25" t="str">
        <x:v>EEZ_308</x:v>
      </x:c>
      <x:c r="B1070" s="25" t="str">
        <x:v>matched_catch_tonnes</x:v>
      </x:c>
      <x:c r="C1070" s="25" t="n">
        <x:v>3717.1043054865995</x:v>
      </x:c>
      <x:c r="D1070" s="25" t="str">
        <x:v>tonnes</x:v>
      </x:c>
    </x:row>
    <x:row r="1071" ht="18" customHeight="1">
      <x:c r="A1071" s="25" t="str">
        <x:v>EEZ_308</x:v>
      </x:c>
      <x:c r="B1071" s="25" t="str">
        <x:v>catch_coverage_fraction</x:v>
      </x:c>
      <x:c r="C1071" s="25" t="n">
        <x:v>1</x:v>
      </x:c>
      <x:c r="D1071" s="25" t="str">
        <x:v>fraction</x:v>
      </x:c>
    </x:row>
    <x:row r="1072" ht="18" customHeight="1">
      <x:c r="A1072" s="25" t="str">
        <x:v>EEZ_308</x:v>
      </x:c>
      <x:c r="B1072" s="25" t="str">
        <x:v>taxa_count</x:v>
      </x:c>
      <x:c r="C1072" s="25" t="n">
        <x:v>60</x:v>
      </x:c>
      <x:c r="D1072" s="25" t="str">
        <x:v>count</x:v>
      </x:c>
    </x:row>
    <x:row r="1073" ht="18" customHeight="1">
      <x:c r="A1073" s="25" t="str">
        <x:v>EEZ_308</x:v>
      </x:c>
      <x:c r="B1073" s="25" t="str">
        <x:v>matched_taxa_count</x:v>
      </x:c>
      <x:c r="C1073" s="25" t="n">
        <x:v>60</x:v>
      </x:c>
      <x:c r="D1073" s="25" t="str">
        <x:v>count</x:v>
      </x:c>
    </x:row>
    <x:row r="1074" ht="18" customHeight="1">
      <x:c r="A1074" s="25" t="str">
        <x:v>EEZ_308</x:v>
      </x:c>
      <x:c r="B1074" s="25" t="str">
        <x:v>unmatched_taxa_count</x:v>
      </x:c>
      <x:c r="C1074" s="25" t="n">
        <x:v>0</x:v>
      </x:c>
      <x:c r="D1074" s="25" t="str">
        <x:v>count</x:v>
      </x:c>
    </x:row>
    <x:row r="1075" ht="18" customHeight="1">
      <x:c r="A1075" s="25" t="str">
        <x:v>EEZ_308</x:v>
      </x:c>
      <x:c r="B1075" s="25" t="str">
        <x:v>species_ppr</x:v>
      </x:c>
      <x:c r="C1075" s="25" t="n">
        <x:v>7313275.919097777</x:v>
      </x:c>
      <x:c r="D1075" s="25" t="str">
        <x:v>tonnes_primary_production_equivalent</x:v>
      </x:c>
    </x:row>
    <x:row r="1076" ht="18" customHeight="1">
      <x:c r="A1076" s="25" t="str">
        <x:v>EEZ_308</x:v>
      </x:c>
      <x:c r="B1076" s="25" t="str">
        <x:v>commercial_ppr</x:v>
      </x:c>
      <x:c r="C1076" s="25" t="n">
        <x:v>6585721.149872309</x:v>
      </x:c>
      <x:c r="D1076" s="25" t="str">
        <x:v>tonnes_primary_production_equivalent</x:v>
      </x:c>
    </x:row>
    <x:row r="1077" ht="18" customHeight="1">
      <x:c r="A1077" s="25" t="str">
        <x:v>EEZ_308</x:v>
      </x:c>
      <x:c r="B1077" s="25" t="str">
        <x:v>functional_ppr</x:v>
      </x:c>
      <x:c r="C1077" s="25" t="n">
        <x:v>7228573.0042002555</x:v>
      </x:c>
      <x:c r="D1077" s="25" t="str">
        <x:v>tonnes_primary_production_equivalent</x:v>
      </x:c>
    </x:row>
    <x:row r="1078" ht="18" customHeight="1">
      <x:c r="A1078" s="25" t="str">
        <x:v>EEZ_308</x:v>
      </x:c>
      <x:c r="B1078" s="25" t="str">
        <x:v>commercial_ppr_difference</x:v>
      </x:c>
      <x:c r="C1078" s="25" t="n">
        <x:v>-727554.7692254689</x:v>
      </x:c>
      <x:c r="D1078" s="25" t="str">
        <x:v>tonnes_primary_production_equivalent</x:v>
      </x:c>
    </x:row>
    <x:row r="1079" ht="18" customHeight="1">
      <x:c r="A1079" s="25" t="str">
        <x:v>EEZ_308</x:v>
      </x:c>
      <x:c r="B1079" s="25" t="str">
        <x:v>functional_ppr_difference</x:v>
      </x:c>
      <x:c r="C1079" s="25" t="n">
        <x:v>-84702.91489752196</x:v>
      </x:c>
      <x:c r="D1079" s="25" t="str">
        <x:v>tonnes_primary_production_equivalent</x:v>
      </x:c>
    </x:row>
    <x:row r="1080" ht="18" customHeight="1">
      <x:c r="A1080" s="25" t="str">
        <x:v>EEZ_312</x:v>
      </x:c>
      <x:c r="B1080" s="25" t="str">
        <x:v>raw_filtered_tonnes</x:v>
      </x:c>
      <x:c r="C1080" s="25" t="n">
        <x:v>5032.750571154701</x:v>
      </x:c>
      <x:c r="D1080" s="25" t="str">
        <x:v>tonnes</x:v>
      </x:c>
    </x:row>
    <x:row r="1081" ht="18" customHeight="1">
      <x:c r="A1081" s="25" t="str">
        <x:v>EEZ_312</x:v>
      </x:c>
      <x:c r="B1081" s="25" t="str">
        <x:v>species_catch_tonnes</x:v>
      </x:c>
      <x:c r="C1081" s="25" t="n">
        <x:v>5032.7505711547</x:v>
      </x:c>
      <x:c r="D1081" s="25" t="str">
        <x:v>tonnes</x:v>
      </x:c>
    </x:row>
    <x:row r="1082" ht="18" customHeight="1">
      <x:c r="A1082" s="25" t="str">
        <x:v>EEZ_312</x:v>
      </x:c>
      <x:c r="B1082" s="25" t="str">
        <x:v>catch_difference_tonnes</x:v>
      </x:c>
      <x:c r="C1082" s="25" t="n">
        <x:v>-9.094947017729282e-13</x:v>
      </x:c>
      <x:c r="D1082" s="25" t="str">
        <x:v>tonnes</x:v>
      </x:c>
    </x:row>
    <x:row r="1083" ht="18" customHeight="1">
      <x:c r="A1083" s="25" t="str">
        <x:v>EEZ_312</x:v>
      </x:c>
      <x:c r="B1083" s="25" t="str">
        <x:v>catch_reconciled</x:v>
      </x:c>
      <x:c r="C1083" s="36" t="b">
        <x:v>1</x:v>
      </x:c>
      <x:c r="D1083" s="25" t="str">
        <x:v>boolean</x:v>
      </x:c>
    </x:row>
    <x:row r="1084" ht="18" customHeight="1">
      <x:c r="A1084" s="25" t="str">
        <x:v>EEZ_312</x:v>
      </x:c>
      <x:c r="B1084" s="25" t="str">
        <x:v>matched_catch_tonnes</x:v>
      </x:c>
      <x:c r="C1084" s="25" t="n">
        <x:v>5032.7505711547</x:v>
      </x:c>
      <x:c r="D1084" s="25" t="str">
        <x:v>tonnes</x:v>
      </x:c>
    </x:row>
    <x:row r="1085" ht="18" customHeight="1">
      <x:c r="A1085" s="25" t="str">
        <x:v>EEZ_312</x:v>
      </x:c>
      <x:c r="B1085" s="25" t="str">
        <x:v>catch_coverage_fraction</x:v>
      </x:c>
      <x:c r="C1085" s="25" t="n">
        <x:v>1</x:v>
      </x:c>
      <x:c r="D1085" s="25" t="str">
        <x:v>fraction</x:v>
      </x:c>
    </x:row>
    <x:row r="1086" ht="18" customHeight="1">
      <x:c r="A1086" s="25" t="str">
        <x:v>EEZ_312</x:v>
      </x:c>
      <x:c r="B1086" s="25" t="str">
        <x:v>taxa_count</x:v>
      </x:c>
      <x:c r="C1086" s="25" t="n">
        <x:v>23</x:v>
      </x:c>
      <x:c r="D1086" s="25" t="str">
        <x:v>count</x:v>
      </x:c>
    </x:row>
    <x:row r="1087" ht="18" customHeight="1">
      <x:c r="A1087" s="25" t="str">
        <x:v>EEZ_312</x:v>
      </x:c>
      <x:c r="B1087" s="25" t="str">
        <x:v>matched_taxa_count</x:v>
      </x:c>
      <x:c r="C1087" s="25" t="n">
        <x:v>23</x:v>
      </x:c>
      <x:c r="D1087" s="25" t="str">
        <x:v>count</x:v>
      </x:c>
    </x:row>
    <x:row r="1088" ht="18" customHeight="1">
      <x:c r="A1088" s="25" t="str">
        <x:v>EEZ_312</x:v>
      </x:c>
      <x:c r="B1088" s="25" t="str">
        <x:v>unmatched_taxa_count</x:v>
      </x:c>
      <x:c r="C1088" s="25" t="n">
        <x:v>0</x:v>
      </x:c>
      <x:c r="D1088" s="25" t="str">
        <x:v>count</x:v>
      </x:c>
    </x:row>
    <x:row r="1089" ht="18" customHeight="1">
      <x:c r="A1089" s="25" t="str">
        <x:v>EEZ_312</x:v>
      </x:c>
      <x:c r="B1089" s="25" t="str">
        <x:v>species_ppr</x:v>
      </x:c>
      <x:c r="C1089" s="25" t="n">
        <x:v>3035680.419758</x:v>
      </x:c>
      <x:c r="D1089" s="25" t="str">
        <x:v>tonnes_primary_production_equivalent</x:v>
      </x:c>
    </x:row>
    <x:row r="1090" ht="18" customHeight="1">
      <x:c r="A1090" s="25" t="str">
        <x:v>EEZ_312</x:v>
      </x:c>
      <x:c r="B1090" s="25" t="str">
        <x:v>commercial_ppr</x:v>
      </x:c>
      <x:c r="C1090" s="25" t="n">
        <x:v>2603562.4172396865</x:v>
      </x:c>
      <x:c r="D1090" s="25" t="str">
        <x:v>tonnes_primary_production_equivalent</x:v>
      </x:c>
    </x:row>
    <x:row r="1091" ht="18" customHeight="1">
      <x:c r="A1091" s="25" t="str">
        <x:v>EEZ_312</x:v>
      </x:c>
      <x:c r="B1091" s="25" t="str">
        <x:v>functional_ppr</x:v>
      </x:c>
      <x:c r="C1091" s="25" t="n">
        <x:v>2366212.625378204</x:v>
      </x:c>
      <x:c r="D1091" s="25" t="str">
        <x:v>tonnes_primary_production_equivalent</x:v>
      </x:c>
    </x:row>
    <x:row r="1092" ht="18" customHeight="1">
      <x:c r="A1092" s="25" t="str">
        <x:v>EEZ_312</x:v>
      </x:c>
      <x:c r="B1092" s="25" t="str">
        <x:v>commercial_ppr_difference</x:v>
      </x:c>
      <x:c r="C1092" s="25" t="n">
        <x:v>-432118.0025183135</x:v>
      </x:c>
      <x:c r="D1092" s="25" t="str">
        <x:v>tonnes_primary_production_equivalent</x:v>
      </x:c>
    </x:row>
    <x:row r="1093" ht="18" customHeight="1">
      <x:c r="A1093" s="25" t="str">
        <x:v>EEZ_312</x:v>
      </x:c>
      <x:c r="B1093" s="25" t="str">
        <x:v>functional_ppr_difference</x:v>
      </x:c>
      <x:c r="C1093" s="25" t="n">
        <x:v>-669467.7943797959</x:v>
      </x:c>
      <x:c r="D1093" s="25" t="str">
        <x:v>tonnes_primary_production_equivalent</x:v>
      </x:c>
    </x:row>
    <x:row r="1094" ht="18" customHeight="1">
      <x:c r="A1094" s="25" t="str">
        <x:v>EEZ_316</x:v>
      </x:c>
      <x:c r="B1094" s="25" t="str">
        <x:v>raw_filtered_tonnes</x:v>
      </x:c>
      <x:c r="C1094" s="25" t="n">
        <x:v>1385.0534596170999</x:v>
      </x:c>
      <x:c r="D1094" s="25" t="str">
        <x:v>tonnes</x:v>
      </x:c>
    </x:row>
    <x:row r="1095" ht="18" customHeight="1">
      <x:c r="A1095" s="25" t="str">
        <x:v>EEZ_316</x:v>
      </x:c>
      <x:c r="B1095" s="25" t="str">
        <x:v>species_catch_tonnes</x:v>
      </x:c>
      <x:c r="C1095" s="25" t="n">
        <x:v>1385.0534596170999</x:v>
      </x:c>
      <x:c r="D1095" s="25" t="str">
        <x:v>tonnes</x:v>
      </x:c>
    </x:row>
    <x:row r="1096" ht="18" customHeight="1">
      <x:c r="A1096" s="25" t="str">
        <x:v>EEZ_316</x:v>
      </x:c>
      <x:c r="B1096" s="25" t="str">
        <x:v>catch_difference_tonnes</x:v>
      </x:c>
      <x:c r="C1096" s="25" t="n">
        <x:v>0</x:v>
      </x:c>
      <x:c r="D1096" s="25" t="str">
        <x:v>tonnes</x:v>
      </x:c>
    </x:row>
    <x:row r="1097" ht="18" customHeight="1">
      <x:c r="A1097" s="25" t="str">
        <x:v>EEZ_316</x:v>
      </x:c>
      <x:c r="B1097" s="25" t="str">
        <x:v>catch_reconciled</x:v>
      </x:c>
      <x:c r="C1097" s="36" t="b">
        <x:v>1</x:v>
      </x:c>
      <x:c r="D1097" s="25" t="str">
        <x:v>boolean</x:v>
      </x:c>
    </x:row>
    <x:row r="1098" ht="18" customHeight="1">
      <x:c r="A1098" s="25" t="str">
        <x:v>EEZ_316</x:v>
      </x:c>
      <x:c r="B1098" s="25" t="str">
        <x:v>matched_catch_tonnes</x:v>
      </x:c>
      <x:c r="C1098" s="25" t="n">
        <x:v>1385.0534596170999</x:v>
      </x:c>
      <x:c r="D1098" s="25" t="str">
        <x:v>tonnes</x:v>
      </x:c>
    </x:row>
    <x:row r="1099" ht="18" customHeight="1">
      <x:c r="A1099" s="25" t="str">
        <x:v>EEZ_316</x:v>
      </x:c>
      <x:c r="B1099" s="25" t="str">
        <x:v>catch_coverage_fraction</x:v>
      </x:c>
      <x:c r="C1099" s="25" t="n">
        <x:v>1</x:v>
      </x:c>
      <x:c r="D1099" s="25" t="str">
        <x:v>fraction</x:v>
      </x:c>
    </x:row>
    <x:row r="1100" ht="18" customHeight="1">
      <x:c r="A1100" s="25" t="str">
        <x:v>EEZ_316</x:v>
      </x:c>
      <x:c r="B1100" s="25" t="str">
        <x:v>taxa_count</x:v>
      </x:c>
      <x:c r="C1100" s="25" t="n">
        <x:v>90</x:v>
      </x:c>
      <x:c r="D1100" s="25" t="str">
        <x:v>count</x:v>
      </x:c>
    </x:row>
    <x:row r="1101" ht="18" customHeight="1">
      <x:c r="A1101" s="25" t="str">
        <x:v>EEZ_316</x:v>
      </x:c>
      <x:c r="B1101" s="25" t="str">
        <x:v>matched_taxa_count</x:v>
      </x:c>
      <x:c r="C1101" s="25" t="n">
        <x:v>90</x:v>
      </x:c>
      <x:c r="D1101" s="25" t="str">
        <x:v>count</x:v>
      </x:c>
    </x:row>
    <x:row r="1102" ht="18" customHeight="1">
      <x:c r="A1102" s="25" t="str">
        <x:v>EEZ_316</x:v>
      </x:c>
      <x:c r="B1102" s="25" t="str">
        <x:v>unmatched_taxa_count</x:v>
      </x:c>
      <x:c r="C1102" s="25" t="n">
        <x:v>0</x:v>
      </x:c>
      <x:c r="D1102" s="25" t="str">
        <x:v>count</x:v>
      </x:c>
    </x:row>
    <x:row r="1103" ht="18" customHeight="1">
      <x:c r="A1103" s="25" t="str">
        <x:v>EEZ_316</x:v>
      </x:c>
      <x:c r="B1103" s="25" t="str">
        <x:v>species_ppr</x:v>
      </x:c>
      <x:c r="C1103" s="25" t="n">
        <x:v>3197466.711028016</x:v>
      </x:c>
      <x:c r="D1103" s="25" t="str">
        <x:v>tonnes_primary_production_equivalent</x:v>
      </x:c>
    </x:row>
    <x:row r="1104" ht="18" customHeight="1">
      <x:c r="A1104" s="25" t="str">
        <x:v>EEZ_316</x:v>
      </x:c>
      <x:c r="B1104" s="25" t="str">
        <x:v>commercial_ppr</x:v>
      </x:c>
      <x:c r="C1104" s="25" t="n">
        <x:v>3101087.696039224</x:v>
      </x:c>
      <x:c r="D1104" s="25" t="str">
        <x:v>tonnes_primary_production_equivalent</x:v>
      </x:c>
    </x:row>
    <x:row r="1105" ht="18" customHeight="1">
      <x:c r="A1105" s="25" t="str">
        <x:v>EEZ_316</x:v>
      </x:c>
      <x:c r="B1105" s="25" t="str">
        <x:v>functional_ppr</x:v>
      </x:c>
      <x:c r="C1105" s="25" t="n">
        <x:v>3143967.365198676</x:v>
      </x:c>
      <x:c r="D1105" s="25" t="str">
        <x:v>tonnes_primary_production_equivalent</x:v>
      </x:c>
    </x:row>
    <x:row r="1106" ht="18" customHeight="1">
      <x:c r="A1106" s="25" t="str">
        <x:v>EEZ_316</x:v>
      </x:c>
      <x:c r="B1106" s="25" t="str">
        <x:v>commercial_ppr_difference</x:v>
      </x:c>
      <x:c r="C1106" s="25" t="n">
        <x:v>-96379.01498879213</x:v>
      </x:c>
      <x:c r="D1106" s="25" t="str">
        <x:v>tonnes_primary_production_equivalent</x:v>
      </x:c>
    </x:row>
    <x:row r="1107" ht="18" customHeight="1">
      <x:c r="A1107" s="25" t="str">
        <x:v>EEZ_316</x:v>
      </x:c>
      <x:c r="B1107" s="25" t="str">
        <x:v>functional_ppr_difference</x:v>
      </x:c>
      <x:c r="C1107" s="25" t="n">
        <x:v>-53499.34582934016</x:v>
      </x:c>
      <x:c r="D1107" s="25" t="str">
        <x:v>tonnes_primary_production_equivalent</x:v>
      </x:c>
    </x:row>
    <x:row r="1108" ht="18" customHeight="1">
      <x:c r="A1108" s="25" t="str">
        <x:v>EEZ_324</x:v>
      </x:c>
      <x:c r="B1108" s="25" t="str">
        <x:v>raw_filtered_tonnes</x:v>
      </x:c>
      <x:c r="C1108" s="25" t="n">
        <x:v>1012636.6535959236</x:v>
      </x:c>
      <x:c r="D1108" s="25" t="str">
        <x:v>tonnes</x:v>
      </x:c>
    </x:row>
    <x:row r="1109" ht="18" customHeight="1">
      <x:c r="A1109" s="25" t="str">
        <x:v>EEZ_324</x:v>
      </x:c>
      <x:c r="B1109" s="25" t="str">
        <x:v>species_catch_tonnes</x:v>
      </x:c>
      <x:c r="C1109" s="25" t="n">
        <x:v>1012636.6535959236</x:v>
      </x:c>
      <x:c r="D1109" s="25" t="str">
        <x:v>tonnes</x:v>
      </x:c>
    </x:row>
    <x:row r="1110" ht="18" customHeight="1">
      <x:c r="A1110" s="25" t="str">
        <x:v>EEZ_324</x:v>
      </x:c>
      <x:c r="B1110" s="25" t="str">
        <x:v>catch_difference_tonnes</x:v>
      </x:c>
      <x:c r="C1110" s="25" t="n">
        <x:v>0</x:v>
      </x:c>
      <x:c r="D1110" s="25" t="str">
        <x:v>tonnes</x:v>
      </x:c>
    </x:row>
    <x:row r="1111" ht="18" customHeight="1">
      <x:c r="A1111" s="25" t="str">
        <x:v>EEZ_324</x:v>
      </x:c>
      <x:c r="B1111" s="25" t="str">
        <x:v>catch_reconciled</x:v>
      </x:c>
      <x:c r="C1111" s="36" t="b">
        <x:v>1</x:v>
      </x:c>
      <x:c r="D1111" s="25" t="str">
        <x:v>boolean</x:v>
      </x:c>
    </x:row>
    <x:row r="1112" ht="18" customHeight="1">
      <x:c r="A1112" s="25" t="str">
        <x:v>EEZ_324</x:v>
      </x:c>
      <x:c r="B1112" s="25" t="str">
        <x:v>matched_catch_tonnes</x:v>
      </x:c>
      <x:c r="C1112" s="25" t="n">
        <x:v>1012636.6535959236</x:v>
      </x:c>
      <x:c r="D1112" s="25" t="str">
        <x:v>tonnes</x:v>
      </x:c>
    </x:row>
    <x:row r="1113" ht="18" customHeight="1">
      <x:c r="A1113" s="25" t="str">
        <x:v>EEZ_324</x:v>
      </x:c>
      <x:c r="B1113" s="25" t="str">
        <x:v>catch_coverage_fraction</x:v>
      </x:c>
      <x:c r="C1113" s="25" t="n">
        <x:v>1</x:v>
      </x:c>
      <x:c r="D1113" s="25" t="str">
        <x:v>fraction</x:v>
      </x:c>
    </x:row>
    <x:row r="1114" ht="18" customHeight="1">
      <x:c r="A1114" s="25" t="str">
        <x:v>EEZ_324</x:v>
      </x:c>
      <x:c r="B1114" s="25" t="str">
        <x:v>taxa_count</x:v>
      </x:c>
      <x:c r="C1114" s="25" t="n">
        <x:v>201</x:v>
      </x:c>
      <x:c r="D1114" s="25" t="str">
        <x:v>count</x:v>
      </x:c>
    </x:row>
    <x:row r="1115" ht="18" customHeight="1">
      <x:c r="A1115" s="25" t="str">
        <x:v>EEZ_324</x:v>
      </x:c>
      <x:c r="B1115" s="25" t="str">
        <x:v>matched_taxa_count</x:v>
      </x:c>
      <x:c r="C1115" s="25" t="n">
        <x:v>201</x:v>
      </x:c>
      <x:c r="D1115" s="25" t="str">
        <x:v>count</x:v>
      </x:c>
    </x:row>
    <x:row r="1116" ht="18" customHeight="1">
      <x:c r="A1116" s="25" t="str">
        <x:v>EEZ_324</x:v>
      </x:c>
      <x:c r="B1116" s="25" t="str">
        <x:v>unmatched_taxa_count</x:v>
      </x:c>
      <x:c r="C1116" s="25" t="n">
        <x:v>0</x:v>
      </x:c>
      <x:c r="D1116" s="25" t="str">
        <x:v>count</x:v>
      </x:c>
    </x:row>
    <x:row r="1117" ht="18" customHeight="1">
      <x:c r="A1117" s="25" t="str">
        <x:v>EEZ_324</x:v>
      </x:c>
      <x:c r="B1117" s="25" t="str">
        <x:v>species_ppr</x:v>
      </x:c>
      <x:c r="C1117" s="25" t="n">
        <x:v>336296938.66161853</x:v>
      </x:c>
      <x:c r="D1117" s="25" t="str">
        <x:v>tonnes_primary_production_equivalent</x:v>
      </x:c>
    </x:row>
    <x:row r="1118" ht="18" customHeight="1">
      <x:c r="A1118" s="25" t="str">
        <x:v>EEZ_324</x:v>
      </x:c>
      <x:c r="B1118" s="25" t="str">
        <x:v>commercial_ppr</x:v>
      </x:c>
      <x:c r="C1118" s="25" t="n">
        <x:v>281411632.6133717</x:v>
      </x:c>
      <x:c r="D1118" s="25" t="str">
        <x:v>tonnes_primary_production_equivalent</x:v>
      </x:c>
    </x:row>
    <x:row r="1119" ht="18" customHeight="1">
      <x:c r="A1119" s="25" t="str">
        <x:v>EEZ_324</x:v>
      </x:c>
      <x:c r="B1119" s="25" t="str">
        <x:v>functional_ppr</x:v>
      </x:c>
      <x:c r="C1119" s="25" t="n">
        <x:v>275820022.72623754</x:v>
      </x:c>
      <x:c r="D1119" s="25" t="str">
        <x:v>tonnes_primary_production_equivalent</x:v>
      </x:c>
    </x:row>
    <x:row r="1120" ht="18" customHeight="1">
      <x:c r="A1120" s="25" t="str">
        <x:v>EEZ_324</x:v>
      </x:c>
      <x:c r="B1120" s="25" t="str">
        <x:v>commercial_ppr_difference</x:v>
      </x:c>
      <x:c r="C1120" s="25" t="n">
        <x:v>-54885306.04824686</x:v>
      </x:c>
      <x:c r="D1120" s="25" t="str">
        <x:v>tonnes_primary_production_equivalent</x:v>
      </x:c>
    </x:row>
    <x:row r="1121" ht="18" customHeight="1">
      <x:c r="A1121" s="25" t="str">
        <x:v>EEZ_324</x:v>
      </x:c>
      <x:c r="B1121" s="25" t="str">
        <x:v>functional_ppr_difference</x:v>
      </x:c>
      <x:c r="C1121" s="25" t="n">
        <x:v>-60476915.935380995</x:v>
      </x:c>
      <x:c r="D1121" s="25" t="str">
        <x:v>tonnes_primary_production_equivalent</x:v>
      </x:c>
    </x:row>
    <x:row r="1122" ht="18" customHeight="1">
      <x:c r="A1122" s="25" t="str">
        <x:v>EEZ_328</x:v>
      </x:c>
      <x:c r="B1122" s="25" t="str">
        <x:v>raw_filtered_tonnes</x:v>
      </x:c>
      <x:c r="C1122" s="25" t="n">
        <x:v>57488.0008723285</x:v>
      </x:c>
      <x:c r="D1122" s="25" t="str">
        <x:v>tonnes</x:v>
      </x:c>
    </x:row>
    <x:row r="1123" ht="18" customHeight="1">
      <x:c r="A1123" s="25" t="str">
        <x:v>EEZ_328</x:v>
      </x:c>
      <x:c r="B1123" s="25" t="str">
        <x:v>species_catch_tonnes</x:v>
      </x:c>
      <x:c r="C1123" s="25" t="n">
        <x:v>57488.00087232851</x:v>
      </x:c>
      <x:c r="D1123" s="25" t="str">
        <x:v>tonnes</x:v>
      </x:c>
    </x:row>
    <x:row r="1124" ht="18" customHeight="1">
      <x:c r="A1124" s="25" t="str">
        <x:v>EEZ_328</x:v>
      </x:c>
      <x:c r="B1124" s="25" t="str">
        <x:v>catch_difference_tonnes</x:v>
      </x:c>
      <x:c r="C1124" s="25" t="n">
        <x:v>7.275957614183426e-12</x:v>
      </x:c>
      <x:c r="D1124" s="25" t="str">
        <x:v>tonnes</x:v>
      </x:c>
    </x:row>
    <x:row r="1125" ht="18" customHeight="1">
      <x:c r="A1125" s="25" t="str">
        <x:v>EEZ_328</x:v>
      </x:c>
      <x:c r="B1125" s="25" t="str">
        <x:v>catch_reconciled</x:v>
      </x:c>
      <x:c r="C1125" s="36" t="b">
        <x:v>1</x:v>
      </x:c>
      <x:c r="D1125" s="25" t="str">
        <x:v>boolean</x:v>
      </x:c>
    </x:row>
    <x:row r="1126" ht="18" customHeight="1">
      <x:c r="A1126" s="25" t="str">
        <x:v>EEZ_328</x:v>
      </x:c>
      <x:c r="B1126" s="25" t="str">
        <x:v>matched_catch_tonnes</x:v>
      </x:c>
      <x:c r="C1126" s="25" t="n">
        <x:v>57488.00087232851</x:v>
      </x:c>
      <x:c r="D1126" s="25" t="str">
        <x:v>tonnes</x:v>
      </x:c>
    </x:row>
    <x:row r="1127" ht="18" customHeight="1">
      <x:c r="A1127" s="25" t="str">
        <x:v>EEZ_328</x:v>
      </x:c>
      <x:c r="B1127" s="25" t="str">
        <x:v>catch_coverage_fraction</x:v>
      </x:c>
      <x:c r="C1127" s="25" t="n">
        <x:v>1</x:v>
      </x:c>
      <x:c r="D1127" s="25" t="str">
        <x:v>fraction</x:v>
      </x:c>
    </x:row>
    <x:row r="1128" ht="18" customHeight="1">
      <x:c r="A1128" s="25" t="str">
        <x:v>EEZ_328</x:v>
      </x:c>
      <x:c r="B1128" s="25" t="str">
        <x:v>taxa_count</x:v>
      </x:c>
      <x:c r="C1128" s="25" t="n">
        <x:v>73</x:v>
      </x:c>
      <x:c r="D1128" s="25" t="str">
        <x:v>count</x:v>
      </x:c>
    </x:row>
    <x:row r="1129" ht="18" customHeight="1">
      <x:c r="A1129" s="25" t="str">
        <x:v>EEZ_328</x:v>
      </x:c>
      <x:c r="B1129" s="25" t="str">
        <x:v>matched_taxa_count</x:v>
      </x:c>
      <x:c r="C1129" s="25" t="n">
        <x:v>73</x:v>
      </x:c>
      <x:c r="D1129" s="25" t="str">
        <x:v>count</x:v>
      </x:c>
    </x:row>
    <x:row r="1130" ht="18" customHeight="1">
      <x:c r="A1130" s="25" t="str">
        <x:v>EEZ_328</x:v>
      </x:c>
      <x:c r="B1130" s="25" t="str">
        <x:v>unmatched_taxa_count</x:v>
      </x:c>
      <x:c r="C1130" s="25" t="n">
        <x:v>0</x:v>
      </x:c>
      <x:c r="D1130" s="25" t="str">
        <x:v>count</x:v>
      </x:c>
    </x:row>
    <x:row r="1131" ht="18" customHeight="1">
      <x:c r="A1131" s="25" t="str">
        <x:v>EEZ_328</x:v>
      </x:c>
      <x:c r="B1131" s="25" t="str">
        <x:v>species_ppr</x:v>
      </x:c>
      <x:c r="C1131" s="25" t="n">
        <x:v>27398478.76825124</x:v>
      </x:c>
      <x:c r="D1131" s="25" t="str">
        <x:v>tonnes_primary_production_equivalent</x:v>
      </x:c>
    </x:row>
    <x:row r="1132" ht="18" customHeight="1">
      <x:c r="A1132" s="25" t="str">
        <x:v>EEZ_328</x:v>
      </x:c>
      <x:c r="B1132" s="25" t="str">
        <x:v>commercial_ppr</x:v>
      </x:c>
      <x:c r="C1132" s="25" t="n">
        <x:v>19988048.525769576</x:v>
      </x:c>
      <x:c r="D1132" s="25" t="str">
        <x:v>tonnes_primary_production_equivalent</x:v>
      </x:c>
    </x:row>
    <x:row r="1133" ht="18" customHeight="1">
      <x:c r="A1133" s="25" t="str">
        <x:v>EEZ_328</x:v>
      </x:c>
      <x:c r="B1133" s="25" t="str">
        <x:v>functional_ppr</x:v>
      </x:c>
      <x:c r="C1133" s="25" t="n">
        <x:v>20927821.099836014</x:v>
      </x:c>
      <x:c r="D1133" s="25" t="str">
        <x:v>tonnes_primary_production_equivalent</x:v>
      </x:c>
    </x:row>
    <x:row r="1134" ht="18" customHeight="1">
      <x:c r="A1134" s="25" t="str">
        <x:v>EEZ_328</x:v>
      </x:c>
      <x:c r="B1134" s="25" t="str">
        <x:v>commercial_ppr_difference</x:v>
      </x:c>
      <x:c r="C1134" s="25" t="n">
        <x:v>-7410430.242481664</x:v>
      </x:c>
      <x:c r="D1134" s="25" t="str">
        <x:v>tonnes_primary_production_equivalent</x:v>
      </x:c>
    </x:row>
    <x:row r="1135" ht="18" customHeight="1">
      <x:c r="A1135" s="25" t="str">
        <x:v>EEZ_328</x:v>
      </x:c>
      <x:c r="B1135" s="25" t="str">
        <x:v>functional_ppr_difference</x:v>
      </x:c>
      <x:c r="C1135" s="25" t="n">
        <x:v>-6470657.668415226</x:v>
      </x:c>
      <x:c r="D1135" s="25" t="str">
        <x:v>tonnes_primary_production_equivalent</x:v>
      </x:c>
    </x:row>
    <x:row r="1136" ht="18" customHeight="1">
      <x:c r="A1136" s="25" t="str">
        <x:v>EEZ_332</x:v>
      </x:c>
      <x:c r="B1136" s="25" t="str">
        <x:v>raw_filtered_tonnes</x:v>
      </x:c>
      <x:c r="C1136" s="25" t="n">
        <x:v>25123.669954393197</x:v>
      </x:c>
      <x:c r="D1136" s="25" t="str">
        <x:v>tonnes</x:v>
      </x:c>
    </x:row>
    <x:row r="1137" ht="18" customHeight="1">
      <x:c r="A1137" s="25" t="str">
        <x:v>EEZ_332</x:v>
      </x:c>
      <x:c r="B1137" s="25" t="str">
        <x:v>species_catch_tonnes</x:v>
      </x:c>
      <x:c r="C1137" s="25" t="n">
        <x:v>25123.6699543932</x:v>
      </x:c>
      <x:c r="D1137" s="25" t="str">
        <x:v>tonnes</x:v>
      </x:c>
    </x:row>
    <x:row r="1138" ht="18" customHeight="1">
      <x:c r="A1138" s="25" t="str">
        <x:v>EEZ_332</x:v>
      </x:c>
      <x:c r="B1138" s="25" t="str">
        <x:v>catch_difference_tonnes</x:v>
      </x:c>
      <x:c r="C1138" s="25" t="n">
        <x:v>3.637978807091713e-12</x:v>
      </x:c>
      <x:c r="D1138" s="25" t="str">
        <x:v>tonnes</x:v>
      </x:c>
    </x:row>
    <x:row r="1139" ht="18" customHeight="1">
      <x:c r="A1139" s="25" t="str">
        <x:v>EEZ_332</x:v>
      </x:c>
      <x:c r="B1139" s="25" t="str">
        <x:v>catch_reconciled</x:v>
      </x:c>
      <x:c r="C1139" s="36" t="b">
        <x:v>1</x:v>
      </x:c>
      <x:c r="D1139" s="25" t="str">
        <x:v>boolean</x:v>
      </x:c>
    </x:row>
    <x:row r="1140" ht="18" customHeight="1">
      <x:c r="A1140" s="25" t="str">
        <x:v>EEZ_332</x:v>
      </x:c>
      <x:c r="B1140" s="25" t="str">
        <x:v>matched_catch_tonnes</x:v>
      </x:c>
      <x:c r="C1140" s="25" t="n">
        <x:v>25123.6699543932</x:v>
      </x:c>
      <x:c r="D1140" s="25" t="str">
        <x:v>tonnes</x:v>
      </x:c>
    </x:row>
    <x:row r="1141" ht="18" customHeight="1">
      <x:c r="A1141" s="25" t="str">
        <x:v>EEZ_332</x:v>
      </x:c>
      <x:c r="B1141" s="25" t="str">
        <x:v>catch_coverage_fraction</x:v>
      </x:c>
      <x:c r="C1141" s="25" t="n">
        <x:v>1</x:v>
      </x:c>
      <x:c r="D1141" s="25" t="str">
        <x:v>fraction</x:v>
      </x:c>
    </x:row>
    <x:row r="1142" ht="18" customHeight="1">
      <x:c r="A1142" s="25" t="str">
        <x:v>EEZ_332</x:v>
      </x:c>
      <x:c r="B1142" s="25" t="str">
        <x:v>taxa_count</x:v>
      </x:c>
      <x:c r="C1142" s="25" t="n">
        <x:v>57</x:v>
      </x:c>
      <x:c r="D1142" s="25" t="str">
        <x:v>count</x:v>
      </x:c>
    </x:row>
    <x:row r="1143" ht="18" customHeight="1">
      <x:c r="A1143" s="25" t="str">
        <x:v>EEZ_332</x:v>
      </x:c>
      <x:c r="B1143" s="25" t="str">
        <x:v>matched_taxa_count</x:v>
      </x:c>
      <x:c r="C1143" s="25" t="n">
        <x:v>57</x:v>
      </x:c>
      <x:c r="D1143" s="25" t="str">
        <x:v>count</x:v>
      </x:c>
    </x:row>
    <x:row r="1144" ht="18" customHeight="1">
      <x:c r="A1144" s="25" t="str">
        <x:v>EEZ_332</x:v>
      </x:c>
      <x:c r="B1144" s="25" t="str">
        <x:v>unmatched_taxa_count</x:v>
      </x:c>
      <x:c r="C1144" s="25" t="n">
        <x:v>0</x:v>
      </x:c>
      <x:c r="D1144" s="25" t="str">
        <x:v>count</x:v>
      </x:c>
    </x:row>
    <x:row r="1145" ht="18" customHeight="1">
      <x:c r="A1145" s="25" t="str">
        <x:v>EEZ_332</x:v>
      </x:c>
      <x:c r="B1145" s="25" t="str">
        <x:v>species_ppr</x:v>
      </x:c>
      <x:c r="C1145" s="25" t="n">
        <x:v>23832130.00848978</x:v>
      </x:c>
      <x:c r="D1145" s="25" t="str">
        <x:v>tonnes_primary_production_equivalent</x:v>
      </x:c>
    </x:row>
    <x:row r="1146" ht="18" customHeight="1">
      <x:c r="A1146" s="25" t="str">
        <x:v>EEZ_332</x:v>
      </x:c>
      <x:c r="B1146" s="25" t="str">
        <x:v>commercial_ppr</x:v>
      </x:c>
      <x:c r="C1146" s="25" t="n">
        <x:v>16932952.80603383</x:v>
      </x:c>
      <x:c r="D1146" s="25" t="str">
        <x:v>tonnes_primary_production_equivalent</x:v>
      </x:c>
    </x:row>
    <x:row r="1147" ht="18" customHeight="1">
      <x:c r="A1147" s="25" t="str">
        <x:v>EEZ_332</x:v>
      </x:c>
      <x:c r="B1147" s="25" t="str">
        <x:v>functional_ppr</x:v>
      </x:c>
      <x:c r="C1147" s="25" t="n">
        <x:v>19193633.199441336</x:v>
      </x:c>
      <x:c r="D1147" s="25" t="str">
        <x:v>tonnes_primary_production_equivalent</x:v>
      </x:c>
    </x:row>
    <x:row r="1148" ht="18" customHeight="1">
      <x:c r="A1148" s="25" t="str">
        <x:v>EEZ_332</x:v>
      </x:c>
      <x:c r="B1148" s="25" t="str">
        <x:v>commercial_ppr_difference</x:v>
      </x:c>
      <x:c r="C1148" s="25" t="n">
        <x:v>-6899177.202455949</x:v>
      </x:c>
      <x:c r="D1148" s="25" t="str">
        <x:v>tonnes_primary_production_equivalent</x:v>
      </x:c>
    </x:row>
    <x:row r="1149" ht="18" customHeight="1">
      <x:c r="A1149" s="25" t="str">
        <x:v>EEZ_332</x:v>
      </x:c>
      <x:c r="B1149" s="25" t="str">
        <x:v>functional_ppr_difference</x:v>
      </x:c>
      <x:c r="C1149" s="25" t="n">
        <x:v>-4638496.809048444</x:v>
      </x:c>
      <x:c r="D1149" s="25" t="str">
        <x:v>tonnes_primary_production_equivalent</x:v>
      </x:c>
    </x:row>
    <x:row r="1150" ht="18" customHeight="1">
      <x:c r="A1150" s="25" t="str">
        <x:v>EEZ_334</x:v>
      </x:c>
      <x:c r="B1150" s="25" t="str">
        <x:v>raw_filtered_tonnes</x:v>
      </x:c>
      <x:c r="C1150" s="25" t="n">
        <x:v>4250.4902151652</x:v>
      </x:c>
      <x:c r="D1150" s="25" t="str">
        <x:v>tonnes</x:v>
      </x:c>
    </x:row>
    <x:row r="1151" ht="18" customHeight="1">
      <x:c r="A1151" s="25" t="str">
        <x:v>EEZ_334</x:v>
      </x:c>
      <x:c r="B1151" s="25" t="str">
        <x:v>species_catch_tonnes</x:v>
      </x:c>
      <x:c r="C1151" s="25" t="n">
        <x:v>4250.4902151652</x:v>
      </x:c>
      <x:c r="D1151" s="25" t="str">
        <x:v>tonnes</x:v>
      </x:c>
    </x:row>
    <x:row r="1152" ht="18" customHeight="1">
      <x:c r="A1152" s="25" t="str">
        <x:v>EEZ_334</x:v>
      </x:c>
      <x:c r="B1152" s="25" t="str">
        <x:v>catch_difference_tonnes</x:v>
      </x:c>
      <x:c r="C1152" s="25" t="n">
        <x:v>0</x:v>
      </x:c>
      <x:c r="D1152" s="25" t="str">
        <x:v>tonnes</x:v>
      </x:c>
    </x:row>
    <x:row r="1153" ht="18" customHeight="1">
      <x:c r="A1153" s="25" t="str">
        <x:v>EEZ_334</x:v>
      </x:c>
      <x:c r="B1153" s="25" t="str">
        <x:v>catch_reconciled</x:v>
      </x:c>
      <x:c r="C1153" s="36" t="b">
        <x:v>1</x:v>
      </x:c>
      <x:c r="D1153" s="25" t="str">
        <x:v>boolean</x:v>
      </x:c>
    </x:row>
    <x:row r="1154" ht="18" customHeight="1">
      <x:c r="A1154" s="25" t="str">
        <x:v>EEZ_334</x:v>
      </x:c>
      <x:c r="B1154" s="25" t="str">
        <x:v>matched_catch_tonnes</x:v>
      </x:c>
      <x:c r="C1154" s="25" t="n">
        <x:v>4250.4902151652</x:v>
      </x:c>
      <x:c r="D1154" s="25" t="str">
        <x:v>tonnes</x:v>
      </x:c>
    </x:row>
    <x:row r="1155" ht="18" customHeight="1">
      <x:c r="A1155" s="25" t="str">
        <x:v>EEZ_334</x:v>
      </x:c>
      <x:c r="B1155" s="25" t="str">
        <x:v>catch_coverage_fraction</x:v>
      </x:c>
      <x:c r="C1155" s="25" t="n">
        <x:v>1</x:v>
      </x:c>
      <x:c r="D1155" s="25" t="str">
        <x:v>fraction</x:v>
      </x:c>
    </x:row>
    <x:row r="1156" ht="18" customHeight="1">
      <x:c r="A1156" s="25" t="str">
        <x:v>EEZ_334</x:v>
      </x:c>
      <x:c r="B1156" s="25" t="str">
        <x:v>taxa_count</x:v>
      </x:c>
      <x:c r="C1156" s="25" t="n">
        <x:v>33</x:v>
      </x:c>
      <x:c r="D1156" s="25" t="str">
        <x:v>count</x:v>
      </x:c>
    </x:row>
    <x:row r="1157" ht="18" customHeight="1">
      <x:c r="A1157" s="25" t="str">
        <x:v>EEZ_334</x:v>
      </x:c>
      <x:c r="B1157" s="25" t="str">
        <x:v>matched_taxa_count</x:v>
      </x:c>
      <x:c r="C1157" s="25" t="n">
        <x:v>33</x:v>
      </x:c>
      <x:c r="D1157" s="25" t="str">
        <x:v>count</x:v>
      </x:c>
    </x:row>
    <x:row r="1158" ht="18" customHeight="1">
      <x:c r="A1158" s="25" t="str">
        <x:v>EEZ_334</x:v>
      </x:c>
      <x:c r="B1158" s="25" t="str">
        <x:v>unmatched_taxa_count</x:v>
      </x:c>
      <x:c r="C1158" s="25" t="n">
        <x:v>0</x:v>
      </x:c>
      <x:c r="D1158" s="25" t="str">
        <x:v>count</x:v>
      </x:c>
    </x:row>
    <x:row r="1159" ht="18" customHeight="1">
      <x:c r="A1159" s="25" t="str">
        <x:v>EEZ_334</x:v>
      </x:c>
      <x:c r="B1159" s="25" t="str">
        <x:v>species_ppr</x:v>
      </x:c>
      <x:c r="C1159" s="25" t="n">
        <x:v>3029959.8663934683</x:v>
      </x:c>
      <x:c r="D1159" s="25" t="str">
        <x:v>tonnes_primary_production_equivalent</x:v>
      </x:c>
    </x:row>
    <x:row r="1160" ht="18" customHeight="1">
      <x:c r="A1160" s="25" t="str">
        <x:v>EEZ_334</x:v>
      </x:c>
      <x:c r="B1160" s="25" t="str">
        <x:v>commercial_ppr</x:v>
      </x:c>
      <x:c r="C1160" s="25" t="n">
        <x:v>2592325.882496666</x:v>
      </x:c>
      <x:c r="D1160" s="25" t="str">
        <x:v>tonnes_primary_production_equivalent</x:v>
      </x:c>
    </x:row>
    <x:row r="1161" ht="18" customHeight="1">
      <x:c r="A1161" s="25" t="str">
        <x:v>EEZ_334</x:v>
      </x:c>
      <x:c r="B1161" s="25" t="str">
        <x:v>functional_ppr</x:v>
      </x:c>
      <x:c r="C1161" s="25" t="n">
        <x:v>3028833.774266184</x:v>
      </x:c>
      <x:c r="D1161" s="25" t="str">
        <x:v>tonnes_primary_production_equivalent</x:v>
      </x:c>
    </x:row>
    <x:row r="1162" ht="18" customHeight="1">
      <x:c r="A1162" s="25" t="str">
        <x:v>EEZ_334</x:v>
      </x:c>
      <x:c r="B1162" s="25" t="str">
        <x:v>commercial_ppr_difference</x:v>
      </x:c>
      <x:c r="C1162" s="25" t="n">
        <x:v>-437633.9838968022</x:v>
      </x:c>
      <x:c r="D1162" s="25" t="str">
        <x:v>tonnes_primary_production_equivalent</x:v>
      </x:c>
    </x:row>
    <x:row r="1163" ht="18" customHeight="1">
      <x:c r="A1163" s="25" t="str">
        <x:v>EEZ_334</x:v>
      </x:c>
      <x:c r="B1163" s="25" t="str">
        <x:v>functional_ppr_difference</x:v>
      </x:c>
      <x:c r="C1163" s="25" t="n">
        <x:v>-1126.0921272845007</x:v>
      </x:c>
      <x:c r="D1163" s="25" t="str">
        <x:v>tonnes_primary_production_equivalent</x:v>
      </x:c>
    </x:row>
    <x:row r="1164" ht="18" customHeight="1">
      <x:c r="A1164" s="25" t="str">
        <x:v>EEZ_344</x:v>
      </x:c>
      <x:c r="B1164" s="25" t="str">
        <x:v>raw_filtered_tonnes</x:v>
      </x:c>
      <x:c r="C1164" s="25" t="n">
        <x:v>13460.850930421202</x:v>
      </x:c>
      <x:c r="D1164" s="25" t="str">
        <x:v>tonnes</x:v>
      </x:c>
    </x:row>
    <x:row r="1165" ht="18" customHeight="1">
      <x:c r="A1165" s="25" t="str">
        <x:v>EEZ_344</x:v>
      </x:c>
      <x:c r="B1165" s="25" t="str">
        <x:v>species_catch_tonnes</x:v>
      </x:c>
      <x:c r="C1165" s="25" t="n">
        <x:v>13460.850930421202</x:v>
      </x:c>
      <x:c r="D1165" s="25" t="str">
        <x:v>tonnes</x:v>
      </x:c>
    </x:row>
    <x:row r="1166" ht="18" customHeight="1">
      <x:c r="A1166" s="25" t="str">
        <x:v>EEZ_344</x:v>
      </x:c>
      <x:c r="B1166" s="25" t="str">
        <x:v>catch_difference_tonnes</x:v>
      </x:c>
      <x:c r="C1166" s="25" t="n">
        <x:v>0</x:v>
      </x:c>
      <x:c r="D1166" s="25" t="str">
        <x:v>tonnes</x:v>
      </x:c>
    </x:row>
    <x:row r="1167" ht="18" customHeight="1">
      <x:c r="A1167" s="25" t="str">
        <x:v>EEZ_344</x:v>
      </x:c>
      <x:c r="B1167" s="25" t="str">
        <x:v>catch_reconciled</x:v>
      </x:c>
      <x:c r="C1167" s="36" t="b">
        <x:v>1</x:v>
      </x:c>
      <x:c r="D1167" s="25" t="str">
        <x:v>boolean</x:v>
      </x:c>
    </x:row>
    <x:row r="1168" ht="18" customHeight="1">
      <x:c r="A1168" s="25" t="str">
        <x:v>EEZ_344</x:v>
      </x:c>
      <x:c r="B1168" s="25" t="str">
        <x:v>matched_catch_tonnes</x:v>
      </x:c>
      <x:c r="C1168" s="25" t="n">
        <x:v>13460.850930421202</x:v>
      </x:c>
      <x:c r="D1168" s="25" t="str">
        <x:v>tonnes</x:v>
      </x:c>
    </x:row>
    <x:row r="1169" ht="18" customHeight="1">
      <x:c r="A1169" s="25" t="str">
        <x:v>EEZ_344</x:v>
      </x:c>
      <x:c r="B1169" s="25" t="str">
        <x:v>catch_coverage_fraction</x:v>
      </x:c>
      <x:c r="C1169" s="25" t="n">
        <x:v>1</x:v>
      </x:c>
      <x:c r="D1169" s="25" t="str">
        <x:v>fraction</x:v>
      </x:c>
    </x:row>
    <x:row r="1170" ht="18" customHeight="1">
      <x:c r="A1170" s="25" t="str">
        <x:v>EEZ_344</x:v>
      </x:c>
      <x:c r="B1170" s="25" t="str">
        <x:v>taxa_count</x:v>
      </x:c>
      <x:c r="C1170" s="25" t="n">
        <x:v>49</x:v>
      </x:c>
      <x:c r="D1170" s="25" t="str">
        <x:v>count</x:v>
      </x:c>
    </x:row>
    <x:row r="1171" ht="18" customHeight="1">
      <x:c r="A1171" s="25" t="str">
        <x:v>EEZ_344</x:v>
      </x:c>
      <x:c r="B1171" s="25" t="str">
        <x:v>matched_taxa_count</x:v>
      </x:c>
      <x:c r="C1171" s="25" t="n">
        <x:v>49</x:v>
      </x:c>
      <x:c r="D1171" s="25" t="str">
        <x:v>count</x:v>
      </x:c>
    </x:row>
    <x:row r="1172" ht="18" customHeight="1">
      <x:c r="A1172" s="25" t="str">
        <x:v>EEZ_344</x:v>
      </x:c>
      <x:c r="B1172" s="25" t="str">
        <x:v>unmatched_taxa_count</x:v>
      </x:c>
      <x:c r="C1172" s="25" t="n">
        <x:v>0</x:v>
      </x:c>
      <x:c r="D1172" s="25" t="str">
        <x:v>count</x:v>
      </x:c>
    </x:row>
    <x:row r="1173" ht="18" customHeight="1">
      <x:c r="A1173" s="25" t="str">
        <x:v>EEZ_344</x:v>
      </x:c>
      <x:c r="B1173" s="25" t="str">
        <x:v>species_ppr</x:v>
      </x:c>
      <x:c r="C1173" s="25" t="n">
        <x:v>5045326.844836413</x:v>
      </x:c>
      <x:c r="D1173" s="25" t="str">
        <x:v>tonnes_primary_production_equivalent</x:v>
      </x:c>
    </x:row>
    <x:row r="1174" ht="18" customHeight="1">
      <x:c r="A1174" s="25" t="str">
        <x:v>EEZ_344</x:v>
      </x:c>
      <x:c r="B1174" s="25" t="str">
        <x:v>commercial_ppr</x:v>
      </x:c>
      <x:c r="C1174" s="25" t="n">
        <x:v>3532998.8063877104</x:v>
      </x:c>
      <x:c r="D1174" s="25" t="str">
        <x:v>tonnes_primary_production_equivalent</x:v>
      </x:c>
    </x:row>
    <x:row r="1175" ht="18" customHeight="1">
      <x:c r="A1175" s="25" t="str">
        <x:v>EEZ_344</x:v>
      </x:c>
      <x:c r="B1175" s="25" t="str">
        <x:v>functional_ppr</x:v>
      </x:c>
      <x:c r="C1175" s="25" t="n">
        <x:v>4545123.895361967</x:v>
      </x:c>
      <x:c r="D1175" s="25" t="str">
        <x:v>tonnes_primary_production_equivalent</x:v>
      </x:c>
    </x:row>
    <x:row r="1176" ht="18" customHeight="1">
      <x:c r="A1176" s="25" t="str">
        <x:v>EEZ_344</x:v>
      </x:c>
      <x:c r="B1176" s="25" t="str">
        <x:v>commercial_ppr_difference</x:v>
      </x:c>
      <x:c r="C1176" s="25" t="n">
        <x:v>-1512328.0384487025</x:v>
      </x:c>
      <x:c r="D1176" s="25" t="str">
        <x:v>tonnes_primary_production_equivalent</x:v>
      </x:c>
    </x:row>
    <x:row r="1177" ht="18" customHeight="1">
      <x:c r="A1177" s="25" t="str">
        <x:v>EEZ_344</x:v>
      </x:c>
      <x:c r="B1177" s="25" t="str">
        <x:v>functional_ppr_difference</x:v>
      </x:c>
      <x:c r="C1177" s="25" t="n">
        <x:v>-500202.94947444554</x:v>
      </x:c>
      <x:c r="D1177" s="25" t="str">
        <x:v>tonnes_primary_production_equivalent</x:v>
      </x:c>
    </x:row>
    <x:row r="1178" ht="18" customHeight="1">
      <x:c r="A1178" s="25" t="str">
        <x:v>EEZ_352</x:v>
      </x:c>
      <x:c r="B1178" s="25" t="str">
        <x:v>raw_filtered_tonnes</x:v>
      </x:c>
      <x:c r="C1178" s="25" t="n">
        <x:v>755890.0550702653</x:v>
      </x:c>
      <x:c r="D1178" s="25" t="str">
        <x:v>tonnes</x:v>
      </x:c>
    </x:row>
    <x:row r="1179" ht="18" customHeight="1">
      <x:c r="A1179" s="25" t="str">
        <x:v>EEZ_352</x:v>
      </x:c>
      <x:c r="B1179" s="25" t="str">
        <x:v>species_catch_tonnes</x:v>
      </x:c>
      <x:c r="C1179" s="25" t="n">
        <x:v>755890.0550702651</x:v>
      </x:c>
      <x:c r="D1179" s="25" t="str">
        <x:v>tonnes</x:v>
      </x:c>
    </x:row>
    <x:row r="1180" ht="18" customHeight="1">
      <x:c r="A1180" s="25" t="str">
        <x:v>EEZ_352</x:v>
      </x:c>
      <x:c r="B1180" s="25" t="str">
        <x:v>catch_difference_tonnes</x:v>
      </x:c>
      <x:c r="C1180" s="25" t="n">
        <x:v>-2.3283064365386963e-10</x:v>
      </x:c>
      <x:c r="D1180" s="25" t="str">
        <x:v>tonnes</x:v>
      </x:c>
    </x:row>
    <x:row r="1181" ht="18" customHeight="1">
      <x:c r="A1181" s="25" t="str">
        <x:v>EEZ_352</x:v>
      </x:c>
      <x:c r="B1181" s="25" t="str">
        <x:v>catch_reconciled</x:v>
      </x:c>
      <x:c r="C1181" s="36" t="b">
        <x:v>1</x:v>
      </x:c>
      <x:c r="D1181" s="25" t="str">
        <x:v>boolean</x:v>
      </x:c>
    </x:row>
    <x:row r="1182" ht="18" customHeight="1">
      <x:c r="A1182" s="25" t="str">
        <x:v>EEZ_352</x:v>
      </x:c>
      <x:c r="B1182" s="25" t="str">
        <x:v>matched_catch_tonnes</x:v>
      </x:c>
      <x:c r="C1182" s="25" t="n">
        <x:v>755890.0550702651</x:v>
      </x:c>
      <x:c r="D1182" s="25" t="str">
        <x:v>tonnes</x:v>
      </x:c>
    </x:row>
    <x:row r="1183" ht="18" customHeight="1">
      <x:c r="A1183" s="25" t="str">
        <x:v>EEZ_352</x:v>
      </x:c>
      <x:c r="B1183" s="25" t="str">
        <x:v>catch_coverage_fraction</x:v>
      </x:c>
      <x:c r="C1183" s="25" t="n">
        <x:v>1</x:v>
      </x:c>
      <x:c r="D1183" s="25" t="str">
        <x:v>fraction</x:v>
      </x:c>
    </x:row>
    <x:row r="1184" ht="18" customHeight="1">
      <x:c r="A1184" s="25" t="str">
        <x:v>EEZ_352</x:v>
      </x:c>
      <x:c r="B1184" s="25" t="str">
        <x:v>taxa_count</x:v>
      </x:c>
      <x:c r="C1184" s="25" t="n">
        <x:v>79</x:v>
      </x:c>
      <x:c r="D1184" s="25" t="str">
        <x:v>count</x:v>
      </x:c>
    </x:row>
    <x:row r="1185" ht="18" customHeight="1">
      <x:c r="A1185" s="25" t="str">
        <x:v>EEZ_352</x:v>
      </x:c>
      <x:c r="B1185" s="25" t="str">
        <x:v>matched_taxa_count</x:v>
      </x:c>
      <x:c r="C1185" s="25" t="n">
        <x:v>79</x:v>
      </x:c>
      <x:c r="D1185" s="25" t="str">
        <x:v>count</x:v>
      </x:c>
    </x:row>
    <x:row r="1186" ht="18" customHeight="1">
      <x:c r="A1186" s="25" t="str">
        <x:v>EEZ_352</x:v>
      </x:c>
      <x:c r="B1186" s="25" t="str">
        <x:v>unmatched_taxa_count</x:v>
      </x:c>
      <x:c r="C1186" s="25" t="n">
        <x:v>0</x:v>
      </x:c>
      <x:c r="D1186" s="25" t="str">
        <x:v>count</x:v>
      </x:c>
    </x:row>
    <x:row r="1187" ht="18" customHeight="1">
      <x:c r="A1187" s="25" t="str">
        <x:v>EEZ_352</x:v>
      </x:c>
      <x:c r="B1187" s="25" t="str">
        <x:v>species_ppr</x:v>
      </x:c>
      <x:c r="C1187" s="25" t="n">
        <x:v>746373735.3016173</x:v>
      </x:c>
      <x:c r="D1187" s="25" t="str">
        <x:v>tonnes_primary_production_equivalent</x:v>
      </x:c>
    </x:row>
    <x:row r="1188" ht="18" customHeight="1">
      <x:c r="A1188" s="25" t="str">
        <x:v>EEZ_352</x:v>
      </x:c>
      <x:c r="B1188" s="25" t="str">
        <x:v>commercial_ppr</x:v>
      </x:c>
      <x:c r="C1188" s="25" t="n">
        <x:v>708464397.4967039</x:v>
      </x:c>
      <x:c r="D1188" s="25" t="str">
        <x:v>tonnes_primary_production_equivalent</x:v>
      </x:c>
    </x:row>
    <x:row r="1189" ht="18" customHeight="1">
      <x:c r="A1189" s="25" t="str">
        <x:v>EEZ_352</x:v>
      </x:c>
      <x:c r="B1189" s="25" t="str">
        <x:v>functional_ppr</x:v>
      </x:c>
      <x:c r="C1189" s="25" t="n">
        <x:v>686516663.3818655</x:v>
      </x:c>
      <x:c r="D1189" s="25" t="str">
        <x:v>tonnes_primary_production_equivalent</x:v>
      </x:c>
    </x:row>
    <x:row r="1190" ht="18" customHeight="1">
      <x:c r="A1190" s="25" t="str">
        <x:v>EEZ_352</x:v>
      </x:c>
      <x:c r="B1190" s="25" t="str">
        <x:v>commercial_ppr_difference</x:v>
      </x:c>
      <x:c r="C1190" s="25" t="n">
        <x:v>-37909337.8049134</x:v>
      </x:c>
      <x:c r="D1190" s="25" t="str">
        <x:v>tonnes_primary_production_equivalent</x:v>
      </x:c>
    </x:row>
    <x:row r="1191" ht="18" customHeight="1">
      <x:c r="A1191" s="25" t="str">
        <x:v>EEZ_352</x:v>
      </x:c>
      <x:c r="B1191" s="25" t="str">
        <x:v>functional_ppr_difference</x:v>
      </x:c>
      <x:c r="C1191" s="25" t="n">
        <x:v>-59857071.91975176</x:v>
      </x:c>
      <x:c r="D1191" s="25" t="str">
        <x:v>tonnes_primary_production_equivalent</x:v>
      </x:c>
    </x:row>
    <x:row r="1192" ht="18" customHeight="1">
      <x:c r="A1192" s="25" t="str">
        <x:v>EEZ_356</x:v>
      </x:c>
      <x:c r="B1192" s="25" t="str">
        <x:v>raw_filtered_tonnes</x:v>
      </x:c>
      <x:c r="C1192" s="25" t="n">
        <x:v>4344032.198932858</x:v>
      </x:c>
      <x:c r="D1192" s="25" t="str">
        <x:v>tonnes</x:v>
      </x:c>
    </x:row>
    <x:row r="1193" ht="18" customHeight="1">
      <x:c r="A1193" s="25" t="str">
        <x:v>EEZ_356</x:v>
      </x:c>
      <x:c r="B1193" s="25" t="str">
        <x:v>species_catch_tonnes</x:v>
      </x:c>
      <x:c r="C1193" s="25" t="n">
        <x:v>4344032.198932858</x:v>
      </x:c>
      <x:c r="D1193" s="25" t="str">
        <x:v>tonnes</x:v>
      </x:c>
    </x:row>
    <x:row r="1194" ht="18" customHeight="1">
      <x:c r="A1194" s="25" t="str">
        <x:v>EEZ_356</x:v>
      </x:c>
      <x:c r="B1194" s="25" t="str">
        <x:v>catch_difference_tonnes</x:v>
      </x:c>
      <x:c r="C1194" s="25" t="n">
        <x:v>0</x:v>
      </x:c>
      <x:c r="D1194" s="25" t="str">
        <x:v>tonnes</x:v>
      </x:c>
    </x:row>
    <x:row r="1195" ht="18" customHeight="1">
      <x:c r="A1195" s="25" t="str">
        <x:v>EEZ_356</x:v>
      </x:c>
      <x:c r="B1195" s="25" t="str">
        <x:v>catch_reconciled</x:v>
      </x:c>
      <x:c r="C1195" s="36" t="b">
        <x:v>1</x:v>
      </x:c>
      <x:c r="D1195" s="25" t="str">
        <x:v>boolean</x:v>
      </x:c>
    </x:row>
    <x:row r="1196" ht="18" customHeight="1">
      <x:c r="A1196" s="25" t="str">
        <x:v>EEZ_356</x:v>
      </x:c>
      <x:c r="B1196" s="25" t="str">
        <x:v>matched_catch_tonnes</x:v>
      </x:c>
      <x:c r="C1196" s="25" t="n">
        <x:v>4344032.198932858</x:v>
      </x:c>
      <x:c r="D1196" s="25" t="str">
        <x:v>tonnes</x:v>
      </x:c>
    </x:row>
    <x:row r="1197" ht="18" customHeight="1">
      <x:c r="A1197" s="25" t="str">
        <x:v>EEZ_356</x:v>
      </x:c>
      <x:c r="B1197" s="25" t="str">
        <x:v>catch_coverage_fraction</x:v>
      </x:c>
      <x:c r="C1197" s="25" t="n">
        <x:v>1</x:v>
      </x:c>
      <x:c r="D1197" s="25" t="str">
        <x:v>fraction</x:v>
      </x:c>
    </x:row>
    <x:row r="1198" ht="18" customHeight="1">
      <x:c r="A1198" s="25" t="str">
        <x:v>EEZ_356</x:v>
      </x:c>
      <x:c r="B1198" s="25" t="str">
        <x:v>taxa_count</x:v>
      </x:c>
      <x:c r="C1198" s="25" t="n">
        <x:v>151</x:v>
      </x:c>
      <x:c r="D1198" s="25" t="str">
        <x:v>count</x:v>
      </x:c>
    </x:row>
    <x:row r="1199" ht="18" customHeight="1">
      <x:c r="A1199" s="25" t="str">
        <x:v>EEZ_356</x:v>
      </x:c>
      <x:c r="B1199" s="25" t="str">
        <x:v>matched_taxa_count</x:v>
      </x:c>
      <x:c r="C1199" s="25" t="n">
        <x:v>151</x:v>
      </x:c>
      <x:c r="D1199" s="25" t="str">
        <x:v>count</x:v>
      </x:c>
    </x:row>
    <x:row r="1200" ht="18" customHeight="1">
      <x:c r="A1200" s="25" t="str">
        <x:v>EEZ_356</x:v>
      </x:c>
      <x:c r="B1200" s="25" t="str">
        <x:v>unmatched_taxa_count</x:v>
      </x:c>
      <x:c r="C1200" s="25" t="n">
        <x:v>0</x:v>
      </x:c>
      <x:c r="D1200" s="25" t="str">
        <x:v>count</x:v>
      </x:c>
    </x:row>
    <x:row r="1201" ht="18" customHeight="1">
      <x:c r="A1201" s="25" t="str">
        <x:v>EEZ_356</x:v>
      </x:c>
      <x:c r="B1201" s="25" t="str">
        <x:v>species_ppr</x:v>
      </x:c>
      <x:c r="C1201" s="25" t="n">
        <x:v>2254375093.1762247</x:v>
      </x:c>
      <x:c r="D1201" s="25" t="str">
        <x:v>tonnes_primary_production_equivalent</x:v>
      </x:c>
    </x:row>
    <x:row r="1202" ht="18" customHeight="1">
      <x:c r="A1202" s="25" t="str">
        <x:v>EEZ_356</x:v>
      </x:c>
      <x:c r="B1202" s="25" t="str">
        <x:v>commercial_ppr</x:v>
      </x:c>
      <x:c r="C1202" s="25" t="n">
        <x:v>1532529614.0560458</x:v>
      </x:c>
      <x:c r="D1202" s="25" t="str">
        <x:v>tonnes_primary_production_equivalent</x:v>
      </x:c>
    </x:row>
    <x:row r="1203" ht="18" customHeight="1">
      <x:c r="A1203" s="25" t="str">
        <x:v>EEZ_356</x:v>
      </x:c>
      <x:c r="B1203" s="25" t="str">
        <x:v>functional_ppr</x:v>
      </x:c>
      <x:c r="C1203" s="25" t="n">
        <x:v>1805078848.6658754</x:v>
      </x:c>
      <x:c r="D1203" s="25" t="str">
        <x:v>tonnes_primary_production_equivalent</x:v>
      </x:c>
    </x:row>
    <x:row r="1204" ht="18" customHeight="1">
      <x:c r="A1204" s="25" t="str">
        <x:v>EEZ_356</x:v>
      </x:c>
      <x:c r="B1204" s="25" t="str">
        <x:v>commercial_ppr_difference</x:v>
      </x:c>
      <x:c r="C1204" s="25" t="n">
        <x:v>-721845479.1201789</x:v>
      </x:c>
      <x:c r="D1204" s="25" t="str">
        <x:v>tonnes_primary_production_equivalent</x:v>
      </x:c>
    </x:row>
    <x:row r="1205" ht="18" customHeight="1">
      <x:c r="A1205" s="25" t="str">
        <x:v>EEZ_356</x:v>
      </x:c>
      <x:c r="B1205" s="25" t="str">
        <x:v>functional_ppr_difference</x:v>
      </x:c>
      <x:c r="C1205" s="25" t="n">
        <x:v>-449296244.5103493</x:v>
      </x:c>
      <x:c r="D1205" s="25" t="str">
        <x:v>tonnes_primary_production_equivalent</x:v>
      </x:c>
    </x:row>
    <x:row r="1206" ht="18" customHeight="1">
      <x:c r="A1206" s="25" t="str">
        <x:v>EEZ_357</x:v>
      </x:c>
      <x:c r="B1206" s="25" t="str">
        <x:v>raw_filtered_tonnes</x:v>
      </x:c>
      <x:c r="C1206" s="25" t="n">
        <x:v>61303.310995657004</x:v>
      </x:c>
      <x:c r="D1206" s="25" t="str">
        <x:v>tonnes</x:v>
      </x:c>
    </x:row>
    <x:row r="1207" ht="18" customHeight="1">
      <x:c r="A1207" s="25" t="str">
        <x:v>EEZ_357</x:v>
      </x:c>
      <x:c r="B1207" s="25" t="str">
        <x:v>species_catch_tonnes</x:v>
      </x:c>
      <x:c r="C1207" s="25" t="n">
        <x:v>61303.310995657</x:v>
      </x:c>
      <x:c r="D1207" s="25" t="str">
        <x:v>tonnes</x:v>
      </x:c>
    </x:row>
    <x:row r="1208" ht="18" customHeight="1">
      <x:c r="A1208" s="25" t="str">
        <x:v>EEZ_357</x:v>
      </x:c>
      <x:c r="B1208" s="25" t="str">
        <x:v>catch_difference_tonnes</x:v>
      </x:c>
      <x:c r="C1208" s="25" t="n">
        <x:v>-7.275957614183426e-12</x:v>
      </x:c>
      <x:c r="D1208" s="25" t="str">
        <x:v>tonnes</x:v>
      </x:c>
    </x:row>
    <x:row r="1209" ht="18" customHeight="1">
      <x:c r="A1209" s="25" t="str">
        <x:v>EEZ_357</x:v>
      </x:c>
      <x:c r="B1209" s="25" t="str">
        <x:v>catch_reconciled</x:v>
      </x:c>
      <x:c r="C1209" s="36" t="b">
        <x:v>1</x:v>
      </x:c>
      <x:c r="D1209" s="25" t="str">
        <x:v>boolean</x:v>
      </x:c>
    </x:row>
    <x:row r="1210" ht="18" customHeight="1">
      <x:c r="A1210" s="25" t="str">
        <x:v>EEZ_357</x:v>
      </x:c>
      <x:c r="B1210" s="25" t="str">
        <x:v>matched_catch_tonnes</x:v>
      </x:c>
      <x:c r="C1210" s="25" t="n">
        <x:v>61303.310995657</x:v>
      </x:c>
      <x:c r="D1210" s="25" t="str">
        <x:v>tonnes</x:v>
      </x:c>
    </x:row>
    <x:row r="1211" ht="18" customHeight="1">
      <x:c r="A1211" s="25" t="str">
        <x:v>EEZ_357</x:v>
      </x:c>
      <x:c r="B1211" s="25" t="str">
        <x:v>catch_coverage_fraction</x:v>
      </x:c>
      <x:c r="C1211" s="25" t="n">
        <x:v>1</x:v>
      </x:c>
      <x:c r="D1211" s="25" t="str">
        <x:v>fraction</x:v>
      </x:c>
    </x:row>
    <x:row r="1212" ht="18" customHeight="1">
      <x:c r="A1212" s="25" t="str">
        <x:v>EEZ_357</x:v>
      </x:c>
      <x:c r="B1212" s="25" t="str">
        <x:v>taxa_count</x:v>
      </x:c>
      <x:c r="C1212" s="25" t="n">
        <x:v>90</x:v>
      </x:c>
      <x:c r="D1212" s="25" t="str">
        <x:v>count</x:v>
      </x:c>
    </x:row>
    <x:row r="1213" ht="18" customHeight="1">
      <x:c r="A1213" s="25" t="str">
        <x:v>EEZ_357</x:v>
      </x:c>
      <x:c r="B1213" s="25" t="str">
        <x:v>matched_taxa_count</x:v>
      </x:c>
      <x:c r="C1213" s="25" t="n">
        <x:v>90</x:v>
      </x:c>
      <x:c r="D1213" s="25" t="str">
        <x:v>count</x:v>
      </x:c>
    </x:row>
    <x:row r="1214" ht="18" customHeight="1">
      <x:c r="A1214" s="25" t="str">
        <x:v>EEZ_357</x:v>
      </x:c>
      <x:c r="B1214" s="25" t="str">
        <x:v>unmatched_taxa_count</x:v>
      </x:c>
      <x:c r="C1214" s="25" t="n">
        <x:v>0</x:v>
      </x:c>
      <x:c r="D1214" s="25" t="str">
        <x:v>count</x:v>
      </x:c>
    </x:row>
    <x:row r="1215" ht="18" customHeight="1">
      <x:c r="A1215" s="25" t="str">
        <x:v>EEZ_357</x:v>
      </x:c>
      <x:c r="B1215" s="25" t="str">
        <x:v>species_ppr</x:v>
      </x:c>
      <x:c r="C1215" s="25" t="n">
        <x:v>69444286.60999125</x:v>
      </x:c>
      <x:c r="D1215" s="25" t="str">
        <x:v>tonnes_primary_production_equivalent</x:v>
      </x:c>
    </x:row>
    <x:row r="1216" ht="18" customHeight="1">
      <x:c r="A1216" s="25" t="str">
        <x:v>EEZ_357</x:v>
      </x:c>
      <x:c r="B1216" s="25" t="str">
        <x:v>commercial_ppr</x:v>
      </x:c>
      <x:c r="C1216" s="25" t="n">
        <x:v>53936063.19903991</x:v>
      </x:c>
      <x:c r="D1216" s="25" t="str">
        <x:v>tonnes_primary_production_equivalent</x:v>
      </x:c>
    </x:row>
    <x:row r="1217" ht="18" customHeight="1">
      <x:c r="A1217" s="25" t="str">
        <x:v>EEZ_357</x:v>
      </x:c>
      <x:c r="B1217" s="25" t="str">
        <x:v>functional_ppr</x:v>
      </x:c>
      <x:c r="C1217" s="25" t="n">
        <x:v>62035701.98379009</x:v>
      </x:c>
      <x:c r="D1217" s="25" t="str">
        <x:v>tonnes_primary_production_equivalent</x:v>
      </x:c>
    </x:row>
    <x:row r="1218" ht="18" customHeight="1">
      <x:c r="A1218" s="25" t="str">
        <x:v>EEZ_357</x:v>
      </x:c>
      <x:c r="B1218" s="25" t="str">
        <x:v>commercial_ppr_difference</x:v>
      </x:c>
      <x:c r="C1218" s="25" t="n">
        <x:v>-15508223.410951339</x:v>
      </x:c>
      <x:c r="D1218" s="25" t="str">
        <x:v>tonnes_primary_production_equivalent</x:v>
      </x:c>
    </x:row>
    <x:row r="1219" ht="18" customHeight="1">
      <x:c r="A1219" s="25" t="str">
        <x:v>EEZ_357</x:v>
      </x:c>
      <x:c r="B1219" s="25" t="str">
        <x:v>functional_ppr_difference</x:v>
      </x:c>
      <x:c r="C1219" s="25" t="n">
        <x:v>-7408584.62620116</x:v>
      </x:c>
      <x:c r="D1219" s="25" t="str">
        <x:v>tonnes_primary_production_equivalent</x:v>
      </x:c>
    </x:row>
    <x:row r="1220" ht="18" customHeight="1">
      <x:c r="A1220" s="25" t="str">
        <x:v>EEZ_361</x:v>
      </x:c>
      <x:c r="B1220" s="25" t="str">
        <x:v>raw_filtered_tonnes</x:v>
      </x:c>
      <x:c r="C1220" s="25" t="n">
        <x:v>3382553.534088444</x:v>
      </x:c>
      <x:c r="D1220" s="25" t="str">
        <x:v>tonnes</x:v>
      </x:c>
    </x:row>
    <x:row r="1221" ht="18" customHeight="1">
      <x:c r="A1221" s="25" t="str">
        <x:v>EEZ_361</x:v>
      </x:c>
      <x:c r="B1221" s="25" t="str">
        <x:v>species_catch_tonnes</x:v>
      </x:c>
      <x:c r="C1221" s="25" t="n">
        <x:v>3382553.5340884444</x:v>
      </x:c>
      <x:c r="D1221" s="25" t="str">
        <x:v>tonnes</x:v>
      </x:c>
    </x:row>
    <x:row r="1222" ht="18" customHeight="1">
      <x:c r="A1222" s="25" t="str">
        <x:v>EEZ_361</x:v>
      </x:c>
      <x:c r="B1222" s="25" t="str">
        <x:v>catch_difference_tonnes</x:v>
      </x:c>
      <x:c r="C1222" s="25" t="n">
        <x:v>4.656612873077393e-10</x:v>
      </x:c>
      <x:c r="D1222" s="25" t="str">
        <x:v>tonnes</x:v>
      </x:c>
    </x:row>
    <x:row r="1223" ht="18" customHeight="1">
      <x:c r="A1223" s="25" t="str">
        <x:v>EEZ_361</x:v>
      </x:c>
      <x:c r="B1223" s="25" t="str">
        <x:v>catch_reconciled</x:v>
      </x:c>
      <x:c r="C1223" s="36" t="b">
        <x:v>1</x:v>
      </x:c>
      <x:c r="D1223" s="25" t="str">
        <x:v>boolean</x:v>
      </x:c>
    </x:row>
    <x:row r="1224" ht="18" customHeight="1">
      <x:c r="A1224" s="25" t="str">
        <x:v>EEZ_361</x:v>
      </x:c>
      <x:c r="B1224" s="25" t="str">
        <x:v>matched_catch_tonnes</x:v>
      </x:c>
      <x:c r="C1224" s="25" t="n">
        <x:v>3382553.5340884444</x:v>
      </x:c>
      <x:c r="D1224" s="25" t="str">
        <x:v>tonnes</x:v>
      </x:c>
    </x:row>
    <x:row r="1225" ht="18" customHeight="1">
      <x:c r="A1225" s="25" t="str">
        <x:v>EEZ_361</x:v>
      </x:c>
      <x:c r="B1225" s="25" t="str">
        <x:v>catch_coverage_fraction</x:v>
      </x:c>
      <x:c r="C1225" s="25" t="n">
        <x:v>1</x:v>
      </x:c>
      <x:c r="D1225" s="25" t="str">
        <x:v>fraction</x:v>
      </x:c>
    </x:row>
    <x:row r="1226" ht="18" customHeight="1">
      <x:c r="A1226" s="25" t="str">
        <x:v>EEZ_361</x:v>
      </x:c>
      <x:c r="B1226" s="25" t="str">
        <x:v>taxa_count</x:v>
      </x:c>
      <x:c r="C1226" s="25" t="n">
        <x:v>146</x:v>
      </x:c>
      <x:c r="D1226" s="25" t="str">
        <x:v>count</x:v>
      </x:c>
    </x:row>
    <x:row r="1227" ht="18" customHeight="1">
      <x:c r="A1227" s="25" t="str">
        <x:v>EEZ_361</x:v>
      </x:c>
      <x:c r="B1227" s="25" t="str">
        <x:v>matched_taxa_count</x:v>
      </x:c>
      <x:c r="C1227" s="25" t="n">
        <x:v>146</x:v>
      </x:c>
      <x:c r="D1227" s="25" t="str">
        <x:v>count</x:v>
      </x:c>
    </x:row>
    <x:row r="1228" ht="18" customHeight="1">
      <x:c r="A1228" s="25" t="str">
        <x:v>EEZ_361</x:v>
      </x:c>
      <x:c r="B1228" s="25" t="str">
        <x:v>unmatched_taxa_count</x:v>
      </x:c>
      <x:c r="C1228" s="25" t="n">
        <x:v>0</x:v>
      </x:c>
      <x:c r="D1228" s="25" t="str">
        <x:v>count</x:v>
      </x:c>
    </x:row>
    <x:row r="1229" ht="18" customHeight="1">
      <x:c r="A1229" s="25" t="str">
        <x:v>EEZ_361</x:v>
      </x:c>
      <x:c r="B1229" s="25" t="str">
        <x:v>species_ppr</x:v>
      </x:c>
      <x:c r="C1229" s="25" t="n">
        <x:v>2093542875.0827374</x:v>
      </x:c>
      <x:c r="D1229" s="25" t="str">
        <x:v>tonnes_primary_production_equivalent</x:v>
      </x:c>
    </x:row>
    <x:row r="1230" ht="18" customHeight="1">
      <x:c r="A1230" s="25" t="str">
        <x:v>EEZ_361</x:v>
      </x:c>
      <x:c r="B1230" s="25" t="str">
        <x:v>commercial_ppr</x:v>
      </x:c>
      <x:c r="C1230" s="25" t="n">
        <x:v>1439043330.8649027</x:v>
      </x:c>
      <x:c r="D1230" s="25" t="str">
        <x:v>tonnes_primary_production_equivalent</x:v>
      </x:c>
    </x:row>
    <x:row r="1231" ht="18" customHeight="1">
      <x:c r="A1231" s="25" t="str">
        <x:v>EEZ_361</x:v>
      </x:c>
      <x:c r="B1231" s="25" t="str">
        <x:v>functional_ppr</x:v>
      </x:c>
      <x:c r="C1231" s="25" t="n">
        <x:v>1548987104.3551705</x:v>
      </x:c>
      <x:c r="D1231" s="25" t="str">
        <x:v>tonnes_primary_production_equivalent</x:v>
      </x:c>
    </x:row>
    <x:row r="1232" ht="18" customHeight="1">
      <x:c r="A1232" s="25" t="str">
        <x:v>EEZ_361</x:v>
      </x:c>
      <x:c r="B1232" s="25" t="str">
        <x:v>commercial_ppr_difference</x:v>
      </x:c>
      <x:c r="C1232" s="25" t="n">
        <x:v>-654499544.2178347</x:v>
      </x:c>
      <x:c r="D1232" s="25" t="str">
        <x:v>tonnes_primary_production_equivalent</x:v>
      </x:c>
    </x:row>
    <x:row r="1233" ht="18" customHeight="1">
      <x:c r="A1233" s="25" t="str">
        <x:v>EEZ_361</x:v>
      </x:c>
      <x:c r="B1233" s="25" t="str">
        <x:v>functional_ppr_difference</x:v>
      </x:c>
      <x:c r="C1233" s="25" t="n">
        <x:v>-544555770.727567</x:v>
      </x:c>
      <x:c r="D1233" s="25" t="str">
        <x:v>tonnes_primary_production_equivalent</x:v>
      </x:c>
    </x:row>
    <x:row r="1234" ht="18" customHeight="1">
      <x:c r="A1234" s="25" t="str">
        <x:v>EEZ_368</x:v>
      </x:c>
      <x:c r="B1234" s="25" t="str">
        <x:v>raw_filtered_tonnes</x:v>
      </x:c>
      <x:c r="C1234" s="25" t="n">
        <x:v>17378.277221609</x:v>
      </x:c>
      <x:c r="D1234" s="25" t="str">
        <x:v>tonnes</x:v>
      </x:c>
    </x:row>
    <x:row r="1235" ht="18" customHeight="1">
      <x:c r="A1235" s="25" t="str">
        <x:v>EEZ_368</x:v>
      </x:c>
      <x:c r="B1235" s="25" t="str">
        <x:v>species_catch_tonnes</x:v>
      </x:c>
      <x:c r="C1235" s="25" t="n">
        <x:v>17378.277221609</x:v>
      </x:c>
      <x:c r="D1235" s="25" t="str">
        <x:v>tonnes</x:v>
      </x:c>
    </x:row>
    <x:row r="1236" ht="18" customHeight="1">
      <x:c r="A1236" s="25" t="str">
        <x:v>EEZ_368</x:v>
      </x:c>
      <x:c r="B1236" s="25" t="str">
        <x:v>catch_difference_tonnes</x:v>
      </x:c>
      <x:c r="C1236" s="25" t="n">
        <x:v>0</x:v>
      </x:c>
      <x:c r="D1236" s="25" t="str">
        <x:v>tonnes</x:v>
      </x:c>
    </x:row>
    <x:row r="1237" ht="18" customHeight="1">
      <x:c r="A1237" s="25" t="str">
        <x:v>EEZ_368</x:v>
      </x:c>
      <x:c r="B1237" s="25" t="str">
        <x:v>catch_reconciled</x:v>
      </x:c>
      <x:c r="C1237" s="36" t="b">
        <x:v>1</x:v>
      </x:c>
      <x:c r="D1237" s="25" t="str">
        <x:v>boolean</x:v>
      </x:c>
    </x:row>
    <x:row r="1238" ht="18" customHeight="1">
      <x:c r="A1238" s="25" t="str">
        <x:v>EEZ_368</x:v>
      </x:c>
      <x:c r="B1238" s="25" t="str">
        <x:v>matched_catch_tonnes</x:v>
      </x:c>
      <x:c r="C1238" s="25" t="n">
        <x:v>17378.277221609</x:v>
      </x:c>
      <x:c r="D1238" s="25" t="str">
        <x:v>tonnes</x:v>
      </x:c>
    </x:row>
    <x:row r="1239" ht="18" customHeight="1">
      <x:c r="A1239" s="25" t="str">
        <x:v>EEZ_368</x:v>
      </x:c>
      <x:c r="B1239" s="25" t="str">
        <x:v>catch_coverage_fraction</x:v>
      </x:c>
      <x:c r="C1239" s="25" t="n">
        <x:v>1</x:v>
      </x:c>
      <x:c r="D1239" s="25" t="str">
        <x:v>fraction</x:v>
      </x:c>
    </x:row>
    <x:row r="1240" ht="18" customHeight="1">
      <x:c r="A1240" s="25" t="str">
        <x:v>EEZ_368</x:v>
      </x:c>
      <x:c r="B1240" s="25" t="str">
        <x:v>taxa_count</x:v>
      </x:c>
      <x:c r="C1240" s="25" t="n">
        <x:v>50</x:v>
      </x:c>
      <x:c r="D1240" s="25" t="str">
        <x:v>count</x:v>
      </x:c>
    </x:row>
    <x:row r="1241" ht="18" customHeight="1">
      <x:c r="A1241" s="25" t="str">
        <x:v>EEZ_368</x:v>
      </x:c>
      <x:c r="B1241" s="25" t="str">
        <x:v>matched_taxa_count</x:v>
      </x:c>
      <x:c r="C1241" s="25" t="n">
        <x:v>50</x:v>
      </x:c>
      <x:c r="D1241" s="25" t="str">
        <x:v>count</x:v>
      </x:c>
    </x:row>
    <x:row r="1242" ht="18" customHeight="1">
      <x:c r="A1242" s="25" t="str">
        <x:v>EEZ_368</x:v>
      </x:c>
      <x:c r="B1242" s="25" t="str">
        <x:v>unmatched_taxa_count</x:v>
      </x:c>
      <x:c r="C1242" s="25" t="n">
        <x:v>0</x:v>
      </x:c>
      <x:c r="D1242" s="25" t="str">
        <x:v>count</x:v>
      </x:c>
    </x:row>
    <x:row r="1243" ht="18" customHeight="1">
      <x:c r="A1243" s="25" t="str">
        <x:v>EEZ_368</x:v>
      </x:c>
      <x:c r="B1243" s="25" t="str">
        <x:v>species_ppr</x:v>
      </x:c>
      <x:c r="C1243" s="25" t="n">
        <x:v>6545752.48582018</x:v>
      </x:c>
      <x:c r="D1243" s="25" t="str">
        <x:v>tonnes_primary_production_equivalent</x:v>
      </x:c>
    </x:row>
    <x:row r="1244" ht="18" customHeight="1">
      <x:c r="A1244" s="25" t="str">
        <x:v>EEZ_368</x:v>
      </x:c>
      <x:c r="B1244" s="25" t="str">
        <x:v>commercial_ppr</x:v>
      </x:c>
      <x:c r="C1244" s="25" t="n">
        <x:v>2297231.475028478</x:v>
      </x:c>
      <x:c r="D1244" s="25" t="str">
        <x:v>tonnes_primary_production_equivalent</x:v>
      </x:c>
    </x:row>
    <x:row r="1245" ht="18" customHeight="1">
      <x:c r="A1245" s="25" t="str">
        <x:v>EEZ_368</x:v>
      </x:c>
      <x:c r="B1245" s="25" t="str">
        <x:v>functional_ppr</x:v>
      </x:c>
      <x:c r="C1245" s="25" t="n">
        <x:v>3443843.0572204525</x:v>
      </x:c>
      <x:c r="D1245" s="25" t="str">
        <x:v>tonnes_primary_production_equivalent</x:v>
      </x:c>
    </x:row>
    <x:row r="1246" ht="18" customHeight="1">
      <x:c r="A1246" s="25" t="str">
        <x:v>EEZ_368</x:v>
      </x:c>
      <x:c r="B1246" s="25" t="str">
        <x:v>commercial_ppr_difference</x:v>
      </x:c>
      <x:c r="C1246" s="25" t="n">
        <x:v>-4248521.010791702</x:v>
      </x:c>
      <x:c r="D1246" s="25" t="str">
        <x:v>tonnes_primary_production_equivalent</x:v>
      </x:c>
    </x:row>
    <x:row r="1247" ht="18" customHeight="1">
      <x:c r="A1247" s="25" t="str">
        <x:v>EEZ_368</x:v>
      </x:c>
      <x:c r="B1247" s="25" t="str">
        <x:v>functional_ppr_difference</x:v>
      </x:c>
      <x:c r="C1247" s="25" t="n">
        <x:v>-3101909.4285997273</x:v>
      </x:c>
      <x:c r="D1247" s="25" t="str">
        <x:v>tonnes_primary_production_equivalent</x:v>
      </x:c>
    </x:row>
    <x:row r="1248" ht="18" customHeight="1">
      <x:c r="A1248" s="25" t="str">
        <x:v>EEZ_372</x:v>
      </x:c>
      <x:c r="B1248" s="25" t="str">
        <x:v>raw_filtered_tonnes</x:v>
      </x:c>
      <x:c r="C1248" s="25" t="n">
        <x:v>408364.4619338021</x:v>
      </x:c>
      <x:c r="D1248" s="25" t="str">
        <x:v>tonnes</x:v>
      </x:c>
    </x:row>
    <x:row r="1249" ht="18" customHeight="1">
      <x:c r="A1249" s="25" t="str">
        <x:v>EEZ_372</x:v>
      </x:c>
      <x:c r="B1249" s="25" t="str">
        <x:v>species_catch_tonnes</x:v>
      </x:c>
      <x:c r="C1249" s="25" t="n">
        <x:v>408364.4619338022</x:v>
      </x:c>
      <x:c r="D1249" s="25" t="str">
        <x:v>tonnes</x:v>
      </x:c>
    </x:row>
    <x:row r="1250" ht="18" customHeight="1">
      <x:c r="A1250" s="25" t="str">
        <x:v>EEZ_372</x:v>
      </x:c>
      <x:c r="B1250" s="25" t="str">
        <x:v>catch_difference_tonnes</x:v>
      </x:c>
      <x:c r="C1250" s="25" t="n">
        <x:v>5.820766091346741e-11</x:v>
      </x:c>
      <x:c r="D1250" s="25" t="str">
        <x:v>tonnes</x:v>
      </x:c>
    </x:row>
    <x:row r="1251" ht="18" customHeight="1">
      <x:c r="A1251" s="25" t="str">
        <x:v>EEZ_372</x:v>
      </x:c>
      <x:c r="B1251" s="25" t="str">
        <x:v>catch_reconciled</x:v>
      </x:c>
      <x:c r="C1251" s="36" t="b">
        <x:v>1</x:v>
      </x:c>
      <x:c r="D1251" s="25" t="str">
        <x:v>boolean</x:v>
      </x:c>
    </x:row>
    <x:row r="1252" ht="18" customHeight="1">
      <x:c r="A1252" s="25" t="str">
        <x:v>EEZ_372</x:v>
      </x:c>
      <x:c r="B1252" s="25" t="str">
        <x:v>matched_catch_tonnes</x:v>
      </x:c>
      <x:c r="C1252" s="25" t="n">
        <x:v>408364.4619338022</x:v>
      </x:c>
      <x:c r="D1252" s="25" t="str">
        <x:v>tonnes</x:v>
      </x:c>
    </x:row>
    <x:row r="1253" ht="18" customHeight="1">
      <x:c r="A1253" s="25" t="str">
        <x:v>EEZ_372</x:v>
      </x:c>
      <x:c r="B1253" s="25" t="str">
        <x:v>catch_coverage_fraction</x:v>
      </x:c>
      <x:c r="C1253" s="25" t="n">
        <x:v>1</x:v>
      </x:c>
      <x:c r="D1253" s="25" t="str">
        <x:v>fraction</x:v>
      </x:c>
    </x:row>
    <x:row r="1254" ht="18" customHeight="1">
      <x:c r="A1254" s="25" t="str">
        <x:v>EEZ_372</x:v>
      </x:c>
      <x:c r="B1254" s="25" t="str">
        <x:v>taxa_count</x:v>
      </x:c>
      <x:c r="C1254" s="25" t="n">
        <x:v>287</x:v>
      </x:c>
      <x:c r="D1254" s="25" t="str">
        <x:v>count</x:v>
      </x:c>
    </x:row>
    <x:row r="1255" ht="18" customHeight="1">
      <x:c r="A1255" s="25" t="str">
        <x:v>EEZ_372</x:v>
      </x:c>
      <x:c r="B1255" s="25" t="str">
        <x:v>matched_taxa_count</x:v>
      </x:c>
      <x:c r="C1255" s="25" t="n">
        <x:v>287</x:v>
      </x:c>
      <x:c r="D1255" s="25" t="str">
        <x:v>count</x:v>
      </x:c>
    </x:row>
    <x:row r="1256" ht="18" customHeight="1">
      <x:c r="A1256" s="25" t="str">
        <x:v>EEZ_372</x:v>
      </x:c>
      <x:c r="B1256" s="25" t="str">
        <x:v>unmatched_taxa_count</x:v>
      </x:c>
      <x:c r="C1256" s="25" t="n">
        <x:v>0</x:v>
      </x:c>
      <x:c r="D1256" s="25" t="str">
        <x:v>count</x:v>
      </x:c>
    </x:row>
    <x:row r="1257" ht="18" customHeight="1">
      <x:c r="A1257" s="25" t="str">
        <x:v>EEZ_372</x:v>
      </x:c>
      <x:c r="B1257" s="25" t="str">
        <x:v>species_ppr</x:v>
      </x:c>
      <x:c r="C1257" s="25" t="n">
        <x:v>466342206.9327241</x:v>
      </x:c>
      <x:c r="D1257" s="25" t="str">
        <x:v>tonnes_primary_production_equivalent</x:v>
      </x:c>
    </x:row>
    <x:row r="1258" ht="18" customHeight="1">
      <x:c r="A1258" s="25" t="str">
        <x:v>EEZ_372</x:v>
      </x:c>
      <x:c r="B1258" s="25" t="str">
        <x:v>commercial_ppr</x:v>
      </x:c>
      <x:c r="C1258" s="25" t="n">
        <x:v>432788434.38743633</x:v>
      </x:c>
      <x:c r="D1258" s="25" t="str">
        <x:v>tonnes_primary_production_equivalent</x:v>
      </x:c>
    </x:row>
    <x:row r="1259" ht="18" customHeight="1">
      <x:c r="A1259" s="25" t="str">
        <x:v>EEZ_372</x:v>
      </x:c>
      <x:c r="B1259" s="25" t="str">
        <x:v>functional_ppr</x:v>
      </x:c>
      <x:c r="C1259" s="25" t="n">
        <x:v>451061367.4826854</x:v>
      </x:c>
      <x:c r="D1259" s="25" t="str">
        <x:v>tonnes_primary_production_equivalent</x:v>
      </x:c>
    </x:row>
    <x:row r="1260" ht="18" customHeight="1">
      <x:c r="A1260" s="25" t="str">
        <x:v>EEZ_372</x:v>
      </x:c>
      <x:c r="B1260" s="25" t="str">
        <x:v>commercial_ppr_difference</x:v>
      </x:c>
      <x:c r="C1260" s="25" t="n">
        <x:v>-33553772.545287788</x:v>
      </x:c>
      <x:c r="D1260" s="25" t="str">
        <x:v>tonnes_primary_production_equivalent</x:v>
      </x:c>
    </x:row>
    <x:row r="1261" ht="18" customHeight="1">
      <x:c r="A1261" s="25" t="str">
        <x:v>EEZ_372</x:v>
      </x:c>
      <x:c r="B1261" s="25" t="str">
        <x:v>functional_ppr_difference</x:v>
      </x:c>
      <x:c r="C1261" s="25" t="n">
        <x:v>-15280839.450038731</x:v>
      </x:c>
      <x:c r="D1261" s="25" t="str">
        <x:v>tonnes_primary_production_equivalent</x:v>
      </x:c>
    </x:row>
    <x:row r="1262" ht="18" customHeight="1">
      <x:c r="A1262" s="25" t="str">
        <x:v>EEZ_380</x:v>
      </x:c>
      <x:c r="B1262" s="25" t="str">
        <x:v>raw_filtered_tonnes</x:v>
      </x:c>
      <x:c r="C1262" s="25" t="n">
        <x:v>234477.5946714614</x:v>
      </x:c>
      <x:c r="D1262" s="25" t="str">
        <x:v>tonnes</x:v>
      </x:c>
    </x:row>
    <x:row r="1263" ht="18" customHeight="1">
      <x:c r="A1263" s="25" t="str">
        <x:v>EEZ_380</x:v>
      </x:c>
      <x:c r="B1263" s="25" t="str">
        <x:v>species_catch_tonnes</x:v>
      </x:c>
      <x:c r="C1263" s="25" t="n">
        <x:v>234477.5946714614</x:v>
      </x:c>
      <x:c r="D1263" s="25" t="str">
        <x:v>tonnes</x:v>
      </x:c>
    </x:row>
    <x:row r="1264" ht="18" customHeight="1">
      <x:c r="A1264" s="25" t="str">
        <x:v>EEZ_380</x:v>
      </x:c>
      <x:c r="B1264" s="25" t="str">
        <x:v>catch_difference_tonnes</x:v>
      </x:c>
      <x:c r="C1264" s="25" t="n">
        <x:v>0</x:v>
      </x:c>
      <x:c r="D1264" s="25" t="str">
        <x:v>tonnes</x:v>
      </x:c>
    </x:row>
    <x:row r="1265" ht="18" customHeight="1">
      <x:c r="A1265" s="25" t="str">
        <x:v>EEZ_380</x:v>
      </x:c>
      <x:c r="B1265" s="25" t="str">
        <x:v>catch_reconciled</x:v>
      </x:c>
      <x:c r="C1265" s="36" t="b">
        <x:v>1</x:v>
      </x:c>
      <x:c r="D1265" s="25" t="str">
        <x:v>boolean</x:v>
      </x:c>
    </x:row>
    <x:row r="1266" ht="18" customHeight="1">
      <x:c r="A1266" s="25" t="str">
        <x:v>EEZ_380</x:v>
      </x:c>
      <x:c r="B1266" s="25" t="str">
        <x:v>matched_catch_tonnes</x:v>
      </x:c>
      <x:c r="C1266" s="25" t="n">
        <x:v>234477.5946714614</x:v>
      </x:c>
      <x:c r="D1266" s="25" t="str">
        <x:v>tonnes</x:v>
      </x:c>
    </x:row>
    <x:row r="1267" ht="18" customHeight="1">
      <x:c r="A1267" s="25" t="str">
        <x:v>EEZ_380</x:v>
      </x:c>
      <x:c r="B1267" s="25" t="str">
        <x:v>catch_coverage_fraction</x:v>
      </x:c>
      <x:c r="C1267" s="25" t="n">
        <x:v>1</x:v>
      </x:c>
      <x:c r="D1267" s="25" t="str">
        <x:v>fraction</x:v>
      </x:c>
    </x:row>
    <x:row r="1268" ht="18" customHeight="1">
      <x:c r="A1268" s="25" t="str">
        <x:v>EEZ_380</x:v>
      </x:c>
      <x:c r="B1268" s="25" t="str">
        <x:v>taxa_count</x:v>
      </x:c>
      <x:c r="C1268" s="25" t="n">
        <x:v>159</x:v>
      </x:c>
      <x:c r="D1268" s="25" t="str">
        <x:v>count</x:v>
      </x:c>
    </x:row>
    <x:row r="1269" ht="18" customHeight="1">
      <x:c r="A1269" s="25" t="str">
        <x:v>EEZ_380</x:v>
      </x:c>
      <x:c r="B1269" s="25" t="str">
        <x:v>matched_taxa_count</x:v>
      </x:c>
      <x:c r="C1269" s="25" t="n">
        <x:v>159</x:v>
      </x:c>
      <x:c r="D1269" s="25" t="str">
        <x:v>count</x:v>
      </x:c>
    </x:row>
    <x:row r="1270" ht="18" customHeight="1">
      <x:c r="A1270" s="25" t="str">
        <x:v>EEZ_380</x:v>
      </x:c>
      <x:c r="B1270" s="25" t="str">
        <x:v>unmatched_taxa_count</x:v>
      </x:c>
      <x:c r="C1270" s="25" t="n">
        <x:v>0</x:v>
      </x:c>
      <x:c r="D1270" s="25" t="str">
        <x:v>count</x:v>
      </x:c>
    </x:row>
    <x:row r="1271" ht="18" customHeight="1">
      <x:c r="A1271" s="25" t="str">
        <x:v>EEZ_380</x:v>
      </x:c>
      <x:c r="B1271" s="25" t="str">
        <x:v>species_ppr</x:v>
      </x:c>
      <x:c r="C1271" s="25" t="n">
        <x:v>166295145.49936318</x:v>
      </x:c>
      <x:c r="D1271" s="25" t="str">
        <x:v>tonnes_primary_production_equivalent</x:v>
      </x:c>
    </x:row>
    <x:row r="1272" ht="18" customHeight="1">
      <x:c r="A1272" s="25" t="str">
        <x:v>EEZ_380</x:v>
      </x:c>
      <x:c r="B1272" s="25" t="str">
        <x:v>commercial_ppr</x:v>
      </x:c>
      <x:c r="C1272" s="25" t="n">
        <x:v>139251647.64297917</x:v>
      </x:c>
      <x:c r="D1272" s="25" t="str">
        <x:v>tonnes_primary_production_equivalent</x:v>
      </x:c>
    </x:row>
    <x:row r="1273" ht="18" customHeight="1">
      <x:c r="A1273" s="25" t="str">
        <x:v>EEZ_380</x:v>
      </x:c>
      <x:c r="B1273" s="25" t="str">
        <x:v>functional_ppr</x:v>
      </x:c>
      <x:c r="C1273" s="25" t="n">
        <x:v>138802843.8086451</x:v>
      </x:c>
      <x:c r="D1273" s="25" t="str">
        <x:v>tonnes_primary_production_equivalent</x:v>
      </x:c>
    </x:row>
    <x:row r="1274" ht="18" customHeight="1">
      <x:c r="A1274" s="25" t="str">
        <x:v>EEZ_380</x:v>
      </x:c>
      <x:c r="B1274" s="25" t="str">
        <x:v>commercial_ppr_difference</x:v>
      </x:c>
      <x:c r="C1274" s="25" t="n">
        <x:v>-27043497.85638401</x:v>
      </x:c>
      <x:c r="D1274" s="25" t="str">
        <x:v>tonnes_primary_production_equivalent</x:v>
      </x:c>
    </x:row>
    <x:row r="1275" ht="18" customHeight="1">
      <x:c r="A1275" s="25" t="str">
        <x:v>EEZ_380</x:v>
      </x:c>
      <x:c r="B1275" s="25" t="str">
        <x:v>functional_ppr_difference</x:v>
      </x:c>
      <x:c r="C1275" s="25" t="n">
        <x:v>-27492301.690718085</x:v>
      </x:c>
      <x:c r="D1275" s="25" t="str">
        <x:v>tonnes_primary_production_equivalent</x:v>
      </x:c>
    </x:row>
    <x:row r="1276" ht="18" customHeight="1">
      <x:c r="A1276" s="25" t="str">
        <x:v>EEZ_384</x:v>
      </x:c>
      <x:c r="B1276" s="25" t="str">
        <x:v>raw_filtered_tonnes</x:v>
      </x:c>
      <x:c r="C1276" s="25" t="n">
        <x:v>239562.6386320301</x:v>
      </x:c>
      <x:c r="D1276" s="25" t="str">
        <x:v>tonnes</x:v>
      </x:c>
    </x:row>
    <x:row r="1277" ht="18" customHeight="1">
      <x:c r="A1277" s="25" t="str">
        <x:v>EEZ_384</x:v>
      </x:c>
      <x:c r="B1277" s="25" t="str">
        <x:v>species_catch_tonnes</x:v>
      </x:c>
      <x:c r="C1277" s="25" t="n">
        <x:v>239562.63863203014</x:v>
      </x:c>
      <x:c r="D1277" s="25" t="str">
        <x:v>tonnes</x:v>
      </x:c>
    </x:row>
    <x:row r="1278" ht="18" customHeight="1">
      <x:c r="A1278" s="25" t="str">
        <x:v>EEZ_384</x:v>
      </x:c>
      <x:c r="B1278" s="25" t="str">
        <x:v>catch_difference_tonnes</x:v>
      </x:c>
      <x:c r="C1278" s="25" t="n">
        <x:v>2.9103830456733704e-11</x:v>
      </x:c>
      <x:c r="D1278" s="25" t="str">
        <x:v>tonnes</x:v>
      </x:c>
    </x:row>
    <x:row r="1279" ht="18" customHeight="1">
      <x:c r="A1279" s="25" t="str">
        <x:v>EEZ_384</x:v>
      </x:c>
      <x:c r="B1279" s="25" t="str">
        <x:v>catch_reconciled</x:v>
      </x:c>
      <x:c r="C1279" s="36" t="b">
        <x:v>1</x:v>
      </x:c>
      <x:c r="D1279" s="25" t="str">
        <x:v>boolean</x:v>
      </x:c>
    </x:row>
    <x:row r="1280" ht="18" customHeight="1">
      <x:c r="A1280" s="25" t="str">
        <x:v>EEZ_384</x:v>
      </x:c>
      <x:c r="B1280" s="25" t="str">
        <x:v>matched_catch_tonnes</x:v>
      </x:c>
      <x:c r="C1280" s="25" t="n">
        <x:v>239562.63863203014</x:v>
      </x:c>
      <x:c r="D1280" s="25" t="str">
        <x:v>tonnes</x:v>
      </x:c>
    </x:row>
    <x:row r="1281" ht="18" customHeight="1">
      <x:c r="A1281" s="25" t="str">
        <x:v>EEZ_384</x:v>
      </x:c>
      <x:c r="B1281" s="25" t="str">
        <x:v>catch_coverage_fraction</x:v>
      </x:c>
      <x:c r="C1281" s="25" t="n">
        <x:v>1</x:v>
      </x:c>
      <x:c r="D1281" s="25" t="str">
        <x:v>fraction</x:v>
      </x:c>
    </x:row>
    <x:row r="1282" ht="18" customHeight="1">
      <x:c r="A1282" s="25" t="str">
        <x:v>EEZ_384</x:v>
      </x:c>
      <x:c r="B1282" s="25" t="str">
        <x:v>taxa_count</x:v>
      </x:c>
      <x:c r="C1282" s="25" t="n">
        <x:v>194</x:v>
      </x:c>
      <x:c r="D1282" s="25" t="str">
        <x:v>count</x:v>
      </x:c>
    </x:row>
    <x:row r="1283" ht="18" customHeight="1">
      <x:c r="A1283" s="25" t="str">
        <x:v>EEZ_384</x:v>
      </x:c>
      <x:c r="B1283" s="25" t="str">
        <x:v>matched_taxa_count</x:v>
      </x:c>
      <x:c r="C1283" s="25" t="n">
        <x:v>194</x:v>
      </x:c>
      <x:c r="D1283" s="25" t="str">
        <x:v>count</x:v>
      </x:c>
    </x:row>
    <x:row r="1284" ht="18" customHeight="1">
      <x:c r="A1284" s="25" t="str">
        <x:v>EEZ_384</x:v>
      </x:c>
      <x:c r="B1284" s="25" t="str">
        <x:v>unmatched_taxa_count</x:v>
      </x:c>
      <x:c r="C1284" s="25" t="n">
        <x:v>0</x:v>
      </x:c>
      <x:c r="D1284" s="25" t="str">
        <x:v>count</x:v>
      </x:c>
    </x:row>
    <x:row r="1285" ht="18" customHeight="1">
      <x:c r="A1285" s="25" t="str">
        <x:v>EEZ_384</x:v>
      </x:c>
      <x:c r="B1285" s="25" t="str">
        <x:v>species_ppr</x:v>
      </x:c>
      <x:c r="C1285" s="25" t="n">
        <x:v>133414622.3409288</x:v>
      </x:c>
      <x:c r="D1285" s="25" t="str">
        <x:v>tonnes_primary_production_equivalent</x:v>
      </x:c>
    </x:row>
    <x:row r="1286" ht="18" customHeight="1">
      <x:c r="A1286" s="25" t="str">
        <x:v>EEZ_384</x:v>
      </x:c>
      <x:c r="B1286" s="25" t="str">
        <x:v>commercial_ppr</x:v>
      </x:c>
      <x:c r="C1286" s="25" t="n">
        <x:v>119396344.3349186</x:v>
      </x:c>
      <x:c r="D1286" s="25" t="str">
        <x:v>tonnes_primary_production_equivalent</x:v>
      </x:c>
    </x:row>
    <x:row r="1287" ht="18" customHeight="1">
      <x:c r="A1287" s="25" t="str">
        <x:v>EEZ_384</x:v>
      </x:c>
      <x:c r="B1287" s="25" t="str">
        <x:v>functional_ppr</x:v>
      </x:c>
      <x:c r="C1287" s="25" t="n">
        <x:v>118271335.48023751</x:v>
      </x:c>
      <x:c r="D1287" s="25" t="str">
        <x:v>tonnes_primary_production_equivalent</x:v>
      </x:c>
    </x:row>
    <x:row r="1288" ht="18" customHeight="1">
      <x:c r="A1288" s="25" t="str">
        <x:v>EEZ_384</x:v>
      </x:c>
      <x:c r="B1288" s="25" t="str">
        <x:v>commercial_ppr_difference</x:v>
      </x:c>
      <x:c r="C1288" s="25" t="n">
        <x:v>-14018278.00601019</x:v>
      </x:c>
      <x:c r="D1288" s="25" t="str">
        <x:v>tonnes_primary_production_equivalent</x:v>
      </x:c>
    </x:row>
    <x:row r="1289" ht="18" customHeight="1">
      <x:c r="A1289" s="25" t="str">
        <x:v>EEZ_384</x:v>
      </x:c>
      <x:c r="B1289" s="25" t="str">
        <x:v>functional_ppr_difference</x:v>
      </x:c>
      <x:c r="C1289" s="25" t="n">
        <x:v>-15143286.86069128</x:v>
      </x:c>
      <x:c r="D1289" s="25" t="str">
        <x:v>tonnes_primary_production_equivalent</x:v>
      </x:c>
    </x:row>
    <x:row r="1290" ht="18" customHeight="1">
      <x:c r="A1290" s="25" t="str">
        <x:v>EEZ_388</x:v>
      </x:c>
      <x:c r="B1290" s="25" t="str">
        <x:v>raw_filtered_tonnes</x:v>
      </x:c>
      <x:c r="C1290" s="25" t="n">
        <x:v>24803.119502512003</x:v>
      </x:c>
      <x:c r="D1290" s="25" t="str">
        <x:v>tonnes</x:v>
      </x:c>
    </x:row>
    <x:row r="1291" ht="18" customHeight="1">
      <x:c r="A1291" s="25" t="str">
        <x:v>EEZ_388</x:v>
      </x:c>
      <x:c r="B1291" s="25" t="str">
        <x:v>species_catch_tonnes</x:v>
      </x:c>
      <x:c r="C1291" s="25" t="n">
        <x:v>24803.119502512</x:v>
      </x:c>
      <x:c r="D1291" s="25" t="str">
        <x:v>tonnes</x:v>
      </x:c>
    </x:row>
    <x:row r="1292" ht="18" customHeight="1">
      <x:c r="A1292" s="25" t="str">
        <x:v>EEZ_388</x:v>
      </x:c>
      <x:c r="B1292" s="25" t="str">
        <x:v>catch_difference_tonnes</x:v>
      </x:c>
      <x:c r="C1292" s="25" t="n">
        <x:v>-3.637978807091713e-12</x:v>
      </x:c>
      <x:c r="D1292" s="25" t="str">
        <x:v>tonnes</x:v>
      </x:c>
    </x:row>
    <x:row r="1293" ht="18" customHeight="1">
      <x:c r="A1293" s="25" t="str">
        <x:v>EEZ_388</x:v>
      </x:c>
      <x:c r="B1293" s="25" t="str">
        <x:v>catch_reconciled</x:v>
      </x:c>
      <x:c r="C1293" s="36" t="b">
        <x:v>1</x:v>
      </x:c>
      <x:c r="D1293" s="25" t="str">
        <x:v>boolean</x:v>
      </x:c>
    </x:row>
    <x:row r="1294" ht="18" customHeight="1">
      <x:c r="A1294" s="25" t="str">
        <x:v>EEZ_388</x:v>
      </x:c>
      <x:c r="B1294" s="25" t="str">
        <x:v>matched_catch_tonnes</x:v>
      </x:c>
      <x:c r="C1294" s="25" t="n">
        <x:v>24803.119502512</x:v>
      </x:c>
      <x:c r="D1294" s="25" t="str">
        <x:v>tonnes</x:v>
      </x:c>
    </x:row>
    <x:row r="1295" ht="18" customHeight="1">
      <x:c r="A1295" s="25" t="str">
        <x:v>EEZ_388</x:v>
      </x:c>
      <x:c r="B1295" s="25" t="str">
        <x:v>catch_coverage_fraction</x:v>
      </x:c>
      <x:c r="C1295" s="25" t="n">
        <x:v>1</x:v>
      </x:c>
      <x:c r="D1295" s="25" t="str">
        <x:v>fraction</x:v>
      </x:c>
    </x:row>
    <x:row r="1296" ht="18" customHeight="1">
      <x:c r="A1296" s="25" t="str">
        <x:v>EEZ_388</x:v>
      </x:c>
      <x:c r="B1296" s="25" t="str">
        <x:v>taxa_count</x:v>
      </x:c>
      <x:c r="C1296" s="25" t="n">
        <x:v>58</x:v>
      </x:c>
      <x:c r="D1296" s="25" t="str">
        <x:v>count</x:v>
      </x:c>
    </x:row>
    <x:row r="1297" ht="18" customHeight="1">
      <x:c r="A1297" s="25" t="str">
        <x:v>EEZ_388</x:v>
      </x:c>
      <x:c r="B1297" s="25" t="str">
        <x:v>matched_taxa_count</x:v>
      </x:c>
      <x:c r="C1297" s="25" t="n">
        <x:v>58</x:v>
      </x:c>
      <x:c r="D1297" s="25" t="str">
        <x:v>count</x:v>
      </x:c>
    </x:row>
    <x:row r="1298" ht="18" customHeight="1">
      <x:c r="A1298" s="25" t="str">
        <x:v>EEZ_388</x:v>
      </x:c>
      <x:c r="B1298" s="25" t="str">
        <x:v>unmatched_taxa_count</x:v>
      </x:c>
      <x:c r="C1298" s="25" t="n">
        <x:v>0</x:v>
      </x:c>
      <x:c r="D1298" s="25" t="str">
        <x:v>count</x:v>
      </x:c>
    </x:row>
    <x:row r="1299" ht="18" customHeight="1">
      <x:c r="A1299" s="25" t="str">
        <x:v>EEZ_388</x:v>
      </x:c>
      <x:c r="B1299" s="25" t="str">
        <x:v>species_ppr</x:v>
      </x:c>
      <x:c r="C1299" s="25" t="n">
        <x:v>19358996.526972868</x:v>
      </x:c>
      <x:c r="D1299" s="25" t="str">
        <x:v>tonnes_primary_production_equivalent</x:v>
      </x:c>
    </x:row>
    <x:row r="1300" ht="18" customHeight="1">
      <x:c r="A1300" s="25" t="str">
        <x:v>EEZ_388</x:v>
      </x:c>
      <x:c r="B1300" s="25" t="str">
        <x:v>commercial_ppr</x:v>
      </x:c>
      <x:c r="C1300" s="25" t="n">
        <x:v>11342146.771208175</x:v>
      </x:c>
      <x:c r="D1300" s="25" t="str">
        <x:v>tonnes_primary_production_equivalent</x:v>
      </x:c>
    </x:row>
    <x:row r="1301" ht="18" customHeight="1">
      <x:c r="A1301" s="25" t="str">
        <x:v>EEZ_388</x:v>
      </x:c>
      <x:c r="B1301" s="25" t="str">
        <x:v>functional_ppr</x:v>
      </x:c>
      <x:c r="C1301" s="25" t="n">
        <x:v>12851474.296845695</x:v>
      </x:c>
      <x:c r="D1301" s="25" t="str">
        <x:v>tonnes_primary_production_equivalent</x:v>
      </x:c>
    </x:row>
    <x:row r="1302" ht="18" customHeight="1">
      <x:c r="A1302" s="25" t="str">
        <x:v>EEZ_388</x:v>
      </x:c>
      <x:c r="B1302" s="25" t="str">
        <x:v>commercial_ppr_difference</x:v>
      </x:c>
      <x:c r="C1302" s="25" t="n">
        <x:v>-8016849.755764693</x:v>
      </x:c>
      <x:c r="D1302" s="25" t="str">
        <x:v>tonnes_primary_production_equivalent</x:v>
      </x:c>
    </x:row>
    <x:row r="1303" ht="18" customHeight="1">
      <x:c r="A1303" s="25" t="str">
        <x:v>EEZ_388</x:v>
      </x:c>
      <x:c r="B1303" s="25" t="str">
        <x:v>functional_ppr_difference</x:v>
      </x:c>
      <x:c r="C1303" s="25" t="n">
        <x:v>-6507522.230127173</x:v>
      </x:c>
      <x:c r="D1303" s="25" t="str">
        <x:v>tonnes_primary_production_equivalent</x:v>
      </x:c>
    </x:row>
    <x:row r="1304" ht="18" customHeight="1">
      <x:c r="A1304" s="25" t="str">
        <x:v>EEZ_390</x:v>
      </x:c>
      <x:c r="B1304" s="25" t="str">
        <x:v>raw_filtered_tonnes</x:v>
      </x:c>
      <x:c r="C1304" s="25" t="n">
        <x:v>5962290.328495037</x:v>
      </x:c>
      <x:c r="D1304" s="25" t="str">
        <x:v>tonnes</x:v>
      </x:c>
    </x:row>
    <x:row r="1305" ht="18" customHeight="1">
      <x:c r="A1305" s="25" t="str">
        <x:v>EEZ_390</x:v>
      </x:c>
      <x:c r="B1305" s="25" t="str">
        <x:v>species_catch_tonnes</x:v>
      </x:c>
      <x:c r="C1305" s="25" t="n">
        <x:v>5962290.328495036</x:v>
      </x:c>
      <x:c r="D1305" s="25" t="str">
        <x:v>tonnes</x:v>
      </x:c>
    </x:row>
    <x:row r="1306" ht="18" customHeight="1">
      <x:c r="A1306" s="25" t="str">
        <x:v>EEZ_390</x:v>
      </x:c>
      <x:c r="B1306" s="25" t="str">
        <x:v>catch_difference_tonnes</x:v>
      </x:c>
      <x:c r="C1306" s="25" t="n">
        <x:v>-9.313225746154785e-10</x:v>
      </x:c>
      <x:c r="D1306" s="25" t="str">
        <x:v>tonnes</x:v>
      </x:c>
    </x:row>
    <x:row r="1307" ht="18" customHeight="1">
      <x:c r="A1307" s="25" t="str">
        <x:v>EEZ_390</x:v>
      </x:c>
      <x:c r="B1307" s="25" t="str">
        <x:v>catch_reconciled</x:v>
      </x:c>
      <x:c r="C1307" s="36" t="b">
        <x:v>1</x:v>
      </x:c>
      <x:c r="D1307" s="25" t="str">
        <x:v>boolean</x:v>
      </x:c>
    </x:row>
    <x:row r="1308" ht="18" customHeight="1">
      <x:c r="A1308" s="25" t="str">
        <x:v>EEZ_390</x:v>
      </x:c>
      <x:c r="B1308" s="25" t="str">
        <x:v>matched_catch_tonnes</x:v>
      </x:c>
      <x:c r="C1308" s="25" t="n">
        <x:v>5962290.328495036</x:v>
      </x:c>
      <x:c r="D1308" s="25" t="str">
        <x:v>tonnes</x:v>
      </x:c>
    </x:row>
    <x:row r="1309" ht="18" customHeight="1">
      <x:c r="A1309" s="25" t="str">
        <x:v>EEZ_390</x:v>
      </x:c>
      <x:c r="B1309" s="25" t="str">
        <x:v>catch_coverage_fraction</x:v>
      </x:c>
      <x:c r="C1309" s="25" t="n">
        <x:v>1</x:v>
      </x:c>
      <x:c r="D1309" s="25" t="str">
        <x:v>fraction</x:v>
      </x:c>
    </x:row>
    <x:row r="1310" ht="18" customHeight="1">
      <x:c r="A1310" s="25" t="str">
        <x:v>EEZ_390</x:v>
      </x:c>
      <x:c r="B1310" s="25" t="str">
        <x:v>taxa_count</x:v>
      </x:c>
      <x:c r="C1310" s="25" t="n">
        <x:v>178</x:v>
      </x:c>
      <x:c r="D1310" s="25" t="str">
        <x:v>count</x:v>
      </x:c>
    </x:row>
    <x:row r="1311" ht="18" customHeight="1">
      <x:c r="A1311" s="25" t="str">
        <x:v>EEZ_390</x:v>
      </x:c>
      <x:c r="B1311" s="25" t="str">
        <x:v>matched_taxa_count</x:v>
      </x:c>
      <x:c r="C1311" s="25" t="n">
        <x:v>178</x:v>
      </x:c>
      <x:c r="D1311" s="25" t="str">
        <x:v>count</x:v>
      </x:c>
    </x:row>
    <x:row r="1312" ht="18" customHeight="1">
      <x:c r="A1312" s="25" t="str">
        <x:v>EEZ_390</x:v>
      </x:c>
      <x:c r="B1312" s="25" t="str">
        <x:v>unmatched_taxa_count</x:v>
      </x:c>
      <x:c r="C1312" s="25" t="n">
        <x:v>0</x:v>
      </x:c>
      <x:c r="D1312" s="25" t="str">
        <x:v>count</x:v>
      </x:c>
    </x:row>
    <x:row r="1313" ht="18" customHeight="1">
      <x:c r="A1313" s="25" t="str">
        <x:v>EEZ_390</x:v>
      </x:c>
      <x:c r="B1313" s="25" t="str">
        <x:v>species_ppr</x:v>
      </x:c>
      <x:c r="C1313" s="25" t="n">
        <x:v>2997127073.3582215</x:v>
      </x:c>
      <x:c r="D1313" s="25" t="str">
        <x:v>tonnes_primary_production_equivalent</x:v>
      </x:c>
    </x:row>
    <x:row r="1314" ht="18" customHeight="1">
      <x:c r="A1314" s="25" t="str">
        <x:v>EEZ_390</x:v>
      </x:c>
      <x:c r="B1314" s="25" t="str">
        <x:v>commercial_ppr</x:v>
      </x:c>
      <x:c r="C1314" s="25" t="n">
        <x:v>2201286082.570818</x:v>
      </x:c>
      <x:c r="D1314" s="25" t="str">
        <x:v>tonnes_primary_production_equivalent</x:v>
      </x:c>
    </x:row>
    <x:row r="1315" ht="18" customHeight="1">
      <x:c r="A1315" s="25" t="str">
        <x:v>EEZ_390</x:v>
      </x:c>
      <x:c r="B1315" s="25" t="str">
        <x:v>functional_ppr</x:v>
      </x:c>
      <x:c r="C1315" s="25" t="n">
        <x:v>2558934906.4803843</x:v>
      </x:c>
      <x:c r="D1315" s="25" t="str">
        <x:v>tonnes_primary_production_equivalent</x:v>
      </x:c>
    </x:row>
    <x:row r="1316" ht="18" customHeight="1">
      <x:c r="A1316" s="25" t="str">
        <x:v>EEZ_390</x:v>
      </x:c>
      <x:c r="B1316" s="25" t="str">
        <x:v>commercial_ppr_difference</x:v>
      </x:c>
      <x:c r="C1316" s="25" t="n">
        <x:v>-795840990.7874036</x:v>
      </x:c>
      <x:c r="D1316" s="25" t="str">
        <x:v>tonnes_primary_production_equivalent</x:v>
      </x:c>
    </x:row>
    <x:row r="1317" ht="18" customHeight="1">
      <x:c r="A1317" s="25" t="str">
        <x:v>EEZ_390</x:v>
      </x:c>
      <x:c r="B1317" s="25" t="str">
        <x:v>functional_ppr_difference</x:v>
      </x:c>
      <x:c r="C1317" s="25" t="n">
        <x:v>-438192166.8778372</x:v>
      </x:c>
      <x:c r="D1317" s="25" t="str">
        <x:v>tonnes_primary_production_equivalent</x:v>
      </x:c>
    </x:row>
    <x:row r="1318" ht="18" customHeight="1">
      <x:c r="A1318" s="25" t="str">
        <x:v>EEZ_393</x:v>
      </x:c>
      <x:c r="B1318" s="25" t="str">
        <x:v>raw_filtered_tonnes</x:v>
      </x:c>
      <x:c r="C1318" s="25" t="n">
        <x:v>17808.098251388197</x:v>
      </x:c>
      <x:c r="D1318" s="25" t="str">
        <x:v>tonnes</x:v>
      </x:c>
    </x:row>
    <x:row r="1319" ht="18" customHeight="1">
      <x:c r="A1319" s="25" t="str">
        <x:v>EEZ_393</x:v>
      </x:c>
      <x:c r="B1319" s="25" t="str">
        <x:v>species_catch_tonnes</x:v>
      </x:c>
      <x:c r="C1319" s="25" t="n">
        <x:v>17808.098251388197</x:v>
      </x:c>
      <x:c r="D1319" s="25" t="str">
        <x:v>tonnes</x:v>
      </x:c>
    </x:row>
    <x:row r="1320" ht="18" customHeight="1">
      <x:c r="A1320" s="25" t="str">
        <x:v>EEZ_393</x:v>
      </x:c>
      <x:c r="B1320" s="25" t="str">
        <x:v>catch_difference_tonnes</x:v>
      </x:c>
      <x:c r="C1320" s="25" t="n">
        <x:v>0</x:v>
      </x:c>
      <x:c r="D1320" s="25" t="str">
        <x:v>tonnes</x:v>
      </x:c>
    </x:row>
    <x:row r="1321" ht="18" customHeight="1">
      <x:c r="A1321" s="25" t="str">
        <x:v>EEZ_393</x:v>
      </x:c>
      <x:c r="B1321" s="25" t="str">
        <x:v>catch_reconciled</x:v>
      </x:c>
      <x:c r="C1321" s="36" t="b">
        <x:v>1</x:v>
      </x:c>
      <x:c r="D1321" s="25" t="str">
        <x:v>boolean</x:v>
      </x:c>
    </x:row>
    <x:row r="1322" ht="18" customHeight="1">
      <x:c r="A1322" s="25" t="str">
        <x:v>EEZ_393</x:v>
      </x:c>
      <x:c r="B1322" s="25" t="str">
        <x:v>matched_catch_tonnes</x:v>
      </x:c>
      <x:c r="C1322" s="25" t="n">
        <x:v>17808.098251388197</x:v>
      </x:c>
      <x:c r="D1322" s="25" t="str">
        <x:v>tonnes</x:v>
      </x:c>
    </x:row>
    <x:row r="1323" ht="18" customHeight="1">
      <x:c r="A1323" s="25" t="str">
        <x:v>EEZ_393</x:v>
      </x:c>
      <x:c r="B1323" s="25" t="str">
        <x:v>catch_coverage_fraction</x:v>
      </x:c>
      <x:c r="C1323" s="25" t="n">
        <x:v>1</x:v>
      </x:c>
      <x:c r="D1323" s="25" t="str">
        <x:v>fraction</x:v>
      </x:c>
    </x:row>
    <x:row r="1324" ht="18" customHeight="1">
      <x:c r="A1324" s="25" t="str">
        <x:v>EEZ_393</x:v>
      </x:c>
      <x:c r="B1324" s="25" t="str">
        <x:v>taxa_count</x:v>
      </x:c>
      <x:c r="C1324" s="25" t="n">
        <x:v>29</x:v>
      </x:c>
      <x:c r="D1324" s="25" t="str">
        <x:v>count</x:v>
      </x:c>
    </x:row>
    <x:row r="1325" ht="18" customHeight="1">
      <x:c r="A1325" s="25" t="str">
        <x:v>EEZ_393</x:v>
      </x:c>
      <x:c r="B1325" s="25" t="str">
        <x:v>matched_taxa_count</x:v>
      </x:c>
      <x:c r="C1325" s="25" t="n">
        <x:v>29</x:v>
      </x:c>
      <x:c r="D1325" s="25" t="str">
        <x:v>count</x:v>
      </x:c>
    </x:row>
    <x:row r="1326" ht="18" customHeight="1">
      <x:c r="A1326" s="25" t="str">
        <x:v>EEZ_393</x:v>
      </x:c>
      <x:c r="B1326" s="25" t="str">
        <x:v>unmatched_taxa_count</x:v>
      </x:c>
      <x:c r="C1326" s="25" t="n">
        <x:v>0</x:v>
      </x:c>
      <x:c r="D1326" s="25" t="str">
        <x:v>count</x:v>
      </x:c>
    </x:row>
    <x:row r="1327" ht="18" customHeight="1">
      <x:c r="A1327" s="25" t="str">
        <x:v>EEZ_393</x:v>
      </x:c>
      <x:c r="B1327" s="25" t="str">
        <x:v>species_ppr</x:v>
      </x:c>
      <x:c r="C1327" s="25" t="n">
        <x:v>29495755.19813662</x:v>
      </x:c>
      <x:c r="D1327" s="25" t="str">
        <x:v>tonnes_primary_production_equivalent</x:v>
      </x:c>
    </x:row>
    <x:row r="1328" ht="18" customHeight="1">
      <x:c r="A1328" s="25" t="str">
        <x:v>EEZ_393</x:v>
      </x:c>
      <x:c r="B1328" s="25" t="str">
        <x:v>commercial_ppr</x:v>
      </x:c>
      <x:c r="C1328" s="25" t="n">
        <x:v>28111203.838282995</x:v>
      </x:c>
      <x:c r="D1328" s="25" t="str">
        <x:v>tonnes_primary_production_equivalent</x:v>
      </x:c>
    </x:row>
    <x:row r="1329" ht="18" customHeight="1">
      <x:c r="A1329" s="25" t="str">
        <x:v>EEZ_393</x:v>
      </x:c>
      <x:c r="B1329" s="25" t="str">
        <x:v>functional_ppr</x:v>
      </x:c>
      <x:c r="C1329" s="25" t="n">
        <x:v>29214345.597610462</x:v>
      </x:c>
      <x:c r="D1329" s="25" t="str">
        <x:v>tonnes_primary_production_equivalent</x:v>
      </x:c>
    </x:row>
    <x:row r="1330" ht="18" customHeight="1">
      <x:c r="A1330" s="25" t="str">
        <x:v>EEZ_393</x:v>
      </x:c>
      <x:c r="B1330" s="25" t="str">
        <x:v>commercial_ppr_difference</x:v>
      </x:c>
      <x:c r="C1330" s="25" t="n">
        <x:v>-1384551.3598536253</x:v>
      </x:c>
      <x:c r="D1330" s="25" t="str">
        <x:v>tonnes_primary_production_equivalent</x:v>
      </x:c>
    </x:row>
    <x:row r="1331" ht="18" customHeight="1">
      <x:c r="A1331" s="25" t="str">
        <x:v>EEZ_393</x:v>
      </x:c>
      <x:c r="B1331" s="25" t="str">
        <x:v>functional_ppr_difference</x:v>
      </x:c>
      <x:c r="C1331" s="25" t="n">
        <x:v>-281409.60052615777</x:v>
      </x:c>
      <x:c r="D1331" s="25" t="str">
        <x:v>tonnes_primary_production_equivalent</x:v>
      </x:c>
    </x:row>
    <x:row r="1332" ht="18" customHeight="1">
      <x:c r="A1332" s="25" t="str">
        <x:v>EEZ_396</x:v>
      </x:c>
      <x:c r="B1332" s="25" t="str">
        <x:v>raw_filtered_tonnes</x:v>
      </x:c>
      <x:c r="C1332" s="25" t="n">
        <x:v>308.2979479216999</x:v>
      </x:c>
      <x:c r="D1332" s="25" t="str">
        <x:v>tonnes</x:v>
      </x:c>
    </x:row>
    <x:row r="1333" ht="18" customHeight="1">
      <x:c r="A1333" s="25" t="str">
        <x:v>EEZ_396</x:v>
      </x:c>
      <x:c r="B1333" s="25" t="str">
        <x:v>species_catch_tonnes</x:v>
      </x:c>
      <x:c r="C1333" s="25" t="n">
        <x:v>308.29794792170003</x:v>
      </x:c>
      <x:c r="D1333" s="25" t="str">
        <x:v>tonnes</x:v>
      </x:c>
    </x:row>
    <x:row r="1334" ht="18" customHeight="1">
      <x:c r="A1334" s="25" t="str">
        <x:v>EEZ_396</x:v>
      </x:c>
      <x:c r="B1334" s="25" t="str">
        <x:v>catch_difference_tonnes</x:v>
      </x:c>
      <x:c r="C1334" s="25" t="n">
        <x:v>1.1368683772161603e-13</x:v>
      </x:c>
      <x:c r="D1334" s="25" t="str">
        <x:v>tonnes</x:v>
      </x:c>
    </x:row>
    <x:row r="1335" ht="18" customHeight="1">
      <x:c r="A1335" s="25" t="str">
        <x:v>EEZ_396</x:v>
      </x:c>
      <x:c r="B1335" s="25" t="str">
        <x:v>catch_reconciled</x:v>
      </x:c>
      <x:c r="C1335" s="36" t="b">
        <x:v>1</x:v>
      </x:c>
      <x:c r="D1335" s="25" t="str">
        <x:v>boolean</x:v>
      </x:c>
    </x:row>
    <x:row r="1336" ht="18" customHeight="1">
      <x:c r="A1336" s="25" t="str">
        <x:v>EEZ_396</x:v>
      </x:c>
      <x:c r="B1336" s="25" t="str">
        <x:v>matched_catch_tonnes</x:v>
      </x:c>
      <x:c r="C1336" s="25" t="n">
        <x:v>308.29794792170003</x:v>
      </x:c>
      <x:c r="D1336" s="25" t="str">
        <x:v>tonnes</x:v>
      </x:c>
    </x:row>
    <x:row r="1337" ht="18" customHeight="1">
      <x:c r="A1337" s="25" t="str">
        <x:v>EEZ_396</x:v>
      </x:c>
      <x:c r="B1337" s="25" t="str">
        <x:v>catch_coverage_fraction</x:v>
      </x:c>
      <x:c r="C1337" s="25" t="n">
        <x:v>1</x:v>
      </x:c>
      <x:c r="D1337" s="25" t="str">
        <x:v>fraction</x:v>
      </x:c>
    </x:row>
    <x:row r="1338" ht="18" customHeight="1">
      <x:c r="A1338" s="25" t="str">
        <x:v>EEZ_396</x:v>
      </x:c>
      <x:c r="B1338" s="25" t="str">
        <x:v>taxa_count</x:v>
      </x:c>
      <x:c r="C1338" s="25" t="n">
        <x:v>19</x:v>
      </x:c>
      <x:c r="D1338" s="25" t="str">
        <x:v>count</x:v>
      </x:c>
    </x:row>
    <x:row r="1339" ht="18" customHeight="1">
      <x:c r="A1339" s="25" t="str">
        <x:v>EEZ_396</x:v>
      </x:c>
      <x:c r="B1339" s="25" t="str">
        <x:v>matched_taxa_count</x:v>
      </x:c>
      <x:c r="C1339" s="25" t="n">
        <x:v>19</x:v>
      </x:c>
      <x:c r="D1339" s="25" t="str">
        <x:v>count</x:v>
      </x:c>
    </x:row>
    <x:row r="1340" ht="18" customHeight="1">
      <x:c r="A1340" s="25" t="str">
        <x:v>EEZ_396</x:v>
      </x:c>
      <x:c r="B1340" s="25" t="str">
        <x:v>unmatched_taxa_count</x:v>
      </x:c>
      <x:c r="C1340" s="25" t="n">
        <x:v>0</x:v>
      </x:c>
      <x:c r="D1340" s="25" t="str">
        <x:v>count</x:v>
      </x:c>
    </x:row>
    <x:row r="1341" ht="18" customHeight="1">
      <x:c r="A1341" s="25" t="str">
        <x:v>EEZ_396</x:v>
      </x:c>
      <x:c r="B1341" s="25" t="str">
        <x:v>species_ppr</x:v>
      </x:c>
      <x:c r="C1341" s="25" t="n">
        <x:v>709090.631793451</x:v>
      </x:c>
      <x:c r="D1341" s="25" t="str">
        <x:v>tonnes_primary_production_equivalent</x:v>
      </x:c>
    </x:row>
    <x:row r="1342" ht="18" customHeight="1">
      <x:c r="A1342" s="25" t="str">
        <x:v>EEZ_396</x:v>
      </x:c>
      <x:c r="B1342" s="25" t="str">
        <x:v>commercial_ppr</x:v>
      </x:c>
      <x:c r="C1342" s="25" t="n">
        <x:v>703685.9380181376</x:v>
      </x:c>
      <x:c r="D1342" s="25" t="str">
        <x:v>tonnes_primary_production_equivalent</x:v>
      </x:c>
    </x:row>
    <x:row r="1343" ht="18" customHeight="1">
      <x:c r="A1343" s="25" t="str">
        <x:v>EEZ_396</x:v>
      </x:c>
      <x:c r="B1343" s="25" t="str">
        <x:v>functional_ppr</x:v>
      </x:c>
      <x:c r="C1343" s="25" t="n">
        <x:v>694535.5648760073</x:v>
      </x:c>
      <x:c r="D1343" s="25" t="str">
        <x:v>tonnes_primary_production_equivalent</x:v>
      </x:c>
    </x:row>
    <x:row r="1344" ht="18" customHeight="1">
      <x:c r="A1344" s="25" t="str">
        <x:v>EEZ_396</x:v>
      </x:c>
      <x:c r="B1344" s="25" t="str">
        <x:v>commercial_ppr_difference</x:v>
      </x:c>
      <x:c r="C1344" s="25" t="n">
        <x:v>-5404.693775313441</x:v>
      </x:c>
      <x:c r="D1344" s="25" t="str">
        <x:v>tonnes_primary_production_equivalent</x:v>
      </x:c>
    </x:row>
    <x:row r="1345" ht="18" customHeight="1">
      <x:c r="A1345" s="25" t="str">
        <x:v>EEZ_396</x:v>
      </x:c>
      <x:c r="B1345" s="25" t="str">
        <x:v>functional_ppr_difference</x:v>
      </x:c>
      <x:c r="C1345" s="25" t="n">
        <x:v>-14555.066917443764</x:v>
      </x:c>
      <x:c r="D1345" s="25" t="str">
        <x:v>tonnes_primary_production_equivalent</x:v>
      </x:c>
    </x:row>
    <x:row r="1346" ht="18" customHeight="1">
      <x:c r="A1346" s="25" t="str">
        <x:v>EEZ_400</x:v>
      </x:c>
      <x:c r="B1346" s="25" t="str">
        <x:v>raw_filtered_tonnes</x:v>
      </x:c>
      <x:c r="C1346" s="25" t="n">
        <x:v>387.759999999</x:v>
      </x:c>
      <x:c r="D1346" s="25" t="str">
        <x:v>tonnes</x:v>
      </x:c>
    </x:row>
    <x:row r="1347" ht="18" customHeight="1">
      <x:c r="A1347" s="25" t="str">
        <x:v>EEZ_400</x:v>
      </x:c>
      <x:c r="B1347" s="25" t="str">
        <x:v>species_catch_tonnes</x:v>
      </x:c>
      <x:c r="C1347" s="25" t="n">
        <x:v>387.759999999</x:v>
      </x:c>
      <x:c r="D1347" s="25" t="str">
        <x:v>tonnes</x:v>
      </x:c>
    </x:row>
    <x:row r="1348" ht="18" customHeight="1">
      <x:c r="A1348" s="25" t="str">
        <x:v>EEZ_400</x:v>
      </x:c>
      <x:c r="B1348" s="25" t="str">
        <x:v>catch_difference_tonnes</x:v>
      </x:c>
      <x:c r="C1348" s="25" t="n">
        <x:v>0</x:v>
      </x:c>
      <x:c r="D1348" s="25" t="str">
        <x:v>tonnes</x:v>
      </x:c>
    </x:row>
    <x:row r="1349" ht="18" customHeight="1">
      <x:c r="A1349" s="25" t="str">
        <x:v>EEZ_400</x:v>
      </x:c>
      <x:c r="B1349" s="25" t="str">
        <x:v>catch_reconciled</x:v>
      </x:c>
      <x:c r="C1349" s="36" t="b">
        <x:v>1</x:v>
      </x:c>
      <x:c r="D1349" s="25" t="str">
        <x:v>boolean</x:v>
      </x:c>
    </x:row>
    <x:row r="1350" ht="18" customHeight="1">
      <x:c r="A1350" s="25" t="str">
        <x:v>EEZ_400</x:v>
      </x:c>
      <x:c r="B1350" s="25" t="str">
        <x:v>matched_catch_tonnes</x:v>
      </x:c>
      <x:c r="C1350" s="25" t="n">
        <x:v>387.759999999</x:v>
      </x:c>
      <x:c r="D1350" s="25" t="str">
        <x:v>tonnes</x:v>
      </x:c>
    </x:row>
    <x:row r="1351" ht="18" customHeight="1">
      <x:c r="A1351" s="25" t="str">
        <x:v>EEZ_400</x:v>
      </x:c>
      <x:c r="B1351" s="25" t="str">
        <x:v>catch_coverage_fraction</x:v>
      </x:c>
      <x:c r="C1351" s="25" t="n">
        <x:v>1</x:v>
      </x:c>
      <x:c r="D1351" s="25" t="str">
        <x:v>fraction</x:v>
      </x:c>
    </x:row>
    <x:row r="1352" ht="18" customHeight="1">
      <x:c r="A1352" s="25" t="str">
        <x:v>EEZ_400</x:v>
      </x:c>
      <x:c r="B1352" s="25" t="str">
        <x:v>taxa_count</x:v>
      </x:c>
      <x:c r="C1352" s="25" t="n">
        <x:v>12</x:v>
      </x:c>
      <x:c r="D1352" s="25" t="str">
        <x:v>count</x:v>
      </x:c>
    </x:row>
    <x:row r="1353" ht="18" customHeight="1">
      <x:c r="A1353" s="25" t="str">
        <x:v>EEZ_400</x:v>
      </x:c>
      <x:c r="B1353" s="25" t="str">
        <x:v>matched_taxa_count</x:v>
      </x:c>
      <x:c r="C1353" s="25" t="n">
        <x:v>12</x:v>
      </x:c>
      <x:c r="D1353" s="25" t="str">
        <x:v>count</x:v>
      </x:c>
    </x:row>
    <x:row r="1354" ht="18" customHeight="1">
      <x:c r="A1354" s="25" t="str">
        <x:v>EEZ_400</x:v>
      </x:c>
      <x:c r="B1354" s="25" t="str">
        <x:v>unmatched_taxa_count</x:v>
      </x:c>
      <x:c r="C1354" s="25" t="n">
        <x:v>0</x:v>
      </x:c>
      <x:c r="D1354" s="25" t="str">
        <x:v>count</x:v>
      </x:c>
    </x:row>
    <x:row r="1355" ht="18" customHeight="1">
      <x:c r="A1355" s="25" t="str">
        <x:v>EEZ_400</x:v>
      </x:c>
      <x:c r="B1355" s="25" t="str">
        <x:v>species_ppr</x:v>
      </x:c>
      <x:c r="C1355" s="25" t="n">
        <x:v>448341.8758726021</x:v>
      </x:c>
      <x:c r="D1355" s="25" t="str">
        <x:v>tonnes_primary_production_equivalent</x:v>
      </x:c>
    </x:row>
    <x:row r="1356" ht="18" customHeight="1">
      <x:c r="A1356" s="25" t="str">
        <x:v>EEZ_400</x:v>
      </x:c>
      <x:c r="B1356" s="25" t="str">
        <x:v>commercial_ppr</x:v>
      </x:c>
      <x:c r="C1356" s="25" t="n">
        <x:v>383868.65814178856</x:v>
      </x:c>
      <x:c r="D1356" s="25" t="str">
        <x:v>tonnes_primary_production_equivalent</x:v>
      </x:c>
    </x:row>
    <x:row r="1357" ht="18" customHeight="1">
      <x:c r="A1357" s="25" t="str">
        <x:v>EEZ_400</x:v>
      </x:c>
      <x:c r="B1357" s="25" t="str">
        <x:v>functional_ppr</x:v>
      </x:c>
      <x:c r="C1357" s="25" t="n">
        <x:v>425852.62560659816</x:v>
      </x:c>
      <x:c r="D1357" s="25" t="str">
        <x:v>tonnes_primary_production_equivalent</x:v>
      </x:c>
    </x:row>
    <x:row r="1358" ht="18" customHeight="1">
      <x:c r="A1358" s="25" t="str">
        <x:v>EEZ_400</x:v>
      </x:c>
      <x:c r="B1358" s="25" t="str">
        <x:v>commercial_ppr_difference</x:v>
      </x:c>
      <x:c r="C1358" s="25" t="n">
        <x:v>-64473.21773081354</x:v>
      </x:c>
      <x:c r="D1358" s="25" t="str">
        <x:v>tonnes_primary_production_equivalent</x:v>
      </x:c>
    </x:row>
    <x:row r="1359" ht="18" customHeight="1">
      <x:c r="A1359" s="25" t="str">
        <x:v>EEZ_400</x:v>
      </x:c>
      <x:c r="B1359" s="25" t="str">
        <x:v>functional_ppr_difference</x:v>
      </x:c>
      <x:c r="C1359" s="25" t="n">
        <x:v>-22489.250266003946</x:v>
      </x:c>
      <x:c r="D1359" s="25" t="str">
        <x:v>tonnes_primary_production_equivalent</x:v>
      </x:c>
    </x:row>
    <x:row r="1360" ht="18" customHeight="1">
      <x:c r="A1360" s="25" t="str">
        <x:v>EEZ_404</x:v>
      </x:c>
      <x:c r="B1360" s="25" t="str">
        <x:v>raw_filtered_tonnes</x:v>
      </x:c>
      <x:c r="C1360" s="25" t="n">
        <x:v>30334.3358525884</x:v>
      </x:c>
      <x:c r="D1360" s="25" t="str">
        <x:v>tonnes</x:v>
      </x:c>
    </x:row>
    <x:row r="1361" ht="18" customHeight="1">
      <x:c r="A1361" s="25" t="str">
        <x:v>EEZ_404</x:v>
      </x:c>
      <x:c r="B1361" s="25" t="str">
        <x:v>species_catch_tonnes</x:v>
      </x:c>
      <x:c r="C1361" s="25" t="n">
        <x:v>30334.335852588403</x:v>
      </x:c>
      <x:c r="D1361" s="25" t="str">
        <x:v>tonnes</x:v>
      </x:c>
    </x:row>
    <x:row r="1362" ht="18" customHeight="1">
      <x:c r="A1362" s="25" t="str">
        <x:v>EEZ_404</x:v>
      </x:c>
      <x:c r="B1362" s="25" t="str">
        <x:v>catch_difference_tonnes</x:v>
      </x:c>
      <x:c r="C1362" s="25" t="n">
        <x:v>3.637978807091713e-12</x:v>
      </x:c>
      <x:c r="D1362" s="25" t="str">
        <x:v>tonnes</x:v>
      </x:c>
    </x:row>
    <x:row r="1363" ht="18" customHeight="1">
      <x:c r="A1363" s="25" t="str">
        <x:v>EEZ_404</x:v>
      </x:c>
      <x:c r="B1363" s="25" t="str">
        <x:v>catch_reconciled</x:v>
      </x:c>
      <x:c r="C1363" s="36" t="b">
        <x:v>1</x:v>
      </x:c>
      <x:c r="D1363" s="25" t="str">
        <x:v>boolean</x:v>
      </x:c>
    </x:row>
    <x:row r="1364" ht="18" customHeight="1">
      <x:c r="A1364" s="25" t="str">
        <x:v>EEZ_404</x:v>
      </x:c>
      <x:c r="B1364" s="25" t="str">
        <x:v>matched_catch_tonnes</x:v>
      </x:c>
      <x:c r="C1364" s="25" t="n">
        <x:v>30334.335852588403</x:v>
      </x:c>
      <x:c r="D1364" s="25" t="str">
        <x:v>tonnes</x:v>
      </x:c>
    </x:row>
    <x:row r="1365" ht="18" customHeight="1">
      <x:c r="A1365" s="25" t="str">
        <x:v>EEZ_404</x:v>
      </x:c>
      <x:c r="B1365" s="25" t="str">
        <x:v>catch_coverage_fraction</x:v>
      </x:c>
      <x:c r="C1365" s="25" t="n">
        <x:v>1</x:v>
      </x:c>
      <x:c r="D1365" s="25" t="str">
        <x:v>fraction</x:v>
      </x:c>
    </x:row>
    <x:row r="1366" ht="18" customHeight="1">
      <x:c r="A1366" s="25" t="str">
        <x:v>EEZ_404</x:v>
      </x:c>
      <x:c r="B1366" s="25" t="str">
        <x:v>taxa_count</x:v>
      </x:c>
      <x:c r="C1366" s="25" t="n">
        <x:v>120</x:v>
      </x:c>
      <x:c r="D1366" s="25" t="str">
        <x:v>count</x:v>
      </x:c>
    </x:row>
    <x:row r="1367" ht="18" customHeight="1">
      <x:c r="A1367" s="25" t="str">
        <x:v>EEZ_404</x:v>
      </x:c>
      <x:c r="B1367" s="25" t="str">
        <x:v>matched_taxa_count</x:v>
      </x:c>
      <x:c r="C1367" s="25" t="n">
        <x:v>120</x:v>
      </x:c>
      <x:c r="D1367" s="25" t="str">
        <x:v>count</x:v>
      </x:c>
    </x:row>
    <x:row r="1368" ht="18" customHeight="1">
      <x:c r="A1368" s="25" t="str">
        <x:v>EEZ_404</x:v>
      </x:c>
      <x:c r="B1368" s="25" t="str">
        <x:v>unmatched_taxa_count</x:v>
      </x:c>
      <x:c r="C1368" s="25" t="n">
        <x:v>0</x:v>
      </x:c>
      <x:c r="D1368" s="25" t="str">
        <x:v>count</x:v>
      </x:c>
    </x:row>
    <x:row r="1369" ht="18" customHeight="1">
      <x:c r="A1369" s="25" t="str">
        <x:v>EEZ_404</x:v>
      </x:c>
      <x:c r="B1369" s="25" t="str">
        <x:v>species_ppr</x:v>
      </x:c>
      <x:c r="C1369" s="25" t="n">
        <x:v>21699341.79872701</x:v>
      </x:c>
      <x:c r="D1369" s="25" t="str">
        <x:v>tonnes_primary_production_equivalent</x:v>
      </x:c>
    </x:row>
    <x:row r="1370" ht="18" customHeight="1">
      <x:c r="A1370" s="25" t="str">
        <x:v>EEZ_404</x:v>
      </x:c>
      <x:c r="B1370" s="25" t="str">
        <x:v>commercial_ppr</x:v>
      </x:c>
      <x:c r="C1370" s="25" t="n">
        <x:v>12319282.267539116</x:v>
      </x:c>
      <x:c r="D1370" s="25" t="str">
        <x:v>tonnes_primary_production_equivalent</x:v>
      </x:c>
    </x:row>
    <x:row r="1371" ht="18" customHeight="1">
      <x:c r="A1371" s="25" t="str">
        <x:v>EEZ_404</x:v>
      </x:c>
      <x:c r="B1371" s="25" t="str">
        <x:v>functional_ppr</x:v>
      </x:c>
      <x:c r="C1371" s="25" t="n">
        <x:v>15970987.67798396</x:v>
      </x:c>
      <x:c r="D1371" s="25" t="str">
        <x:v>tonnes_primary_production_equivalent</x:v>
      </x:c>
    </x:row>
    <x:row r="1372" ht="18" customHeight="1">
      <x:c r="A1372" s="25" t="str">
        <x:v>EEZ_404</x:v>
      </x:c>
      <x:c r="B1372" s="25" t="str">
        <x:v>commercial_ppr_difference</x:v>
      </x:c>
      <x:c r="C1372" s="25" t="n">
        <x:v>-9380059.531187894</x:v>
      </x:c>
      <x:c r="D1372" s="25" t="str">
        <x:v>tonnes_primary_production_equivalent</x:v>
      </x:c>
    </x:row>
    <x:row r="1373" ht="18" customHeight="1">
      <x:c r="A1373" s="25" t="str">
        <x:v>EEZ_404</x:v>
      </x:c>
      <x:c r="B1373" s="25" t="str">
        <x:v>functional_ppr_difference</x:v>
      </x:c>
      <x:c r="C1373" s="25" t="n">
        <x:v>-5728354.120743049</x:v>
      </x:c>
      <x:c r="D1373" s="25" t="str">
        <x:v>tonnes_primary_production_equivalent</x:v>
      </x:c>
    </x:row>
    <x:row r="1374" ht="18" customHeight="1">
      <x:c r="A1374" s="25" t="str">
        <x:v>EEZ_410</x:v>
      </x:c>
      <x:c r="B1374" s="25" t="str">
        <x:v>raw_filtered_tonnes</x:v>
      </x:c>
      <x:c r="C1374" s="25" t="n">
        <x:v>1692138.9147849001</x:v>
      </x:c>
      <x:c r="D1374" s="25" t="str">
        <x:v>tonnes</x:v>
      </x:c>
    </x:row>
    <x:row r="1375" ht="18" customHeight="1">
      <x:c r="A1375" s="25" t="str">
        <x:v>EEZ_410</x:v>
      </x:c>
      <x:c r="B1375" s="25" t="str">
        <x:v>species_catch_tonnes</x:v>
      </x:c>
      <x:c r="C1375" s="25" t="n">
        <x:v>1692138.9147849004</x:v>
      </x:c>
      <x:c r="D1375" s="25" t="str">
        <x:v>tonnes</x:v>
      </x:c>
    </x:row>
    <x:row r="1376" ht="18" customHeight="1">
      <x:c r="A1376" s="25" t="str">
        <x:v>EEZ_410</x:v>
      </x:c>
      <x:c r="B1376" s="25" t="str">
        <x:v>catch_difference_tonnes</x:v>
      </x:c>
      <x:c r="C1376" s="25" t="n">
        <x:v>2.3283064365386963e-10</x:v>
      </x:c>
      <x:c r="D1376" s="25" t="str">
        <x:v>tonnes</x:v>
      </x:c>
    </x:row>
    <x:row r="1377" ht="18" customHeight="1">
      <x:c r="A1377" s="25" t="str">
        <x:v>EEZ_410</x:v>
      </x:c>
      <x:c r="B1377" s="25" t="str">
        <x:v>catch_reconciled</x:v>
      </x:c>
      <x:c r="C1377" s="36" t="b">
        <x:v>1</x:v>
      </x:c>
      <x:c r="D1377" s="25" t="str">
        <x:v>boolean</x:v>
      </x:c>
    </x:row>
    <x:row r="1378" ht="18" customHeight="1">
      <x:c r="A1378" s="25" t="str">
        <x:v>EEZ_410</x:v>
      </x:c>
      <x:c r="B1378" s="25" t="str">
        <x:v>matched_catch_tonnes</x:v>
      </x:c>
      <x:c r="C1378" s="25" t="n">
        <x:v>1692138.9147849004</x:v>
      </x:c>
      <x:c r="D1378" s="25" t="str">
        <x:v>tonnes</x:v>
      </x:c>
    </x:row>
    <x:row r="1379" ht="18" customHeight="1">
      <x:c r="A1379" s="25" t="str">
        <x:v>EEZ_410</x:v>
      </x:c>
      <x:c r="B1379" s="25" t="str">
        <x:v>catch_coverage_fraction</x:v>
      </x:c>
      <x:c r="C1379" s="25" t="n">
        <x:v>1</x:v>
      </x:c>
      <x:c r="D1379" s="25" t="str">
        <x:v>fraction</x:v>
      </x:c>
    </x:row>
    <x:row r="1380" ht="18" customHeight="1">
      <x:c r="A1380" s="25" t="str">
        <x:v>EEZ_410</x:v>
      </x:c>
      <x:c r="B1380" s="25" t="str">
        <x:v>taxa_count</x:v>
      </x:c>
      <x:c r="C1380" s="25" t="n">
        <x:v>118</x:v>
      </x:c>
      <x:c r="D1380" s="25" t="str">
        <x:v>count</x:v>
      </x:c>
    </x:row>
    <x:row r="1381" ht="18" customHeight="1">
      <x:c r="A1381" s="25" t="str">
        <x:v>EEZ_410</x:v>
      </x:c>
      <x:c r="B1381" s="25" t="str">
        <x:v>matched_taxa_count</x:v>
      </x:c>
      <x:c r="C1381" s="25" t="n">
        <x:v>118</x:v>
      </x:c>
      <x:c r="D1381" s="25" t="str">
        <x:v>count</x:v>
      </x:c>
    </x:row>
    <x:row r="1382" ht="18" customHeight="1">
      <x:c r="A1382" s="25" t="str">
        <x:v>EEZ_410</x:v>
      </x:c>
      <x:c r="B1382" s="25" t="str">
        <x:v>unmatched_taxa_count</x:v>
      </x:c>
      <x:c r="C1382" s="25" t="n">
        <x:v>0</x:v>
      </x:c>
      <x:c r="D1382" s="25" t="str">
        <x:v>count</x:v>
      </x:c>
    </x:row>
    <x:row r="1383" ht="18" customHeight="1">
      <x:c r="A1383" s="25" t="str">
        <x:v>EEZ_410</x:v>
      </x:c>
      <x:c r="B1383" s="25" t="str">
        <x:v>species_ppr</x:v>
      </x:c>
      <x:c r="C1383" s="25" t="n">
        <x:v>1001424147.7179294</x:v>
      </x:c>
      <x:c r="D1383" s="25" t="str">
        <x:v>tonnes_primary_production_equivalent</x:v>
      </x:c>
    </x:row>
    <x:row r="1384" ht="18" customHeight="1">
      <x:c r="A1384" s="25" t="str">
        <x:v>EEZ_410</x:v>
      </x:c>
      <x:c r="B1384" s="25" t="str">
        <x:v>commercial_ppr</x:v>
      </x:c>
      <x:c r="C1384" s="25" t="n">
        <x:v>553978409.4187069</x:v>
      </x:c>
      <x:c r="D1384" s="25" t="str">
        <x:v>tonnes_primary_production_equivalent</x:v>
      </x:c>
    </x:row>
    <x:row r="1385" ht="18" customHeight="1">
      <x:c r="A1385" s="25" t="str">
        <x:v>EEZ_410</x:v>
      </x:c>
      <x:c r="B1385" s="25" t="str">
        <x:v>functional_ppr</x:v>
      </x:c>
      <x:c r="C1385" s="25" t="n">
        <x:v>820319263.610668</x:v>
      </x:c>
      <x:c r="D1385" s="25" t="str">
        <x:v>tonnes_primary_production_equivalent</x:v>
      </x:c>
    </x:row>
    <x:row r="1386" ht="18" customHeight="1">
      <x:c r="A1386" s="25" t="str">
        <x:v>EEZ_410</x:v>
      </x:c>
      <x:c r="B1386" s="25" t="str">
        <x:v>commercial_ppr_difference</x:v>
      </x:c>
      <x:c r="C1386" s="25" t="n">
        <x:v>-447445738.29922247</x:v>
      </x:c>
      <x:c r="D1386" s="25" t="str">
        <x:v>tonnes_primary_production_equivalent</x:v>
      </x:c>
    </x:row>
    <x:row r="1387" ht="18" customHeight="1">
      <x:c r="A1387" s="25" t="str">
        <x:v>EEZ_410</x:v>
      </x:c>
      <x:c r="B1387" s="25" t="str">
        <x:v>functional_ppr_difference</x:v>
      </x:c>
      <x:c r="C1387" s="25" t="n">
        <x:v>-181104884.10726142</x:v>
      </x:c>
      <x:c r="D1387" s="25" t="str">
        <x:v>tonnes_primary_production_equivalent</x:v>
      </x:c>
    </x:row>
    <x:row r="1388" ht="18" customHeight="1">
      <x:c r="A1388" s="25" t="str">
        <x:v>EEZ_414</x:v>
      </x:c>
      <x:c r="B1388" s="25" t="str">
        <x:v>raw_filtered_tonnes</x:v>
      </x:c>
      <x:c r="C1388" s="25" t="n">
        <x:v>23587.724537113</x:v>
      </x:c>
      <x:c r="D1388" s="25" t="str">
        <x:v>tonnes</x:v>
      </x:c>
    </x:row>
    <x:row r="1389" ht="18" customHeight="1">
      <x:c r="A1389" s="25" t="str">
        <x:v>EEZ_414</x:v>
      </x:c>
      <x:c r="B1389" s="25" t="str">
        <x:v>species_catch_tonnes</x:v>
      </x:c>
      <x:c r="C1389" s="25" t="n">
        <x:v>23587.724537113005</x:v>
      </x:c>
      <x:c r="D1389" s="25" t="str">
        <x:v>tonnes</x:v>
      </x:c>
    </x:row>
    <x:row r="1390" ht="18" customHeight="1">
      <x:c r="A1390" s="25" t="str">
        <x:v>EEZ_414</x:v>
      </x:c>
      <x:c r="B1390" s="25" t="str">
        <x:v>catch_difference_tonnes</x:v>
      </x:c>
      <x:c r="C1390" s="25" t="n">
        <x:v>3.637978807091713e-12</x:v>
      </x:c>
      <x:c r="D1390" s="25" t="str">
        <x:v>tonnes</x:v>
      </x:c>
    </x:row>
    <x:row r="1391" ht="18" customHeight="1">
      <x:c r="A1391" s="25" t="str">
        <x:v>EEZ_414</x:v>
      </x:c>
      <x:c r="B1391" s="25" t="str">
        <x:v>catch_reconciled</x:v>
      </x:c>
      <x:c r="C1391" s="36" t="b">
        <x:v>1</x:v>
      </x:c>
      <x:c r="D1391" s="25" t="str">
        <x:v>boolean</x:v>
      </x:c>
    </x:row>
    <x:row r="1392" ht="18" customHeight="1">
      <x:c r="A1392" s="25" t="str">
        <x:v>EEZ_414</x:v>
      </x:c>
      <x:c r="B1392" s="25" t="str">
        <x:v>matched_catch_tonnes</x:v>
      </x:c>
      <x:c r="C1392" s="25" t="n">
        <x:v>23587.724537113005</x:v>
      </x:c>
      <x:c r="D1392" s="25" t="str">
        <x:v>tonnes</x:v>
      </x:c>
    </x:row>
    <x:row r="1393" ht="18" customHeight="1">
      <x:c r="A1393" s="25" t="str">
        <x:v>EEZ_414</x:v>
      </x:c>
      <x:c r="B1393" s="25" t="str">
        <x:v>catch_coverage_fraction</x:v>
      </x:c>
      <x:c r="C1393" s="25" t="n">
        <x:v>1</x:v>
      </x:c>
      <x:c r="D1393" s="25" t="str">
        <x:v>fraction</x:v>
      </x:c>
    </x:row>
    <x:row r="1394" ht="18" customHeight="1">
      <x:c r="A1394" s="25" t="str">
        <x:v>EEZ_414</x:v>
      </x:c>
      <x:c r="B1394" s="25" t="str">
        <x:v>taxa_count</x:v>
      </x:c>
      <x:c r="C1394" s="25" t="n">
        <x:v>22</x:v>
      </x:c>
      <x:c r="D1394" s="25" t="str">
        <x:v>count</x:v>
      </x:c>
    </x:row>
    <x:row r="1395" ht="18" customHeight="1">
      <x:c r="A1395" s="25" t="str">
        <x:v>EEZ_414</x:v>
      </x:c>
      <x:c r="B1395" s="25" t="str">
        <x:v>matched_taxa_count</x:v>
      </x:c>
      <x:c r="C1395" s="25" t="n">
        <x:v>22</x:v>
      </x:c>
      <x:c r="D1395" s="25" t="str">
        <x:v>count</x:v>
      </x:c>
    </x:row>
    <x:row r="1396" ht="18" customHeight="1">
      <x:c r="A1396" s="25" t="str">
        <x:v>EEZ_414</x:v>
      </x:c>
      <x:c r="B1396" s="25" t="str">
        <x:v>unmatched_taxa_count</x:v>
      </x:c>
      <x:c r="C1396" s="25" t="n">
        <x:v>0</x:v>
      </x:c>
      <x:c r="D1396" s="25" t="str">
        <x:v>count</x:v>
      </x:c>
    </x:row>
    <x:row r="1397" ht="18" customHeight="1">
      <x:c r="A1397" s="25" t="str">
        <x:v>EEZ_414</x:v>
      </x:c>
      <x:c r="B1397" s="25" t="str">
        <x:v>species_ppr</x:v>
      </x:c>
      <x:c r="C1397" s="25" t="n">
        <x:v>8850802.026816877</x:v>
      </x:c>
      <x:c r="D1397" s="25" t="str">
        <x:v>tonnes_primary_production_equivalent</x:v>
      </x:c>
    </x:row>
    <x:row r="1398" ht="18" customHeight="1">
      <x:c r="A1398" s="25" t="str">
        <x:v>EEZ_414</x:v>
      </x:c>
      <x:c r="B1398" s="25" t="str">
        <x:v>commercial_ppr</x:v>
      </x:c>
      <x:c r="C1398" s="25" t="n">
        <x:v>8234956.306908464</x:v>
      </x:c>
      <x:c r="D1398" s="25" t="str">
        <x:v>tonnes_primary_production_equivalent</x:v>
      </x:c>
    </x:row>
    <x:row r="1399" ht="18" customHeight="1">
      <x:c r="A1399" s="25" t="str">
        <x:v>EEZ_414</x:v>
      </x:c>
      <x:c r="B1399" s="25" t="str">
        <x:v>functional_ppr</x:v>
      </x:c>
      <x:c r="C1399" s="25" t="n">
        <x:v>8613150.653751288</x:v>
      </x:c>
      <x:c r="D1399" s="25" t="str">
        <x:v>tonnes_primary_production_equivalent</x:v>
      </x:c>
    </x:row>
    <x:row r="1400" ht="18" customHeight="1">
      <x:c r="A1400" s="25" t="str">
        <x:v>EEZ_414</x:v>
      </x:c>
      <x:c r="B1400" s="25" t="str">
        <x:v>commercial_ppr_difference</x:v>
      </x:c>
      <x:c r="C1400" s="25" t="n">
        <x:v>-615845.7199084125</x:v>
      </x:c>
      <x:c r="D1400" s="25" t="str">
        <x:v>tonnes_primary_production_equivalent</x:v>
      </x:c>
    </x:row>
    <x:row r="1401" ht="18" customHeight="1">
      <x:c r="A1401" s="25" t="str">
        <x:v>EEZ_414</x:v>
      </x:c>
      <x:c r="B1401" s="25" t="str">
        <x:v>functional_ppr_difference</x:v>
      </x:c>
      <x:c r="C1401" s="25" t="n">
        <x:v>-237651.373065589</x:v>
      </x:c>
      <x:c r="D1401" s="25" t="str">
        <x:v>tonnes_primary_production_equivalent</x:v>
      </x:c>
    </x:row>
    <x:row r="1402" ht="18" customHeight="1">
      <x:c r="A1402" s="25" t="str">
        <x:v>EEZ_422</x:v>
      </x:c>
      <x:c r="B1402" s="25" t="str">
        <x:v>raw_filtered_tonnes</x:v>
      </x:c>
      <x:c r="C1402" s="25" t="n">
        <x:v>6487.446754114901</x:v>
      </x:c>
      <x:c r="D1402" s="25" t="str">
        <x:v>tonnes</x:v>
      </x:c>
    </x:row>
    <x:row r="1403" ht="18" customHeight="1">
      <x:c r="A1403" s="25" t="str">
        <x:v>EEZ_422</x:v>
      </x:c>
      <x:c r="B1403" s="25" t="str">
        <x:v>species_catch_tonnes</x:v>
      </x:c>
      <x:c r="C1403" s="25" t="n">
        <x:v>6487.446754114901</x:v>
      </x:c>
      <x:c r="D1403" s="25" t="str">
        <x:v>tonnes</x:v>
      </x:c>
    </x:row>
    <x:row r="1404" ht="18" customHeight="1">
      <x:c r="A1404" s="25" t="str">
        <x:v>EEZ_422</x:v>
      </x:c>
      <x:c r="B1404" s="25" t="str">
        <x:v>catch_difference_tonnes</x:v>
      </x:c>
      <x:c r="C1404" s="25" t="n">
        <x:v>0</x:v>
      </x:c>
      <x:c r="D1404" s="25" t="str">
        <x:v>tonnes</x:v>
      </x:c>
    </x:row>
    <x:row r="1405" ht="18" customHeight="1">
      <x:c r="A1405" s="25" t="str">
        <x:v>EEZ_422</x:v>
      </x:c>
      <x:c r="B1405" s="25" t="str">
        <x:v>catch_reconciled</x:v>
      </x:c>
      <x:c r="C1405" s="36" t="b">
        <x:v>1</x:v>
      </x:c>
      <x:c r="D1405" s="25" t="str">
        <x:v>boolean</x:v>
      </x:c>
    </x:row>
    <x:row r="1406" ht="18" customHeight="1">
      <x:c r="A1406" s="25" t="str">
        <x:v>EEZ_422</x:v>
      </x:c>
      <x:c r="B1406" s="25" t="str">
        <x:v>matched_catch_tonnes</x:v>
      </x:c>
      <x:c r="C1406" s="25" t="n">
        <x:v>6487.446754114901</x:v>
      </x:c>
      <x:c r="D1406" s="25" t="str">
        <x:v>tonnes</x:v>
      </x:c>
    </x:row>
    <x:row r="1407" ht="18" customHeight="1">
      <x:c r="A1407" s="25" t="str">
        <x:v>EEZ_422</x:v>
      </x:c>
      <x:c r="B1407" s="25" t="str">
        <x:v>catch_coverage_fraction</x:v>
      </x:c>
      <x:c r="C1407" s="25" t="n">
        <x:v>1</x:v>
      </x:c>
      <x:c r="D1407" s="25" t="str">
        <x:v>fraction</x:v>
      </x:c>
    </x:row>
    <x:row r="1408" ht="18" customHeight="1">
      <x:c r="A1408" s="25" t="str">
        <x:v>EEZ_422</x:v>
      </x:c>
      <x:c r="B1408" s="25" t="str">
        <x:v>taxa_count</x:v>
      </x:c>
      <x:c r="C1408" s="25" t="n">
        <x:v>107</x:v>
      </x:c>
      <x:c r="D1408" s="25" t="str">
        <x:v>count</x:v>
      </x:c>
    </x:row>
    <x:row r="1409" ht="18" customHeight="1">
      <x:c r="A1409" s="25" t="str">
        <x:v>EEZ_422</x:v>
      </x:c>
      <x:c r="B1409" s="25" t="str">
        <x:v>matched_taxa_count</x:v>
      </x:c>
      <x:c r="C1409" s="25" t="n">
        <x:v>107</x:v>
      </x:c>
      <x:c r="D1409" s="25" t="str">
        <x:v>count</x:v>
      </x:c>
    </x:row>
    <x:row r="1410" ht="18" customHeight="1">
      <x:c r="A1410" s="25" t="str">
        <x:v>EEZ_422</x:v>
      </x:c>
      <x:c r="B1410" s="25" t="str">
        <x:v>unmatched_taxa_count</x:v>
      </x:c>
      <x:c r="C1410" s="25" t="n">
        <x:v>0</x:v>
      </x:c>
      <x:c r="D1410" s="25" t="str">
        <x:v>count</x:v>
      </x:c>
    </x:row>
    <x:row r="1411" ht="18" customHeight="1">
      <x:c r="A1411" s="25" t="str">
        <x:v>EEZ_422</x:v>
      </x:c>
      <x:c r="B1411" s="25" t="str">
        <x:v>species_ppr</x:v>
      </x:c>
      <x:c r="C1411" s="25" t="n">
        <x:v>4354101.235520945</x:v>
      </x:c>
      <x:c r="D1411" s="25" t="str">
        <x:v>tonnes_primary_production_equivalent</x:v>
      </x:c>
    </x:row>
    <x:row r="1412" ht="18" customHeight="1">
      <x:c r="A1412" s="25" t="str">
        <x:v>EEZ_422</x:v>
      </x:c>
      <x:c r="B1412" s="25" t="str">
        <x:v>commercial_ppr</x:v>
      </x:c>
      <x:c r="C1412" s="25" t="n">
        <x:v>2964399.180842338</x:v>
      </x:c>
      <x:c r="D1412" s="25" t="str">
        <x:v>tonnes_primary_production_equivalent</x:v>
      </x:c>
    </x:row>
    <x:row r="1413" ht="18" customHeight="1">
      <x:c r="A1413" s="25" t="str">
        <x:v>EEZ_422</x:v>
      </x:c>
      <x:c r="B1413" s="25" t="str">
        <x:v>functional_ppr</x:v>
      </x:c>
      <x:c r="C1413" s="25" t="n">
        <x:v>3901732.118175007</x:v>
      </x:c>
      <x:c r="D1413" s="25" t="str">
        <x:v>tonnes_primary_production_equivalent</x:v>
      </x:c>
    </x:row>
    <x:row r="1414" ht="18" customHeight="1">
      <x:c r="A1414" s="25" t="str">
        <x:v>EEZ_422</x:v>
      </x:c>
      <x:c r="B1414" s="25" t="str">
        <x:v>commercial_ppr_difference</x:v>
      </x:c>
      <x:c r="C1414" s="25" t="n">
        <x:v>-1389702.0546786068</x:v>
      </x:c>
      <x:c r="D1414" s="25" t="str">
        <x:v>tonnes_primary_production_equivalent</x:v>
      </x:c>
    </x:row>
    <x:row r="1415" ht="18" customHeight="1">
      <x:c r="A1415" s="25" t="str">
        <x:v>EEZ_422</x:v>
      </x:c>
      <x:c r="B1415" s="25" t="str">
        <x:v>functional_ppr_difference</x:v>
      </x:c>
      <x:c r="C1415" s="25" t="n">
        <x:v>-452369.117345938</x:v>
      </x:c>
      <x:c r="D1415" s="25" t="str">
        <x:v>tonnes_primary_production_equivalent</x:v>
      </x:c>
    </x:row>
    <x:row r="1416" ht="18" customHeight="1">
      <x:c r="A1416" s="25" t="str">
        <x:v>EEZ_428</x:v>
      </x:c>
      <x:c r="B1416" s="25" t="str">
        <x:v>raw_filtered_tonnes</x:v>
      </x:c>
      <x:c r="C1416" s="25" t="n">
        <x:v>100360.13516485729</x:v>
      </x:c>
      <x:c r="D1416" s="25" t="str">
        <x:v>tonnes</x:v>
      </x:c>
    </x:row>
    <x:row r="1417" ht="18" customHeight="1">
      <x:c r="A1417" s="25" t="str">
        <x:v>EEZ_428</x:v>
      </x:c>
      <x:c r="B1417" s="25" t="str">
        <x:v>species_catch_tonnes</x:v>
      </x:c>
      <x:c r="C1417" s="25" t="n">
        <x:v>100360.1351648573</x:v>
      </x:c>
      <x:c r="D1417" s="25" t="str">
        <x:v>tonnes</x:v>
      </x:c>
    </x:row>
    <x:row r="1418" ht="18" customHeight="1">
      <x:c r="A1418" s="25" t="str">
        <x:v>EEZ_428</x:v>
      </x:c>
      <x:c r="B1418" s="25" t="str">
        <x:v>catch_difference_tonnes</x:v>
      </x:c>
      <x:c r="C1418" s="25" t="n">
        <x:v>1.4551915228366852e-11</x:v>
      </x:c>
      <x:c r="D1418" s="25" t="str">
        <x:v>tonnes</x:v>
      </x:c>
    </x:row>
    <x:row r="1419" ht="18" customHeight="1">
      <x:c r="A1419" s="25" t="str">
        <x:v>EEZ_428</x:v>
      </x:c>
      <x:c r="B1419" s="25" t="str">
        <x:v>catch_reconciled</x:v>
      </x:c>
      <x:c r="C1419" s="36" t="b">
        <x:v>1</x:v>
      </x:c>
      <x:c r="D1419" s="25" t="str">
        <x:v>boolean</x:v>
      </x:c>
    </x:row>
    <x:row r="1420" ht="18" customHeight="1">
      <x:c r="A1420" s="25" t="str">
        <x:v>EEZ_428</x:v>
      </x:c>
      <x:c r="B1420" s="25" t="str">
        <x:v>matched_catch_tonnes</x:v>
      </x:c>
      <x:c r="C1420" s="25" t="n">
        <x:v>100360.1351648573</x:v>
      </x:c>
      <x:c r="D1420" s="25" t="str">
        <x:v>tonnes</x:v>
      </x:c>
    </x:row>
    <x:row r="1421" ht="18" customHeight="1">
      <x:c r="A1421" s="25" t="str">
        <x:v>EEZ_428</x:v>
      </x:c>
      <x:c r="B1421" s="25" t="str">
        <x:v>catch_coverage_fraction</x:v>
      </x:c>
      <x:c r="C1421" s="25" t="n">
        <x:v>1</x:v>
      </x:c>
      <x:c r="D1421" s="25" t="str">
        <x:v>fraction</x:v>
      </x:c>
    </x:row>
    <x:row r="1422" ht="18" customHeight="1">
      <x:c r="A1422" s="25" t="str">
        <x:v>EEZ_428</x:v>
      </x:c>
      <x:c r="B1422" s="25" t="str">
        <x:v>taxa_count</x:v>
      </x:c>
      <x:c r="C1422" s="25" t="n">
        <x:v>45</x:v>
      </x:c>
      <x:c r="D1422" s="25" t="str">
        <x:v>count</x:v>
      </x:c>
    </x:row>
    <x:row r="1423" ht="18" customHeight="1">
      <x:c r="A1423" s="25" t="str">
        <x:v>EEZ_428</x:v>
      </x:c>
      <x:c r="B1423" s="25" t="str">
        <x:v>matched_taxa_count</x:v>
      </x:c>
      <x:c r="C1423" s="25" t="n">
        <x:v>45</x:v>
      </x:c>
      <x:c r="D1423" s="25" t="str">
        <x:v>count</x:v>
      </x:c>
    </x:row>
    <x:row r="1424" ht="18" customHeight="1">
      <x:c r="A1424" s="25" t="str">
        <x:v>EEZ_428</x:v>
      </x:c>
      <x:c r="B1424" s="25" t="str">
        <x:v>unmatched_taxa_count</x:v>
      </x:c>
      <x:c r="C1424" s="25" t="n">
        <x:v>0</x:v>
      </x:c>
      <x:c r="D1424" s="25" t="str">
        <x:v>count</x:v>
      </x:c>
    </x:row>
    <x:row r="1425" ht="18" customHeight="1">
      <x:c r="A1425" s="25" t="str">
        <x:v>EEZ_428</x:v>
      </x:c>
      <x:c r="B1425" s="25" t="str">
        <x:v>species_ppr</x:v>
      </x:c>
      <x:c r="C1425" s="25" t="n">
        <x:v>21329723.262881607</x:v>
      </x:c>
      <x:c r="D1425" s="25" t="str">
        <x:v>tonnes_primary_production_equivalent</x:v>
      </x:c>
    </x:row>
    <x:row r="1426" ht="18" customHeight="1">
      <x:c r="A1426" s="25" t="str">
        <x:v>EEZ_428</x:v>
      </x:c>
      <x:c r="B1426" s="25" t="str">
        <x:v>commercial_ppr</x:v>
      </x:c>
      <x:c r="C1426" s="25" t="n">
        <x:v>19085893.87546863</x:v>
      </x:c>
      <x:c r="D1426" s="25" t="str">
        <x:v>tonnes_primary_production_equivalent</x:v>
      </x:c>
    </x:row>
    <x:row r="1427" ht="18" customHeight="1">
      <x:c r="A1427" s="25" t="str">
        <x:v>EEZ_428</x:v>
      </x:c>
      <x:c r="B1427" s="25" t="str">
        <x:v>functional_ppr</x:v>
      </x:c>
      <x:c r="C1427" s="25" t="n">
        <x:v>20586662.395192724</x:v>
      </x:c>
      <x:c r="D1427" s="25" t="str">
        <x:v>tonnes_primary_production_equivalent</x:v>
      </x:c>
    </x:row>
    <x:row r="1428" ht="18" customHeight="1">
      <x:c r="A1428" s="25" t="str">
        <x:v>EEZ_428</x:v>
      </x:c>
      <x:c r="B1428" s="25" t="str">
        <x:v>commercial_ppr_difference</x:v>
      </x:c>
      <x:c r="C1428" s="25" t="n">
        <x:v>-2243829.3874129765</x:v>
      </x:c>
      <x:c r="D1428" s="25" t="str">
        <x:v>tonnes_primary_production_equivalent</x:v>
      </x:c>
    </x:row>
    <x:row r="1429" ht="18" customHeight="1">
      <x:c r="A1429" s="25" t="str">
        <x:v>EEZ_428</x:v>
      </x:c>
      <x:c r="B1429" s="25" t="str">
        <x:v>functional_ppr_difference</x:v>
      </x:c>
      <x:c r="C1429" s="25" t="n">
        <x:v>-743060.8676888831</x:v>
      </x:c>
      <x:c r="D1429" s="25" t="str">
        <x:v>tonnes_primary_production_equivalent</x:v>
      </x:c>
    </x:row>
    <x:row r="1430" ht="18" customHeight="1">
      <x:c r="A1430" s="25" t="str">
        <x:v>EEZ_430</x:v>
      </x:c>
      <x:c r="B1430" s="25" t="str">
        <x:v>raw_filtered_tonnes</x:v>
      </x:c>
      <x:c r="C1430" s="25" t="n">
        <x:v>179043.0926542068</x:v>
      </x:c>
      <x:c r="D1430" s="25" t="str">
        <x:v>tonnes</x:v>
      </x:c>
    </x:row>
    <x:row r="1431" ht="18" customHeight="1">
      <x:c r="A1431" s="25" t="str">
        <x:v>EEZ_430</x:v>
      </x:c>
      <x:c r="B1431" s="25" t="str">
        <x:v>species_catch_tonnes</x:v>
      </x:c>
      <x:c r="C1431" s="25" t="n">
        <x:v>179043.09265420676</x:v>
      </x:c>
      <x:c r="D1431" s="25" t="str">
        <x:v>tonnes</x:v>
      </x:c>
    </x:row>
    <x:row r="1432" ht="18" customHeight="1">
      <x:c r="A1432" s="25" t="str">
        <x:v>EEZ_430</x:v>
      </x:c>
      <x:c r="B1432" s="25" t="str">
        <x:v>catch_difference_tonnes</x:v>
      </x:c>
      <x:c r="C1432" s="25" t="n">
        <x:v>-2.9103830456733704e-11</x:v>
      </x:c>
      <x:c r="D1432" s="25" t="str">
        <x:v>tonnes</x:v>
      </x:c>
    </x:row>
    <x:row r="1433" ht="18" customHeight="1">
      <x:c r="A1433" s="25" t="str">
        <x:v>EEZ_430</x:v>
      </x:c>
      <x:c r="B1433" s="25" t="str">
        <x:v>catch_reconciled</x:v>
      </x:c>
      <x:c r="C1433" s="36" t="b">
        <x:v>1</x:v>
      </x:c>
      <x:c r="D1433" s="25" t="str">
        <x:v>boolean</x:v>
      </x:c>
    </x:row>
    <x:row r="1434" ht="18" customHeight="1">
      <x:c r="A1434" s="25" t="str">
        <x:v>EEZ_430</x:v>
      </x:c>
      <x:c r="B1434" s="25" t="str">
        <x:v>matched_catch_tonnes</x:v>
      </x:c>
      <x:c r="C1434" s="25" t="n">
        <x:v>179043.09265420676</x:v>
      </x:c>
      <x:c r="D1434" s="25" t="str">
        <x:v>tonnes</x:v>
      </x:c>
    </x:row>
    <x:row r="1435" ht="18" customHeight="1">
      <x:c r="A1435" s="25" t="str">
        <x:v>EEZ_430</x:v>
      </x:c>
      <x:c r="B1435" s="25" t="str">
        <x:v>catch_coverage_fraction</x:v>
      </x:c>
      <x:c r="C1435" s="25" t="n">
        <x:v>1</x:v>
      </x:c>
      <x:c r="D1435" s="25" t="str">
        <x:v>fraction</x:v>
      </x:c>
    </x:row>
    <x:row r="1436" ht="18" customHeight="1">
      <x:c r="A1436" s="25" t="str">
        <x:v>EEZ_430</x:v>
      </x:c>
      <x:c r="B1436" s="25" t="str">
        <x:v>taxa_count</x:v>
      </x:c>
      <x:c r="C1436" s="25" t="n">
        <x:v>239</x:v>
      </x:c>
      <x:c r="D1436" s="25" t="str">
        <x:v>count</x:v>
      </x:c>
    </x:row>
    <x:row r="1437" ht="18" customHeight="1">
      <x:c r="A1437" s="25" t="str">
        <x:v>EEZ_430</x:v>
      </x:c>
      <x:c r="B1437" s="25" t="str">
        <x:v>matched_taxa_count</x:v>
      </x:c>
      <x:c r="C1437" s="25" t="n">
        <x:v>239</x:v>
      </x:c>
      <x:c r="D1437" s="25" t="str">
        <x:v>count</x:v>
      </x:c>
    </x:row>
    <x:row r="1438" ht="18" customHeight="1">
      <x:c r="A1438" s="25" t="str">
        <x:v>EEZ_430</x:v>
      </x:c>
      <x:c r="B1438" s="25" t="str">
        <x:v>unmatched_taxa_count</x:v>
      </x:c>
      <x:c r="C1438" s="25" t="n">
        <x:v>0</x:v>
      </x:c>
      <x:c r="D1438" s="25" t="str">
        <x:v>count</x:v>
      </x:c>
    </x:row>
    <x:row r="1439" ht="18" customHeight="1">
      <x:c r="A1439" s="25" t="str">
        <x:v>EEZ_430</x:v>
      </x:c>
      <x:c r="B1439" s="25" t="str">
        <x:v>species_ppr</x:v>
      </x:c>
      <x:c r="C1439" s="25" t="n">
        <x:v>96290641.00214319</x:v>
      </x:c>
      <x:c r="D1439" s="25" t="str">
        <x:v>tonnes_primary_production_equivalent</x:v>
      </x:c>
    </x:row>
    <x:row r="1440" ht="18" customHeight="1">
      <x:c r="A1440" s="25" t="str">
        <x:v>EEZ_430</x:v>
      </x:c>
      <x:c r="B1440" s="25" t="str">
        <x:v>commercial_ppr</x:v>
      </x:c>
      <x:c r="C1440" s="25" t="n">
        <x:v>80575332.56567119</x:v>
      </x:c>
      <x:c r="D1440" s="25" t="str">
        <x:v>tonnes_primary_production_equivalent</x:v>
      </x:c>
    </x:row>
    <x:row r="1441" ht="18" customHeight="1">
      <x:c r="A1441" s="25" t="str">
        <x:v>EEZ_430</x:v>
      </x:c>
      <x:c r="B1441" s="25" t="str">
        <x:v>functional_ppr</x:v>
      </x:c>
      <x:c r="C1441" s="25" t="n">
        <x:v>89268475.32954851</x:v>
      </x:c>
      <x:c r="D1441" s="25" t="str">
        <x:v>tonnes_primary_production_equivalent</x:v>
      </x:c>
    </x:row>
    <x:row r="1442" ht="18" customHeight="1">
      <x:c r="A1442" s="25" t="str">
        <x:v>EEZ_430</x:v>
      </x:c>
      <x:c r="B1442" s="25" t="str">
        <x:v>commercial_ppr_difference</x:v>
      </x:c>
      <x:c r="C1442" s="25" t="n">
        <x:v>-15715308.436471999</x:v>
      </x:c>
      <x:c r="D1442" s="25" t="str">
        <x:v>tonnes_primary_production_equivalent</x:v>
      </x:c>
    </x:row>
    <x:row r="1443" ht="18" customHeight="1">
      <x:c r="A1443" s="25" t="str">
        <x:v>EEZ_430</x:v>
      </x:c>
      <x:c r="B1443" s="25" t="str">
        <x:v>functional_ppr_difference</x:v>
      </x:c>
      <x:c r="C1443" s="25" t="n">
        <x:v>-7022165.672594681</x:v>
      </x:c>
      <x:c r="D1443" s="25" t="str">
        <x:v>tonnes_primary_production_equivalent</x:v>
      </x:c>
    </x:row>
    <x:row r="1444" ht="18" customHeight="1">
      <x:c r="A1444" s="25" t="str">
        <x:v>EEZ_434</x:v>
      </x:c>
      <x:c r="B1444" s="25" t="str">
        <x:v>raw_filtered_tonnes</x:v>
      </x:c>
      <x:c r="C1444" s="25" t="n">
        <x:v>46065.469076652495</x:v>
      </x:c>
      <x:c r="D1444" s="25" t="str">
        <x:v>tonnes</x:v>
      </x:c>
    </x:row>
    <x:row r="1445" ht="18" customHeight="1">
      <x:c r="A1445" s="25" t="str">
        <x:v>EEZ_434</x:v>
      </x:c>
      <x:c r="B1445" s="25" t="str">
        <x:v>species_catch_tonnes</x:v>
      </x:c>
      <x:c r="C1445" s="25" t="n">
        <x:v>46065.4690766525</x:v>
      </x:c>
      <x:c r="D1445" s="25" t="str">
        <x:v>tonnes</x:v>
      </x:c>
    </x:row>
    <x:row r="1446" ht="18" customHeight="1">
      <x:c r="A1446" s="25" t="str">
        <x:v>EEZ_434</x:v>
      </x:c>
      <x:c r="B1446" s="25" t="str">
        <x:v>catch_difference_tonnes</x:v>
      </x:c>
      <x:c r="C1446" s="25" t="n">
        <x:v>7.275957614183426e-12</x:v>
      </x:c>
      <x:c r="D1446" s="25" t="str">
        <x:v>tonnes</x:v>
      </x:c>
    </x:row>
    <x:row r="1447" ht="18" customHeight="1">
      <x:c r="A1447" s="25" t="str">
        <x:v>EEZ_434</x:v>
      </x:c>
      <x:c r="B1447" s="25" t="str">
        <x:v>catch_reconciled</x:v>
      </x:c>
      <x:c r="C1447" s="36" t="b">
        <x:v>1</x:v>
      </x:c>
      <x:c r="D1447" s="25" t="str">
        <x:v>boolean</x:v>
      </x:c>
    </x:row>
    <x:row r="1448" ht="18" customHeight="1">
      <x:c r="A1448" s="25" t="str">
        <x:v>EEZ_434</x:v>
      </x:c>
      <x:c r="B1448" s="25" t="str">
        <x:v>matched_catch_tonnes</x:v>
      </x:c>
      <x:c r="C1448" s="25" t="n">
        <x:v>46065.4690766525</x:v>
      </x:c>
      <x:c r="D1448" s="25" t="str">
        <x:v>tonnes</x:v>
      </x:c>
    </x:row>
    <x:row r="1449" ht="18" customHeight="1">
      <x:c r="A1449" s="25" t="str">
        <x:v>EEZ_434</x:v>
      </x:c>
      <x:c r="B1449" s="25" t="str">
        <x:v>catch_coverage_fraction</x:v>
      </x:c>
      <x:c r="C1449" s="25" t="n">
        <x:v>1</x:v>
      </x:c>
      <x:c r="D1449" s="25" t="str">
        <x:v>fraction</x:v>
      </x:c>
    </x:row>
    <x:row r="1450" ht="18" customHeight="1">
      <x:c r="A1450" s="25" t="str">
        <x:v>EEZ_434</x:v>
      </x:c>
      <x:c r="B1450" s="25" t="str">
        <x:v>taxa_count</x:v>
      </x:c>
      <x:c r="C1450" s="25" t="n">
        <x:v>147</x:v>
      </x:c>
      <x:c r="D1450" s="25" t="str">
        <x:v>count</x:v>
      </x:c>
    </x:row>
    <x:row r="1451" ht="18" customHeight="1">
      <x:c r="A1451" s="25" t="str">
        <x:v>EEZ_434</x:v>
      </x:c>
      <x:c r="B1451" s="25" t="str">
        <x:v>matched_taxa_count</x:v>
      </x:c>
      <x:c r="C1451" s="25" t="n">
        <x:v>147</x:v>
      </x:c>
      <x:c r="D1451" s="25" t="str">
        <x:v>count</x:v>
      </x:c>
    </x:row>
    <x:row r="1452" ht="18" customHeight="1">
      <x:c r="A1452" s="25" t="str">
        <x:v>EEZ_434</x:v>
      </x:c>
      <x:c r="B1452" s="25" t="str">
        <x:v>unmatched_taxa_count</x:v>
      </x:c>
      <x:c r="C1452" s="25" t="n">
        <x:v>0</x:v>
      </x:c>
      <x:c r="D1452" s="25" t="str">
        <x:v>count</x:v>
      </x:c>
    </x:row>
    <x:row r="1453" ht="18" customHeight="1">
      <x:c r="A1453" s="25" t="str">
        <x:v>EEZ_434</x:v>
      </x:c>
      <x:c r="B1453" s="25" t="str">
        <x:v>species_ppr</x:v>
      </x:c>
      <x:c r="C1453" s="25" t="n">
        <x:v>32589026.701867957</x:v>
      </x:c>
      <x:c r="D1453" s="25" t="str">
        <x:v>tonnes_primary_production_equivalent</x:v>
      </x:c>
    </x:row>
    <x:row r="1454" ht="18" customHeight="1">
      <x:c r="A1454" s="25" t="str">
        <x:v>EEZ_434</x:v>
      </x:c>
      <x:c r="B1454" s="25" t="str">
        <x:v>commercial_ppr</x:v>
      </x:c>
      <x:c r="C1454" s="25" t="n">
        <x:v>23407105.4909815</x:v>
      </x:c>
      <x:c r="D1454" s="25" t="str">
        <x:v>tonnes_primary_production_equivalent</x:v>
      </x:c>
    </x:row>
    <x:row r="1455" ht="18" customHeight="1">
      <x:c r="A1455" s="25" t="str">
        <x:v>EEZ_434</x:v>
      </x:c>
      <x:c r="B1455" s="25" t="str">
        <x:v>functional_ppr</x:v>
      </x:c>
      <x:c r="C1455" s="25" t="n">
        <x:v>29149313.176975008</x:v>
      </x:c>
      <x:c r="D1455" s="25" t="str">
        <x:v>tonnes_primary_production_equivalent</x:v>
      </x:c>
    </x:row>
    <x:row r="1456" ht="18" customHeight="1">
      <x:c r="A1456" s="25" t="str">
        <x:v>EEZ_434</x:v>
      </x:c>
      <x:c r="B1456" s="25" t="str">
        <x:v>commercial_ppr_difference</x:v>
      </x:c>
      <x:c r="C1456" s="25" t="n">
        <x:v>-9181921.210886456</x:v>
      </x:c>
      <x:c r="D1456" s="25" t="str">
        <x:v>tonnes_primary_production_equivalent</x:v>
      </x:c>
    </x:row>
    <x:row r="1457" ht="18" customHeight="1">
      <x:c r="A1457" s="25" t="str">
        <x:v>EEZ_434</x:v>
      </x:c>
      <x:c r="B1457" s="25" t="str">
        <x:v>functional_ppr_difference</x:v>
      </x:c>
      <x:c r="C1457" s="25" t="n">
        <x:v>-3439713.5248929486</x:v>
      </x:c>
      <x:c r="D1457" s="25" t="str">
        <x:v>tonnes_primary_production_equivalent</x:v>
      </x:c>
    </x:row>
    <x:row r="1458" ht="18" customHeight="1">
      <x:c r="A1458" s="25" t="str">
        <x:v>EEZ_440</x:v>
      </x:c>
      <x:c r="B1458" s="25" t="str">
        <x:v>raw_filtered_tonnes</x:v>
      </x:c>
      <x:c r="C1458" s="25" t="n">
        <x:v>34707.5616911521</x:v>
      </x:c>
      <x:c r="D1458" s="25" t="str">
        <x:v>tonnes</x:v>
      </x:c>
    </x:row>
    <x:row r="1459" ht="18" customHeight="1">
      <x:c r="A1459" s="25" t="str">
        <x:v>EEZ_440</x:v>
      </x:c>
      <x:c r="B1459" s="25" t="str">
        <x:v>species_catch_tonnes</x:v>
      </x:c>
      <x:c r="C1459" s="25" t="n">
        <x:v>34707.5616911521</x:v>
      </x:c>
      <x:c r="D1459" s="25" t="str">
        <x:v>tonnes</x:v>
      </x:c>
    </x:row>
    <x:row r="1460" ht="18" customHeight="1">
      <x:c r="A1460" s="25" t="str">
        <x:v>EEZ_440</x:v>
      </x:c>
      <x:c r="B1460" s="25" t="str">
        <x:v>catch_difference_tonnes</x:v>
      </x:c>
      <x:c r="C1460" s="25" t="n">
        <x:v>0</x:v>
      </x:c>
      <x:c r="D1460" s="25" t="str">
        <x:v>tonnes</x:v>
      </x:c>
    </x:row>
    <x:row r="1461" ht="18" customHeight="1">
      <x:c r="A1461" s="25" t="str">
        <x:v>EEZ_440</x:v>
      </x:c>
      <x:c r="B1461" s="25" t="str">
        <x:v>catch_reconciled</x:v>
      </x:c>
      <x:c r="C1461" s="36" t="b">
        <x:v>1</x:v>
      </x:c>
      <x:c r="D1461" s="25" t="str">
        <x:v>boolean</x:v>
      </x:c>
    </x:row>
    <x:row r="1462" ht="18" customHeight="1">
      <x:c r="A1462" s="25" t="str">
        <x:v>EEZ_440</x:v>
      </x:c>
      <x:c r="B1462" s="25" t="str">
        <x:v>matched_catch_tonnes</x:v>
      </x:c>
      <x:c r="C1462" s="25" t="n">
        <x:v>34707.5616911521</x:v>
      </x:c>
      <x:c r="D1462" s="25" t="str">
        <x:v>tonnes</x:v>
      </x:c>
    </x:row>
    <x:row r="1463" ht="18" customHeight="1">
      <x:c r="A1463" s="25" t="str">
        <x:v>EEZ_440</x:v>
      </x:c>
      <x:c r="B1463" s="25" t="str">
        <x:v>catch_coverage_fraction</x:v>
      </x:c>
      <x:c r="C1463" s="25" t="n">
        <x:v>1</x:v>
      </x:c>
      <x:c r="D1463" s="25" t="str">
        <x:v>fraction</x:v>
      </x:c>
    </x:row>
    <x:row r="1464" ht="18" customHeight="1">
      <x:c r="A1464" s="25" t="str">
        <x:v>EEZ_440</x:v>
      </x:c>
      <x:c r="B1464" s="25" t="str">
        <x:v>taxa_count</x:v>
      </x:c>
      <x:c r="C1464" s="25" t="n">
        <x:v>43</x:v>
      </x:c>
      <x:c r="D1464" s="25" t="str">
        <x:v>count</x:v>
      </x:c>
    </x:row>
    <x:row r="1465" ht="18" customHeight="1">
      <x:c r="A1465" s="25" t="str">
        <x:v>EEZ_440</x:v>
      </x:c>
      <x:c r="B1465" s="25" t="str">
        <x:v>matched_taxa_count</x:v>
      </x:c>
      <x:c r="C1465" s="25" t="n">
        <x:v>43</x:v>
      </x:c>
      <x:c r="D1465" s="25" t="str">
        <x:v>count</x:v>
      </x:c>
    </x:row>
    <x:row r="1466" ht="18" customHeight="1">
      <x:c r="A1466" s="25" t="str">
        <x:v>EEZ_440</x:v>
      </x:c>
      <x:c r="B1466" s="25" t="str">
        <x:v>unmatched_taxa_count</x:v>
      </x:c>
      <x:c r="C1466" s="25" t="n">
        <x:v>0</x:v>
      </x:c>
      <x:c r="D1466" s="25" t="str">
        <x:v>count</x:v>
      </x:c>
    </x:row>
    <x:row r="1467" ht="18" customHeight="1">
      <x:c r="A1467" s="25" t="str">
        <x:v>EEZ_440</x:v>
      </x:c>
      <x:c r="B1467" s="25" t="str">
        <x:v>species_ppr</x:v>
      </x:c>
      <x:c r="C1467" s="25" t="n">
        <x:v>9837795.65518664</x:v>
      </x:c>
      <x:c r="D1467" s="25" t="str">
        <x:v>tonnes_primary_production_equivalent</x:v>
      </x:c>
    </x:row>
    <x:row r="1468" ht="18" customHeight="1">
      <x:c r="A1468" s="25" t="str">
        <x:v>EEZ_440</x:v>
      </x:c>
      <x:c r="B1468" s="25" t="str">
        <x:v>commercial_ppr</x:v>
      </x:c>
      <x:c r="C1468" s="25" t="n">
        <x:v>9327889.657551447</x:v>
      </x:c>
      <x:c r="D1468" s="25" t="str">
        <x:v>tonnes_primary_production_equivalent</x:v>
      </x:c>
    </x:row>
    <x:row r="1469" ht="18" customHeight="1">
      <x:c r="A1469" s="25" t="str">
        <x:v>EEZ_440</x:v>
      </x:c>
      <x:c r="B1469" s="25" t="str">
        <x:v>functional_ppr</x:v>
      </x:c>
      <x:c r="C1469" s="25" t="n">
        <x:v>9697324.015540378</x:v>
      </x:c>
      <x:c r="D1469" s="25" t="str">
        <x:v>tonnes_primary_production_equivalent</x:v>
      </x:c>
    </x:row>
    <x:row r="1470" ht="18" customHeight="1">
      <x:c r="A1470" s="25" t="str">
        <x:v>EEZ_440</x:v>
      </x:c>
      <x:c r="B1470" s="25" t="str">
        <x:v>commercial_ppr_difference</x:v>
      </x:c>
      <x:c r="C1470" s="25" t="n">
        <x:v>-509905.99763519317</x:v>
      </x:c>
      <x:c r="D1470" s="25" t="str">
        <x:v>tonnes_primary_production_equivalent</x:v>
      </x:c>
    </x:row>
    <x:row r="1471" ht="18" customHeight="1">
      <x:c r="A1471" s="25" t="str">
        <x:v>EEZ_440</x:v>
      </x:c>
      <x:c r="B1471" s="25" t="str">
        <x:v>functional_ppr_difference</x:v>
      </x:c>
      <x:c r="C1471" s="25" t="n">
        <x:v>-140471.63964626193</x:v>
      </x:c>
      <x:c r="D1471" s="25" t="str">
        <x:v>tonnes_primary_production_equivalent</x:v>
      </x:c>
    </x:row>
    <x:row r="1472" ht="18" customHeight="1">
      <x:c r="A1472" s="25" t="str">
        <x:v>EEZ_450</x:v>
      </x:c>
      <x:c r="B1472" s="25" t="str">
        <x:v>raw_filtered_tonnes</x:v>
      </x:c>
      <x:c r="C1472" s="25" t="n">
        <x:v>159996.68620932242</x:v>
      </x:c>
      <x:c r="D1472" s="25" t="str">
        <x:v>tonnes</x:v>
      </x:c>
    </x:row>
    <x:row r="1473" ht="18" customHeight="1">
      <x:c r="A1473" s="25" t="str">
        <x:v>EEZ_450</x:v>
      </x:c>
      <x:c r="B1473" s="25" t="str">
        <x:v>species_catch_tonnes</x:v>
      </x:c>
      <x:c r="C1473" s="25" t="n">
        <x:v>159996.68620932242</x:v>
      </x:c>
      <x:c r="D1473" s="25" t="str">
        <x:v>tonnes</x:v>
      </x:c>
    </x:row>
    <x:row r="1474" ht="18" customHeight="1">
      <x:c r="A1474" s="25" t="str">
        <x:v>EEZ_450</x:v>
      </x:c>
      <x:c r="B1474" s="25" t="str">
        <x:v>catch_difference_tonnes</x:v>
      </x:c>
      <x:c r="C1474" s="25" t="n">
        <x:v>0</x:v>
      </x:c>
      <x:c r="D1474" s="25" t="str">
        <x:v>tonnes</x:v>
      </x:c>
    </x:row>
    <x:row r="1475" ht="18" customHeight="1">
      <x:c r="A1475" s="25" t="str">
        <x:v>EEZ_450</x:v>
      </x:c>
      <x:c r="B1475" s="25" t="str">
        <x:v>catch_reconciled</x:v>
      </x:c>
      <x:c r="C1475" s="36" t="b">
        <x:v>1</x:v>
      </x:c>
      <x:c r="D1475" s="25" t="str">
        <x:v>boolean</x:v>
      </x:c>
    </x:row>
    <x:row r="1476" ht="18" customHeight="1">
      <x:c r="A1476" s="25" t="str">
        <x:v>EEZ_450</x:v>
      </x:c>
      <x:c r="B1476" s="25" t="str">
        <x:v>matched_catch_tonnes</x:v>
      </x:c>
      <x:c r="C1476" s="25" t="n">
        <x:v>159996.68620932242</x:v>
      </x:c>
      <x:c r="D1476" s="25" t="str">
        <x:v>tonnes</x:v>
      </x:c>
    </x:row>
    <x:row r="1477" ht="18" customHeight="1">
      <x:c r="A1477" s="25" t="str">
        <x:v>EEZ_450</x:v>
      </x:c>
      <x:c r="B1477" s="25" t="str">
        <x:v>catch_coverage_fraction</x:v>
      </x:c>
      <x:c r="C1477" s="25" t="n">
        <x:v>1</x:v>
      </x:c>
      <x:c r="D1477" s="25" t="str">
        <x:v>fraction</x:v>
      </x:c>
    </x:row>
    <x:row r="1478" ht="18" customHeight="1">
      <x:c r="A1478" s="25" t="str">
        <x:v>EEZ_450</x:v>
      </x:c>
      <x:c r="B1478" s="25" t="str">
        <x:v>taxa_count</x:v>
      </x:c>
      <x:c r="C1478" s="25" t="n">
        <x:v>96</x:v>
      </x:c>
      <x:c r="D1478" s="25" t="str">
        <x:v>count</x:v>
      </x:c>
    </x:row>
    <x:row r="1479" ht="18" customHeight="1">
      <x:c r="A1479" s="25" t="str">
        <x:v>EEZ_450</x:v>
      </x:c>
      <x:c r="B1479" s="25" t="str">
        <x:v>matched_taxa_count</x:v>
      </x:c>
      <x:c r="C1479" s="25" t="n">
        <x:v>96</x:v>
      </x:c>
      <x:c r="D1479" s="25" t="str">
        <x:v>count</x:v>
      </x:c>
    </x:row>
    <x:row r="1480" ht="18" customHeight="1">
      <x:c r="A1480" s="25" t="str">
        <x:v>EEZ_450</x:v>
      </x:c>
      <x:c r="B1480" s="25" t="str">
        <x:v>unmatched_taxa_count</x:v>
      </x:c>
      <x:c r="C1480" s="25" t="n">
        <x:v>0</x:v>
      </x:c>
      <x:c r="D1480" s="25" t="str">
        <x:v>count</x:v>
      </x:c>
    </x:row>
    <x:row r="1481" ht="18" customHeight="1">
      <x:c r="A1481" s="25" t="str">
        <x:v>EEZ_450</x:v>
      </x:c>
      <x:c r="B1481" s="25" t="str">
        <x:v>species_ppr</x:v>
      </x:c>
      <x:c r="C1481" s="25" t="n">
        <x:v>87751516.13578317</x:v>
      </x:c>
      <x:c r="D1481" s="25" t="str">
        <x:v>tonnes_primary_production_equivalent</x:v>
      </x:c>
    </x:row>
    <x:row r="1482" ht="18" customHeight="1">
      <x:c r="A1482" s="25" t="str">
        <x:v>EEZ_450</x:v>
      </x:c>
      <x:c r="B1482" s="25" t="str">
        <x:v>commercial_ppr</x:v>
      </x:c>
      <x:c r="C1482" s="25" t="n">
        <x:v>56239923.29380205</x:v>
      </x:c>
      <x:c r="D1482" s="25" t="str">
        <x:v>tonnes_primary_production_equivalent</x:v>
      </x:c>
    </x:row>
    <x:row r="1483" ht="18" customHeight="1">
      <x:c r="A1483" s="25" t="str">
        <x:v>EEZ_450</x:v>
      </x:c>
      <x:c r="B1483" s="25" t="str">
        <x:v>functional_ppr</x:v>
      </x:c>
      <x:c r="C1483" s="25" t="n">
        <x:v>73763184.84527262</x:v>
      </x:c>
      <x:c r="D1483" s="25" t="str">
        <x:v>tonnes_primary_production_equivalent</x:v>
      </x:c>
    </x:row>
    <x:row r="1484" ht="18" customHeight="1">
      <x:c r="A1484" s="25" t="str">
        <x:v>EEZ_450</x:v>
      </x:c>
      <x:c r="B1484" s="25" t="str">
        <x:v>commercial_ppr_difference</x:v>
      </x:c>
      <x:c r="C1484" s="25" t="n">
        <x:v>-31511592.841981113</x:v>
      </x:c>
      <x:c r="D1484" s="25" t="str">
        <x:v>tonnes_primary_production_equivalent</x:v>
      </x:c>
    </x:row>
    <x:row r="1485" ht="18" customHeight="1">
      <x:c r="A1485" s="25" t="str">
        <x:v>EEZ_450</x:v>
      </x:c>
      <x:c r="B1485" s="25" t="str">
        <x:v>functional_ppr_difference</x:v>
      </x:c>
      <x:c r="C1485" s="25" t="n">
        <x:v>-13988331.29051055</x:v>
      </x:c>
      <x:c r="D1485" s="25" t="str">
        <x:v>tonnes_primary_production_equivalent</x:v>
      </x:c>
    </x:row>
    <x:row r="1486" ht="18" customHeight="1">
      <x:c r="A1486" s="25" t="str">
        <x:v>EEZ_459</x:v>
      </x:c>
      <x:c r="B1486" s="25" t="str">
        <x:v>raw_filtered_tonnes</x:v>
      </x:c>
      <x:c r="C1486" s="25" t="n">
        <x:v>1109839.2864373182</x:v>
      </x:c>
      <x:c r="D1486" s="25" t="str">
        <x:v>tonnes</x:v>
      </x:c>
    </x:row>
    <x:row r="1487" ht="18" customHeight="1">
      <x:c r="A1487" s="25" t="str">
        <x:v>EEZ_459</x:v>
      </x:c>
      <x:c r="B1487" s="25" t="str">
        <x:v>species_catch_tonnes</x:v>
      </x:c>
      <x:c r="C1487" s="25" t="n">
        <x:v>1109839.2864373184</x:v>
      </x:c>
      <x:c r="D1487" s="25" t="str">
        <x:v>tonnes</x:v>
      </x:c>
    </x:row>
    <x:row r="1488" ht="18" customHeight="1">
      <x:c r="A1488" s="25" t="str">
        <x:v>EEZ_459</x:v>
      </x:c>
      <x:c r="B1488" s="25" t="str">
        <x:v>catch_difference_tonnes</x:v>
      </x:c>
      <x:c r="C1488" s="25" t="n">
        <x:v>2.3283064365386963e-10</x:v>
      </x:c>
      <x:c r="D1488" s="25" t="str">
        <x:v>tonnes</x:v>
      </x:c>
    </x:row>
    <x:row r="1489" ht="18" customHeight="1">
      <x:c r="A1489" s="25" t="str">
        <x:v>EEZ_459</x:v>
      </x:c>
      <x:c r="B1489" s="25" t="str">
        <x:v>catch_reconciled</x:v>
      </x:c>
      <x:c r="C1489" s="36" t="b">
        <x:v>1</x:v>
      </x:c>
      <x:c r="D1489" s="25" t="str">
        <x:v>boolean</x:v>
      </x:c>
    </x:row>
    <x:row r="1490" ht="18" customHeight="1">
      <x:c r="A1490" s="25" t="str">
        <x:v>EEZ_459</x:v>
      </x:c>
      <x:c r="B1490" s="25" t="str">
        <x:v>matched_catch_tonnes</x:v>
      </x:c>
      <x:c r="C1490" s="25" t="n">
        <x:v>1109839.2864373184</x:v>
      </x:c>
      <x:c r="D1490" s="25" t="str">
        <x:v>tonnes</x:v>
      </x:c>
    </x:row>
    <x:row r="1491" ht="18" customHeight="1">
      <x:c r="A1491" s="25" t="str">
        <x:v>EEZ_459</x:v>
      </x:c>
      <x:c r="B1491" s="25" t="str">
        <x:v>catch_coverage_fraction</x:v>
      </x:c>
      <x:c r="C1491" s="25" t="n">
        <x:v>1</x:v>
      </x:c>
      <x:c r="D1491" s="25" t="str">
        <x:v>fraction</x:v>
      </x:c>
    </x:row>
    <x:row r="1492" ht="18" customHeight="1">
      <x:c r="A1492" s="25" t="str">
        <x:v>EEZ_459</x:v>
      </x:c>
      <x:c r="B1492" s="25" t="str">
        <x:v>taxa_count</x:v>
      </x:c>
      <x:c r="C1492" s="25" t="n">
        <x:v>153</x:v>
      </x:c>
      <x:c r="D1492" s="25" t="str">
        <x:v>count</x:v>
      </x:c>
    </x:row>
    <x:row r="1493" ht="18" customHeight="1">
      <x:c r="A1493" s="25" t="str">
        <x:v>EEZ_459</x:v>
      </x:c>
      <x:c r="B1493" s="25" t="str">
        <x:v>matched_taxa_count</x:v>
      </x:c>
      <x:c r="C1493" s="25" t="n">
        <x:v>153</x:v>
      </x:c>
      <x:c r="D1493" s="25" t="str">
        <x:v>count</x:v>
      </x:c>
    </x:row>
    <x:row r="1494" ht="18" customHeight="1">
      <x:c r="A1494" s="25" t="str">
        <x:v>EEZ_459</x:v>
      </x:c>
      <x:c r="B1494" s="25" t="str">
        <x:v>unmatched_taxa_count</x:v>
      </x:c>
      <x:c r="C1494" s="25" t="n">
        <x:v>0</x:v>
      </x:c>
      <x:c r="D1494" s="25" t="str">
        <x:v>count</x:v>
      </x:c>
    </x:row>
    <x:row r="1495" ht="18" customHeight="1">
      <x:c r="A1495" s="25" t="str">
        <x:v>EEZ_459</x:v>
      </x:c>
      <x:c r="B1495" s="25" t="str">
        <x:v>species_ppr</x:v>
      </x:c>
      <x:c r="C1495" s="25" t="n">
        <x:v>545876685.8837115</x:v>
      </x:c>
      <x:c r="D1495" s="25" t="str">
        <x:v>tonnes_primary_production_equivalent</x:v>
      </x:c>
    </x:row>
    <x:row r="1496" ht="18" customHeight="1">
      <x:c r="A1496" s="25" t="str">
        <x:v>EEZ_459</x:v>
      </x:c>
      <x:c r="B1496" s="25" t="str">
        <x:v>commercial_ppr</x:v>
      </x:c>
      <x:c r="C1496" s="25" t="n">
        <x:v>319692799.8992253</x:v>
      </x:c>
      <x:c r="D1496" s="25" t="str">
        <x:v>tonnes_primary_production_equivalent</x:v>
      </x:c>
    </x:row>
    <x:row r="1497" ht="18" customHeight="1">
      <x:c r="A1497" s="25" t="str">
        <x:v>EEZ_459</x:v>
      </x:c>
      <x:c r="B1497" s="25" t="str">
        <x:v>functional_ppr</x:v>
      </x:c>
      <x:c r="C1497" s="25" t="n">
        <x:v>384466587.7167525</x:v>
      </x:c>
      <x:c r="D1497" s="25" t="str">
        <x:v>tonnes_primary_production_equivalent</x:v>
      </x:c>
    </x:row>
    <x:row r="1498" ht="18" customHeight="1">
      <x:c r="A1498" s="25" t="str">
        <x:v>EEZ_459</x:v>
      </x:c>
      <x:c r="B1498" s="25" t="str">
        <x:v>commercial_ppr_difference</x:v>
      </x:c>
      <x:c r="C1498" s="25" t="n">
        <x:v>-226183885.98448616</x:v>
      </x:c>
      <x:c r="D1498" s="25" t="str">
        <x:v>tonnes_primary_production_equivalent</x:v>
      </x:c>
    </x:row>
    <x:row r="1499" ht="18" customHeight="1">
      <x:c r="A1499" s="25" t="str">
        <x:v>EEZ_459</x:v>
      </x:c>
      <x:c r="B1499" s="25" t="str">
        <x:v>functional_ppr_difference</x:v>
      </x:c>
      <x:c r="C1499" s="25" t="n">
        <x:v>-161410098.16695893</x:v>
      </x:c>
      <x:c r="D1499" s="25" t="str">
        <x:v>tonnes_primary_production_equivalent</x:v>
      </x:c>
    </x:row>
    <x:row r="1500" ht="18" customHeight="1">
      <x:c r="A1500" s="25" t="str">
        <x:v>EEZ_460</x:v>
      </x:c>
      <x:c r="B1500" s="25" t="str">
        <x:v>raw_filtered_tonnes</x:v>
      </x:c>
      <x:c r="C1500" s="25" t="n">
        <x:v>493489.53456538235</x:v>
      </x:c>
      <x:c r="D1500" s="25" t="str">
        <x:v>tonnes</x:v>
      </x:c>
    </x:row>
    <x:row r="1501" ht="18" customHeight="1">
      <x:c r="A1501" s="25" t="str">
        <x:v>EEZ_460</x:v>
      </x:c>
      <x:c r="B1501" s="25" t="str">
        <x:v>species_catch_tonnes</x:v>
      </x:c>
      <x:c r="C1501" s="25" t="n">
        <x:v>493489.5345653823</x:v>
      </x:c>
      <x:c r="D1501" s="25" t="str">
        <x:v>tonnes</x:v>
      </x:c>
    </x:row>
    <x:row r="1502" ht="18" customHeight="1">
      <x:c r="A1502" s="25" t="str">
        <x:v>EEZ_460</x:v>
      </x:c>
      <x:c r="B1502" s="25" t="str">
        <x:v>catch_difference_tonnes</x:v>
      </x:c>
      <x:c r="C1502" s="25" t="n">
        <x:v>-5.820766091346741e-11</x:v>
      </x:c>
      <x:c r="D1502" s="25" t="str">
        <x:v>tonnes</x:v>
      </x:c>
    </x:row>
    <x:row r="1503" ht="18" customHeight="1">
      <x:c r="A1503" s="25" t="str">
        <x:v>EEZ_460</x:v>
      </x:c>
      <x:c r="B1503" s="25" t="str">
        <x:v>catch_reconciled</x:v>
      </x:c>
      <x:c r="C1503" s="36" t="b">
        <x:v>1</x:v>
      </x:c>
      <x:c r="D1503" s="25" t="str">
        <x:v>boolean</x:v>
      </x:c>
    </x:row>
    <x:row r="1504" ht="18" customHeight="1">
      <x:c r="A1504" s="25" t="str">
        <x:v>EEZ_460</x:v>
      </x:c>
      <x:c r="B1504" s="25" t="str">
        <x:v>matched_catch_tonnes</x:v>
      </x:c>
      <x:c r="C1504" s="25" t="n">
        <x:v>493489.5345653823</x:v>
      </x:c>
      <x:c r="D1504" s="25" t="str">
        <x:v>tonnes</x:v>
      </x:c>
    </x:row>
    <x:row r="1505" ht="18" customHeight="1">
      <x:c r="A1505" s="25" t="str">
        <x:v>EEZ_460</x:v>
      </x:c>
      <x:c r="B1505" s="25" t="str">
        <x:v>catch_coverage_fraction</x:v>
      </x:c>
      <x:c r="C1505" s="25" t="n">
        <x:v>1</x:v>
      </x:c>
      <x:c r="D1505" s="25" t="str">
        <x:v>fraction</x:v>
      </x:c>
    </x:row>
    <x:row r="1506" ht="18" customHeight="1">
      <x:c r="A1506" s="25" t="str">
        <x:v>EEZ_460</x:v>
      </x:c>
      <x:c r="B1506" s="25" t="str">
        <x:v>taxa_count</x:v>
      </x:c>
      <x:c r="C1506" s="25" t="n">
        <x:v>157</x:v>
      </x:c>
      <x:c r="D1506" s="25" t="str">
        <x:v>count</x:v>
      </x:c>
    </x:row>
    <x:row r="1507" ht="18" customHeight="1">
      <x:c r="A1507" s="25" t="str">
        <x:v>EEZ_460</x:v>
      </x:c>
      <x:c r="B1507" s="25" t="str">
        <x:v>matched_taxa_count</x:v>
      </x:c>
      <x:c r="C1507" s="25" t="n">
        <x:v>157</x:v>
      </x:c>
      <x:c r="D1507" s="25" t="str">
        <x:v>count</x:v>
      </x:c>
    </x:row>
    <x:row r="1508" ht="18" customHeight="1">
      <x:c r="A1508" s="25" t="str">
        <x:v>EEZ_460</x:v>
      </x:c>
      <x:c r="B1508" s="25" t="str">
        <x:v>unmatched_taxa_count</x:v>
      </x:c>
      <x:c r="C1508" s="25" t="n">
        <x:v>0</x:v>
      </x:c>
      <x:c r="D1508" s="25" t="str">
        <x:v>count</x:v>
      </x:c>
    </x:row>
    <x:row r="1509" ht="18" customHeight="1">
      <x:c r="A1509" s="25" t="str">
        <x:v>EEZ_460</x:v>
      </x:c>
      <x:c r="B1509" s="25" t="str">
        <x:v>species_ppr</x:v>
      </x:c>
      <x:c r="C1509" s="25" t="n">
        <x:v>326099085.0836484</x:v>
      </x:c>
      <x:c r="D1509" s="25" t="str">
        <x:v>tonnes_primary_production_equivalent</x:v>
      </x:c>
    </x:row>
    <x:row r="1510" ht="18" customHeight="1">
      <x:c r="A1510" s="25" t="str">
        <x:v>EEZ_460</x:v>
      </x:c>
      <x:c r="B1510" s="25" t="str">
        <x:v>commercial_ppr</x:v>
      </x:c>
      <x:c r="C1510" s="25" t="n">
        <x:v>222182994.882375</x:v>
      </x:c>
      <x:c r="D1510" s="25" t="str">
        <x:v>tonnes_primary_production_equivalent</x:v>
      </x:c>
    </x:row>
    <x:row r="1511" ht="18" customHeight="1">
      <x:c r="A1511" s="25" t="str">
        <x:v>EEZ_460</x:v>
      </x:c>
      <x:c r="B1511" s="25" t="str">
        <x:v>functional_ppr</x:v>
      </x:c>
      <x:c r="C1511" s="25" t="n">
        <x:v>249715851.01259753</x:v>
      </x:c>
      <x:c r="D1511" s="25" t="str">
        <x:v>tonnes_primary_production_equivalent</x:v>
      </x:c>
    </x:row>
    <x:row r="1512" ht="18" customHeight="1">
      <x:c r="A1512" s="25" t="str">
        <x:v>EEZ_460</x:v>
      </x:c>
      <x:c r="B1512" s="25" t="str">
        <x:v>commercial_ppr_difference</x:v>
      </x:c>
      <x:c r="C1512" s="25" t="n">
        <x:v>-103916090.20127338</x:v>
      </x:c>
      <x:c r="D1512" s="25" t="str">
        <x:v>tonnes_primary_production_equivalent</x:v>
      </x:c>
    </x:row>
    <x:row r="1513" ht="18" customHeight="1">
      <x:c r="A1513" s="25" t="str">
        <x:v>EEZ_460</x:v>
      </x:c>
      <x:c r="B1513" s="25" t="str">
        <x:v>functional_ppr_difference</x:v>
      </x:c>
      <x:c r="C1513" s="25" t="n">
        <x:v>-76383234.07105085</x:v>
      </x:c>
      <x:c r="D1513" s="25" t="str">
        <x:v>tonnes_primary_production_equivalent</x:v>
      </x:c>
    </x:row>
    <x:row r="1514" ht="18" customHeight="1">
      <x:c r="A1514" s="25" t="str">
        <x:v>EEZ_461</x:v>
      </x:c>
      <x:c r="B1514" s="25" t="str">
        <x:v>raw_filtered_tonnes</x:v>
      </x:c>
      <x:c r="C1514" s="25" t="n">
        <x:v>490558.95726488077</x:v>
      </x:c>
      <x:c r="D1514" s="25" t="str">
        <x:v>tonnes</x:v>
      </x:c>
    </x:row>
    <x:row r="1515" ht="18" customHeight="1">
      <x:c r="A1515" s="25" t="str">
        <x:v>EEZ_461</x:v>
      </x:c>
      <x:c r="B1515" s="25" t="str">
        <x:v>species_catch_tonnes</x:v>
      </x:c>
      <x:c r="C1515" s="25" t="n">
        <x:v>490558.95726488077</x:v>
      </x:c>
      <x:c r="D1515" s="25" t="str">
        <x:v>tonnes</x:v>
      </x:c>
    </x:row>
    <x:row r="1516" ht="18" customHeight="1">
      <x:c r="A1516" s="25" t="str">
        <x:v>EEZ_461</x:v>
      </x:c>
      <x:c r="B1516" s="25" t="str">
        <x:v>catch_difference_tonnes</x:v>
      </x:c>
      <x:c r="C1516" s="25" t="n">
        <x:v>0</x:v>
      </x:c>
      <x:c r="D1516" s="25" t="str">
        <x:v>tonnes</x:v>
      </x:c>
    </x:row>
    <x:row r="1517" ht="18" customHeight="1">
      <x:c r="A1517" s="25" t="str">
        <x:v>EEZ_461</x:v>
      </x:c>
      <x:c r="B1517" s="25" t="str">
        <x:v>catch_reconciled</x:v>
      </x:c>
      <x:c r="C1517" s="36" t="b">
        <x:v>1</x:v>
      </x:c>
      <x:c r="D1517" s="25" t="str">
        <x:v>boolean</x:v>
      </x:c>
    </x:row>
    <x:row r="1518" ht="18" customHeight="1">
      <x:c r="A1518" s="25" t="str">
        <x:v>EEZ_461</x:v>
      </x:c>
      <x:c r="B1518" s="25" t="str">
        <x:v>matched_catch_tonnes</x:v>
      </x:c>
      <x:c r="C1518" s="25" t="n">
        <x:v>490558.95726488077</x:v>
      </x:c>
      <x:c r="D1518" s="25" t="str">
        <x:v>tonnes</x:v>
      </x:c>
    </x:row>
    <x:row r="1519" ht="18" customHeight="1">
      <x:c r="A1519" s="25" t="str">
        <x:v>EEZ_461</x:v>
      </x:c>
      <x:c r="B1519" s="25" t="str">
        <x:v>catch_coverage_fraction</x:v>
      </x:c>
      <x:c r="C1519" s="25" t="n">
        <x:v>1</x:v>
      </x:c>
      <x:c r="D1519" s="25" t="str">
        <x:v>fraction</x:v>
      </x:c>
    </x:row>
    <x:row r="1520" ht="18" customHeight="1">
      <x:c r="A1520" s="25" t="str">
        <x:v>EEZ_461</x:v>
      </x:c>
      <x:c r="B1520" s="25" t="str">
        <x:v>taxa_count</x:v>
      </x:c>
      <x:c r="C1520" s="25" t="n">
        <x:v>114</x:v>
      </x:c>
      <x:c r="D1520" s="25" t="str">
        <x:v>count</x:v>
      </x:c>
    </x:row>
    <x:row r="1521" ht="18" customHeight="1">
      <x:c r="A1521" s="25" t="str">
        <x:v>EEZ_461</x:v>
      </x:c>
      <x:c r="B1521" s="25" t="str">
        <x:v>matched_taxa_count</x:v>
      </x:c>
      <x:c r="C1521" s="25" t="n">
        <x:v>114</x:v>
      </x:c>
      <x:c r="D1521" s="25" t="str">
        <x:v>count</x:v>
      </x:c>
    </x:row>
    <x:row r="1522" ht="18" customHeight="1">
      <x:c r="A1522" s="25" t="str">
        <x:v>EEZ_461</x:v>
      </x:c>
      <x:c r="B1522" s="25" t="str">
        <x:v>unmatched_taxa_count</x:v>
      </x:c>
      <x:c r="C1522" s="25" t="n">
        <x:v>0</x:v>
      </x:c>
      <x:c r="D1522" s="25" t="str">
        <x:v>count</x:v>
      </x:c>
    </x:row>
    <x:row r="1523" ht="18" customHeight="1">
      <x:c r="A1523" s="25" t="str">
        <x:v>EEZ_461</x:v>
      </x:c>
      <x:c r="B1523" s="25" t="str">
        <x:v>species_ppr</x:v>
      </x:c>
      <x:c r="C1523" s="25" t="n">
        <x:v>463737305.0889255</x:v>
      </x:c>
      <x:c r="D1523" s="25" t="str">
        <x:v>tonnes_primary_production_equivalent</x:v>
      </x:c>
    </x:row>
    <x:row r="1524" ht="18" customHeight="1">
      <x:c r="A1524" s="25" t="str">
        <x:v>EEZ_461</x:v>
      </x:c>
      <x:c r="B1524" s="25" t="str">
        <x:v>commercial_ppr</x:v>
      </x:c>
      <x:c r="C1524" s="25" t="n">
        <x:v>285551030.0534761</x:v>
      </x:c>
      <x:c r="D1524" s="25" t="str">
        <x:v>tonnes_primary_production_equivalent</x:v>
      </x:c>
    </x:row>
    <x:row r="1525" ht="18" customHeight="1">
      <x:c r="A1525" s="25" t="str">
        <x:v>EEZ_461</x:v>
      </x:c>
      <x:c r="B1525" s="25" t="str">
        <x:v>functional_ppr</x:v>
      </x:c>
      <x:c r="C1525" s="25" t="n">
        <x:v>356452083.706455</x:v>
      </x:c>
      <x:c r="D1525" s="25" t="str">
        <x:v>tonnes_primary_production_equivalent</x:v>
      </x:c>
    </x:row>
    <x:row r="1526" ht="18" customHeight="1">
      <x:c r="A1526" s="25" t="str">
        <x:v>EEZ_461</x:v>
      </x:c>
      <x:c r="B1526" s="25" t="str">
        <x:v>commercial_ppr_difference</x:v>
      </x:c>
      <x:c r="C1526" s="25" t="n">
        <x:v>-178186275.0354494</x:v>
      </x:c>
      <x:c r="D1526" s="25" t="str">
        <x:v>tonnes_primary_production_equivalent</x:v>
      </x:c>
    </x:row>
    <x:row r="1527" ht="18" customHeight="1">
      <x:c r="A1527" s="25" t="str">
        <x:v>EEZ_461</x:v>
      </x:c>
      <x:c r="B1527" s="25" t="str">
        <x:v>functional_ppr_difference</x:v>
      </x:c>
      <x:c r="C1527" s="25" t="n">
        <x:v>-107285221.38247049</x:v>
      </x:c>
      <x:c r="D1527" s="25" t="str">
        <x:v>tonnes_primary_production_equivalent</x:v>
      </x:c>
    </x:row>
    <x:row r="1528" ht="18" customHeight="1">
      <x:c r="A1528" s="25" t="str">
        <x:v>EEZ_462</x:v>
      </x:c>
      <x:c r="B1528" s="25" t="str">
        <x:v>raw_filtered_tonnes</x:v>
      </x:c>
      <x:c r="C1528" s="25" t="n">
        <x:v>51028.424936237396</x:v>
      </x:c>
      <x:c r="D1528" s="25" t="str">
        <x:v>tonnes</x:v>
      </x:c>
    </x:row>
    <x:row r="1529" ht="18" customHeight="1">
      <x:c r="A1529" s="25" t="str">
        <x:v>EEZ_462</x:v>
      </x:c>
      <x:c r="B1529" s="25" t="str">
        <x:v>species_catch_tonnes</x:v>
      </x:c>
      <x:c r="C1529" s="25" t="n">
        <x:v>51028.4249362374</x:v>
      </x:c>
      <x:c r="D1529" s="25" t="str">
        <x:v>tonnes</x:v>
      </x:c>
    </x:row>
    <x:row r="1530" ht="18" customHeight="1">
      <x:c r="A1530" s="25" t="str">
        <x:v>EEZ_462</x:v>
      </x:c>
      <x:c r="B1530" s="25" t="str">
        <x:v>catch_difference_tonnes</x:v>
      </x:c>
      <x:c r="C1530" s="25" t="n">
        <x:v>7.275957614183426e-12</x:v>
      </x:c>
      <x:c r="D1530" s="25" t="str">
        <x:v>tonnes</x:v>
      </x:c>
    </x:row>
    <x:row r="1531" ht="18" customHeight="1">
      <x:c r="A1531" s="25" t="str">
        <x:v>EEZ_462</x:v>
      </x:c>
      <x:c r="B1531" s="25" t="str">
        <x:v>catch_reconciled</x:v>
      </x:c>
      <x:c r="C1531" s="36" t="b">
        <x:v>1</x:v>
      </x:c>
      <x:c r="D1531" s="25" t="str">
        <x:v>boolean</x:v>
      </x:c>
    </x:row>
    <x:row r="1532" ht="18" customHeight="1">
      <x:c r="A1532" s="25" t="str">
        <x:v>EEZ_462</x:v>
      </x:c>
      <x:c r="B1532" s="25" t="str">
        <x:v>matched_catch_tonnes</x:v>
      </x:c>
      <x:c r="C1532" s="25" t="n">
        <x:v>51028.4249362374</x:v>
      </x:c>
      <x:c r="D1532" s="25" t="str">
        <x:v>tonnes</x:v>
      </x:c>
    </x:row>
    <x:row r="1533" ht="18" customHeight="1">
      <x:c r="A1533" s="25" t="str">
        <x:v>EEZ_462</x:v>
      </x:c>
      <x:c r="B1533" s="25" t="str">
        <x:v>catch_coverage_fraction</x:v>
      </x:c>
      <x:c r="C1533" s="25" t="n">
        <x:v>1</x:v>
      </x:c>
      <x:c r="D1533" s="25" t="str">
        <x:v>fraction</x:v>
      </x:c>
    </x:row>
    <x:row r="1534" ht="18" customHeight="1">
      <x:c r="A1534" s="25" t="str">
        <x:v>EEZ_462</x:v>
      </x:c>
      <x:c r="B1534" s="25" t="str">
        <x:v>taxa_count</x:v>
      </x:c>
      <x:c r="C1534" s="25" t="n">
        <x:v>72</x:v>
      </x:c>
      <x:c r="D1534" s="25" t="str">
        <x:v>count</x:v>
      </x:c>
    </x:row>
    <x:row r="1535" ht="18" customHeight="1">
      <x:c r="A1535" s="25" t="str">
        <x:v>EEZ_462</x:v>
      </x:c>
      <x:c r="B1535" s="25" t="str">
        <x:v>matched_taxa_count</x:v>
      </x:c>
      <x:c r="C1535" s="25" t="n">
        <x:v>72</x:v>
      </x:c>
      <x:c r="D1535" s="25" t="str">
        <x:v>count</x:v>
      </x:c>
    </x:row>
    <x:row r="1536" ht="18" customHeight="1">
      <x:c r="A1536" s="25" t="str">
        <x:v>EEZ_462</x:v>
      </x:c>
      <x:c r="B1536" s="25" t="str">
        <x:v>unmatched_taxa_count</x:v>
      </x:c>
      <x:c r="C1536" s="25" t="n">
        <x:v>0</x:v>
      </x:c>
      <x:c r="D1536" s="25" t="str">
        <x:v>count</x:v>
      </x:c>
    </x:row>
    <x:row r="1537" ht="18" customHeight="1">
      <x:c r="A1537" s="25" t="str">
        <x:v>EEZ_462</x:v>
      </x:c>
      <x:c r="B1537" s="25" t="str">
        <x:v>species_ppr</x:v>
      </x:c>
      <x:c r="C1537" s="25" t="n">
        <x:v>122606801.38745148</x:v>
      </x:c>
      <x:c r="D1537" s="25" t="str">
        <x:v>tonnes_primary_production_equivalent</x:v>
      </x:c>
    </x:row>
    <x:row r="1538" ht="18" customHeight="1">
      <x:c r="A1538" s="25" t="str">
        <x:v>EEZ_462</x:v>
      </x:c>
      <x:c r="B1538" s="25" t="str">
        <x:v>commercial_ppr</x:v>
      </x:c>
      <x:c r="C1538" s="25" t="n">
        <x:v>119365084.13676476</x:v>
      </x:c>
      <x:c r="D1538" s="25" t="str">
        <x:v>tonnes_primary_production_equivalent</x:v>
      </x:c>
    </x:row>
    <x:row r="1539" ht="18" customHeight="1">
      <x:c r="A1539" s="25" t="str">
        <x:v>EEZ_462</x:v>
      </x:c>
      <x:c r="B1539" s="25" t="str">
        <x:v>functional_ppr</x:v>
      </x:c>
      <x:c r="C1539" s="25" t="n">
        <x:v>120239573.18308131</x:v>
      </x:c>
      <x:c r="D1539" s="25" t="str">
        <x:v>tonnes_primary_production_equivalent</x:v>
      </x:c>
    </x:row>
    <x:row r="1540" ht="18" customHeight="1">
      <x:c r="A1540" s="25" t="str">
        <x:v>EEZ_462</x:v>
      </x:c>
      <x:c r="B1540" s="25" t="str">
        <x:v>commercial_ppr_difference</x:v>
      </x:c>
      <x:c r="C1540" s="25" t="n">
        <x:v>-3241717.25068672</x:v>
      </x:c>
      <x:c r="D1540" s="25" t="str">
        <x:v>tonnes_primary_production_equivalent</x:v>
      </x:c>
    </x:row>
    <x:row r="1541" ht="18" customHeight="1">
      <x:c r="A1541" s="25" t="str">
        <x:v>EEZ_462</x:v>
      </x:c>
      <x:c r="B1541" s="25" t="str">
        <x:v>functional_ppr_difference</x:v>
      </x:c>
      <x:c r="C1541" s="25" t="n">
        <x:v>-2367228.204370171</x:v>
      </x:c>
      <x:c r="D1541" s="25" t="str">
        <x:v>tonnes_primary_production_equivalent</x:v>
      </x:c>
    </x:row>
    <x:row r="1542" ht="18" customHeight="1">
      <x:c r="A1542" s="25" t="str">
        <x:v>EEZ_463</x:v>
      </x:c>
      <x:c r="B1542" s="25" t="str">
        <x:v>raw_filtered_tonnes</x:v>
      </x:c>
      <x:c r="C1542" s="25" t="n">
        <x:v>172418.003123827</x:v>
      </x:c>
      <x:c r="D1542" s="25" t="str">
        <x:v>tonnes</x:v>
      </x:c>
    </x:row>
    <x:row r="1543" ht="18" customHeight="1">
      <x:c r="A1543" s="25" t="str">
        <x:v>EEZ_463</x:v>
      </x:c>
      <x:c r="B1543" s="25" t="str">
        <x:v>species_catch_tonnes</x:v>
      </x:c>
      <x:c r="C1543" s="25" t="n">
        <x:v>172418.003123827</x:v>
      </x:c>
      <x:c r="D1543" s="25" t="str">
        <x:v>tonnes</x:v>
      </x:c>
    </x:row>
    <x:row r="1544" ht="18" customHeight="1">
      <x:c r="A1544" s="25" t="str">
        <x:v>EEZ_463</x:v>
      </x:c>
      <x:c r="B1544" s="25" t="str">
        <x:v>catch_difference_tonnes</x:v>
      </x:c>
      <x:c r="C1544" s="25" t="n">
        <x:v>0</x:v>
      </x:c>
      <x:c r="D1544" s="25" t="str">
        <x:v>tonnes</x:v>
      </x:c>
    </x:row>
    <x:row r="1545" ht="18" customHeight="1">
      <x:c r="A1545" s="25" t="str">
        <x:v>EEZ_463</x:v>
      </x:c>
      <x:c r="B1545" s="25" t="str">
        <x:v>catch_reconciled</x:v>
      </x:c>
      <x:c r="C1545" s="36" t="b">
        <x:v>1</x:v>
      </x:c>
      <x:c r="D1545" s="25" t="str">
        <x:v>boolean</x:v>
      </x:c>
    </x:row>
    <x:row r="1546" ht="18" customHeight="1">
      <x:c r="A1546" s="25" t="str">
        <x:v>EEZ_463</x:v>
      </x:c>
      <x:c r="B1546" s="25" t="str">
        <x:v>matched_catch_tonnes</x:v>
      </x:c>
      <x:c r="C1546" s="25" t="n">
        <x:v>172418.003123827</x:v>
      </x:c>
      <x:c r="D1546" s="25" t="str">
        <x:v>tonnes</x:v>
      </x:c>
    </x:row>
    <x:row r="1547" ht="18" customHeight="1">
      <x:c r="A1547" s="25" t="str">
        <x:v>EEZ_463</x:v>
      </x:c>
      <x:c r="B1547" s="25" t="str">
        <x:v>catch_coverage_fraction</x:v>
      </x:c>
      <x:c r="C1547" s="25" t="n">
        <x:v>1</x:v>
      </x:c>
      <x:c r="D1547" s="25" t="str">
        <x:v>fraction</x:v>
      </x:c>
    </x:row>
    <x:row r="1548" ht="18" customHeight="1">
      <x:c r="A1548" s="25" t="str">
        <x:v>EEZ_463</x:v>
      </x:c>
      <x:c r="B1548" s="25" t="str">
        <x:v>taxa_count</x:v>
      </x:c>
      <x:c r="C1548" s="25" t="n">
        <x:v>142</x:v>
      </x:c>
      <x:c r="D1548" s="25" t="str">
        <x:v>count</x:v>
      </x:c>
    </x:row>
    <x:row r="1549" ht="18" customHeight="1">
      <x:c r="A1549" s="25" t="str">
        <x:v>EEZ_463</x:v>
      </x:c>
      <x:c r="B1549" s="25" t="str">
        <x:v>matched_taxa_count</x:v>
      </x:c>
      <x:c r="C1549" s="25" t="n">
        <x:v>142</x:v>
      </x:c>
      <x:c r="D1549" s="25" t="str">
        <x:v>count</x:v>
      </x:c>
    </x:row>
    <x:row r="1550" ht="18" customHeight="1">
      <x:c r="A1550" s="25" t="str">
        <x:v>EEZ_463</x:v>
      </x:c>
      <x:c r="B1550" s="25" t="str">
        <x:v>unmatched_taxa_count</x:v>
      </x:c>
      <x:c r="C1550" s="25" t="n">
        <x:v>0</x:v>
      </x:c>
      <x:c r="D1550" s="25" t="str">
        <x:v>count</x:v>
      </x:c>
    </x:row>
    <x:row r="1551" ht="18" customHeight="1">
      <x:c r="A1551" s="25" t="str">
        <x:v>EEZ_463</x:v>
      </x:c>
      <x:c r="B1551" s="25" t="str">
        <x:v>species_ppr</x:v>
      </x:c>
      <x:c r="C1551" s="25" t="n">
        <x:v>142871346.13405973</x:v>
      </x:c>
      <x:c r="D1551" s="25" t="str">
        <x:v>tonnes_primary_production_equivalent</x:v>
      </x:c>
    </x:row>
    <x:row r="1552" ht="18" customHeight="1">
      <x:c r="A1552" s="25" t="str">
        <x:v>EEZ_463</x:v>
      </x:c>
      <x:c r="B1552" s="25" t="str">
        <x:v>commercial_ppr</x:v>
      </x:c>
      <x:c r="C1552" s="25" t="n">
        <x:v>97811219.7385735</x:v>
      </x:c>
      <x:c r="D1552" s="25" t="str">
        <x:v>tonnes_primary_production_equivalent</x:v>
      </x:c>
    </x:row>
    <x:row r="1553" ht="18" customHeight="1">
      <x:c r="A1553" s="25" t="str">
        <x:v>EEZ_463</x:v>
      </x:c>
      <x:c r="B1553" s="25" t="str">
        <x:v>functional_ppr</x:v>
      </x:c>
      <x:c r="C1553" s="25" t="n">
        <x:v>116816988.36898412</x:v>
      </x:c>
      <x:c r="D1553" s="25" t="str">
        <x:v>tonnes_primary_production_equivalent</x:v>
      </x:c>
    </x:row>
    <x:row r="1554" ht="18" customHeight="1">
      <x:c r="A1554" s="25" t="str">
        <x:v>EEZ_463</x:v>
      </x:c>
      <x:c r="B1554" s="25" t="str">
        <x:v>commercial_ppr_difference</x:v>
      </x:c>
      <x:c r="C1554" s="25" t="n">
        <x:v>-45060126.39548622</x:v>
      </x:c>
      <x:c r="D1554" s="25" t="str">
        <x:v>tonnes_primary_production_equivalent</x:v>
      </x:c>
    </x:row>
    <x:row r="1555" ht="18" customHeight="1">
      <x:c r="A1555" s="25" t="str">
        <x:v>EEZ_463</x:v>
      </x:c>
      <x:c r="B1555" s="25" t="str">
        <x:v>functional_ppr_difference</x:v>
      </x:c>
      <x:c r="C1555" s="25" t="n">
        <x:v>-26054357.76507561</x:v>
      </x:c>
      <x:c r="D1555" s="25" t="str">
        <x:v>tonnes_primary_production_equivalent</x:v>
      </x:c>
    </x:row>
    <x:row r="1556" ht="18" customHeight="1">
      <x:c r="A1556" s="25" t="str">
        <x:v>EEZ_470</x:v>
      </x:c>
      <x:c r="B1556" s="25" t="str">
        <x:v>raw_filtered_tonnes</x:v>
      </x:c>
      <x:c r="C1556" s="25" t="n">
        <x:v>7732.9980884831</x:v>
      </x:c>
      <x:c r="D1556" s="25" t="str">
        <x:v>tonnes</x:v>
      </x:c>
    </x:row>
    <x:row r="1557" ht="18" customHeight="1">
      <x:c r="A1557" s="25" t="str">
        <x:v>EEZ_470</x:v>
      </x:c>
      <x:c r="B1557" s="25" t="str">
        <x:v>species_catch_tonnes</x:v>
      </x:c>
      <x:c r="C1557" s="25" t="n">
        <x:v>7732.9980884831</x:v>
      </x:c>
      <x:c r="D1557" s="25" t="str">
        <x:v>tonnes</x:v>
      </x:c>
    </x:row>
    <x:row r="1558" ht="18" customHeight="1">
      <x:c r="A1558" s="25" t="str">
        <x:v>EEZ_470</x:v>
      </x:c>
      <x:c r="B1558" s="25" t="str">
        <x:v>catch_difference_tonnes</x:v>
      </x:c>
      <x:c r="C1558" s="25" t="n">
        <x:v>0</x:v>
      </x:c>
      <x:c r="D1558" s="25" t="str">
        <x:v>tonnes</x:v>
      </x:c>
    </x:row>
    <x:row r="1559" ht="18" customHeight="1">
      <x:c r="A1559" s="25" t="str">
        <x:v>EEZ_470</x:v>
      </x:c>
      <x:c r="B1559" s="25" t="str">
        <x:v>catch_reconciled</x:v>
      </x:c>
      <x:c r="C1559" s="36" t="b">
        <x:v>1</x:v>
      </x:c>
      <x:c r="D1559" s="25" t="str">
        <x:v>boolean</x:v>
      </x:c>
    </x:row>
    <x:row r="1560" ht="18" customHeight="1">
      <x:c r="A1560" s="25" t="str">
        <x:v>EEZ_470</x:v>
      </x:c>
      <x:c r="B1560" s="25" t="str">
        <x:v>matched_catch_tonnes</x:v>
      </x:c>
      <x:c r="C1560" s="25" t="n">
        <x:v>7732.9980884831</x:v>
      </x:c>
      <x:c r="D1560" s="25" t="str">
        <x:v>tonnes</x:v>
      </x:c>
    </x:row>
    <x:row r="1561" ht="18" customHeight="1">
      <x:c r="A1561" s="25" t="str">
        <x:v>EEZ_470</x:v>
      </x:c>
      <x:c r="B1561" s="25" t="str">
        <x:v>catch_coverage_fraction</x:v>
      </x:c>
      <x:c r="C1561" s="25" t="n">
        <x:v>1</x:v>
      </x:c>
      <x:c r="D1561" s="25" t="str">
        <x:v>fraction</x:v>
      </x:c>
    </x:row>
    <x:row r="1562" ht="18" customHeight="1">
      <x:c r="A1562" s="25" t="str">
        <x:v>EEZ_470</x:v>
      </x:c>
      <x:c r="B1562" s="25" t="str">
        <x:v>taxa_count</x:v>
      </x:c>
      <x:c r="C1562" s="25" t="n">
        <x:v>213</x:v>
      </x:c>
      <x:c r="D1562" s="25" t="str">
        <x:v>count</x:v>
      </x:c>
    </x:row>
    <x:row r="1563" ht="18" customHeight="1">
      <x:c r="A1563" s="25" t="str">
        <x:v>EEZ_470</x:v>
      </x:c>
      <x:c r="B1563" s="25" t="str">
        <x:v>matched_taxa_count</x:v>
      </x:c>
      <x:c r="C1563" s="25" t="n">
        <x:v>213</x:v>
      </x:c>
      <x:c r="D1563" s="25" t="str">
        <x:v>count</x:v>
      </x:c>
    </x:row>
    <x:row r="1564" ht="18" customHeight="1">
      <x:c r="A1564" s="25" t="str">
        <x:v>EEZ_470</x:v>
      </x:c>
      <x:c r="B1564" s="25" t="str">
        <x:v>unmatched_taxa_count</x:v>
      </x:c>
      <x:c r="C1564" s="25" t="n">
        <x:v>0</x:v>
      </x:c>
      <x:c r="D1564" s="25" t="str">
        <x:v>count</x:v>
      </x:c>
    </x:row>
    <x:row r="1565" ht="18" customHeight="1">
      <x:c r="A1565" s="25" t="str">
        <x:v>EEZ_470</x:v>
      </x:c>
      <x:c r="B1565" s="25" t="str">
        <x:v>species_ppr</x:v>
      </x:c>
      <x:c r="C1565" s="25" t="n">
        <x:v>16447013.960324993</x:v>
      </x:c>
      <x:c r="D1565" s="25" t="str">
        <x:v>tonnes_primary_production_equivalent</x:v>
      </x:c>
    </x:row>
    <x:row r="1566" ht="18" customHeight="1">
      <x:c r="A1566" s="25" t="str">
        <x:v>EEZ_470</x:v>
      </x:c>
      <x:c r="B1566" s="25" t="str">
        <x:v>commercial_ppr</x:v>
      </x:c>
      <x:c r="C1566" s="25" t="n">
        <x:v>15037040.322183833</x:v>
      </x:c>
      <x:c r="D1566" s="25" t="str">
        <x:v>tonnes_primary_production_equivalent</x:v>
      </x:c>
    </x:row>
    <x:row r="1567" ht="18" customHeight="1">
      <x:c r="A1567" s="25" t="str">
        <x:v>EEZ_470</x:v>
      </x:c>
      <x:c r="B1567" s="25" t="str">
        <x:v>functional_ppr</x:v>
      </x:c>
      <x:c r="C1567" s="25" t="n">
        <x:v>15493537.20996647</x:v>
      </x:c>
      <x:c r="D1567" s="25" t="str">
        <x:v>tonnes_primary_production_equivalent</x:v>
      </x:c>
    </x:row>
    <x:row r="1568" ht="18" customHeight="1">
      <x:c r="A1568" s="25" t="str">
        <x:v>EEZ_470</x:v>
      </x:c>
      <x:c r="B1568" s="25" t="str">
        <x:v>commercial_ppr_difference</x:v>
      </x:c>
      <x:c r="C1568" s="25" t="n">
        <x:v>-1409973.6381411608</x:v>
      </x:c>
      <x:c r="D1568" s="25" t="str">
        <x:v>tonnes_primary_production_equivalent</x:v>
      </x:c>
    </x:row>
    <x:row r="1569" ht="18" customHeight="1">
      <x:c r="A1569" s="25" t="str">
        <x:v>EEZ_470</x:v>
      </x:c>
      <x:c r="B1569" s="25" t="str">
        <x:v>functional_ppr_difference</x:v>
      </x:c>
      <x:c r="C1569" s="25" t="n">
        <x:v>-953476.7503585238</x:v>
      </x:c>
      <x:c r="D1569" s="25" t="str">
        <x:v>tonnes_primary_production_equivalent</x:v>
      </x:c>
    </x:row>
    <x:row r="1570" ht="18" customHeight="1">
      <x:c r="A1570" s="25" t="str">
        <x:v>EEZ_474</x:v>
      </x:c>
      <x:c r="B1570" s="25" t="str">
        <x:v>raw_filtered_tonnes</x:v>
      </x:c>
      <x:c r="C1570" s="25" t="n">
        <x:v>2440.9497922336996</x:v>
      </x:c>
      <x:c r="D1570" s="25" t="str">
        <x:v>tonnes</x:v>
      </x:c>
    </x:row>
    <x:row r="1571" ht="18" customHeight="1">
      <x:c r="A1571" s="25" t="str">
        <x:v>EEZ_474</x:v>
      </x:c>
      <x:c r="B1571" s="25" t="str">
        <x:v>species_catch_tonnes</x:v>
      </x:c>
      <x:c r="C1571" s="25" t="n">
        <x:v>2440.9497922337</x:v>
      </x:c>
      <x:c r="D1571" s="25" t="str">
        <x:v>tonnes</x:v>
      </x:c>
    </x:row>
    <x:row r="1572" ht="18" customHeight="1">
      <x:c r="A1572" s="25" t="str">
        <x:v>EEZ_474</x:v>
      </x:c>
      <x:c r="B1572" s="25" t="str">
        <x:v>catch_difference_tonnes</x:v>
      </x:c>
      <x:c r="C1572" s="25" t="n">
        <x:v>4.547473508864641e-13</x:v>
      </x:c>
      <x:c r="D1572" s="25" t="str">
        <x:v>tonnes</x:v>
      </x:c>
    </x:row>
    <x:row r="1573" ht="18" customHeight="1">
      <x:c r="A1573" s="25" t="str">
        <x:v>EEZ_474</x:v>
      </x:c>
      <x:c r="B1573" s="25" t="str">
        <x:v>catch_reconciled</x:v>
      </x:c>
      <x:c r="C1573" s="36" t="b">
        <x:v>1</x:v>
      </x:c>
      <x:c r="D1573" s="25" t="str">
        <x:v>boolean</x:v>
      </x:c>
    </x:row>
    <x:row r="1574" ht="18" customHeight="1">
      <x:c r="A1574" s="25" t="str">
        <x:v>EEZ_474</x:v>
      </x:c>
      <x:c r="B1574" s="25" t="str">
        <x:v>matched_catch_tonnes</x:v>
      </x:c>
      <x:c r="C1574" s="25" t="n">
        <x:v>2440.9497922337</x:v>
      </x:c>
      <x:c r="D1574" s="25" t="str">
        <x:v>tonnes</x:v>
      </x:c>
    </x:row>
    <x:row r="1575" ht="18" customHeight="1">
      <x:c r="A1575" s="25" t="str">
        <x:v>EEZ_474</x:v>
      </x:c>
      <x:c r="B1575" s="25" t="str">
        <x:v>catch_coverage_fraction</x:v>
      </x:c>
      <x:c r="C1575" s="25" t="n">
        <x:v>1</x:v>
      </x:c>
      <x:c r="D1575" s="25" t="str">
        <x:v>fraction</x:v>
      </x:c>
    </x:row>
    <x:row r="1576" ht="18" customHeight="1">
      <x:c r="A1576" s="25" t="str">
        <x:v>EEZ_474</x:v>
      </x:c>
      <x:c r="B1576" s="25" t="str">
        <x:v>taxa_count</x:v>
      </x:c>
      <x:c r="C1576" s="25" t="n">
        <x:v>65</x:v>
      </x:c>
      <x:c r="D1576" s="25" t="str">
        <x:v>count</x:v>
      </x:c>
    </x:row>
    <x:row r="1577" ht="18" customHeight="1">
      <x:c r="A1577" s="25" t="str">
        <x:v>EEZ_474</x:v>
      </x:c>
      <x:c r="B1577" s="25" t="str">
        <x:v>matched_taxa_count</x:v>
      </x:c>
      <x:c r="C1577" s="25" t="n">
        <x:v>65</x:v>
      </x:c>
      <x:c r="D1577" s="25" t="str">
        <x:v>count</x:v>
      </x:c>
    </x:row>
    <x:row r="1578" ht="18" customHeight="1">
      <x:c r="A1578" s="25" t="str">
        <x:v>EEZ_474</x:v>
      </x:c>
      <x:c r="B1578" s="25" t="str">
        <x:v>unmatched_taxa_count</x:v>
      </x:c>
      <x:c r="C1578" s="25" t="n">
        <x:v>0</x:v>
      </x:c>
      <x:c r="D1578" s="25" t="str">
        <x:v>count</x:v>
      </x:c>
    </x:row>
    <x:row r="1579" ht="18" customHeight="1">
      <x:c r="A1579" s="25" t="str">
        <x:v>EEZ_474</x:v>
      </x:c>
      <x:c r="B1579" s="25" t="str">
        <x:v>species_ppr</x:v>
      </x:c>
      <x:c r="C1579" s="25" t="n">
        <x:v>1473241.0944450698</x:v>
      </x:c>
      <x:c r="D1579" s="25" t="str">
        <x:v>tonnes_primary_production_equivalent</x:v>
      </x:c>
    </x:row>
    <x:row r="1580" ht="18" customHeight="1">
      <x:c r="A1580" s="25" t="str">
        <x:v>EEZ_474</x:v>
      </x:c>
      <x:c r="B1580" s="25" t="str">
        <x:v>commercial_ppr</x:v>
      </x:c>
      <x:c r="C1580" s="25" t="n">
        <x:v>1143596.8788195786</x:v>
      </x:c>
      <x:c r="D1580" s="25" t="str">
        <x:v>tonnes_primary_production_equivalent</x:v>
      </x:c>
    </x:row>
    <x:row r="1581" ht="18" customHeight="1">
      <x:c r="A1581" s="25" t="str">
        <x:v>EEZ_474</x:v>
      </x:c>
      <x:c r="B1581" s="25" t="str">
        <x:v>functional_ppr</x:v>
      </x:c>
      <x:c r="C1581" s="25" t="n">
        <x:v>1353237.9877384163</x:v>
      </x:c>
      <x:c r="D1581" s="25" t="str">
        <x:v>tonnes_primary_production_equivalent</x:v>
      </x:c>
    </x:row>
    <x:row r="1582" ht="18" customHeight="1">
      <x:c r="A1582" s="25" t="str">
        <x:v>EEZ_474</x:v>
      </x:c>
      <x:c r="B1582" s="25" t="str">
        <x:v>commercial_ppr_difference</x:v>
      </x:c>
      <x:c r="C1582" s="25" t="n">
        <x:v>-329644.2156254912</x:v>
      </x:c>
      <x:c r="D1582" s="25" t="str">
        <x:v>tonnes_primary_production_equivalent</x:v>
      </x:c>
    </x:row>
    <x:row r="1583" ht="18" customHeight="1">
      <x:c r="A1583" s="25" t="str">
        <x:v>EEZ_474</x:v>
      </x:c>
      <x:c r="B1583" s="25" t="str">
        <x:v>functional_ppr_difference</x:v>
      </x:c>
      <x:c r="C1583" s="25" t="n">
        <x:v>-120003.10670665349</x:v>
      </x:c>
      <x:c r="D1583" s="25" t="str">
        <x:v>tonnes_primary_production_equivalent</x:v>
      </x:c>
    </x:row>
    <x:row r="1584" ht="18" customHeight="1">
      <x:c r="A1584" s="25" t="str">
        <x:v>EEZ_478</x:v>
      </x:c>
      <x:c r="B1584" s="25" t="str">
        <x:v>raw_filtered_tonnes</x:v>
      </x:c>
      <x:c r="C1584" s="25" t="n">
        <x:v>2210253.937882072</x:v>
      </x:c>
      <x:c r="D1584" s="25" t="str">
        <x:v>tonnes</x:v>
      </x:c>
    </x:row>
    <x:row r="1585" ht="18" customHeight="1">
      <x:c r="A1585" s="25" t="str">
        <x:v>EEZ_478</x:v>
      </x:c>
      <x:c r="B1585" s="25" t="str">
        <x:v>species_catch_tonnes</x:v>
      </x:c>
      <x:c r="C1585" s="25" t="n">
        <x:v>2210253.937882072</x:v>
      </x:c>
      <x:c r="D1585" s="25" t="str">
        <x:v>tonnes</x:v>
      </x:c>
    </x:row>
    <x:row r="1586" ht="18" customHeight="1">
      <x:c r="A1586" s="25" t="str">
        <x:v>EEZ_478</x:v>
      </x:c>
      <x:c r="B1586" s="25" t="str">
        <x:v>catch_difference_tonnes</x:v>
      </x:c>
      <x:c r="C1586" s="25" t="n">
        <x:v>0</x:v>
      </x:c>
      <x:c r="D1586" s="25" t="str">
        <x:v>tonnes</x:v>
      </x:c>
    </x:row>
    <x:row r="1587" ht="18" customHeight="1">
      <x:c r="A1587" s="25" t="str">
        <x:v>EEZ_478</x:v>
      </x:c>
      <x:c r="B1587" s="25" t="str">
        <x:v>catch_reconciled</x:v>
      </x:c>
      <x:c r="C1587" s="36" t="b">
        <x:v>1</x:v>
      </x:c>
      <x:c r="D1587" s="25" t="str">
        <x:v>boolean</x:v>
      </x:c>
    </x:row>
    <x:row r="1588" ht="18" customHeight="1">
      <x:c r="A1588" s="25" t="str">
        <x:v>EEZ_478</x:v>
      </x:c>
      <x:c r="B1588" s="25" t="str">
        <x:v>matched_catch_tonnes</x:v>
      </x:c>
      <x:c r="C1588" s="25" t="n">
        <x:v>2210253.937882072</x:v>
      </x:c>
      <x:c r="D1588" s="25" t="str">
        <x:v>tonnes</x:v>
      </x:c>
    </x:row>
    <x:row r="1589" ht="18" customHeight="1">
      <x:c r="A1589" s="25" t="str">
        <x:v>EEZ_478</x:v>
      </x:c>
      <x:c r="B1589" s="25" t="str">
        <x:v>catch_coverage_fraction</x:v>
      </x:c>
      <x:c r="C1589" s="25" t="n">
        <x:v>1</x:v>
      </x:c>
      <x:c r="D1589" s="25" t="str">
        <x:v>fraction</x:v>
      </x:c>
    </x:row>
    <x:row r="1590" ht="18" customHeight="1">
      <x:c r="A1590" s="25" t="str">
        <x:v>EEZ_478</x:v>
      </x:c>
      <x:c r="B1590" s="25" t="str">
        <x:v>taxa_count</x:v>
      </x:c>
      <x:c r="C1590" s="25" t="n">
        <x:v>229</x:v>
      </x:c>
      <x:c r="D1590" s="25" t="str">
        <x:v>count</x:v>
      </x:c>
    </x:row>
    <x:row r="1591" ht="18" customHeight="1">
      <x:c r="A1591" s="25" t="str">
        <x:v>EEZ_478</x:v>
      </x:c>
      <x:c r="B1591" s="25" t="str">
        <x:v>matched_taxa_count</x:v>
      </x:c>
      <x:c r="C1591" s="25" t="n">
        <x:v>229</x:v>
      </x:c>
      <x:c r="D1591" s="25" t="str">
        <x:v>count</x:v>
      </x:c>
    </x:row>
    <x:row r="1592" ht="18" customHeight="1">
      <x:c r="A1592" s="25" t="str">
        <x:v>EEZ_478</x:v>
      </x:c>
      <x:c r="B1592" s="25" t="str">
        <x:v>unmatched_taxa_count</x:v>
      </x:c>
      <x:c r="C1592" s="25" t="n">
        <x:v>0</x:v>
      </x:c>
      <x:c r="D1592" s="25" t="str">
        <x:v>count</x:v>
      </x:c>
    </x:row>
    <x:row r="1593" ht="18" customHeight="1">
      <x:c r="A1593" s="25" t="str">
        <x:v>EEZ_478</x:v>
      </x:c>
      <x:c r="B1593" s="25" t="str">
        <x:v>species_ppr</x:v>
      </x:c>
      <x:c r="C1593" s="25" t="n">
        <x:v>1032601351.4376887</x:v>
      </x:c>
      <x:c r="D1593" s="25" t="str">
        <x:v>tonnes_primary_production_equivalent</x:v>
      </x:c>
    </x:row>
    <x:row r="1594" ht="18" customHeight="1">
      <x:c r="A1594" s="25" t="str">
        <x:v>EEZ_478</x:v>
      </x:c>
      <x:c r="B1594" s="25" t="str">
        <x:v>commercial_ppr</x:v>
      </x:c>
      <x:c r="C1594" s="25" t="n">
        <x:v>881884300.2249317</x:v>
      </x:c>
      <x:c r="D1594" s="25" t="str">
        <x:v>tonnes_primary_production_equivalent</x:v>
      </x:c>
    </x:row>
    <x:row r="1595" ht="18" customHeight="1">
      <x:c r="A1595" s="25" t="str">
        <x:v>EEZ_478</x:v>
      </x:c>
      <x:c r="B1595" s="25" t="str">
        <x:v>functional_ppr</x:v>
      </x:c>
      <x:c r="C1595" s="25" t="n">
        <x:v>887683160.6813964</x:v>
      </x:c>
      <x:c r="D1595" s="25" t="str">
        <x:v>tonnes_primary_production_equivalent</x:v>
      </x:c>
    </x:row>
    <x:row r="1596" ht="18" customHeight="1">
      <x:c r="A1596" s="25" t="str">
        <x:v>EEZ_478</x:v>
      </x:c>
      <x:c r="B1596" s="25" t="str">
        <x:v>commercial_ppr_difference</x:v>
      </x:c>
      <x:c r="C1596" s="25" t="n">
        <x:v>-150717051.212757</x:v>
      </x:c>
      <x:c r="D1596" s="25" t="str">
        <x:v>tonnes_primary_production_equivalent</x:v>
      </x:c>
    </x:row>
    <x:row r="1597" ht="18" customHeight="1">
      <x:c r="A1597" s="25" t="str">
        <x:v>EEZ_478</x:v>
      </x:c>
      <x:c r="B1597" s="25" t="str">
        <x:v>functional_ppr_difference</x:v>
      </x:c>
      <x:c r="C1597" s="25" t="n">
        <x:v>-144918190.75629234</x:v>
      </x:c>
      <x:c r="D1597" s="25" t="str">
        <x:v>tonnes_primary_production_equivalent</x:v>
      </x:c>
    </x:row>
    <x:row r="1598" ht="18" customHeight="1">
      <x:c r="A1598" s="25" t="str">
        <x:v>EEZ_480</x:v>
      </x:c>
      <x:c r="B1598" s="25" t="str">
        <x:v>raw_filtered_tonnes</x:v>
      </x:c>
      <x:c r="C1598" s="25" t="n">
        <x:v>15255.362035387401</x:v>
      </x:c>
      <x:c r="D1598" s="25" t="str">
        <x:v>tonnes</x:v>
      </x:c>
    </x:row>
    <x:row r="1599" ht="18" customHeight="1">
      <x:c r="A1599" s="25" t="str">
        <x:v>EEZ_480</x:v>
      </x:c>
      <x:c r="B1599" s="25" t="str">
        <x:v>species_catch_tonnes</x:v>
      </x:c>
      <x:c r="C1599" s="25" t="n">
        <x:v>15255.362035387398</x:v>
      </x:c>
      <x:c r="D1599" s="25" t="str">
        <x:v>tonnes</x:v>
      </x:c>
    </x:row>
    <x:row r="1600" ht="18" customHeight="1">
      <x:c r="A1600" s="25" t="str">
        <x:v>EEZ_480</x:v>
      </x:c>
      <x:c r="B1600" s="25" t="str">
        <x:v>catch_difference_tonnes</x:v>
      </x:c>
      <x:c r="C1600" s="25" t="n">
        <x:v>-3.637978807091713e-12</x:v>
      </x:c>
      <x:c r="D1600" s="25" t="str">
        <x:v>tonnes</x:v>
      </x:c>
    </x:row>
    <x:row r="1601" ht="18" customHeight="1">
      <x:c r="A1601" s="25" t="str">
        <x:v>EEZ_480</x:v>
      </x:c>
      <x:c r="B1601" s="25" t="str">
        <x:v>catch_reconciled</x:v>
      </x:c>
      <x:c r="C1601" s="36" t="b">
        <x:v>1</x:v>
      </x:c>
      <x:c r="D1601" s="25" t="str">
        <x:v>boolean</x:v>
      </x:c>
    </x:row>
    <x:row r="1602" ht="18" customHeight="1">
      <x:c r="A1602" s="25" t="str">
        <x:v>EEZ_480</x:v>
      </x:c>
      <x:c r="B1602" s="25" t="str">
        <x:v>matched_catch_tonnes</x:v>
      </x:c>
      <x:c r="C1602" s="25" t="n">
        <x:v>15255.362035387398</x:v>
      </x:c>
      <x:c r="D1602" s="25" t="str">
        <x:v>tonnes</x:v>
      </x:c>
    </x:row>
    <x:row r="1603" ht="18" customHeight="1">
      <x:c r="A1603" s="25" t="str">
        <x:v>EEZ_480</x:v>
      </x:c>
      <x:c r="B1603" s="25" t="str">
        <x:v>catch_coverage_fraction</x:v>
      </x:c>
      <x:c r="C1603" s="25" t="n">
        <x:v>1</x:v>
      </x:c>
      <x:c r="D1603" s="25" t="str">
        <x:v>fraction</x:v>
      </x:c>
    </x:row>
    <x:row r="1604" ht="18" customHeight="1">
      <x:c r="A1604" s="25" t="str">
        <x:v>EEZ_480</x:v>
      </x:c>
      <x:c r="B1604" s="25" t="str">
        <x:v>taxa_count</x:v>
      </x:c>
      <x:c r="C1604" s="25" t="n">
        <x:v>70</x:v>
      </x:c>
      <x:c r="D1604" s="25" t="str">
        <x:v>count</x:v>
      </x:c>
    </x:row>
    <x:row r="1605" ht="18" customHeight="1">
      <x:c r="A1605" s="25" t="str">
        <x:v>EEZ_480</x:v>
      </x:c>
      <x:c r="B1605" s="25" t="str">
        <x:v>matched_taxa_count</x:v>
      </x:c>
      <x:c r="C1605" s="25" t="n">
        <x:v>70</x:v>
      </x:c>
      <x:c r="D1605" s="25" t="str">
        <x:v>count</x:v>
      </x:c>
    </x:row>
    <x:row r="1606" ht="18" customHeight="1">
      <x:c r="A1606" s="25" t="str">
        <x:v>EEZ_480</x:v>
      </x:c>
      <x:c r="B1606" s="25" t="str">
        <x:v>unmatched_taxa_count</x:v>
      </x:c>
      <x:c r="C1606" s="25" t="n">
        <x:v>0</x:v>
      </x:c>
      <x:c r="D1606" s="25" t="str">
        <x:v>count</x:v>
      </x:c>
    </x:row>
    <x:row r="1607" ht="18" customHeight="1">
      <x:c r="A1607" s="25" t="str">
        <x:v>EEZ_480</x:v>
      </x:c>
      <x:c r="B1607" s="25" t="str">
        <x:v>species_ppr</x:v>
      </x:c>
      <x:c r="C1607" s="25" t="n">
        <x:v>16709126.407168973</x:v>
      </x:c>
      <x:c r="D1607" s="25" t="str">
        <x:v>tonnes_primary_production_equivalent</x:v>
      </x:c>
    </x:row>
    <x:row r="1608" ht="18" customHeight="1">
      <x:c r="A1608" s="25" t="str">
        <x:v>EEZ_480</x:v>
      </x:c>
      <x:c r="B1608" s="25" t="str">
        <x:v>commercial_ppr</x:v>
      </x:c>
      <x:c r="C1608" s="25" t="n">
        <x:v>15342067.503346395</x:v>
      </x:c>
      <x:c r="D1608" s="25" t="str">
        <x:v>tonnes_primary_production_equivalent</x:v>
      </x:c>
    </x:row>
    <x:row r="1609" ht="18" customHeight="1">
      <x:c r="A1609" s="25" t="str">
        <x:v>EEZ_480</x:v>
      </x:c>
      <x:c r="B1609" s="25" t="str">
        <x:v>functional_ppr</x:v>
      </x:c>
      <x:c r="C1609" s="25" t="n">
        <x:v>15660733.47585427</x:v>
      </x:c>
      <x:c r="D1609" s="25" t="str">
        <x:v>tonnes_primary_production_equivalent</x:v>
      </x:c>
    </x:row>
    <x:row r="1610" ht="18" customHeight="1">
      <x:c r="A1610" s="25" t="str">
        <x:v>EEZ_480</x:v>
      </x:c>
      <x:c r="B1610" s="25" t="str">
        <x:v>commercial_ppr_difference</x:v>
      </x:c>
      <x:c r="C1610" s="25" t="n">
        <x:v>-1367058.9038225785</x:v>
      </x:c>
      <x:c r="D1610" s="25" t="str">
        <x:v>tonnes_primary_production_equivalent</x:v>
      </x:c>
    </x:row>
    <x:row r="1611" ht="18" customHeight="1">
      <x:c r="A1611" s="25" t="str">
        <x:v>EEZ_480</x:v>
      </x:c>
      <x:c r="B1611" s="25" t="str">
        <x:v>functional_ppr_difference</x:v>
      </x:c>
      <x:c r="C1611" s="25" t="n">
        <x:v>-1048392.9313147031</x:v>
      </x:c>
      <x:c r="D1611" s="25" t="str">
        <x:v>tonnes_primary_production_equivalent</x:v>
      </x:c>
    </x:row>
    <x:row r="1612" ht="18" customHeight="1">
      <x:c r="A1612" s="25" t="str">
        <x:v>EEZ_488</x:v>
      </x:c>
      <x:c r="B1612" s="25" t="str">
        <x:v>raw_filtered_tonnes</x:v>
      </x:c>
      <x:c r="C1612" s="25" t="n">
        <x:v>456.12053987310003</x:v>
      </x:c>
      <x:c r="D1612" s="25" t="str">
        <x:v>tonnes</x:v>
      </x:c>
    </x:row>
    <x:row r="1613" ht="18" customHeight="1">
      <x:c r="A1613" s="25" t="str">
        <x:v>EEZ_488</x:v>
      </x:c>
      <x:c r="B1613" s="25" t="str">
        <x:v>species_catch_tonnes</x:v>
      </x:c>
      <x:c r="C1613" s="25" t="n">
        <x:v>456.1205398731</x:v>
      </x:c>
      <x:c r="D1613" s="25" t="str">
        <x:v>tonnes</x:v>
      </x:c>
    </x:row>
    <x:row r="1614" ht="18" customHeight="1">
      <x:c r="A1614" s="25" t="str">
        <x:v>EEZ_488</x:v>
      </x:c>
      <x:c r="B1614" s="25" t="str">
        <x:v>catch_difference_tonnes</x:v>
      </x:c>
      <x:c r="C1614" s="25" t="n">
        <x:v>-5.684341886080802e-14</x:v>
      </x:c>
      <x:c r="D1614" s="25" t="str">
        <x:v>tonnes</x:v>
      </x:c>
    </x:row>
    <x:row r="1615" ht="18" customHeight="1">
      <x:c r="A1615" s="25" t="str">
        <x:v>EEZ_488</x:v>
      </x:c>
      <x:c r="B1615" s="25" t="str">
        <x:v>catch_reconciled</x:v>
      </x:c>
      <x:c r="C1615" s="36" t="b">
        <x:v>1</x:v>
      </x:c>
      <x:c r="D1615" s="25" t="str">
        <x:v>boolean</x:v>
      </x:c>
    </x:row>
    <x:row r="1616" ht="18" customHeight="1">
      <x:c r="A1616" s="25" t="str">
        <x:v>EEZ_488</x:v>
      </x:c>
      <x:c r="B1616" s="25" t="str">
        <x:v>matched_catch_tonnes</x:v>
      </x:c>
      <x:c r="C1616" s="25" t="n">
        <x:v>456.1205398731</x:v>
      </x:c>
      <x:c r="D1616" s="25" t="str">
        <x:v>tonnes</x:v>
      </x:c>
    </x:row>
    <x:row r="1617" ht="18" customHeight="1">
      <x:c r="A1617" s="25" t="str">
        <x:v>EEZ_488</x:v>
      </x:c>
      <x:c r="B1617" s="25" t="str">
        <x:v>catch_coverage_fraction</x:v>
      </x:c>
      <x:c r="C1617" s="25" t="n">
        <x:v>1</x:v>
      </x:c>
      <x:c r="D1617" s="25" t="str">
        <x:v>fraction</x:v>
      </x:c>
    </x:row>
    <x:row r="1618" ht="18" customHeight="1">
      <x:c r="A1618" s="25" t="str">
        <x:v>EEZ_488</x:v>
      </x:c>
      <x:c r="B1618" s="25" t="str">
        <x:v>taxa_count</x:v>
      </x:c>
      <x:c r="C1618" s="25" t="n">
        <x:v>16</x:v>
      </x:c>
      <x:c r="D1618" s="25" t="str">
        <x:v>count</x:v>
      </x:c>
    </x:row>
    <x:row r="1619" ht="18" customHeight="1">
      <x:c r="A1619" s="25" t="str">
        <x:v>EEZ_488</x:v>
      </x:c>
      <x:c r="B1619" s="25" t="str">
        <x:v>matched_taxa_count</x:v>
      </x:c>
      <x:c r="C1619" s="25" t="n">
        <x:v>16</x:v>
      </x:c>
      <x:c r="D1619" s="25" t="str">
        <x:v>count</x:v>
      </x:c>
    </x:row>
    <x:row r="1620" ht="18" customHeight="1">
      <x:c r="A1620" s="25" t="str">
        <x:v>EEZ_488</x:v>
      </x:c>
      <x:c r="B1620" s="25" t="str">
        <x:v>unmatched_taxa_count</x:v>
      </x:c>
      <x:c r="C1620" s="25" t="n">
        <x:v>0</x:v>
      </x:c>
      <x:c r="D1620" s="25" t="str">
        <x:v>count</x:v>
      </x:c>
    </x:row>
    <x:row r="1621" ht="18" customHeight="1">
      <x:c r="A1621" s="25" t="str">
        <x:v>EEZ_488</x:v>
      </x:c>
      <x:c r="B1621" s="25" t="str">
        <x:v>species_ppr</x:v>
      </x:c>
      <x:c r="C1621" s="25" t="n">
        <x:v>790459.7617226113</x:v>
      </x:c>
      <x:c r="D1621" s="25" t="str">
        <x:v>tonnes_primary_production_equivalent</x:v>
      </x:c>
    </x:row>
    <x:row r="1622" ht="18" customHeight="1">
      <x:c r="A1622" s="25" t="str">
        <x:v>EEZ_488</x:v>
      </x:c>
      <x:c r="B1622" s="25" t="str">
        <x:v>commercial_ppr</x:v>
      </x:c>
      <x:c r="C1622" s="25" t="n">
        <x:v>712474.0450342633</x:v>
      </x:c>
      <x:c r="D1622" s="25" t="str">
        <x:v>tonnes_primary_production_equivalent</x:v>
      </x:c>
    </x:row>
    <x:row r="1623" ht="18" customHeight="1">
      <x:c r="A1623" s="25" t="str">
        <x:v>EEZ_488</x:v>
      </x:c>
      <x:c r="B1623" s="25" t="str">
        <x:v>functional_ppr</x:v>
      </x:c>
      <x:c r="C1623" s="25" t="n">
        <x:v>775338.5781839541</x:v>
      </x:c>
      <x:c r="D1623" s="25" t="str">
        <x:v>tonnes_primary_production_equivalent</x:v>
      </x:c>
    </x:row>
    <x:row r="1624" ht="18" customHeight="1">
      <x:c r="A1624" s="25" t="str">
        <x:v>EEZ_488</x:v>
      </x:c>
      <x:c r="B1624" s="25" t="str">
        <x:v>commercial_ppr_difference</x:v>
      </x:c>
      <x:c r="C1624" s="25" t="n">
        <x:v>-77985.71668834798</x:v>
      </x:c>
      <x:c r="D1624" s="25" t="str">
        <x:v>tonnes_primary_production_equivalent</x:v>
      </x:c>
    </x:row>
    <x:row r="1625" ht="18" customHeight="1">
      <x:c r="A1625" s="25" t="str">
        <x:v>EEZ_488</x:v>
      </x:c>
      <x:c r="B1625" s="25" t="str">
        <x:v>functional_ppr_difference</x:v>
      </x:c>
      <x:c r="C1625" s="25" t="n">
        <x:v>-15121.183538657147</x:v>
      </x:c>
      <x:c r="D1625" s="25" t="str">
        <x:v>tonnes_primary_production_equivalent</x:v>
      </x:c>
    </x:row>
    <x:row r="1626" ht="18" customHeight="1">
      <x:c r="A1626" s="25" t="str">
        <x:v>EEZ_500</x:v>
      </x:c>
      <x:c r="B1626" s="25" t="str">
        <x:v>raw_filtered_tonnes</x:v>
      </x:c>
      <x:c r="C1626" s="25" t="n">
        <x:v>49.41265041300001</x:v>
      </x:c>
      <x:c r="D1626" s="25" t="str">
        <x:v>tonnes</x:v>
      </x:c>
    </x:row>
    <x:row r="1627" ht="18" customHeight="1">
      <x:c r="A1627" s="25" t="str">
        <x:v>EEZ_500</x:v>
      </x:c>
      <x:c r="B1627" s="25" t="str">
        <x:v>species_catch_tonnes</x:v>
      </x:c>
      <x:c r="C1627" s="25" t="n">
        <x:v>49.412650413</x:v>
      </x:c>
      <x:c r="D1627" s="25" t="str">
        <x:v>tonnes</x:v>
      </x:c>
    </x:row>
    <x:row r="1628" ht="18" customHeight="1">
      <x:c r="A1628" s="25" t="str">
        <x:v>EEZ_500</x:v>
      </x:c>
      <x:c r="B1628" s="25" t="str">
        <x:v>catch_difference_tonnes</x:v>
      </x:c>
      <x:c r="C1628" s="25" t="n">
        <x:v>-7.105427357601002e-15</x:v>
      </x:c>
      <x:c r="D1628" s="25" t="str">
        <x:v>tonnes</x:v>
      </x:c>
    </x:row>
    <x:row r="1629" ht="18" customHeight="1">
      <x:c r="A1629" s="25" t="str">
        <x:v>EEZ_500</x:v>
      </x:c>
      <x:c r="B1629" s="25" t="str">
        <x:v>catch_reconciled</x:v>
      </x:c>
      <x:c r="C1629" s="36" t="b">
        <x:v>1</x:v>
      </x:c>
      <x:c r="D1629" s="25" t="str">
        <x:v>boolean</x:v>
      </x:c>
    </x:row>
    <x:row r="1630" ht="18" customHeight="1">
      <x:c r="A1630" s="25" t="str">
        <x:v>EEZ_500</x:v>
      </x:c>
      <x:c r="B1630" s="25" t="str">
        <x:v>matched_catch_tonnes</x:v>
      </x:c>
      <x:c r="C1630" s="25" t="n">
        <x:v>49.412650413</x:v>
      </x:c>
      <x:c r="D1630" s="25" t="str">
        <x:v>tonnes</x:v>
      </x:c>
    </x:row>
    <x:row r="1631" ht="18" customHeight="1">
      <x:c r="A1631" s="25" t="str">
        <x:v>EEZ_500</x:v>
      </x:c>
      <x:c r="B1631" s="25" t="str">
        <x:v>catch_coverage_fraction</x:v>
      </x:c>
      <x:c r="C1631" s="25" t="n">
        <x:v>1</x:v>
      </x:c>
      <x:c r="D1631" s="25" t="str">
        <x:v>fraction</x:v>
      </x:c>
    </x:row>
    <x:row r="1632" ht="18" customHeight="1">
      <x:c r="A1632" s="25" t="str">
        <x:v>EEZ_500</x:v>
      </x:c>
      <x:c r="B1632" s="25" t="str">
        <x:v>taxa_count</x:v>
      </x:c>
      <x:c r="C1632" s="25" t="n">
        <x:v>87</x:v>
      </x:c>
      <x:c r="D1632" s="25" t="str">
        <x:v>count</x:v>
      </x:c>
    </x:row>
    <x:row r="1633" ht="18" customHeight="1">
      <x:c r="A1633" s="25" t="str">
        <x:v>EEZ_500</x:v>
      </x:c>
      <x:c r="B1633" s="25" t="str">
        <x:v>matched_taxa_count</x:v>
      </x:c>
      <x:c r="C1633" s="25" t="n">
        <x:v>87</x:v>
      </x:c>
      <x:c r="D1633" s="25" t="str">
        <x:v>count</x:v>
      </x:c>
    </x:row>
    <x:row r="1634" ht="18" customHeight="1">
      <x:c r="A1634" s="25" t="str">
        <x:v>EEZ_500</x:v>
      </x:c>
      <x:c r="B1634" s="25" t="str">
        <x:v>unmatched_taxa_count</x:v>
      </x:c>
      <x:c r="C1634" s="25" t="n">
        <x:v>0</x:v>
      </x:c>
      <x:c r="D1634" s="25" t="str">
        <x:v>count</x:v>
      </x:c>
    </x:row>
    <x:row r="1635" ht="18" customHeight="1">
      <x:c r="A1635" s="25" t="str">
        <x:v>EEZ_500</x:v>
      </x:c>
      <x:c r="B1635" s="25" t="str">
        <x:v>species_ppr</x:v>
      </x:c>
      <x:c r="C1635" s="25" t="n">
        <x:v>41219.71043073506</x:v>
      </x:c>
      <x:c r="D1635" s="25" t="str">
        <x:v>tonnes_primary_production_equivalent</x:v>
      </x:c>
    </x:row>
    <x:row r="1636" ht="18" customHeight="1">
      <x:c r="A1636" s="25" t="str">
        <x:v>EEZ_500</x:v>
      </x:c>
      <x:c r="B1636" s="25" t="str">
        <x:v>commercial_ppr</x:v>
      </x:c>
      <x:c r="C1636" s="25" t="n">
        <x:v>25584.35045020414</x:v>
      </x:c>
      <x:c r="D1636" s="25" t="str">
        <x:v>tonnes_primary_production_equivalent</x:v>
      </x:c>
    </x:row>
    <x:row r="1637" ht="18" customHeight="1">
      <x:c r="A1637" s="25" t="str">
        <x:v>EEZ_500</x:v>
      </x:c>
      <x:c r="B1637" s="25" t="str">
        <x:v>functional_ppr</x:v>
      </x:c>
      <x:c r="C1637" s="25" t="n">
        <x:v>37899.92789428181</x:v>
      </x:c>
      <x:c r="D1637" s="25" t="str">
        <x:v>tonnes_primary_production_equivalent</x:v>
      </x:c>
    </x:row>
    <x:row r="1638" ht="18" customHeight="1">
      <x:c r="A1638" s="25" t="str">
        <x:v>EEZ_500</x:v>
      </x:c>
      <x:c r="B1638" s="25" t="str">
        <x:v>commercial_ppr_difference</x:v>
      </x:c>
      <x:c r="C1638" s="25" t="n">
        <x:v>-15635.35998053092</x:v>
      </x:c>
      <x:c r="D1638" s="25" t="str">
        <x:v>tonnes_primary_production_equivalent</x:v>
      </x:c>
    </x:row>
    <x:row r="1639" ht="18" customHeight="1">
      <x:c r="A1639" s="25" t="str">
        <x:v>EEZ_500</x:v>
      </x:c>
      <x:c r="B1639" s="25" t="str">
        <x:v>functional_ppr_difference</x:v>
      </x:c>
      <x:c r="C1639" s="25" t="n">
        <x:v>-3319.7825364532473</x:v>
      </x:c>
      <x:c r="D1639" s="25" t="str">
        <x:v>tonnes_primary_production_equivalent</x:v>
      </x:c>
    </x:row>
    <x:row r="1640" ht="18" customHeight="1">
      <x:c r="A1640" s="25" t="str">
        <x:v>EEZ_508</x:v>
      </x:c>
      <x:c r="B1640" s="25" t="str">
        <x:v>raw_filtered_tonnes</x:v>
      </x:c>
      <x:c r="C1640" s="25" t="n">
        <x:v>296238.55412247276</x:v>
      </x:c>
      <x:c r="D1640" s="25" t="str">
        <x:v>tonnes</x:v>
      </x:c>
    </x:row>
    <x:row r="1641" ht="18" customHeight="1">
      <x:c r="A1641" s="25" t="str">
        <x:v>EEZ_508</x:v>
      </x:c>
      <x:c r="B1641" s="25" t="str">
        <x:v>species_catch_tonnes</x:v>
      </x:c>
      <x:c r="C1641" s="25" t="n">
        <x:v>296238.55412247276</x:v>
      </x:c>
      <x:c r="D1641" s="25" t="str">
        <x:v>tonnes</x:v>
      </x:c>
    </x:row>
    <x:row r="1642" ht="18" customHeight="1">
      <x:c r="A1642" s="25" t="str">
        <x:v>EEZ_508</x:v>
      </x:c>
      <x:c r="B1642" s="25" t="str">
        <x:v>catch_difference_tonnes</x:v>
      </x:c>
      <x:c r="C1642" s="25" t="n">
        <x:v>0</x:v>
      </x:c>
      <x:c r="D1642" s="25" t="str">
        <x:v>tonnes</x:v>
      </x:c>
    </x:row>
    <x:row r="1643" ht="18" customHeight="1">
      <x:c r="A1643" s="25" t="str">
        <x:v>EEZ_508</x:v>
      </x:c>
      <x:c r="B1643" s="25" t="str">
        <x:v>catch_reconciled</x:v>
      </x:c>
      <x:c r="C1643" s="36" t="b">
        <x:v>1</x:v>
      </x:c>
      <x:c r="D1643" s="25" t="str">
        <x:v>boolean</x:v>
      </x:c>
    </x:row>
    <x:row r="1644" ht="18" customHeight="1">
      <x:c r="A1644" s="25" t="str">
        <x:v>EEZ_508</x:v>
      </x:c>
      <x:c r="B1644" s="25" t="str">
        <x:v>matched_catch_tonnes</x:v>
      </x:c>
      <x:c r="C1644" s="25" t="n">
        <x:v>296238.55412247276</x:v>
      </x:c>
      <x:c r="D1644" s="25" t="str">
        <x:v>tonnes</x:v>
      </x:c>
    </x:row>
    <x:row r="1645" ht="18" customHeight="1">
      <x:c r="A1645" s="25" t="str">
        <x:v>EEZ_508</x:v>
      </x:c>
      <x:c r="B1645" s="25" t="str">
        <x:v>catch_coverage_fraction</x:v>
      </x:c>
      <x:c r="C1645" s="25" t="n">
        <x:v>1</x:v>
      </x:c>
      <x:c r="D1645" s="25" t="str">
        <x:v>fraction</x:v>
      </x:c>
    </x:row>
    <x:row r="1646" ht="18" customHeight="1">
      <x:c r="A1646" s="25" t="str">
        <x:v>EEZ_508</x:v>
      </x:c>
      <x:c r="B1646" s="25" t="str">
        <x:v>taxa_count</x:v>
      </x:c>
      <x:c r="C1646" s="25" t="n">
        <x:v>90</x:v>
      </x:c>
      <x:c r="D1646" s="25" t="str">
        <x:v>count</x:v>
      </x:c>
    </x:row>
    <x:row r="1647" ht="18" customHeight="1">
      <x:c r="A1647" s="25" t="str">
        <x:v>EEZ_508</x:v>
      </x:c>
      <x:c r="B1647" s="25" t="str">
        <x:v>matched_taxa_count</x:v>
      </x:c>
      <x:c r="C1647" s="25" t="n">
        <x:v>90</x:v>
      </x:c>
      <x:c r="D1647" s="25" t="str">
        <x:v>count</x:v>
      </x:c>
    </x:row>
    <x:row r="1648" ht="18" customHeight="1">
      <x:c r="A1648" s="25" t="str">
        <x:v>EEZ_508</x:v>
      </x:c>
      <x:c r="B1648" s="25" t="str">
        <x:v>unmatched_taxa_count</x:v>
      </x:c>
      <x:c r="C1648" s="25" t="n">
        <x:v>0</x:v>
      </x:c>
      <x:c r="D1648" s="25" t="str">
        <x:v>count</x:v>
      </x:c>
    </x:row>
    <x:row r="1649" ht="18" customHeight="1">
      <x:c r="A1649" s="25" t="str">
        <x:v>EEZ_508</x:v>
      </x:c>
      <x:c r="B1649" s="25" t="str">
        <x:v>species_ppr</x:v>
      </x:c>
      <x:c r="C1649" s="25" t="n">
        <x:v>155171497.13322508</x:v>
      </x:c>
      <x:c r="D1649" s="25" t="str">
        <x:v>tonnes_primary_production_equivalent</x:v>
      </x:c>
    </x:row>
    <x:row r="1650" ht="18" customHeight="1">
      <x:c r="A1650" s="25" t="str">
        <x:v>EEZ_508</x:v>
      </x:c>
      <x:c r="B1650" s="25" t="str">
        <x:v>commercial_ppr</x:v>
      </x:c>
      <x:c r="C1650" s="25" t="n">
        <x:v>102164310.31060095</x:v>
      </x:c>
      <x:c r="D1650" s="25" t="str">
        <x:v>tonnes_primary_production_equivalent</x:v>
      </x:c>
    </x:row>
    <x:row r="1651" ht="18" customHeight="1">
      <x:c r="A1651" s="25" t="str">
        <x:v>EEZ_508</x:v>
      </x:c>
      <x:c r="B1651" s="25" t="str">
        <x:v>functional_ppr</x:v>
      </x:c>
      <x:c r="C1651" s="25" t="n">
        <x:v>140954696.79113078</x:v>
      </x:c>
      <x:c r="D1651" s="25" t="str">
        <x:v>tonnes_primary_production_equivalent</x:v>
      </x:c>
    </x:row>
    <x:row r="1652" ht="18" customHeight="1">
      <x:c r="A1652" s="25" t="str">
        <x:v>EEZ_508</x:v>
      </x:c>
      <x:c r="B1652" s="25" t="str">
        <x:v>commercial_ppr_difference</x:v>
      </x:c>
      <x:c r="C1652" s="25" t="n">
        <x:v>-53007186.82262413</x:v>
      </x:c>
      <x:c r="D1652" s="25" t="str">
        <x:v>tonnes_primary_production_equivalent</x:v>
      </x:c>
    </x:row>
    <x:row r="1653" ht="18" customHeight="1">
      <x:c r="A1653" s="25" t="str">
        <x:v>EEZ_508</x:v>
      </x:c>
      <x:c r="B1653" s="25" t="str">
        <x:v>functional_ppr_difference</x:v>
      </x:c>
      <x:c r="C1653" s="25" t="n">
        <x:v>-14216800.342094302</x:v>
      </x:c>
      <x:c r="D1653" s="25" t="str">
        <x:v>tonnes_primary_production_equivalent</x:v>
      </x:c>
    </x:row>
    <x:row r="1654" ht="18" customHeight="1">
      <x:c r="A1654" s="25" t="str">
        <x:v>EEZ_512</x:v>
      </x:c>
      <x:c r="B1654" s="25" t="str">
        <x:v>raw_filtered_tonnes</x:v>
      </x:c>
      <x:c r="C1654" s="25" t="n">
        <x:v>304318.44171610783</x:v>
      </x:c>
      <x:c r="D1654" s="25" t="str">
        <x:v>tonnes</x:v>
      </x:c>
    </x:row>
    <x:row r="1655" ht="18" customHeight="1">
      <x:c r="A1655" s="25" t="str">
        <x:v>EEZ_512</x:v>
      </x:c>
      <x:c r="B1655" s="25" t="str">
        <x:v>species_catch_tonnes</x:v>
      </x:c>
      <x:c r="C1655" s="25" t="n">
        <x:v>304318.44171610783</x:v>
      </x:c>
      <x:c r="D1655" s="25" t="str">
        <x:v>tonnes</x:v>
      </x:c>
    </x:row>
    <x:row r="1656" ht="18" customHeight="1">
      <x:c r="A1656" s="25" t="str">
        <x:v>EEZ_512</x:v>
      </x:c>
      <x:c r="B1656" s="25" t="str">
        <x:v>catch_difference_tonnes</x:v>
      </x:c>
      <x:c r="C1656" s="25" t="n">
        <x:v>0</x:v>
      </x:c>
      <x:c r="D1656" s="25" t="str">
        <x:v>tonnes</x:v>
      </x:c>
    </x:row>
    <x:row r="1657" ht="18" customHeight="1">
      <x:c r="A1657" s="25" t="str">
        <x:v>EEZ_512</x:v>
      </x:c>
      <x:c r="B1657" s="25" t="str">
        <x:v>catch_reconciled</x:v>
      </x:c>
      <x:c r="C1657" s="36" t="b">
        <x:v>1</x:v>
      </x:c>
      <x:c r="D1657" s="25" t="str">
        <x:v>boolean</x:v>
      </x:c>
    </x:row>
    <x:row r="1658" ht="18" customHeight="1">
      <x:c r="A1658" s="25" t="str">
        <x:v>EEZ_512</x:v>
      </x:c>
      <x:c r="B1658" s="25" t="str">
        <x:v>matched_catch_tonnes</x:v>
      </x:c>
      <x:c r="C1658" s="25" t="n">
        <x:v>304318.44171610783</x:v>
      </x:c>
      <x:c r="D1658" s="25" t="str">
        <x:v>tonnes</x:v>
      </x:c>
    </x:row>
    <x:row r="1659" ht="18" customHeight="1">
      <x:c r="A1659" s="25" t="str">
        <x:v>EEZ_512</x:v>
      </x:c>
      <x:c r="B1659" s="25" t="str">
        <x:v>catch_coverage_fraction</x:v>
      </x:c>
      <x:c r="C1659" s="25" t="n">
        <x:v>1</x:v>
      </x:c>
      <x:c r="D1659" s="25" t="str">
        <x:v>fraction</x:v>
      </x:c>
    </x:row>
    <x:row r="1660" ht="18" customHeight="1">
      <x:c r="A1660" s="25" t="str">
        <x:v>EEZ_512</x:v>
      </x:c>
      <x:c r="B1660" s="25" t="str">
        <x:v>taxa_count</x:v>
      </x:c>
      <x:c r="C1660" s="25" t="n">
        <x:v>66</x:v>
      </x:c>
      <x:c r="D1660" s="25" t="str">
        <x:v>count</x:v>
      </x:c>
    </x:row>
    <x:row r="1661" ht="18" customHeight="1">
      <x:c r="A1661" s="25" t="str">
        <x:v>EEZ_512</x:v>
      </x:c>
      <x:c r="B1661" s="25" t="str">
        <x:v>matched_taxa_count</x:v>
      </x:c>
      <x:c r="C1661" s="25" t="n">
        <x:v>66</x:v>
      </x:c>
      <x:c r="D1661" s="25" t="str">
        <x:v>count</x:v>
      </x:c>
    </x:row>
    <x:row r="1662" ht="18" customHeight="1">
      <x:c r="A1662" s="25" t="str">
        <x:v>EEZ_512</x:v>
      </x:c>
      <x:c r="B1662" s="25" t="str">
        <x:v>unmatched_taxa_count</x:v>
      </x:c>
      <x:c r="C1662" s="25" t="n">
        <x:v>0</x:v>
      </x:c>
      <x:c r="D1662" s="25" t="str">
        <x:v>count</x:v>
      </x:c>
    </x:row>
    <x:row r="1663" ht="18" customHeight="1">
      <x:c r="A1663" s="25" t="str">
        <x:v>EEZ_512</x:v>
      </x:c>
      <x:c r="B1663" s="25" t="str">
        <x:v>species_ppr</x:v>
      </x:c>
      <x:c r="C1663" s="25" t="n">
        <x:v>187008419.87587023</x:v>
      </x:c>
      <x:c r="D1663" s="25" t="str">
        <x:v>tonnes_primary_production_equivalent</x:v>
      </x:c>
    </x:row>
    <x:row r="1664" ht="18" customHeight="1">
      <x:c r="A1664" s="25" t="str">
        <x:v>EEZ_512</x:v>
      </x:c>
      <x:c r="B1664" s="25" t="str">
        <x:v>commercial_ppr</x:v>
      </x:c>
      <x:c r="C1664" s="25" t="n">
        <x:v>157417671.79835263</x:v>
      </x:c>
      <x:c r="D1664" s="25" t="str">
        <x:v>tonnes_primary_production_equivalent</x:v>
      </x:c>
    </x:row>
    <x:row r="1665" ht="18" customHeight="1">
      <x:c r="A1665" s="25" t="str">
        <x:v>EEZ_512</x:v>
      </x:c>
      <x:c r="B1665" s="25" t="str">
        <x:v>functional_ppr</x:v>
      </x:c>
      <x:c r="C1665" s="25" t="n">
        <x:v>173471533.90377143</x:v>
      </x:c>
      <x:c r="D1665" s="25" t="str">
        <x:v>tonnes_primary_production_equivalent</x:v>
      </x:c>
    </x:row>
    <x:row r="1666" ht="18" customHeight="1">
      <x:c r="A1666" s="25" t="str">
        <x:v>EEZ_512</x:v>
      </x:c>
      <x:c r="B1666" s="25" t="str">
        <x:v>commercial_ppr_difference</x:v>
      </x:c>
      <x:c r="C1666" s="25" t="n">
        <x:v>-29590748.0775176</x:v>
      </x:c>
      <x:c r="D1666" s="25" t="str">
        <x:v>tonnes_primary_production_equivalent</x:v>
      </x:c>
    </x:row>
    <x:row r="1667" ht="18" customHeight="1">
      <x:c r="A1667" s="25" t="str">
        <x:v>EEZ_512</x:v>
      </x:c>
      <x:c r="B1667" s="25" t="str">
        <x:v>functional_ppr_difference</x:v>
      </x:c>
      <x:c r="C1667" s="25" t="n">
        <x:v>-13536885.972098798</x:v>
      </x:c>
      <x:c r="D1667" s="25" t="str">
        <x:v>tonnes_primary_production_equivalent</x:v>
      </x:c>
    </x:row>
    <x:row r="1668" ht="18" customHeight="1">
      <x:c r="A1668" s="25" t="str">
        <x:v>EEZ_516</x:v>
      </x:c>
      <x:c r="B1668" s="25" t="str">
        <x:v>raw_filtered_tonnes</x:v>
      </x:c>
      <x:c r="C1668" s="25" t="n">
        <x:v>687243.3923951921</x:v>
      </x:c>
      <x:c r="D1668" s="25" t="str">
        <x:v>tonnes</x:v>
      </x:c>
    </x:row>
    <x:row r="1669" ht="18" customHeight="1">
      <x:c r="A1669" s="25" t="str">
        <x:v>EEZ_516</x:v>
      </x:c>
      <x:c r="B1669" s="25" t="str">
        <x:v>species_catch_tonnes</x:v>
      </x:c>
      <x:c r="C1669" s="25" t="n">
        <x:v>687243.3923951921</x:v>
      </x:c>
      <x:c r="D1669" s="25" t="str">
        <x:v>tonnes</x:v>
      </x:c>
    </x:row>
    <x:row r="1670" ht="18" customHeight="1">
      <x:c r="A1670" s="25" t="str">
        <x:v>EEZ_516</x:v>
      </x:c>
      <x:c r="B1670" s="25" t="str">
        <x:v>catch_difference_tonnes</x:v>
      </x:c>
      <x:c r="C1670" s="25" t="n">
        <x:v>0</x:v>
      </x:c>
      <x:c r="D1670" s="25" t="str">
        <x:v>tonnes</x:v>
      </x:c>
    </x:row>
    <x:row r="1671" ht="18" customHeight="1">
      <x:c r="A1671" s="25" t="str">
        <x:v>EEZ_516</x:v>
      </x:c>
      <x:c r="B1671" s="25" t="str">
        <x:v>catch_reconciled</x:v>
      </x:c>
      <x:c r="C1671" s="36" t="b">
        <x:v>1</x:v>
      </x:c>
      <x:c r="D1671" s="25" t="str">
        <x:v>boolean</x:v>
      </x:c>
    </x:row>
    <x:row r="1672" ht="18" customHeight="1">
      <x:c r="A1672" s="25" t="str">
        <x:v>EEZ_516</x:v>
      </x:c>
      <x:c r="B1672" s="25" t="str">
        <x:v>matched_catch_tonnes</x:v>
      </x:c>
      <x:c r="C1672" s="25" t="n">
        <x:v>687243.3923951921</x:v>
      </x:c>
      <x:c r="D1672" s="25" t="str">
        <x:v>tonnes</x:v>
      </x:c>
    </x:row>
    <x:row r="1673" ht="18" customHeight="1">
      <x:c r="A1673" s="25" t="str">
        <x:v>EEZ_516</x:v>
      </x:c>
      <x:c r="B1673" s="25" t="str">
        <x:v>catch_coverage_fraction</x:v>
      </x:c>
      <x:c r="C1673" s="25" t="n">
        <x:v>1</x:v>
      </x:c>
      <x:c r="D1673" s="25" t="str">
        <x:v>fraction</x:v>
      </x:c>
    </x:row>
    <x:row r="1674" ht="18" customHeight="1">
      <x:c r="A1674" s="25" t="str">
        <x:v>EEZ_516</x:v>
      </x:c>
      <x:c r="B1674" s="25" t="str">
        <x:v>taxa_count</x:v>
      </x:c>
      <x:c r="C1674" s="25" t="n">
        <x:v>57</x:v>
      </x:c>
      <x:c r="D1674" s="25" t="str">
        <x:v>count</x:v>
      </x:c>
    </x:row>
    <x:row r="1675" ht="18" customHeight="1">
      <x:c r="A1675" s="25" t="str">
        <x:v>EEZ_516</x:v>
      </x:c>
      <x:c r="B1675" s="25" t="str">
        <x:v>matched_taxa_count</x:v>
      </x:c>
      <x:c r="C1675" s="25" t="n">
        <x:v>57</x:v>
      </x:c>
      <x:c r="D1675" s="25" t="str">
        <x:v>count</x:v>
      </x:c>
    </x:row>
    <x:row r="1676" ht="18" customHeight="1">
      <x:c r="A1676" s="25" t="str">
        <x:v>EEZ_516</x:v>
      </x:c>
      <x:c r="B1676" s="25" t="str">
        <x:v>unmatched_taxa_count</x:v>
      </x:c>
      <x:c r="C1676" s="25" t="n">
        <x:v>0</x:v>
      </x:c>
      <x:c r="D1676" s="25" t="str">
        <x:v>count</x:v>
      </x:c>
    </x:row>
    <x:row r="1677" ht="18" customHeight="1">
      <x:c r="A1677" s="25" t="str">
        <x:v>EEZ_516</x:v>
      </x:c>
      <x:c r="B1677" s="25" t="str">
        <x:v>species_ppr</x:v>
      </x:c>
      <x:c r="C1677" s="25" t="n">
        <x:v>508372691.890099</x:v>
      </x:c>
      <x:c r="D1677" s="25" t="str">
        <x:v>tonnes_primary_production_equivalent</x:v>
      </x:c>
    </x:row>
    <x:row r="1678" ht="18" customHeight="1">
      <x:c r="A1678" s="25" t="str">
        <x:v>EEZ_516</x:v>
      </x:c>
      <x:c r="B1678" s="25" t="str">
        <x:v>commercial_ppr</x:v>
      </x:c>
      <x:c r="C1678" s="25" t="n">
        <x:v>462452298.54250896</x:v>
      </x:c>
      <x:c r="D1678" s="25" t="str">
        <x:v>tonnes_primary_production_equivalent</x:v>
      </x:c>
    </x:row>
    <x:row r="1679" ht="18" customHeight="1">
      <x:c r="A1679" s="25" t="str">
        <x:v>EEZ_516</x:v>
      </x:c>
      <x:c r="B1679" s="25" t="str">
        <x:v>functional_ppr</x:v>
      </x:c>
      <x:c r="C1679" s="25" t="n">
        <x:v>468456450.4418779</x:v>
      </x:c>
      <x:c r="D1679" s="25" t="str">
        <x:v>tonnes_primary_production_equivalent</x:v>
      </x:c>
    </x:row>
    <x:row r="1680" ht="18" customHeight="1">
      <x:c r="A1680" s="25" t="str">
        <x:v>EEZ_516</x:v>
      </x:c>
      <x:c r="B1680" s="25" t="str">
        <x:v>commercial_ppr_difference</x:v>
      </x:c>
      <x:c r="C1680" s="25" t="n">
        <x:v>-45920393.34759003</x:v>
      </x:c>
      <x:c r="D1680" s="25" t="str">
        <x:v>tonnes_primary_production_equivalent</x:v>
      </x:c>
    </x:row>
    <x:row r="1681" ht="18" customHeight="1">
      <x:c r="A1681" s="25" t="str">
        <x:v>EEZ_516</x:v>
      </x:c>
      <x:c r="B1681" s="25" t="str">
        <x:v>functional_ppr_difference</x:v>
      </x:c>
      <x:c r="C1681" s="25" t="n">
        <x:v>-39916241.44822109</x:v>
      </x:c>
      <x:c r="D1681" s="25" t="str">
        <x:v>tonnes_primary_production_equivalent</x:v>
      </x:c>
    </x:row>
    <x:row r="1682" ht="18" customHeight="1">
      <x:c r="A1682" s="25" t="str">
        <x:v>EEZ_520</x:v>
      </x:c>
      <x:c r="B1682" s="25" t="str">
        <x:v>raw_filtered_tonnes</x:v>
      </x:c>
      <x:c r="C1682" s="25" t="n">
        <x:v>81729.3484479404</x:v>
      </x:c>
      <x:c r="D1682" s="25" t="str">
        <x:v>tonnes</x:v>
      </x:c>
    </x:row>
    <x:row r="1683" ht="18" customHeight="1">
      <x:c r="A1683" s="25" t="str">
        <x:v>EEZ_520</x:v>
      </x:c>
      <x:c r="B1683" s="25" t="str">
        <x:v>species_catch_tonnes</x:v>
      </x:c>
      <x:c r="C1683" s="25" t="n">
        <x:v>81729.3484479404</x:v>
      </x:c>
      <x:c r="D1683" s="25" t="str">
        <x:v>tonnes</x:v>
      </x:c>
    </x:row>
    <x:row r="1684" ht="18" customHeight="1">
      <x:c r="A1684" s="25" t="str">
        <x:v>EEZ_520</x:v>
      </x:c>
      <x:c r="B1684" s="25" t="str">
        <x:v>catch_difference_tonnes</x:v>
      </x:c>
      <x:c r="C1684" s="25" t="n">
        <x:v>0</x:v>
      </x:c>
      <x:c r="D1684" s="25" t="str">
        <x:v>tonnes</x:v>
      </x:c>
    </x:row>
    <x:row r="1685" ht="18" customHeight="1">
      <x:c r="A1685" s="25" t="str">
        <x:v>EEZ_520</x:v>
      </x:c>
      <x:c r="B1685" s="25" t="str">
        <x:v>catch_reconciled</x:v>
      </x:c>
      <x:c r="C1685" s="36" t="b">
        <x:v>1</x:v>
      </x:c>
      <x:c r="D1685" s="25" t="str">
        <x:v>boolean</x:v>
      </x:c>
    </x:row>
    <x:row r="1686" ht="18" customHeight="1">
      <x:c r="A1686" s="25" t="str">
        <x:v>EEZ_520</x:v>
      </x:c>
      <x:c r="B1686" s="25" t="str">
        <x:v>matched_catch_tonnes</x:v>
      </x:c>
      <x:c r="C1686" s="25" t="n">
        <x:v>81729.3484479404</x:v>
      </x:c>
      <x:c r="D1686" s="25" t="str">
        <x:v>tonnes</x:v>
      </x:c>
    </x:row>
    <x:row r="1687" ht="18" customHeight="1">
      <x:c r="A1687" s="25" t="str">
        <x:v>EEZ_520</x:v>
      </x:c>
      <x:c r="B1687" s="25" t="str">
        <x:v>catch_coverage_fraction</x:v>
      </x:c>
      <x:c r="C1687" s="25" t="n">
        <x:v>1</x:v>
      </x:c>
      <x:c r="D1687" s="25" t="str">
        <x:v>fraction</x:v>
      </x:c>
    </x:row>
    <x:row r="1688" ht="18" customHeight="1">
      <x:c r="A1688" s="25" t="str">
        <x:v>EEZ_520</x:v>
      </x:c>
      <x:c r="B1688" s="25" t="str">
        <x:v>taxa_count</x:v>
      </x:c>
      <x:c r="C1688" s="25" t="n">
        <x:v>28</x:v>
      </x:c>
      <x:c r="D1688" s="25" t="str">
        <x:v>count</x:v>
      </x:c>
    </x:row>
    <x:row r="1689" ht="18" customHeight="1">
      <x:c r="A1689" s="25" t="str">
        <x:v>EEZ_520</x:v>
      </x:c>
      <x:c r="B1689" s="25" t="str">
        <x:v>matched_taxa_count</x:v>
      </x:c>
      <x:c r="C1689" s="25" t="n">
        <x:v>28</x:v>
      </x:c>
      <x:c r="D1689" s="25" t="str">
        <x:v>count</x:v>
      </x:c>
    </x:row>
    <x:row r="1690" ht="18" customHeight="1">
      <x:c r="A1690" s="25" t="str">
        <x:v>EEZ_520</x:v>
      </x:c>
      <x:c r="B1690" s="25" t="str">
        <x:v>unmatched_taxa_count</x:v>
      </x:c>
      <x:c r="C1690" s="25" t="n">
        <x:v>0</x:v>
      </x:c>
      <x:c r="D1690" s="25" t="str">
        <x:v>count</x:v>
      </x:c>
    </x:row>
    <x:row r="1691" ht="18" customHeight="1">
      <x:c r="A1691" s="25" t="str">
        <x:v>EEZ_520</x:v>
      </x:c>
      <x:c r="B1691" s="25" t="str">
        <x:v>species_ppr</x:v>
      </x:c>
      <x:c r="C1691" s="25" t="n">
        <x:v>211818272.35681504</x:v>
      </x:c>
      <x:c r="D1691" s="25" t="str">
        <x:v>tonnes_primary_production_equivalent</x:v>
      </x:c>
    </x:row>
    <x:row r="1692" ht="18" customHeight="1">
      <x:c r="A1692" s="25" t="str">
        <x:v>EEZ_520</x:v>
      </x:c>
      <x:c r="B1692" s="25" t="str">
        <x:v>commercial_ppr</x:v>
      </x:c>
      <x:c r="C1692" s="25" t="n">
        <x:v>211133892.17355394</x:v>
      </x:c>
      <x:c r="D1692" s="25" t="str">
        <x:v>tonnes_primary_production_equivalent</x:v>
      </x:c>
    </x:row>
    <x:row r="1693" ht="18" customHeight="1">
      <x:c r="A1693" s="25" t="str">
        <x:v>EEZ_520</x:v>
      </x:c>
      <x:c r="B1693" s="25" t="str">
        <x:v>functional_ppr</x:v>
      </x:c>
      <x:c r="C1693" s="25" t="n">
        <x:v>210905086.08212376</x:v>
      </x:c>
      <x:c r="D1693" s="25" t="str">
        <x:v>tonnes_primary_production_equivalent</x:v>
      </x:c>
    </x:row>
    <x:row r="1694" ht="18" customHeight="1">
      <x:c r="A1694" s="25" t="str">
        <x:v>EEZ_520</x:v>
      </x:c>
      <x:c r="B1694" s="25" t="str">
        <x:v>commercial_ppr_difference</x:v>
      </x:c>
      <x:c r="C1694" s="25" t="n">
        <x:v>-684380.1832610965</x:v>
      </x:c>
      <x:c r="D1694" s="25" t="str">
        <x:v>tonnes_primary_production_equivalent</x:v>
      </x:c>
    </x:row>
    <x:row r="1695" ht="18" customHeight="1">
      <x:c r="A1695" s="25" t="str">
        <x:v>EEZ_520</x:v>
      </x:c>
      <x:c r="B1695" s="25" t="str">
        <x:v>functional_ppr_difference</x:v>
      </x:c>
      <x:c r="C1695" s="25" t="n">
        <x:v>-913186.2746912837</x:v>
      </x:c>
      <x:c r="D1695" s="25" t="str">
        <x:v>tonnes_primary_production_equivalent</x:v>
      </x:c>
    </x:row>
    <x:row r="1696" ht="18" customHeight="1">
      <x:c r="A1696" s="25" t="str">
        <x:v>EEZ_528</x:v>
      </x:c>
      <x:c r="B1696" s="25" t="str">
        <x:v>raw_filtered_tonnes</x:v>
      </x:c>
      <x:c r="C1696" s="25" t="n">
        <x:v>101104.75663139789</x:v>
      </x:c>
      <x:c r="D1696" s="25" t="str">
        <x:v>tonnes</x:v>
      </x:c>
    </x:row>
    <x:row r="1697" ht="18" customHeight="1">
      <x:c r="A1697" s="25" t="str">
        <x:v>EEZ_528</x:v>
      </x:c>
      <x:c r="B1697" s="25" t="str">
        <x:v>species_catch_tonnes</x:v>
      </x:c>
      <x:c r="C1697" s="25" t="n">
        <x:v>101104.7566313979</x:v>
      </x:c>
      <x:c r="D1697" s="25" t="str">
        <x:v>tonnes</x:v>
      </x:c>
    </x:row>
    <x:row r="1698" ht="18" customHeight="1">
      <x:c r="A1698" s="25" t="str">
        <x:v>EEZ_528</x:v>
      </x:c>
      <x:c r="B1698" s="25" t="str">
        <x:v>catch_difference_tonnes</x:v>
      </x:c>
      <x:c r="C1698" s="25" t="n">
        <x:v>1.4551915228366852e-11</x:v>
      </x:c>
      <x:c r="D1698" s="25" t="str">
        <x:v>tonnes</x:v>
      </x:c>
    </x:row>
    <x:row r="1699" ht="18" customHeight="1">
      <x:c r="A1699" s="25" t="str">
        <x:v>EEZ_528</x:v>
      </x:c>
      <x:c r="B1699" s="25" t="str">
        <x:v>catch_reconciled</x:v>
      </x:c>
      <x:c r="C1699" s="36" t="b">
        <x:v>1</x:v>
      </x:c>
      <x:c r="D1699" s="25" t="str">
        <x:v>boolean</x:v>
      </x:c>
    </x:row>
    <x:row r="1700" ht="18" customHeight="1">
      <x:c r="A1700" s="25" t="str">
        <x:v>EEZ_528</x:v>
      </x:c>
      <x:c r="B1700" s="25" t="str">
        <x:v>matched_catch_tonnes</x:v>
      </x:c>
      <x:c r="C1700" s="25" t="n">
        <x:v>101104.7566313979</x:v>
      </x:c>
      <x:c r="D1700" s="25" t="str">
        <x:v>tonnes</x:v>
      </x:c>
    </x:row>
    <x:row r="1701" ht="18" customHeight="1">
      <x:c r="A1701" s="25" t="str">
        <x:v>EEZ_528</x:v>
      </x:c>
      <x:c r="B1701" s="25" t="str">
        <x:v>catch_coverage_fraction</x:v>
      </x:c>
      <x:c r="C1701" s="25" t="n">
        <x:v>1</x:v>
      </x:c>
      <x:c r="D1701" s="25" t="str">
        <x:v>fraction</x:v>
      </x:c>
    </x:row>
    <x:row r="1702" ht="18" customHeight="1">
      <x:c r="A1702" s="25" t="str">
        <x:v>EEZ_528</x:v>
      </x:c>
      <x:c r="B1702" s="25" t="str">
        <x:v>taxa_count</x:v>
      </x:c>
      <x:c r="C1702" s="25" t="n">
        <x:v>182</x:v>
      </x:c>
      <x:c r="D1702" s="25" t="str">
        <x:v>count</x:v>
      </x:c>
    </x:row>
    <x:row r="1703" ht="18" customHeight="1">
      <x:c r="A1703" s="25" t="str">
        <x:v>EEZ_528</x:v>
      </x:c>
      <x:c r="B1703" s="25" t="str">
        <x:v>matched_taxa_count</x:v>
      </x:c>
      <x:c r="C1703" s="25" t="n">
        <x:v>182</x:v>
      </x:c>
      <x:c r="D1703" s="25" t="str">
        <x:v>count</x:v>
      </x:c>
    </x:row>
    <x:row r="1704" ht="18" customHeight="1">
      <x:c r="A1704" s="25" t="str">
        <x:v>EEZ_528</x:v>
      </x:c>
      <x:c r="B1704" s="25" t="str">
        <x:v>unmatched_taxa_count</x:v>
      </x:c>
      <x:c r="C1704" s="25" t="n">
        <x:v>0</x:v>
      </x:c>
      <x:c r="D1704" s="25" t="str">
        <x:v>count</x:v>
      </x:c>
    </x:row>
    <x:row r="1705" ht="18" customHeight="1">
      <x:c r="A1705" s="25" t="str">
        <x:v>EEZ_528</x:v>
      </x:c>
      <x:c r="B1705" s="25" t="str">
        <x:v>species_ppr</x:v>
      </x:c>
      <x:c r="C1705" s="25" t="n">
        <x:v>32412118.312102888</x:v>
      </x:c>
      <x:c r="D1705" s="25" t="str">
        <x:v>tonnes_primary_production_equivalent</x:v>
      </x:c>
    </x:row>
    <x:row r="1706" ht="18" customHeight="1">
      <x:c r="A1706" s="25" t="str">
        <x:v>EEZ_528</x:v>
      </x:c>
      <x:c r="B1706" s="25" t="str">
        <x:v>commercial_ppr</x:v>
      </x:c>
      <x:c r="C1706" s="25" t="n">
        <x:v>28372581.604711153</x:v>
      </x:c>
      <x:c r="D1706" s="25" t="str">
        <x:v>tonnes_primary_production_equivalent</x:v>
      </x:c>
    </x:row>
    <x:row r="1707" ht="18" customHeight="1">
      <x:c r="A1707" s="25" t="str">
        <x:v>EEZ_528</x:v>
      </x:c>
      <x:c r="B1707" s="25" t="str">
        <x:v>functional_ppr</x:v>
      </x:c>
      <x:c r="C1707" s="25" t="n">
        <x:v>29121670.551329825</x:v>
      </x:c>
      <x:c r="D1707" s="25" t="str">
        <x:v>tonnes_primary_production_equivalent</x:v>
      </x:c>
    </x:row>
    <x:row r="1708" ht="18" customHeight="1">
      <x:c r="A1708" s="25" t="str">
        <x:v>EEZ_528</x:v>
      </x:c>
      <x:c r="B1708" s="25" t="str">
        <x:v>commercial_ppr_difference</x:v>
      </x:c>
      <x:c r="C1708" s="25" t="n">
        <x:v>-4039536.707391735</x:v>
      </x:c>
      <x:c r="D1708" s="25" t="str">
        <x:v>tonnes_primary_production_equivalent</x:v>
      </x:c>
    </x:row>
    <x:row r="1709" ht="18" customHeight="1">
      <x:c r="A1709" s="25" t="str">
        <x:v>EEZ_528</x:v>
      </x:c>
      <x:c r="B1709" s="25" t="str">
        <x:v>functional_ppr_difference</x:v>
      </x:c>
      <x:c r="C1709" s="25" t="n">
        <x:v>-3290447.7607730627</x:v>
      </x:c>
      <x:c r="D1709" s="25" t="str">
        <x:v>tonnes_primary_production_equivalent</x:v>
      </x:c>
    </x:row>
    <x:row r="1710" ht="18" customHeight="1">
      <x:c r="A1710" s="25" t="str">
        <x:v>EEZ_540</x:v>
      </x:c>
      <x:c r="B1710" s="25" t="str">
        <x:v>raw_filtered_tonnes</x:v>
      </x:c>
      <x:c r="C1710" s="25" t="n">
        <x:v>11907.6644335737</x:v>
      </x:c>
      <x:c r="D1710" s="25" t="str">
        <x:v>tonnes</x:v>
      </x:c>
    </x:row>
    <x:row r="1711" ht="18" customHeight="1">
      <x:c r="A1711" s="25" t="str">
        <x:v>EEZ_540</x:v>
      </x:c>
      <x:c r="B1711" s="25" t="str">
        <x:v>species_catch_tonnes</x:v>
      </x:c>
      <x:c r="C1711" s="25" t="n">
        <x:v>11907.664433573698</x:v>
      </x:c>
      <x:c r="D1711" s="25" t="str">
        <x:v>tonnes</x:v>
      </x:c>
    </x:row>
    <x:row r="1712" ht="18" customHeight="1">
      <x:c r="A1712" s="25" t="str">
        <x:v>EEZ_540</x:v>
      </x:c>
      <x:c r="B1712" s="25" t="str">
        <x:v>catch_difference_tonnes</x:v>
      </x:c>
      <x:c r="C1712" s="25" t="n">
        <x:v>-1.8189894035458565e-12</x:v>
      </x:c>
      <x:c r="D1712" s="25" t="str">
        <x:v>tonnes</x:v>
      </x:c>
    </x:row>
    <x:row r="1713" ht="18" customHeight="1">
      <x:c r="A1713" s="25" t="str">
        <x:v>EEZ_540</x:v>
      </x:c>
      <x:c r="B1713" s="25" t="str">
        <x:v>catch_reconciled</x:v>
      </x:c>
      <x:c r="C1713" s="36" t="b">
        <x:v>1</x:v>
      </x:c>
      <x:c r="D1713" s="25" t="str">
        <x:v>boolean</x:v>
      </x:c>
    </x:row>
    <x:row r="1714" ht="18" customHeight="1">
      <x:c r="A1714" s="25" t="str">
        <x:v>EEZ_540</x:v>
      </x:c>
      <x:c r="B1714" s="25" t="str">
        <x:v>matched_catch_tonnes</x:v>
      </x:c>
      <x:c r="C1714" s="25" t="n">
        <x:v>11907.664433573698</x:v>
      </x:c>
      <x:c r="D1714" s="25" t="str">
        <x:v>tonnes</x:v>
      </x:c>
    </x:row>
    <x:row r="1715" ht="18" customHeight="1">
      <x:c r="A1715" s="25" t="str">
        <x:v>EEZ_540</x:v>
      </x:c>
      <x:c r="B1715" s="25" t="str">
        <x:v>catch_coverage_fraction</x:v>
      </x:c>
      <x:c r="C1715" s="25" t="n">
        <x:v>1</x:v>
      </x:c>
      <x:c r="D1715" s="25" t="str">
        <x:v>fraction</x:v>
      </x:c>
    </x:row>
    <x:row r="1716" ht="18" customHeight="1">
      <x:c r="A1716" s="25" t="str">
        <x:v>EEZ_540</x:v>
      </x:c>
      <x:c r="B1716" s="25" t="str">
        <x:v>taxa_count</x:v>
      </x:c>
      <x:c r="C1716" s="25" t="n">
        <x:v>55</x:v>
      </x:c>
      <x:c r="D1716" s="25" t="str">
        <x:v>count</x:v>
      </x:c>
    </x:row>
    <x:row r="1717" ht="18" customHeight="1">
      <x:c r="A1717" s="25" t="str">
        <x:v>EEZ_540</x:v>
      </x:c>
      <x:c r="B1717" s="25" t="str">
        <x:v>matched_taxa_count</x:v>
      </x:c>
      <x:c r="C1717" s="25" t="n">
        <x:v>55</x:v>
      </x:c>
      <x:c r="D1717" s="25" t="str">
        <x:v>count</x:v>
      </x:c>
    </x:row>
    <x:row r="1718" ht="18" customHeight="1">
      <x:c r="A1718" s="25" t="str">
        <x:v>EEZ_540</x:v>
      </x:c>
      <x:c r="B1718" s="25" t="str">
        <x:v>unmatched_taxa_count</x:v>
      </x:c>
      <x:c r="C1718" s="25" t="n">
        <x:v>0</x:v>
      </x:c>
      <x:c r="D1718" s="25" t="str">
        <x:v>count</x:v>
      </x:c>
    </x:row>
    <x:row r="1719" ht="18" customHeight="1">
      <x:c r="A1719" s="25" t="str">
        <x:v>EEZ_540</x:v>
      </x:c>
      <x:c r="B1719" s="25" t="str">
        <x:v>species_ppr</x:v>
      </x:c>
      <x:c r="C1719" s="25" t="n">
        <x:v>14486808.543640152</x:v>
      </x:c>
      <x:c r="D1719" s="25" t="str">
        <x:v>tonnes_primary_production_equivalent</x:v>
      </x:c>
    </x:row>
    <x:row r="1720" ht="18" customHeight="1">
      <x:c r="A1720" s="25" t="str">
        <x:v>EEZ_540</x:v>
      </x:c>
      <x:c r="B1720" s="25" t="str">
        <x:v>commercial_ppr</x:v>
      </x:c>
      <x:c r="C1720" s="25" t="n">
        <x:v>10397068.404729191</x:v>
      </x:c>
      <x:c r="D1720" s="25" t="str">
        <x:v>tonnes_primary_production_equivalent</x:v>
      </x:c>
    </x:row>
    <x:row r="1721" ht="18" customHeight="1">
      <x:c r="A1721" s="25" t="str">
        <x:v>EEZ_540</x:v>
      </x:c>
      <x:c r="B1721" s="25" t="str">
        <x:v>functional_ppr</x:v>
      </x:c>
      <x:c r="C1721" s="25" t="n">
        <x:v>12334079.80178462</x:v>
      </x:c>
      <x:c r="D1721" s="25" t="str">
        <x:v>tonnes_primary_production_equivalent</x:v>
      </x:c>
    </x:row>
    <x:row r="1722" ht="18" customHeight="1">
      <x:c r="A1722" s="25" t="str">
        <x:v>EEZ_540</x:v>
      </x:c>
      <x:c r="B1722" s="25" t="str">
        <x:v>commercial_ppr_difference</x:v>
      </x:c>
      <x:c r="C1722" s="25" t="n">
        <x:v>-4089740.1389109604</x:v>
      </x:c>
      <x:c r="D1722" s="25" t="str">
        <x:v>tonnes_primary_production_equivalent</x:v>
      </x:c>
    </x:row>
    <x:row r="1723" ht="18" customHeight="1">
      <x:c r="A1723" s="25" t="str">
        <x:v>EEZ_540</x:v>
      </x:c>
      <x:c r="B1723" s="25" t="str">
        <x:v>functional_ppr_difference</x:v>
      </x:c>
      <x:c r="C1723" s="25" t="n">
        <x:v>-2152728.741855532</x:v>
      </x:c>
      <x:c r="D1723" s="25" t="str">
        <x:v>tonnes_primary_production_equivalent</x:v>
      </x:c>
    </x:row>
    <x:row r="1724" ht="18" customHeight="1">
      <x:c r="A1724" s="25" t="str">
        <x:v>EEZ_548</x:v>
      </x:c>
      <x:c r="B1724" s="25" t="str">
        <x:v>raw_filtered_tonnes</x:v>
      </x:c>
      <x:c r="C1724" s="25" t="n">
        <x:v>19630.861294589602</x:v>
      </x:c>
      <x:c r="D1724" s="25" t="str">
        <x:v>tonnes</x:v>
      </x:c>
    </x:row>
    <x:row r="1725" ht="18" customHeight="1">
      <x:c r="A1725" s="25" t="str">
        <x:v>EEZ_548</x:v>
      </x:c>
      <x:c r="B1725" s="25" t="str">
        <x:v>species_catch_tonnes</x:v>
      </x:c>
      <x:c r="C1725" s="25" t="n">
        <x:v>19630.861294589602</x:v>
      </x:c>
      <x:c r="D1725" s="25" t="str">
        <x:v>tonnes</x:v>
      </x:c>
    </x:row>
    <x:row r="1726" ht="18" customHeight="1">
      <x:c r="A1726" s="25" t="str">
        <x:v>EEZ_548</x:v>
      </x:c>
      <x:c r="B1726" s="25" t="str">
        <x:v>catch_difference_tonnes</x:v>
      </x:c>
      <x:c r="C1726" s="25" t="n">
        <x:v>0</x:v>
      </x:c>
      <x:c r="D1726" s="25" t="str">
        <x:v>tonnes</x:v>
      </x:c>
    </x:row>
    <x:row r="1727" ht="18" customHeight="1">
      <x:c r="A1727" s="25" t="str">
        <x:v>EEZ_548</x:v>
      </x:c>
      <x:c r="B1727" s="25" t="str">
        <x:v>catch_reconciled</x:v>
      </x:c>
      <x:c r="C1727" s="36" t="b">
        <x:v>1</x:v>
      </x:c>
      <x:c r="D1727" s="25" t="str">
        <x:v>boolean</x:v>
      </x:c>
    </x:row>
    <x:row r="1728" ht="18" customHeight="1">
      <x:c r="A1728" s="25" t="str">
        <x:v>EEZ_548</x:v>
      </x:c>
      <x:c r="B1728" s="25" t="str">
        <x:v>matched_catch_tonnes</x:v>
      </x:c>
      <x:c r="C1728" s="25" t="n">
        <x:v>19630.861294589602</x:v>
      </x:c>
      <x:c r="D1728" s="25" t="str">
        <x:v>tonnes</x:v>
      </x:c>
    </x:row>
    <x:row r="1729" ht="18" customHeight="1">
      <x:c r="A1729" s="25" t="str">
        <x:v>EEZ_548</x:v>
      </x:c>
      <x:c r="B1729" s="25" t="str">
        <x:v>catch_coverage_fraction</x:v>
      </x:c>
      <x:c r="C1729" s="25" t="n">
        <x:v>1</x:v>
      </x:c>
      <x:c r="D1729" s="25" t="str">
        <x:v>fraction</x:v>
      </x:c>
    </x:row>
    <x:row r="1730" ht="18" customHeight="1">
      <x:c r="A1730" s="25" t="str">
        <x:v>EEZ_548</x:v>
      </x:c>
      <x:c r="B1730" s="25" t="str">
        <x:v>taxa_count</x:v>
      </x:c>
      <x:c r="C1730" s="25" t="n">
        <x:v>68</x:v>
      </x:c>
      <x:c r="D1730" s="25" t="str">
        <x:v>count</x:v>
      </x:c>
    </x:row>
    <x:row r="1731" ht="18" customHeight="1">
      <x:c r="A1731" s="25" t="str">
        <x:v>EEZ_548</x:v>
      </x:c>
      <x:c r="B1731" s="25" t="str">
        <x:v>matched_taxa_count</x:v>
      </x:c>
      <x:c r="C1731" s="25" t="n">
        <x:v>68</x:v>
      </x:c>
      <x:c r="D1731" s="25" t="str">
        <x:v>count</x:v>
      </x:c>
    </x:row>
    <x:row r="1732" ht="18" customHeight="1">
      <x:c r="A1732" s="25" t="str">
        <x:v>EEZ_548</x:v>
      </x:c>
      <x:c r="B1732" s="25" t="str">
        <x:v>unmatched_taxa_count</x:v>
      </x:c>
      <x:c r="C1732" s="25" t="n">
        <x:v>0</x:v>
      </x:c>
      <x:c r="D1732" s="25" t="str">
        <x:v>count</x:v>
      </x:c>
    </x:row>
    <x:row r="1733" ht="18" customHeight="1">
      <x:c r="A1733" s="25" t="str">
        <x:v>EEZ_548</x:v>
      </x:c>
      <x:c r="B1733" s="25" t="str">
        <x:v>species_ppr</x:v>
      </x:c>
      <x:c r="C1733" s="25" t="n">
        <x:v>32659015.20720978</x:v>
      </x:c>
      <x:c r="D1733" s="25" t="str">
        <x:v>tonnes_primary_production_equivalent</x:v>
      </x:c>
    </x:row>
    <x:row r="1734" ht="18" customHeight="1">
      <x:c r="A1734" s="25" t="str">
        <x:v>EEZ_548</x:v>
      </x:c>
      <x:c r="B1734" s="25" t="str">
        <x:v>commercial_ppr</x:v>
      </x:c>
      <x:c r="C1734" s="25" t="n">
        <x:v>31019175.376190137</x:v>
      </x:c>
      <x:c r="D1734" s="25" t="str">
        <x:v>tonnes_primary_production_equivalent</x:v>
      </x:c>
    </x:row>
    <x:row r="1735" ht="18" customHeight="1">
      <x:c r="A1735" s="25" t="str">
        <x:v>EEZ_548</x:v>
      </x:c>
      <x:c r="B1735" s="25" t="str">
        <x:v>functional_ppr</x:v>
      </x:c>
      <x:c r="C1735" s="25" t="n">
        <x:v>31340132.170963</x:v>
      </x:c>
      <x:c r="D1735" s="25" t="str">
        <x:v>tonnes_primary_production_equivalent</x:v>
      </x:c>
    </x:row>
    <x:row r="1736" ht="18" customHeight="1">
      <x:c r="A1736" s="25" t="str">
        <x:v>EEZ_548</x:v>
      </x:c>
      <x:c r="B1736" s="25" t="str">
        <x:v>commercial_ppr_difference</x:v>
      </x:c>
      <x:c r="C1736" s="25" t="n">
        <x:v>-1639839.8310196437</x:v>
      </x:c>
      <x:c r="D1736" s="25" t="str">
        <x:v>tonnes_primary_production_equivalent</x:v>
      </x:c>
    </x:row>
    <x:row r="1737" ht="18" customHeight="1">
      <x:c r="A1737" s="25" t="str">
        <x:v>EEZ_548</x:v>
      </x:c>
      <x:c r="B1737" s="25" t="str">
        <x:v>functional_ppr_difference</x:v>
      </x:c>
      <x:c r="C1737" s="25" t="n">
        <x:v>-1318883.0362467803</x:v>
      </x:c>
      <x:c r="D1737" s="25" t="str">
        <x:v>tonnes_primary_production_equivalent</x:v>
      </x:c>
    </x:row>
    <x:row r="1738" ht="18" customHeight="1">
      <x:c r="A1738" s="25" t="str">
        <x:v>EEZ_554</x:v>
      </x:c>
      <x:c r="B1738" s="25" t="str">
        <x:v>raw_filtered_tonnes</x:v>
      </x:c>
      <x:c r="C1738" s="25" t="n">
        <x:v>536634.0092869515</x:v>
      </x:c>
      <x:c r="D1738" s="25" t="str">
        <x:v>tonnes</x:v>
      </x:c>
    </x:row>
    <x:row r="1739" ht="18" customHeight="1">
      <x:c r="A1739" s="25" t="str">
        <x:v>EEZ_554</x:v>
      </x:c>
      <x:c r="B1739" s="25" t="str">
        <x:v>species_catch_tonnes</x:v>
      </x:c>
      <x:c r="C1739" s="25" t="n">
        <x:v>536634.0092869516</x:v>
      </x:c>
      <x:c r="D1739" s="25" t="str">
        <x:v>tonnes</x:v>
      </x:c>
    </x:row>
    <x:row r="1740" ht="18" customHeight="1">
      <x:c r="A1740" s="25" t="str">
        <x:v>EEZ_554</x:v>
      </x:c>
      <x:c r="B1740" s="25" t="str">
        <x:v>catch_difference_tonnes</x:v>
      </x:c>
      <x:c r="C1740" s="25" t="n">
        <x:v>1.1641532182693481e-10</x:v>
      </x:c>
      <x:c r="D1740" s="25" t="str">
        <x:v>tonnes</x:v>
      </x:c>
    </x:row>
    <x:row r="1741" ht="18" customHeight="1">
      <x:c r="A1741" s="25" t="str">
        <x:v>EEZ_554</x:v>
      </x:c>
      <x:c r="B1741" s="25" t="str">
        <x:v>catch_reconciled</x:v>
      </x:c>
      <x:c r="C1741" s="36" t="b">
        <x:v>1</x:v>
      </x:c>
      <x:c r="D1741" s="25" t="str">
        <x:v>boolean</x:v>
      </x:c>
    </x:row>
    <x:row r="1742" ht="18" customHeight="1">
      <x:c r="A1742" s="25" t="str">
        <x:v>EEZ_554</x:v>
      </x:c>
      <x:c r="B1742" s="25" t="str">
        <x:v>matched_catch_tonnes</x:v>
      </x:c>
      <x:c r="C1742" s="25" t="n">
        <x:v>536634.0092869516</x:v>
      </x:c>
      <x:c r="D1742" s="25" t="str">
        <x:v>tonnes</x:v>
      </x:c>
    </x:row>
    <x:row r="1743" ht="18" customHeight="1">
      <x:c r="A1743" s="25" t="str">
        <x:v>EEZ_554</x:v>
      </x:c>
      <x:c r="B1743" s="25" t="str">
        <x:v>catch_coverage_fraction</x:v>
      </x:c>
      <x:c r="C1743" s="25" t="n">
        <x:v>1</x:v>
      </x:c>
      <x:c r="D1743" s="25" t="str">
        <x:v>fraction</x:v>
      </x:c>
    </x:row>
    <x:row r="1744" ht="18" customHeight="1">
      <x:c r="A1744" s="25" t="str">
        <x:v>EEZ_554</x:v>
      </x:c>
      <x:c r="B1744" s="25" t="str">
        <x:v>taxa_count</x:v>
      </x:c>
      <x:c r="C1744" s="25" t="n">
        <x:v>197</x:v>
      </x:c>
      <x:c r="D1744" s="25" t="str">
        <x:v>count</x:v>
      </x:c>
    </x:row>
    <x:row r="1745" ht="18" customHeight="1">
      <x:c r="A1745" s="25" t="str">
        <x:v>EEZ_554</x:v>
      </x:c>
      <x:c r="B1745" s="25" t="str">
        <x:v>matched_taxa_count</x:v>
      </x:c>
      <x:c r="C1745" s="25" t="n">
        <x:v>197</x:v>
      </x:c>
      <x:c r="D1745" s="25" t="str">
        <x:v>count</x:v>
      </x:c>
    </x:row>
    <x:row r="1746" ht="18" customHeight="1">
      <x:c r="A1746" s="25" t="str">
        <x:v>EEZ_554</x:v>
      </x:c>
      <x:c r="B1746" s="25" t="str">
        <x:v>unmatched_taxa_count</x:v>
      </x:c>
      <x:c r="C1746" s="25" t="n">
        <x:v>0</x:v>
      </x:c>
      <x:c r="D1746" s="25" t="str">
        <x:v>count</x:v>
      </x:c>
    </x:row>
    <x:row r="1747" ht="18" customHeight="1">
      <x:c r="A1747" s="25" t="str">
        <x:v>EEZ_554</x:v>
      </x:c>
      <x:c r="B1747" s="25" t="str">
        <x:v>species_ppr</x:v>
      </x:c>
      <x:c r="C1747" s="25" t="n">
        <x:v>844346453.6499316</x:v>
      </x:c>
      <x:c r="D1747" s="25" t="str">
        <x:v>tonnes_primary_production_equivalent</x:v>
      </x:c>
    </x:row>
    <x:row r="1748" ht="18" customHeight="1">
      <x:c r="A1748" s="25" t="str">
        <x:v>EEZ_554</x:v>
      </x:c>
      <x:c r="B1748" s="25" t="str">
        <x:v>commercial_ppr</x:v>
      </x:c>
      <x:c r="C1748" s="25" t="n">
        <x:v>698639252.9198685</x:v>
      </x:c>
      <x:c r="D1748" s="25" t="str">
        <x:v>tonnes_primary_production_equivalent</x:v>
      </x:c>
    </x:row>
    <x:row r="1749" ht="18" customHeight="1">
      <x:c r="A1749" s="25" t="str">
        <x:v>EEZ_554</x:v>
      </x:c>
      <x:c r="B1749" s="25" t="str">
        <x:v>functional_ppr</x:v>
      </x:c>
      <x:c r="C1749" s="25" t="n">
        <x:v>743350086.3792835</x:v>
      </x:c>
      <x:c r="D1749" s="25" t="str">
        <x:v>tonnes_primary_production_equivalent</x:v>
      </x:c>
    </x:row>
    <x:row r="1750" ht="18" customHeight="1">
      <x:c r="A1750" s="25" t="str">
        <x:v>EEZ_554</x:v>
      </x:c>
      <x:c r="B1750" s="25" t="str">
        <x:v>commercial_ppr_difference</x:v>
      </x:c>
      <x:c r="C1750" s="25" t="n">
        <x:v>-145707200.73006308</x:v>
      </x:c>
      <x:c r="D1750" s="25" t="str">
        <x:v>tonnes_primary_production_equivalent</x:v>
      </x:c>
    </x:row>
    <x:row r="1751" ht="18" customHeight="1">
      <x:c r="A1751" s="25" t="str">
        <x:v>EEZ_554</x:v>
      </x:c>
      <x:c r="B1751" s="25" t="str">
        <x:v>functional_ppr_difference</x:v>
      </x:c>
      <x:c r="C1751" s="25" t="n">
        <x:v>-100996367.270648</x:v>
      </x:c>
      <x:c r="D1751" s="25" t="str">
        <x:v>tonnes_primary_production_equivalent</x:v>
      </x:c>
    </x:row>
    <x:row r="1752" ht="18" customHeight="1">
      <x:c r="A1752" s="25" t="str">
        <x:v>EEZ_555</x:v>
      </x:c>
      <x:c r="B1752" s="25" t="str">
        <x:v>raw_filtered_tonnes</x:v>
      </x:c>
      <x:c r="C1752" s="25" t="n">
        <x:v>66.11770604899999</x:v>
      </x:c>
      <x:c r="D1752" s="25" t="str">
        <x:v>tonnes</x:v>
      </x:c>
    </x:row>
    <x:row r="1753" ht="18" customHeight="1">
      <x:c r="A1753" s="25" t="str">
        <x:v>EEZ_555</x:v>
      </x:c>
      <x:c r="B1753" s="25" t="str">
        <x:v>species_catch_tonnes</x:v>
      </x:c>
      <x:c r="C1753" s="25" t="n">
        <x:v>66.11770604899998</x:v>
      </x:c>
      <x:c r="D1753" s="25" t="str">
        <x:v>tonnes</x:v>
      </x:c>
    </x:row>
    <x:row r="1754" ht="18" customHeight="1">
      <x:c r="A1754" s="25" t="str">
        <x:v>EEZ_555</x:v>
      </x:c>
      <x:c r="B1754" s="25" t="str">
        <x:v>catch_difference_tonnes</x:v>
      </x:c>
      <x:c r="C1754" s="25" t="n">
        <x:v>-1.4210854715202004e-14</x:v>
      </x:c>
      <x:c r="D1754" s="25" t="str">
        <x:v>tonnes</x:v>
      </x:c>
    </x:row>
    <x:row r="1755" ht="18" customHeight="1">
      <x:c r="A1755" s="25" t="str">
        <x:v>EEZ_555</x:v>
      </x:c>
      <x:c r="B1755" s="25" t="str">
        <x:v>catch_reconciled</x:v>
      </x:c>
      <x:c r="C1755" s="36" t="b">
        <x:v>1</x:v>
      </x:c>
      <x:c r="D1755" s="25" t="str">
        <x:v>boolean</x:v>
      </x:c>
    </x:row>
    <x:row r="1756" ht="18" customHeight="1">
      <x:c r="A1756" s="25" t="str">
        <x:v>EEZ_555</x:v>
      </x:c>
      <x:c r="B1756" s="25" t="str">
        <x:v>matched_catch_tonnes</x:v>
      </x:c>
      <x:c r="C1756" s="25" t="n">
        <x:v>66.11770604899998</x:v>
      </x:c>
      <x:c r="D1756" s="25" t="str">
        <x:v>tonnes</x:v>
      </x:c>
    </x:row>
    <x:row r="1757" ht="18" customHeight="1">
      <x:c r="A1757" s="25" t="str">
        <x:v>EEZ_555</x:v>
      </x:c>
      <x:c r="B1757" s="25" t="str">
        <x:v>catch_coverage_fraction</x:v>
      </x:c>
      <x:c r="C1757" s="25" t="n">
        <x:v>1</x:v>
      </x:c>
      <x:c r="D1757" s="25" t="str">
        <x:v>fraction</x:v>
      </x:c>
    </x:row>
    <x:row r="1758" ht="18" customHeight="1">
      <x:c r="A1758" s="25" t="str">
        <x:v>EEZ_555</x:v>
      </x:c>
      <x:c r="B1758" s="25" t="str">
        <x:v>taxa_count</x:v>
      </x:c>
      <x:c r="C1758" s="25" t="n">
        <x:v>22</x:v>
      </x:c>
      <x:c r="D1758" s="25" t="str">
        <x:v>count</x:v>
      </x:c>
    </x:row>
    <x:row r="1759" ht="18" customHeight="1">
      <x:c r="A1759" s="25" t="str">
        <x:v>EEZ_555</x:v>
      </x:c>
      <x:c r="B1759" s="25" t="str">
        <x:v>matched_taxa_count</x:v>
      </x:c>
      <x:c r="C1759" s="25" t="n">
        <x:v>22</x:v>
      </x:c>
      <x:c r="D1759" s="25" t="str">
        <x:v>count</x:v>
      </x:c>
    </x:row>
    <x:row r="1760" ht="18" customHeight="1">
      <x:c r="A1760" s="25" t="str">
        <x:v>EEZ_555</x:v>
      </x:c>
      <x:c r="B1760" s="25" t="str">
        <x:v>unmatched_taxa_count</x:v>
      </x:c>
      <x:c r="C1760" s="25" t="n">
        <x:v>0</x:v>
      </x:c>
      <x:c r="D1760" s="25" t="str">
        <x:v>count</x:v>
      </x:c>
    </x:row>
    <x:row r="1761" ht="18" customHeight="1">
      <x:c r="A1761" s="25" t="str">
        <x:v>EEZ_555</x:v>
      </x:c>
      <x:c r="B1761" s="25" t="str">
        <x:v>species_ppr</x:v>
      </x:c>
      <x:c r="C1761" s="25" t="n">
        <x:v>78824.46595983862</x:v>
      </x:c>
      <x:c r="D1761" s="25" t="str">
        <x:v>tonnes_primary_production_equivalent</x:v>
      </x:c>
    </x:row>
    <x:row r="1762" ht="18" customHeight="1">
      <x:c r="A1762" s="25" t="str">
        <x:v>EEZ_555</x:v>
      </x:c>
      <x:c r="B1762" s="25" t="str">
        <x:v>commercial_ppr</x:v>
      </x:c>
      <x:c r="C1762" s="25" t="n">
        <x:v>76414.6188665428</x:v>
      </x:c>
      <x:c r="D1762" s="25" t="str">
        <x:v>tonnes_primary_production_equivalent</x:v>
      </x:c>
    </x:row>
    <x:row r="1763" ht="18" customHeight="1">
      <x:c r="A1763" s="25" t="str">
        <x:v>EEZ_555</x:v>
      </x:c>
      <x:c r="B1763" s="25" t="str">
        <x:v>functional_ppr</x:v>
      </x:c>
      <x:c r="C1763" s="25" t="n">
        <x:v>76220.69490016132</x:v>
      </x:c>
      <x:c r="D1763" s="25" t="str">
        <x:v>tonnes_primary_production_equivalent</x:v>
      </x:c>
    </x:row>
    <x:row r="1764" ht="18" customHeight="1">
      <x:c r="A1764" s="25" t="str">
        <x:v>EEZ_555</x:v>
      </x:c>
      <x:c r="B1764" s="25" t="str">
        <x:v>commercial_ppr_difference</x:v>
      </x:c>
      <x:c r="C1764" s="25" t="n">
        <x:v>-2409.8470932958153</x:v>
      </x:c>
      <x:c r="D1764" s="25" t="str">
        <x:v>tonnes_primary_production_equivalent</x:v>
      </x:c>
    </x:row>
    <x:row r="1765" ht="18" customHeight="1">
      <x:c r="A1765" s="25" t="str">
        <x:v>EEZ_555</x:v>
      </x:c>
      <x:c r="B1765" s="25" t="str">
        <x:v>functional_ppr_difference</x:v>
      </x:c>
      <x:c r="C1765" s="25" t="n">
        <x:v>-2603.771059677296</x:v>
      </x:c>
      <x:c r="D1765" s="25" t="str">
        <x:v>tonnes_primary_production_equivalent</x:v>
      </x:c>
    </x:row>
    <x:row r="1766" ht="18" customHeight="1">
      <x:c r="A1766" s="25" t="str">
        <x:v>EEZ_566</x:v>
      </x:c>
      <x:c r="B1766" s="25" t="str">
        <x:v>raw_filtered_tonnes</x:v>
      </x:c>
      <x:c r="C1766" s="25" t="n">
        <x:v>532269.8890131604</x:v>
      </x:c>
      <x:c r="D1766" s="25" t="str">
        <x:v>tonnes</x:v>
      </x:c>
    </x:row>
    <x:row r="1767" ht="18" customHeight="1">
      <x:c r="A1767" s="25" t="str">
        <x:v>EEZ_566</x:v>
      </x:c>
      <x:c r="B1767" s="25" t="str">
        <x:v>species_catch_tonnes</x:v>
      </x:c>
      <x:c r="C1767" s="25" t="n">
        <x:v>532269.8890131604</x:v>
      </x:c>
      <x:c r="D1767" s="25" t="str">
        <x:v>tonnes</x:v>
      </x:c>
    </x:row>
    <x:row r="1768" ht="18" customHeight="1">
      <x:c r="A1768" s="25" t="str">
        <x:v>EEZ_566</x:v>
      </x:c>
      <x:c r="B1768" s="25" t="str">
        <x:v>catch_difference_tonnes</x:v>
      </x:c>
      <x:c r="C1768" s="25" t="n">
        <x:v>0</x:v>
      </x:c>
      <x:c r="D1768" s="25" t="str">
        <x:v>tonnes</x:v>
      </x:c>
    </x:row>
    <x:row r="1769" ht="18" customHeight="1">
      <x:c r="A1769" s="25" t="str">
        <x:v>EEZ_566</x:v>
      </x:c>
      <x:c r="B1769" s="25" t="str">
        <x:v>catch_reconciled</x:v>
      </x:c>
      <x:c r="C1769" s="36" t="b">
        <x:v>1</x:v>
      </x:c>
      <x:c r="D1769" s="25" t="str">
        <x:v>boolean</x:v>
      </x:c>
    </x:row>
    <x:row r="1770" ht="18" customHeight="1">
      <x:c r="A1770" s="25" t="str">
        <x:v>EEZ_566</x:v>
      </x:c>
      <x:c r="B1770" s="25" t="str">
        <x:v>matched_catch_tonnes</x:v>
      </x:c>
      <x:c r="C1770" s="25" t="n">
        <x:v>532269.8890131604</x:v>
      </x:c>
      <x:c r="D1770" s="25" t="str">
        <x:v>tonnes</x:v>
      </x:c>
    </x:row>
    <x:row r="1771" ht="18" customHeight="1">
      <x:c r="A1771" s="25" t="str">
        <x:v>EEZ_566</x:v>
      </x:c>
      <x:c r="B1771" s="25" t="str">
        <x:v>catch_coverage_fraction</x:v>
      </x:c>
      <x:c r="C1771" s="25" t="n">
        <x:v>1</x:v>
      </x:c>
      <x:c r="D1771" s="25" t="str">
        <x:v>fraction</x:v>
      </x:c>
    </x:row>
    <x:row r="1772" ht="18" customHeight="1">
      <x:c r="A1772" s="25" t="str">
        <x:v>EEZ_566</x:v>
      </x:c>
      <x:c r="B1772" s="25" t="str">
        <x:v>taxa_count</x:v>
      </x:c>
      <x:c r="C1772" s="25" t="n">
        <x:v>77</x:v>
      </x:c>
      <x:c r="D1772" s="25" t="str">
        <x:v>count</x:v>
      </x:c>
    </x:row>
    <x:row r="1773" ht="18" customHeight="1">
      <x:c r="A1773" s="25" t="str">
        <x:v>EEZ_566</x:v>
      </x:c>
      <x:c r="B1773" s="25" t="str">
        <x:v>matched_taxa_count</x:v>
      </x:c>
      <x:c r="C1773" s="25" t="n">
        <x:v>77</x:v>
      </x:c>
      <x:c r="D1773" s="25" t="str">
        <x:v>count</x:v>
      </x:c>
    </x:row>
    <x:row r="1774" ht="18" customHeight="1">
      <x:c r="A1774" s="25" t="str">
        <x:v>EEZ_566</x:v>
      </x:c>
      <x:c r="B1774" s="25" t="str">
        <x:v>unmatched_taxa_count</x:v>
      </x:c>
      <x:c r="C1774" s="25" t="n">
        <x:v>0</x:v>
      </x:c>
      <x:c r="D1774" s="25" t="str">
        <x:v>count</x:v>
      </x:c>
    </x:row>
    <x:row r="1775" ht="18" customHeight="1">
      <x:c r="A1775" s="25" t="str">
        <x:v>EEZ_566</x:v>
      </x:c>
      <x:c r="B1775" s="25" t="str">
        <x:v>species_ppr</x:v>
      </x:c>
      <x:c r="C1775" s="25" t="n">
        <x:v>304675912.1204597</x:v>
      </x:c>
      <x:c r="D1775" s="25" t="str">
        <x:v>tonnes_primary_production_equivalent</x:v>
      </x:c>
    </x:row>
    <x:row r="1776" ht="18" customHeight="1">
      <x:c r="A1776" s="25" t="str">
        <x:v>EEZ_566</x:v>
      </x:c>
      <x:c r="B1776" s="25" t="str">
        <x:v>commercial_ppr</x:v>
      </x:c>
      <x:c r="C1776" s="25" t="n">
        <x:v>229015816.3190449</x:v>
      </x:c>
      <x:c r="D1776" s="25" t="str">
        <x:v>tonnes_primary_production_equivalent</x:v>
      </x:c>
    </x:row>
    <x:row r="1777" ht="18" customHeight="1">
      <x:c r="A1777" s="25" t="str">
        <x:v>EEZ_566</x:v>
      </x:c>
      <x:c r="B1777" s="25" t="str">
        <x:v>functional_ppr</x:v>
      </x:c>
      <x:c r="C1777" s="25" t="n">
        <x:v>277012116.7712002</x:v>
      </x:c>
      <x:c r="D1777" s="25" t="str">
        <x:v>tonnes_primary_production_equivalent</x:v>
      </x:c>
    </x:row>
    <x:row r="1778" ht="18" customHeight="1">
      <x:c r="A1778" s="25" t="str">
        <x:v>EEZ_566</x:v>
      </x:c>
      <x:c r="B1778" s="25" t="str">
        <x:v>commercial_ppr_difference</x:v>
      </x:c>
      <x:c r="C1778" s="25" t="n">
        <x:v>-75660095.80141479</x:v>
      </x:c>
      <x:c r="D1778" s="25" t="str">
        <x:v>tonnes_primary_production_equivalent</x:v>
      </x:c>
    </x:row>
    <x:row r="1779" ht="18" customHeight="1">
      <x:c r="A1779" s="25" t="str">
        <x:v>EEZ_566</x:v>
      </x:c>
      <x:c r="B1779" s="25" t="str">
        <x:v>functional_ppr_difference</x:v>
      </x:c>
      <x:c r="C1779" s="25" t="n">
        <x:v>-27663795.349259496</x:v>
      </x:c>
      <x:c r="D1779" s="25" t="str">
        <x:v>tonnes_primary_production_equivalent</x:v>
      </x:c>
    </x:row>
    <x:row r="1780" ht="18" customHeight="1">
      <x:c r="A1780" s="25" t="str">
        <x:v>EEZ_570</x:v>
      </x:c>
      <x:c r="B1780" s="25" t="str">
        <x:v>raw_filtered_tonnes</x:v>
      </x:c>
      <x:c r="C1780" s="25" t="n">
        <x:v>949.5273417067999</x:v>
      </x:c>
      <x:c r="D1780" s="25" t="str">
        <x:v>tonnes</x:v>
      </x:c>
    </x:row>
    <x:row r="1781" ht="18" customHeight="1">
      <x:c r="A1781" s="25" t="str">
        <x:v>EEZ_570</x:v>
      </x:c>
      <x:c r="B1781" s="25" t="str">
        <x:v>species_catch_tonnes</x:v>
      </x:c>
      <x:c r="C1781" s="25" t="n">
        <x:v>949.5273417068</x:v>
      </x:c>
      <x:c r="D1781" s="25" t="str">
        <x:v>tonnes</x:v>
      </x:c>
    </x:row>
    <x:row r="1782" ht="18" customHeight="1">
      <x:c r="A1782" s="25" t="str">
        <x:v>EEZ_570</x:v>
      </x:c>
      <x:c r="B1782" s="25" t="str">
        <x:v>catch_difference_tonnes</x:v>
      </x:c>
      <x:c r="C1782" s="25" t="n">
        <x:v>1.1368683772161603e-13</x:v>
      </x:c>
      <x:c r="D1782" s="25" t="str">
        <x:v>tonnes</x:v>
      </x:c>
    </x:row>
    <x:row r="1783" ht="18" customHeight="1">
      <x:c r="A1783" s="25" t="str">
        <x:v>EEZ_570</x:v>
      </x:c>
      <x:c r="B1783" s="25" t="str">
        <x:v>catch_reconciled</x:v>
      </x:c>
      <x:c r="C1783" s="36" t="b">
        <x:v>1</x:v>
      </x:c>
      <x:c r="D1783" s="25" t="str">
        <x:v>boolean</x:v>
      </x:c>
    </x:row>
    <x:row r="1784" ht="18" customHeight="1">
      <x:c r="A1784" s="25" t="str">
        <x:v>EEZ_570</x:v>
      </x:c>
      <x:c r="B1784" s="25" t="str">
        <x:v>matched_catch_tonnes</x:v>
      </x:c>
      <x:c r="C1784" s="25" t="n">
        <x:v>949.5273417068</x:v>
      </x:c>
      <x:c r="D1784" s="25" t="str">
        <x:v>tonnes</x:v>
      </x:c>
    </x:row>
    <x:row r="1785" ht="18" customHeight="1">
      <x:c r="A1785" s="25" t="str">
        <x:v>EEZ_570</x:v>
      </x:c>
      <x:c r="B1785" s="25" t="str">
        <x:v>catch_coverage_fraction</x:v>
      </x:c>
      <x:c r="C1785" s="25" t="n">
        <x:v>1</x:v>
      </x:c>
      <x:c r="D1785" s="25" t="str">
        <x:v>fraction</x:v>
      </x:c>
    </x:row>
    <x:row r="1786" ht="18" customHeight="1">
      <x:c r="A1786" s="25" t="str">
        <x:v>EEZ_570</x:v>
      </x:c>
      <x:c r="B1786" s="25" t="str">
        <x:v>taxa_count</x:v>
      </x:c>
      <x:c r="C1786" s="25" t="n">
        <x:v>70</x:v>
      </x:c>
      <x:c r="D1786" s="25" t="str">
        <x:v>count</x:v>
      </x:c>
    </x:row>
    <x:row r="1787" ht="18" customHeight="1">
      <x:c r="A1787" s="25" t="str">
        <x:v>EEZ_570</x:v>
      </x:c>
      <x:c r="B1787" s="25" t="str">
        <x:v>matched_taxa_count</x:v>
      </x:c>
      <x:c r="C1787" s="25" t="n">
        <x:v>70</x:v>
      </x:c>
      <x:c r="D1787" s="25" t="str">
        <x:v>count</x:v>
      </x:c>
    </x:row>
    <x:row r="1788" ht="18" customHeight="1">
      <x:c r="A1788" s="25" t="str">
        <x:v>EEZ_570</x:v>
      </x:c>
      <x:c r="B1788" s="25" t="str">
        <x:v>unmatched_taxa_count</x:v>
      </x:c>
      <x:c r="C1788" s="25" t="n">
        <x:v>0</x:v>
      </x:c>
      <x:c r="D1788" s="25" t="str">
        <x:v>count</x:v>
      </x:c>
    </x:row>
    <x:row r="1789" ht="18" customHeight="1">
      <x:c r="A1789" s="25" t="str">
        <x:v>EEZ_570</x:v>
      </x:c>
      <x:c r="B1789" s="25" t="str">
        <x:v>species_ppr</x:v>
      </x:c>
      <x:c r="C1789" s="25" t="n">
        <x:v>1828455.3453385285</x:v>
      </x:c>
      <x:c r="D1789" s="25" t="str">
        <x:v>tonnes_primary_production_equivalent</x:v>
      </x:c>
    </x:row>
    <x:row r="1790" ht="18" customHeight="1">
      <x:c r="A1790" s="25" t="str">
        <x:v>EEZ_570</x:v>
      </x:c>
      <x:c r="B1790" s="25" t="str">
        <x:v>commercial_ppr</x:v>
      </x:c>
      <x:c r="C1790" s="25" t="n">
        <x:v>1762683.3254188441</x:v>
      </x:c>
      <x:c r="D1790" s="25" t="str">
        <x:v>tonnes_primary_production_equivalent</x:v>
      </x:c>
    </x:row>
    <x:row r="1791" ht="18" customHeight="1">
      <x:c r="A1791" s="25" t="str">
        <x:v>EEZ_570</x:v>
      </x:c>
      <x:c r="B1791" s="25" t="str">
        <x:v>functional_ppr</x:v>
      </x:c>
      <x:c r="C1791" s="25" t="n">
        <x:v>1789147.115883973</x:v>
      </x:c>
      <x:c r="D1791" s="25" t="str">
        <x:v>tonnes_primary_production_equivalent</x:v>
      </x:c>
    </x:row>
    <x:row r="1792" ht="18" customHeight="1">
      <x:c r="A1792" s="25" t="str">
        <x:v>EEZ_570</x:v>
      </x:c>
      <x:c r="B1792" s="25" t="str">
        <x:v>commercial_ppr_difference</x:v>
      </x:c>
      <x:c r="C1792" s="25" t="n">
        <x:v>-65772.01991968439</x:v>
      </x:c>
      <x:c r="D1792" s="25" t="str">
        <x:v>tonnes_primary_production_equivalent</x:v>
      </x:c>
    </x:row>
    <x:row r="1793" ht="18" customHeight="1">
      <x:c r="A1793" s="25" t="str">
        <x:v>EEZ_570</x:v>
      </x:c>
      <x:c r="B1793" s="25" t="str">
        <x:v>functional_ppr_difference</x:v>
      </x:c>
      <x:c r="C1793" s="25" t="n">
        <x:v>-39308.22945455555</x:v>
      </x:c>
      <x:c r="D1793" s="25" t="str">
        <x:v>tonnes_primary_production_equivalent</x:v>
      </x:c>
    </x:row>
    <x:row r="1794" ht="18" customHeight="1">
      <x:c r="A1794" s="25" t="str">
        <x:v>EEZ_574</x:v>
      </x:c>
      <x:c r="B1794" s="25" t="str">
        <x:v>raw_filtered_tonnes</x:v>
      </x:c>
      <x:c r="C1794" s="25" t="n">
        <x:v>17.497812817599996</x:v>
      </x:c>
      <x:c r="D1794" s="25" t="str">
        <x:v>tonnes</x:v>
      </x:c>
    </x:row>
    <x:row r="1795" ht="18" customHeight="1">
      <x:c r="A1795" s="25" t="str">
        <x:v>EEZ_574</x:v>
      </x:c>
      <x:c r="B1795" s="25" t="str">
        <x:v>species_catch_tonnes</x:v>
      </x:c>
      <x:c r="C1795" s="25" t="n">
        <x:v>17.4978128176</x:v>
      </x:c>
      <x:c r="D1795" s="25" t="str">
        <x:v>tonnes</x:v>
      </x:c>
    </x:row>
    <x:row r="1796" ht="18" customHeight="1">
      <x:c r="A1796" s="25" t="str">
        <x:v>EEZ_574</x:v>
      </x:c>
      <x:c r="B1796" s="25" t="str">
        <x:v>catch_difference_tonnes</x:v>
      </x:c>
      <x:c r="C1796" s="25" t="n">
        <x:v>3.552713678800501e-15</x:v>
      </x:c>
      <x:c r="D1796" s="25" t="str">
        <x:v>tonnes</x:v>
      </x:c>
    </x:row>
    <x:row r="1797" ht="18" customHeight="1">
      <x:c r="A1797" s="25" t="str">
        <x:v>EEZ_574</x:v>
      </x:c>
      <x:c r="B1797" s="25" t="str">
        <x:v>catch_reconciled</x:v>
      </x:c>
      <x:c r="C1797" s="36" t="b">
        <x:v>1</x:v>
      </x:c>
      <x:c r="D1797" s="25" t="str">
        <x:v>boolean</x:v>
      </x:c>
    </x:row>
    <x:row r="1798" ht="18" customHeight="1">
      <x:c r="A1798" s="25" t="str">
        <x:v>EEZ_574</x:v>
      </x:c>
      <x:c r="B1798" s="25" t="str">
        <x:v>matched_catch_tonnes</x:v>
      </x:c>
      <x:c r="C1798" s="25" t="n">
        <x:v>17.4978128176</x:v>
      </x:c>
      <x:c r="D1798" s="25" t="str">
        <x:v>tonnes</x:v>
      </x:c>
    </x:row>
    <x:row r="1799" ht="18" customHeight="1">
      <x:c r="A1799" s="25" t="str">
        <x:v>EEZ_574</x:v>
      </x:c>
      <x:c r="B1799" s="25" t="str">
        <x:v>catch_coverage_fraction</x:v>
      </x:c>
      <x:c r="C1799" s="25" t="n">
        <x:v>1</x:v>
      </x:c>
      <x:c r="D1799" s="25" t="str">
        <x:v>fraction</x:v>
      </x:c>
    </x:row>
    <x:row r="1800" ht="18" customHeight="1">
      <x:c r="A1800" s="25" t="str">
        <x:v>EEZ_574</x:v>
      </x:c>
      <x:c r="B1800" s="25" t="str">
        <x:v>taxa_count</x:v>
      </x:c>
      <x:c r="C1800" s="25" t="n">
        <x:v>17</x:v>
      </x:c>
      <x:c r="D1800" s="25" t="str">
        <x:v>count</x:v>
      </x:c>
    </x:row>
    <x:row r="1801" ht="18" customHeight="1">
      <x:c r="A1801" s="25" t="str">
        <x:v>EEZ_574</x:v>
      </x:c>
      <x:c r="B1801" s="25" t="str">
        <x:v>matched_taxa_count</x:v>
      </x:c>
      <x:c r="C1801" s="25" t="n">
        <x:v>17</x:v>
      </x:c>
      <x:c r="D1801" s="25" t="str">
        <x:v>count</x:v>
      </x:c>
    </x:row>
    <x:row r="1802" ht="18" customHeight="1">
      <x:c r="A1802" s="25" t="str">
        <x:v>EEZ_574</x:v>
      </x:c>
      <x:c r="B1802" s="25" t="str">
        <x:v>unmatched_taxa_count</x:v>
      </x:c>
      <x:c r="C1802" s="25" t="n">
        <x:v>0</x:v>
      </x:c>
      <x:c r="D1802" s="25" t="str">
        <x:v>count</x:v>
      </x:c>
    </x:row>
    <x:row r="1803" ht="18" customHeight="1">
      <x:c r="A1803" s="25" t="str">
        <x:v>EEZ_574</x:v>
      </x:c>
      <x:c r="B1803" s="25" t="str">
        <x:v>species_ppr</x:v>
      </x:c>
      <x:c r="C1803" s="25" t="n">
        <x:v>32366.394255930376</x:v>
      </x:c>
      <x:c r="D1803" s="25" t="str">
        <x:v>tonnes_primary_production_equivalent</x:v>
      </x:c>
    </x:row>
    <x:row r="1804" ht="18" customHeight="1">
      <x:c r="A1804" s="25" t="str">
        <x:v>EEZ_574</x:v>
      </x:c>
      <x:c r="B1804" s="25" t="str">
        <x:v>commercial_ppr</x:v>
      </x:c>
      <x:c r="C1804" s="25" t="n">
        <x:v>31042.37927514005</x:v>
      </x:c>
      <x:c r="D1804" s="25" t="str">
        <x:v>tonnes_primary_production_equivalent</x:v>
      </x:c>
    </x:row>
    <x:row r="1805" ht="18" customHeight="1">
      <x:c r="A1805" s="25" t="str">
        <x:v>EEZ_574</x:v>
      </x:c>
      <x:c r="B1805" s="25" t="str">
        <x:v>functional_ppr</x:v>
      </x:c>
      <x:c r="C1805" s="25" t="n">
        <x:v>31081.884719876965</x:v>
      </x:c>
      <x:c r="D1805" s="25" t="str">
        <x:v>tonnes_primary_production_equivalent</x:v>
      </x:c>
    </x:row>
    <x:row r="1806" ht="18" customHeight="1">
      <x:c r="A1806" s="25" t="str">
        <x:v>EEZ_574</x:v>
      </x:c>
      <x:c r="B1806" s="25" t="str">
        <x:v>commercial_ppr_difference</x:v>
      </x:c>
      <x:c r="C1806" s="25" t="n">
        <x:v>-1324.0149807903254</x:v>
      </x:c>
      <x:c r="D1806" s="25" t="str">
        <x:v>tonnes_primary_production_equivalent</x:v>
      </x:c>
    </x:row>
    <x:row r="1807" ht="18" customHeight="1">
      <x:c r="A1807" s="25" t="str">
        <x:v>EEZ_574</x:v>
      </x:c>
      <x:c r="B1807" s="25" t="str">
        <x:v>functional_ppr_difference</x:v>
      </x:c>
      <x:c r="C1807" s="25" t="n">
        <x:v>-1284.5095360534106</x:v>
      </x:c>
      <x:c r="D1807" s="25" t="str">
        <x:v>tonnes_primary_production_equivalent</x:v>
      </x:c>
    </x:row>
    <x:row r="1808" ht="18" customHeight="1">
      <x:c r="A1808" s="25" t="str">
        <x:v>EEZ_578</x:v>
      </x:c>
      <x:c r="B1808" s="25" t="str">
        <x:v>raw_filtered_tonnes</x:v>
      </x:c>
      <x:c r="C1808" s="25" t="n">
        <x:v>1710313.5041625754</x:v>
      </x:c>
      <x:c r="D1808" s="25" t="str">
        <x:v>tonnes</x:v>
      </x:c>
    </x:row>
    <x:row r="1809" ht="18" customHeight="1">
      <x:c r="A1809" s="25" t="str">
        <x:v>EEZ_578</x:v>
      </x:c>
      <x:c r="B1809" s="25" t="str">
        <x:v>species_catch_tonnes</x:v>
      </x:c>
      <x:c r="C1809" s="25" t="n">
        <x:v>1710313.5041625751</x:v>
      </x:c>
      <x:c r="D1809" s="25" t="str">
        <x:v>tonnes</x:v>
      </x:c>
    </x:row>
    <x:row r="1810" ht="18" customHeight="1">
      <x:c r="A1810" s="25" t="str">
        <x:v>EEZ_578</x:v>
      </x:c>
      <x:c r="B1810" s="25" t="str">
        <x:v>catch_difference_tonnes</x:v>
      </x:c>
      <x:c r="C1810" s="25" t="n">
        <x:v>-2.3283064365386963e-10</x:v>
      </x:c>
      <x:c r="D1810" s="25" t="str">
        <x:v>tonnes</x:v>
      </x:c>
    </x:row>
    <x:row r="1811" ht="18" customHeight="1">
      <x:c r="A1811" s="25" t="str">
        <x:v>EEZ_578</x:v>
      </x:c>
      <x:c r="B1811" s="25" t="str">
        <x:v>catch_reconciled</x:v>
      </x:c>
      <x:c r="C1811" s="36" t="b">
        <x:v>1</x:v>
      </x:c>
      <x:c r="D1811" s="25" t="str">
        <x:v>boolean</x:v>
      </x:c>
    </x:row>
    <x:row r="1812" ht="18" customHeight="1">
      <x:c r="A1812" s="25" t="str">
        <x:v>EEZ_578</x:v>
      </x:c>
      <x:c r="B1812" s="25" t="str">
        <x:v>matched_catch_tonnes</x:v>
      </x:c>
      <x:c r="C1812" s="25" t="n">
        <x:v>1710313.5041625751</x:v>
      </x:c>
      <x:c r="D1812" s="25" t="str">
        <x:v>tonnes</x:v>
      </x:c>
    </x:row>
    <x:row r="1813" ht="18" customHeight="1">
      <x:c r="A1813" s="25" t="str">
        <x:v>EEZ_578</x:v>
      </x:c>
      <x:c r="B1813" s="25" t="str">
        <x:v>catch_coverage_fraction</x:v>
      </x:c>
      <x:c r="C1813" s="25" t="n">
        <x:v>1</x:v>
      </x:c>
      <x:c r="D1813" s="25" t="str">
        <x:v>fraction</x:v>
      </x:c>
    </x:row>
    <x:row r="1814" ht="18" customHeight="1">
      <x:c r="A1814" s="25" t="str">
        <x:v>EEZ_578</x:v>
      </x:c>
      <x:c r="B1814" s="25" t="str">
        <x:v>taxa_count</x:v>
      </x:c>
      <x:c r="C1814" s="25" t="n">
        <x:v>222</x:v>
      </x:c>
      <x:c r="D1814" s="25" t="str">
        <x:v>count</x:v>
      </x:c>
    </x:row>
    <x:row r="1815" ht="18" customHeight="1">
      <x:c r="A1815" s="25" t="str">
        <x:v>EEZ_578</x:v>
      </x:c>
      <x:c r="B1815" s="25" t="str">
        <x:v>matched_taxa_count</x:v>
      </x:c>
      <x:c r="C1815" s="25" t="n">
        <x:v>222</x:v>
      </x:c>
      <x:c r="D1815" s="25" t="str">
        <x:v>count</x:v>
      </x:c>
    </x:row>
    <x:row r="1816" ht="18" customHeight="1">
      <x:c r="A1816" s="25" t="str">
        <x:v>EEZ_578</x:v>
      </x:c>
      <x:c r="B1816" s="25" t="str">
        <x:v>unmatched_taxa_count</x:v>
      </x:c>
      <x:c r="C1816" s="25" t="n">
        <x:v>0</x:v>
      </x:c>
      <x:c r="D1816" s="25" t="str">
        <x:v>count</x:v>
      </x:c>
    </x:row>
    <x:row r="1817" ht="18" customHeight="1">
      <x:c r="A1817" s="25" t="str">
        <x:v>EEZ_578</x:v>
      </x:c>
      <x:c r="B1817" s="25" t="str">
        <x:v>species_ppr</x:v>
      </x:c>
      <x:c r="C1817" s="25" t="n">
        <x:v>1486385233.701386</x:v>
      </x:c>
      <x:c r="D1817" s="25" t="str">
        <x:v>tonnes_primary_production_equivalent</x:v>
      </x:c>
    </x:row>
    <x:row r="1818" ht="18" customHeight="1">
      <x:c r="A1818" s="25" t="str">
        <x:v>EEZ_578</x:v>
      </x:c>
      <x:c r="B1818" s="25" t="str">
        <x:v>commercial_ppr</x:v>
      </x:c>
      <x:c r="C1818" s="25" t="n">
        <x:v>1354784615.3936987</x:v>
      </x:c>
      <x:c r="D1818" s="25" t="str">
        <x:v>tonnes_primary_production_equivalent</x:v>
      </x:c>
    </x:row>
    <x:row r="1819" ht="18" customHeight="1">
      <x:c r="A1819" s="25" t="str">
        <x:v>EEZ_578</x:v>
      </x:c>
      <x:c r="B1819" s="25" t="str">
        <x:v>functional_ppr</x:v>
      </x:c>
      <x:c r="C1819" s="25" t="n">
        <x:v>1424436259.700941</x:v>
      </x:c>
      <x:c r="D1819" s="25" t="str">
        <x:v>tonnes_primary_production_equivalent</x:v>
      </x:c>
    </x:row>
    <x:row r="1820" ht="18" customHeight="1">
      <x:c r="A1820" s="25" t="str">
        <x:v>EEZ_578</x:v>
      </x:c>
      <x:c r="B1820" s="25" t="str">
        <x:v>commercial_ppr_difference</x:v>
      </x:c>
      <x:c r="C1820" s="25" t="n">
        <x:v>-131600618.30768728</x:v>
      </x:c>
      <x:c r="D1820" s="25" t="str">
        <x:v>tonnes_primary_production_equivalent</x:v>
      </x:c>
    </x:row>
    <x:row r="1821" ht="18" customHeight="1">
      <x:c r="A1821" s="25" t="str">
        <x:v>EEZ_578</x:v>
      </x:c>
      <x:c r="B1821" s="25" t="str">
        <x:v>functional_ppr_difference</x:v>
      </x:c>
      <x:c r="C1821" s="25" t="n">
        <x:v>-61948974.00044489</x:v>
      </x:c>
      <x:c r="D1821" s="25" t="str">
        <x:v>tonnes_primary_production_equivalent</x:v>
      </x:c>
    </x:row>
    <x:row r="1822" ht="18" customHeight="1">
      <x:c r="A1822" s="25" t="str">
        <x:v>EEZ_579</x:v>
      </x:c>
      <x:c r="B1822" s="25" t="str">
        <x:v>raw_filtered_tonnes</x:v>
      </x:c>
      <x:c r="C1822" s="25" t="n">
        <x:v>534.1534584534</x:v>
      </x:c>
      <x:c r="D1822" s="25" t="str">
        <x:v>tonnes</x:v>
      </x:c>
    </x:row>
    <x:row r="1823" ht="18" customHeight="1">
      <x:c r="A1823" s="25" t="str">
        <x:v>EEZ_579</x:v>
      </x:c>
      <x:c r="B1823" s="25" t="str">
        <x:v>species_catch_tonnes</x:v>
      </x:c>
      <x:c r="C1823" s="25" t="n">
        <x:v>534.1534584534</x:v>
      </x:c>
      <x:c r="D1823" s="25" t="str">
        <x:v>tonnes</x:v>
      </x:c>
    </x:row>
    <x:row r="1824" ht="18" customHeight="1">
      <x:c r="A1824" s="25" t="str">
        <x:v>EEZ_579</x:v>
      </x:c>
      <x:c r="B1824" s="25" t="str">
        <x:v>catch_difference_tonnes</x:v>
      </x:c>
      <x:c r="C1824" s="25" t="n">
        <x:v>0</x:v>
      </x:c>
      <x:c r="D1824" s="25" t="str">
        <x:v>tonnes</x:v>
      </x:c>
    </x:row>
    <x:row r="1825" ht="18" customHeight="1">
      <x:c r="A1825" s="25" t="str">
        <x:v>EEZ_579</x:v>
      </x:c>
      <x:c r="B1825" s="25" t="str">
        <x:v>catch_reconciled</x:v>
      </x:c>
      <x:c r="C1825" s="36" t="b">
        <x:v>1</x:v>
      </x:c>
      <x:c r="D1825" s="25" t="str">
        <x:v>boolean</x:v>
      </x:c>
    </x:row>
    <x:row r="1826" ht="18" customHeight="1">
      <x:c r="A1826" s="25" t="str">
        <x:v>EEZ_579</x:v>
      </x:c>
      <x:c r="B1826" s="25" t="str">
        <x:v>matched_catch_tonnes</x:v>
      </x:c>
      <x:c r="C1826" s="25" t="n">
        <x:v>534.1534584534</x:v>
      </x:c>
      <x:c r="D1826" s="25" t="str">
        <x:v>tonnes</x:v>
      </x:c>
    </x:row>
    <x:row r="1827" ht="18" customHeight="1">
      <x:c r="A1827" s="25" t="str">
        <x:v>EEZ_579</x:v>
      </x:c>
      <x:c r="B1827" s="25" t="str">
        <x:v>catch_coverage_fraction</x:v>
      </x:c>
      <x:c r="C1827" s="25" t="n">
        <x:v>1</x:v>
      </x:c>
      <x:c r="D1827" s="25" t="str">
        <x:v>fraction</x:v>
      </x:c>
    </x:row>
    <x:row r="1828" ht="18" customHeight="1">
      <x:c r="A1828" s="25" t="str">
        <x:v>EEZ_579</x:v>
      </x:c>
      <x:c r="B1828" s="25" t="str">
        <x:v>taxa_count</x:v>
      </x:c>
      <x:c r="C1828" s="25" t="n">
        <x:v>6</x:v>
      </x:c>
      <x:c r="D1828" s="25" t="str">
        <x:v>count</x:v>
      </x:c>
    </x:row>
    <x:row r="1829" ht="18" customHeight="1">
      <x:c r="A1829" s="25" t="str">
        <x:v>EEZ_579</x:v>
      </x:c>
      <x:c r="B1829" s="25" t="str">
        <x:v>matched_taxa_count</x:v>
      </x:c>
      <x:c r="C1829" s="25" t="n">
        <x:v>6</x:v>
      </x:c>
      <x:c r="D1829" s="25" t="str">
        <x:v>count</x:v>
      </x:c>
    </x:row>
    <x:row r="1830" ht="18" customHeight="1">
      <x:c r="A1830" s="25" t="str">
        <x:v>EEZ_579</x:v>
      </x:c>
      <x:c r="B1830" s="25" t="str">
        <x:v>unmatched_taxa_count</x:v>
      </x:c>
      <x:c r="C1830" s="25" t="n">
        <x:v>0</x:v>
      </x:c>
      <x:c r="D1830" s="25" t="str">
        <x:v>count</x:v>
      </x:c>
    </x:row>
    <x:row r="1831" ht="18" customHeight="1">
      <x:c r="A1831" s="25" t="str">
        <x:v>EEZ_579</x:v>
      </x:c>
      <x:c r="B1831" s="25" t="str">
        <x:v>species_ppr</x:v>
      </x:c>
      <x:c r="C1831" s="25" t="n">
        <x:v>433429.22305330844</x:v>
      </x:c>
      <x:c r="D1831" s="25" t="str">
        <x:v>tonnes_primary_production_equivalent</x:v>
      </x:c>
    </x:row>
    <x:row r="1832" ht="18" customHeight="1">
      <x:c r="A1832" s="25" t="str">
        <x:v>EEZ_579</x:v>
      </x:c>
      <x:c r="B1832" s="25" t="str">
        <x:v>commercial_ppr</x:v>
      </x:c>
      <x:c r="C1832" s="25" t="n">
        <x:v>433129.47100038576</x:v>
      </x:c>
      <x:c r="D1832" s="25" t="str">
        <x:v>tonnes_primary_production_equivalent</x:v>
      </x:c>
    </x:row>
    <x:row r="1833" ht="18" customHeight="1">
      <x:c r="A1833" s="25" t="str">
        <x:v>EEZ_579</x:v>
      </x:c>
      <x:c r="B1833" s="25" t="str">
        <x:v>functional_ppr</x:v>
      </x:c>
      <x:c r="C1833" s="25" t="n">
        <x:v>422791.40566658013</x:v>
      </x:c>
      <x:c r="D1833" s="25" t="str">
        <x:v>tonnes_primary_production_equivalent</x:v>
      </x:c>
    </x:row>
    <x:row r="1834" ht="18" customHeight="1">
      <x:c r="A1834" s="25" t="str">
        <x:v>EEZ_579</x:v>
      </x:c>
      <x:c r="B1834" s="25" t="str">
        <x:v>commercial_ppr_difference</x:v>
      </x:c>
      <x:c r="C1834" s="25" t="n">
        <x:v>-299.7520529226749</x:v>
      </x:c>
      <x:c r="D1834" s="25" t="str">
        <x:v>tonnes_primary_production_equivalent</x:v>
      </x:c>
    </x:row>
    <x:row r="1835" ht="18" customHeight="1">
      <x:c r="A1835" s="25" t="str">
        <x:v>EEZ_579</x:v>
      </x:c>
      <x:c r="B1835" s="25" t="str">
        <x:v>functional_ppr_difference</x:v>
      </x:c>
      <x:c r="C1835" s="25" t="n">
        <x:v>-10637.817386728304</x:v>
      </x:c>
      <x:c r="D1835" s="25" t="str">
        <x:v>tonnes_primary_production_equivalent</x:v>
      </x:c>
    </x:row>
    <x:row r="1836" ht="18" customHeight="1">
      <x:c r="A1836" s="25" t="str">
        <x:v>EEZ_580</x:v>
      </x:c>
      <x:c r="B1836" s="25" t="str">
        <x:v>raw_filtered_tonnes</x:v>
      </x:c>
      <x:c r="C1836" s="25" t="n">
        <x:v>498.5314401099</x:v>
      </x:c>
      <x:c r="D1836" s="25" t="str">
        <x:v>tonnes</x:v>
      </x:c>
    </x:row>
    <x:row r="1837" ht="18" customHeight="1">
      <x:c r="A1837" s="25" t="str">
        <x:v>EEZ_580</x:v>
      </x:c>
      <x:c r="B1837" s="25" t="str">
        <x:v>species_catch_tonnes</x:v>
      </x:c>
      <x:c r="C1837" s="25" t="n">
        <x:v>498.5314401099</x:v>
      </x:c>
      <x:c r="D1837" s="25" t="str">
        <x:v>tonnes</x:v>
      </x:c>
    </x:row>
    <x:row r="1838" ht="18" customHeight="1">
      <x:c r="A1838" s="25" t="str">
        <x:v>EEZ_580</x:v>
      </x:c>
      <x:c r="B1838" s="25" t="str">
        <x:v>catch_difference_tonnes</x:v>
      </x:c>
      <x:c r="C1838" s="25" t="n">
        <x:v>0</x:v>
      </x:c>
      <x:c r="D1838" s="25" t="str">
        <x:v>tonnes</x:v>
      </x:c>
    </x:row>
    <x:row r="1839" ht="18" customHeight="1">
      <x:c r="A1839" s="25" t="str">
        <x:v>EEZ_580</x:v>
      </x:c>
      <x:c r="B1839" s="25" t="str">
        <x:v>catch_reconciled</x:v>
      </x:c>
      <x:c r="C1839" s="36" t="b">
        <x:v>1</x:v>
      </x:c>
      <x:c r="D1839" s="25" t="str">
        <x:v>boolean</x:v>
      </x:c>
    </x:row>
    <x:row r="1840" ht="18" customHeight="1">
      <x:c r="A1840" s="25" t="str">
        <x:v>EEZ_580</x:v>
      </x:c>
      <x:c r="B1840" s="25" t="str">
        <x:v>matched_catch_tonnes</x:v>
      </x:c>
      <x:c r="C1840" s="25" t="n">
        <x:v>498.5314401099</x:v>
      </x:c>
      <x:c r="D1840" s="25" t="str">
        <x:v>tonnes</x:v>
      </x:c>
    </x:row>
    <x:row r="1841" ht="18" customHeight="1">
      <x:c r="A1841" s="25" t="str">
        <x:v>EEZ_580</x:v>
      </x:c>
      <x:c r="B1841" s="25" t="str">
        <x:v>catch_coverage_fraction</x:v>
      </x:c>
      <x:c r="C1841" s="25" t="n">
        <x:v>1</x:v>
      </x:c>
      <x:c r="D1841" s="25" t="str">
        <x:v>fraction</x:v>
      </x:c>
    </x:row>
    <x:row r="1842" ht="18" customHeight="1">
      <x:c r="A1842" s="25" t="str">
        <x:v>EEZ_580</x:v>
      </x:c>
      <x:c r="B1842" s="25" t="str">
        <x:v>taxa_count</x:v>
      </x:c>
      <x:c r="C1842" s="25" t="n">
        <x:v>62</x:v>
      </x:c>
      <x:c r="D1842" s="25" t="str">
        <x:v>count</x:v>
      </x:c>
    </x:row>
    <x:row r="1843" ht="18" customHeight="1">
      <x:c r="A1843" s="25" t="str">
        <x:v>EEZ_580</x:v>
      </x:c>
      <x:c r="B1843" s="25" t="str">
        <x:v>matched_taxa_count</x:v>
      </x:c>
      <x:c r="C1843" s="25" t="n">
        <x:v>62</x:v>
      </x:c>
      <x:c r="D1843" s="25" t="str">
        <x:v>count</x:v>
      </x:c>
    </x:row>
    <x:row r="1844" ht="18" customHeight="1">
      <x:c r="A1844" s="25" t="str">
        <x:v>EEZ_580</x:v>
      </x:c>
      <x:c r="B1844" s="25" t="str">
        <x:v>unmatched_taxa_count</x:v>
      </x:c>
      <x:c r="C1844" s="25" t="n">
        <x:v>0</x:v>
      </x:c>
      <x:c r="D1844" s="25" t="str">
        <x:v>count</x:v>
      </x:c>
    </x:row>
    <x:row r="1845" ht="18" customHeight="1">
      <x:c r="A1845" s="25" t="str">
        <x:v>EEZ_580</x:v>
      </x:c>
      <x:c r="B1845" s="25" t="str">
        <x:v>species_ppr</x:v>
      </x:c>
      <x:c r="C1845" s="25" t="n">
        <x:v>1005725.4354424982</x:v>
      </x:c>
      <x:c r="D1845" s="25" t="str">
        <x:v>tonnes_primary_production_equivalent</x:v>
      </x:c>
    </x:row>
    <x:row r="1846" ht="18" customHeight="1">
      <x:c r="A1846" s="25" t="str">
        <x:v>EEZ_580</x:v>
      </x:c>
      <x:c r="B1846" s="25" t="str">
        <x:v>commercial_ppr</x:v>
      </x:c>
      <x:c r="C1846" s="25" t="n">
        <x:v>880955.370346406</x:v>
      </x:c>
      <x:c r="D1846" s="25" t="str">
        <x:v>tonnes_primary_production_equivalent</x:v>
      </x:c>
    </x:row>
    <x:row r="1847" ht="18" customHeight="1">
      <x:c r="A1847" s="25" t="str">
        <x:v>EEZ_580</x:v>
      </x:c>
      <x:c r="B1847" s="25" t="str">
        <x:v>functional_ppr</x:v>
      </x:c>
      <x:c r="C1847" s="25" t="n">
        <x:v>979405.8520027468</x:v>
      </x:c>
      <x:c r="D1847" s="25" t="str">
        <x:v>tonnes_primary_production_equivalent</x:v>
      </x:c>
    </x:row>
    <x:row r="1848" ht="18" customHeight="1">
      <x:c r="A1848" s="25" t="str">
        <x:v>EEZ_580</x:v>
      </x:c>
      <x:c r="B1848" s="25" t="str">
        <x:v>commercial_ppr_difference</x:v>
      </x:c>
      <x:c r="C1848" s="25" t="n">
        <x:v>-124770.06509609218</x:v>
      </x:c>
      <x:c r="D1848" s="25" t="str">
        <x:v>tonnes_primary_production_equivalent</x:v>
      </x:c>
    </x:row>
    <x:row r="1849" ht="18" customHeight="1">
      <x:c r="A1849" s="25" t="str">
        <x:v>EEZ_580</x:v>
      </x:c>
      <x:c r="B1849" s="25" t="str">
        <x:v>functional_ppr_difference</x:v>
      </x:c>
      <x:c r="C1849" s="25" t="n">
        <x:v>-26319.58343975141</x:v>
      </x:c>
      <x:c r="D1849" s="25" t="str">
        <x:v>tonnes_primary_production_equivalent</x:v>
      </x:c>
    </x:row>
    <x:row r="1850" ht="18" customHeight="1">
      <x:c r="A1850" s="25" t="str">
        <x:v>EEZ_583</x:v>
      </x:c>
      <x:c r="B1850" s="25" t="str">
        <x:v>raw_filtered_tonnes</x:v>
      </x:c>
      <x:c r="C1850" s="25" t="n">
        <x:v>227502.489463831</x:v>
      </x:c>
      <x:c r="D1850" s="25" t="str">
        <x:v>tonnes</x:v>
      </x:c>
    </x:row>
    <x:row r="1851" ht="18" customHeight="1">
      <x:c r="A1851" s="25" t="str">
        <x:v>EEZ_583</x:v>
      </x:c>
      <x:c r="B1851" s="25" t="str">
        <x:v>species_catch_tonnes</x:v>
      </x:c>
      <x:c r="C1851" s="25" t="n">
        <x:v>227502.48946383104</x:v>
      </x:c>
      <x:c r="D1851" s="25" t="str">
        <x:v>tonnes</x:v>
      </x:c>
    </x:row>
    <x:row r="1852" ht="18" customHeight="1">
      <x:c r="A1852" s="25" t="str">
        <x:v>EEZ_583</x:v>
      </x:c>
      <x:c r="B1852" s="25" t="str">
        <x:v>catch_difference_tonnes</x:v>
      </x:c>
      <x:c r="C1852" s="25" t="n">
        <x:v>2.9103830456733704e-11</x:v>
      </x:c>
      <x:c r="D1852" s="25" t="str">
        <x:v>tonnes</x:v>
      </x:c>
    </x:row>
    <x:row r="1853" ht="18" customHeight="1">
      <x:c r="A1853" s="25" t="str">
        <x:v>EEZ_583</x:v>
      </x:c>
      <x:c r="B1853" s="25" t="str">
        <x:v>catch_reconciled</x:v>
      </x:c>
      <x:c r="C1853" s="36" t="b">
        <x:v>1</x:v>
      </x:c>
      <x:c r="D1853" s="25" t="str">
        <x:v>boolean</x:v>
      </x:c>
    </x:row>
    <x:row r="1854" ht="18" customHeight="1">
      <x:c r="A1854" s="25" t="str">
        <x:v>EEZ_583</x:v>
      </x:c>
      <x:c r="B1854" s="25" t="str">
        <x:v>matched_catch_tonnes</x:v>
      </x:c>
      <x:c r="C1854" s="25" t="n">
        <x:v>227502.48946383104</x:v>
      </x:c>
      <x:c r="D1854" s="25" t="str">
        <x:v>tonnes</x:v>
      </x:c>
    </x:row>
    <x:row r="1855" ht="18" customHeight="1">
      <x:c r="A1855" s="25" t="str">
        <x:v>EEZ_583</x:v>
      </x:c>
      <x:c r="B1855" s="25" t="str">
        <x:v>catch_coverage_fraction</x:v>
      </x:c>
      <x:c r="C1855" s="25" t="n">
        <x:v>1</x:v>
      </x:c>
      <x:c r="D1855" s="25" t="str">
        <x:v>fraction</x:v>
      </x:c>
    </x:row>
    <x:row r="1856" ht="18" customHeight="1">
      <x:c r="A1856" s="25" t="str">
        <x:v>EEZ_583</x:v>
      </x:c>
      <x:c r="B1856" s="25" t="str">
        <x:v>taxa_count</x:v>
      </x:c>
      <x:c r="C1856" s="25" t="n">
        <x:v>164</x:v>
      </x:c>
      <x:c r="D1856" s="25" t="str">
        <x:v>count</x:v>
      </x:c>
    </x:row>
    <x:row r="1857" ht="18" customHeight="1">
      <x:c r="A1857" s="25" t="str">
        <x:v>EEZ_583</x:v>
      </x:c>
      <x:c r="B1857" s="25" t="str">
        <x:v>matched_taxa_count</x:v>
      </x:c>
      <x:c r="C1857" s="25" t="n">
        <x:v>164</x:v>
      </x:c>
      <x:c r="D1857" s="25" t="str">
        <x:v>count</x:v>
      </x:c>
    </x:row>
    <x:row r="1858" ht="18" customHeight="1">
      <x:c r="A1858" s="25" t="str">
        <x:v>EEZ_583</x:v>
      </x:c>
      <x:c r="B1858" s="25" t="str">
        <x:v>unmatched_taxa_count</x:v>
      </x:c>
      <x:c r="C1858" s="25" t="n">
        <x:v>0</x:v>
      </x:c>
      <x:c r="D1858" s="25" t="str">
        <x:v>count</x:v>
      </x:c>
    </x:row>
    <x:row r="1859" ht="18" customHeight="1">
      <x:c r="A1859" s="25" t="str">
        <x:v>EEZ_583</x:v>
      </x:c>
      <x:c r="B1859" s="25" t="str">
        <x:v>species_ppr</x:v>
      </x:c>
      <x:c r="C1859" s="25" t="n">
        <x:v>577443311.7451106</x:v>
      </x:c>
      <x:c r="D1859" s="25" t="str">
        <x:v>tonnes_primary_production_equivalent</x:v>
      </x:c>
    </x:row>
    <x:row r="1860" ht="18" customHeight="1">
      <x:c r="A1860" s="25" t="str">
        <x:v>EEZ_583</x:v>
      </x:c>
      <x:c r="B1860" s="25" t="str">
        <x:v>commercial_ppr</x:v>
      </x:c>
      <x:c r="C1860" s="25" t="n">
        <x:v>567984832.1488785</x:v>
      </x:c>
      <x:c r="D1860" s="25" t="str">
        <x:v>tonnes_primary_production_equivalent</x:v>
      </x:c>
    </x:row>
    <x:row r="1861" ht="18" customHeight="1">
      <x:c r="A1861" s="25" t="str">
        <x:v>EEZ_583</x:v>
      </x:c>
      <x:c r="B1861" s="25" t="str">
        <x:v>functional_ppr</x:v>
      </x:c>
      <x:c r="C1861" s="25" t="n">
        <x:v>573185243.4129187</x:v>
      </x:c>
      <x:c r="D1861" s="25" t="str">
        <x:v>tonnes_primary_production_equivalent</x:v>
      </x:c>
    </x:row>
    <x:row r="1862" ht="18" customHeight="1">
      <x:c r="A1862" s="25" t="str">
        <x:v>EEZ_583</x:v>
      </x:c>
      <x:c r="B1862" s="25" t="str">
        <x:v>commercial_ppr_difference</x:v>
      </x:c>
      <x:c r="C1862" s="25" t="n">
        <x:v>-9458479.596232176</x:v>
      </x:c>
      <x:c r="D1862" s="25" t="str">
        <x:v>tonnes_primary_production_equivalent</x:v>
      </x:c>
    </x:row>
    <x:row r="1863" ht="18" customHeight="1">
      <x:c r="A1863" s="25" t="str">
        <x:v>EEZ_583</x:v>
      </x:c>
      <x:c r="B1863" s="25" t="str">
        <x:v>functional_ppr_difference</x:v>
      </x:c>
      <x:c r="C1863" s="25" t="n">
        <x:v>-4258068.332191944</x:v>
      </x:c>
      <x:c r="D1863" s="25" t="str">
        <x:v>tonnes_primary_production_equivalent</x:v>
      </x:c>
    </x:row>
    <x:row r="1864" ht="18" customHeight="1">
      <x:c r="A1864" s="25" t="str">
        <x:v>EEZ_584</x:v>
      </x:c>
      <x:c r="B1864" s="25" t="str">
        <x:v>raw_filtered_tonnes</x:v>
      </x:c>
      <x:c r="C1864" s="25" t="n">
        <x:v>56340.9448327468</x:v>
      </x:c>
      <x:c r="D1864" s="25" t="str">
        <x:v>tonnes</x:v>
      </x:c>
    </x:row>
    <x:row r="1865" ht="18" customHeight="1">
      <x:c r="A1865" s="25" t="str">
        <x:v>EEZ_584</x:v>
      </x:c>
      <x:c r="B1865" s="25" t="str">
        <x:v>species_catch_tonnes</x:v>
      </x:c>
      <x:c r="C1865" s="25" t="n">
        <x:v>56340.9448327468</x:v>
      </x:c>
      <x:c r="D1865" s="25" t="str">
        <x:v>tonnes</x:v>
      </x:c>
    </x:row>
    <x:row r="1866" ht="18" customHeight="1">
      <x:c r="A1866" s="25" t="str">
        <x:v>EEZ_584</x:v>
      </x:c>
      <x:c r="B1866" s="25" t="str">
        <x:v>catch_difference_tonnes</x:v>
      </x:c>
      <x:c r="C1866" s="25" t="n">
        <x:v>0</x:v>
      </x:c>
      <x:c r="D1866" s="25" t="str">
        <x:v>tonnes</x:v>
      </x:c>
    </x:row>
    <x:row r="1867" ht="18" customHeight="1">
      <x:c r="A1867" s="25" t="str">
        <x:v>EEZ_584</x:v>
      </x:c>
      <x:c r="B1867" s="25" t="str">
        <x:v>catch_reconciled</x:v>
      </x:c>
      <x:c r="C1867" s="36" t="b">
        <x:v>1</x:v>
      </x:c>
      <x:c r="D1867" s="25" t="str">
        <x:v>boolean</x:v>
      </x:c>
    </x:row>
    <x:row r="1868" ht="18" customHeight="1">
      <x:c r="A1868" s="25" t="str">
        <x:v>EEZ_584</x:v>
      </x:c>
      <x:c r="B1868" s="25" t="str">
        <x:v>matched_catch_tonnes</x:v>
      </x:c>
      <x:c r="C1868" s="25" t="n">
        <x:v>56340.9448327468</x:v>
      </x:c>
      <x:c r="D1868" s="25" t="str">
        <x:v>tonnes</x:v>
      </x:c>
    </x:row>
    <x:row r="1869" ht="18" customHeight="1">
      <x:c r="A1869" s="25" t="str">
        <x:v>EEZ_584</x:v>
      </x:c>
      <x:c r="B1869" s="25" t="str">
        <x:v>catch_coverage_fraction</x:v>
      </x:c>
      <x:c r="C1869" s="25" t="n">
        <x:v>1</x:v>
      </x:c>
      <x:c r="D1869" s="25" t="str">
        <x:v>fraction</x:v>
      </x:c>
    </x:row>
    <x:row r="1870" ht="18" customHeight="1">
      <x:c r="A1870" s="25" t="str">
        <x:v>EEZ_584</x:v>
      </x:c>
      <x:c r="B1870" s="25" t="str">
        <x:v>taxa_count</x:v>
      </x:c>
      <x:c r="C1870" s="25" t="n">
        <x:v>69</x:v>
      </x:c>
      <x:c r="D1870" s="25" t="str">
        <x:v>count</x:v>
      </x:c>
    </x:row>
    <x:row r="1871" ht="18" customHeight="1">
      <x:c r="A1871" s="25" t="str">
        <x:v>EEZ_584</x:v>
      </x:c>
      <x:c r="B1871" s="25" t="str">
        <x:v>matched_taxa_count</x:v>
      </x:c>
      <x:c r="C1871" s="25" t="n">
        <x:v>69</x:v>
      </x:c>
      <x:c r="D1871" s="25" t="str">
        <x:v>count</x:v>
      </x:c>
    </x:row>
    <x:row r="1872" ht="18" customHeight="1">
      <x:c r="A1872" s="25" t="str">
        <x:v>EEZ_584</x:v>
      </x:c>
      <x:c r="B1872" s="25" t="str">
        <x:v>unmatched_taxa_count</x:v>
      </x:c>
      <x:c r="C1872" s="25" t="n">
        <x:v>0</x:v>
      </x:c>
      <x:c r="D1872" s="25" t="str">
        <x:v>count</x:v>
      </x:c>
    </x:row>
    <x:row r="1873" ht="18" customHeight="1">
      <x:c r="A1873" s="25" t="str">
        <x:v>EEZ_584</x:v>
      </x:c>
      <x:c r="B1873" s="25" t="str">
        <x:v>species_ppr</x:v>
      </x:c>
      <x:c r="C1873" s="25" t="n">
        <x:v>133348178.67679022</x:v>
      </x:c>
      <x:c r="D1873" s="25" t="str">
        <x:v>tonnes_primary_production_equivalent</x:v>
      </x:c>
    </x:row>
    <x:row r="1874" ht="18" customHeight="1">
      <x:c r="A1874" s="25" t="str">
        <x:v>EEZ_584</x:v>
      </x:c>
      <x:c r="B1874" s="25" t="str">
        <x:v>commercial_ppr</x:v>
      </x:c>
      <x:c r="C1874" s="25" t="n">
        <x:v>129917071.8692781</x:v>
      </x:c>
      <x:c r="D1874" s="25" t="str">
        <x:v>tonnes_primary_production_equivalent</x:v>
      </x:c>
    </x:row>
    <x:row r="1875" ht="18" customHeight="1">
      <x:c r="A1875" s="25" t="str">
        <x:v>EEZ_584</x:v>
      </x:c>
      <x:c r="B1875" s="25" t="str">
        <x:v>functional_ppr</x:v>
      </x:c>
      <x:c r="C1875" s="25" t="n">
        <x:v>131136867.28438196</x:v>
      </x:c>
      <x:c r="D1875" s="25" t="str">
        <x:v>tonnes_primary_production_equivalent</x:v>
      </x:c>
    </x:row>
    <x:row r="1876" ht="18" customHeight="1">
      <x:c r="A1876" s="25" t="str">
        <x:v>EEZ_584</x:v>
      </x:c>
      <x:c r="B1876" s="25" t="str">
        <x:v>commercial_ppr_difference</x:v>
      </x:c>
      <x:c r="C1876" s="25" t="n">
        <x:v>-3431106.8075121194</x:v>
      </x:c>
      <x:c r="D1876" s="25" t="str">
        <x:v>tonnes_primary_production_equivalent</x:v>
      </x:c>
    </x:row>
    <x:row r="1877" ht="18" customHeight="1">
      <x:c r="A1877" s="25" t="str">
        <x:v>EEZ_584</x:v>
      </x:c>
      <x:c r="B1877" s="25" t="str">
        <x:v>functional_ppr_difference</x:v>
      </x:c>
      <x:c r="C1877" s="25" t="n">
        <x:v>-2211311.3924082667</x:v>
      </x:c>
      <x:c r="D1877" s="25" t="str">
        <x:v>tonnes_primary_production_equivalent</x:v>
      </x:c>
    </x:row>
    <x:row r="1878" ht="18" customHeight="1">
      <x:c r="A1878" s="25" t="str">
        <x:v>EEZ_585</x:v>
      </x:c>
      <x:c r="B1878" s="25" t="str">
        <x:v>raw_filtered_tonnes</x:v>
      </x:c>
      <x:c r="C1878" s="25" t="n">
        <x:v>10527.1220736951</x:v>
      </x:c>
      <x:c r="D1878" s="25" t="str">
        <x:v>tonnes</x:v>
      </x:c>
    </x:row>
    <x:row r="1879" ht="18" customHeight="1">
      <x:c r="A1879" s="25" t="str">
        <x:v>EEZ_585</x:v>
      </x:c>
      <x:c r="B1879" s="25" t="str">
        <x:v>species_catch_tonnes</x:v>
      </x:c>
      <x:c r="C1879" s="25" t="n">
        <x:v>10527.122073695098</x:v>
      </x:c>
      <x:c r="D1879" s="25" t="str">
        <x:v>tonnes</x:v>
      </x:c>
    </x:row>
    <x:row r="1880" ht="18" customHeight="1">
      <x:c r="A1880" s="25" t="str">
        <x:v>EEZ_585</x:v>
      </x:c>
      <x:c r="B1880" s="25" t="str">
        <x:v>catch_difference_tonnes</x:v>
      </x:c>
      <x:c r="C1880" s="25" t="n">
        <x:v>-1.8189894035458565e-12</x:v>
      </x:c>
      <x:c r="D1880" s="25" t="str">
        <x:v>tonnes</x:v>
      </x:c>
    </x:row>
    <x:row r="1881" ht="18" customHeight="1">
      <x:c r="A1881" s="25" t="str">
        <x:v>EEZ_585</x:v>
      </x:c>
      <x:c r="B1881" s="25" t="str">
        <x:v>catch_reconciled</x:v>
      </x:c>
      <x:c r="C1881" s="36" t="b">
        <x:v>1</x:v>
      </x:c>
      <x:c r="D1881" s="25" t="str">
        <x:v>boolean</x:v>
      </x:c>
    </x:row>
    <x:row r="1882" ht="18" customHeight="1">
      <x:c r="A1882" s="25" t="str">
        <x:v>EEZ_585</x:v>
      </x:c>
      <x:c r="B1882" s="25" t="str">
        <x:v>matched_catch_tonnes</x:v>
      </x:c>
      <x:c r="C1882" s="25" t="n">
        <x:v>10527.122073695098</x:v>
      </x:c>
      <x:c r="D1882" s="25" t="str">
        <x:v>tonnes</x:v>
      </x:c>
    </x:row>
    <x:row r="1883" ht="18" customHeight="1">
      <x:c r="A1883" s="25" t="str">
        <x:v>EEZ_585</x:v>
      </x:c>
      <x:c r="B1883" s="25" t="str">
        <x:v>catch_coverage_fraction</x:v>
      </x:c>
      <x:c r="C1883" s="25" t="n">
        <x:v>1</x:v>
      </x:c>
      <x:c r="D1883" s="25" t="str">
        <x:v>fraction</x:v>
      </x:c>
    </x:row>
    <x:row r="1884" ht="18" customHeight="1">
      <x:c r="A1884" s="25" t="str">
        <x:v>EEZ_585</x:v>
      </x:c>
      <x:c r="B1884" s="25" t="str">
        <x:v>taxa_count</x:v>
      </x:c>
      <x:c r="C1884" s="25" t="n">
        <x:v>56</x:v>
      </x:c>
      <x:c r="D1884" s="25" t="str">
        <x:v>count</x:v>
      </x:c>
    </x:row>
    <x:row r="1885" ht="18" customHeight="1">
      <x:c r="A1885" s="25" t="str">
        <x:v>EEZ_585</x:v>
      </x:c>
      <x:c r="B1885" s="25" t="str">
        <x:v>matched_taxa_count</x:v>
      </x:c>
      <x:c r="C1885" s="25" t="n">
        <x:v>56</x:v>
      </x:c>
      <x:c r="D1885" s="25" t="str">
        <x:v>count</x:v>
      </x:c>
    </x:row>
    <x:row r="1886" ht="18" customHeight="1">
      <x:c r="A1886" s="25" t="str">
        <x:v>EEZ_585</x:v>
      </x:c>
      <x:c r="B1886" s="25" t="str">
        <x:v>unmatched_taxa_count</x:v>
      </x:c>
      <x:c r="C1886" s="25" t="n">
        <x:v>0</x:v>
      </x:c>
      <x:c r="D1886" s="25" t="str">
        <x:v>count</x:v>
      </x:c>
    </x:row>
    <x:row r="1887" ht="18" customHeight="1">
      <x:c r="A1887" s="25" t="str">
        <x:v>EEZ_585</x:v>
      </x:c>
      <x:c r="B1887" s="25" t="str">
        <x:v>species_ppr</x:v>
      </x:c>
      <x:c r="C1887" s="25" t="n">
        <x:v>21756489.01330104</x:v>
      </x:c>
      <x:c r="D1887" s="25" t="str">
        <x:v>tonnes_primary_production_equivalent</x:v>
      </x:c>
    </x:row>
    <x:row r="1888" ht="18" customHeight="1">
      <x:c r="A1888" s="25" t="str">
        <x:v>EEZ_585</x:v>
      </x:c>
      <x:c r="B1888" s="25" t="str">
        <x:v>commercial_ppr</x:v>
      </x:c>
      <x:c r="C1888" s="25" t="n">
        <x:v>20459857.100980364</x:v>
      </x:c>
      <x:c r="D1888" s="25" t="str">
        <x:v>tonnes_primary_production_equivalent</x:v>
      </x:c>
    </x:row>
    <x:row r="1889" ht="18" customHeight="1">
      <x:c r="A1889" s="25" t="str">
        <x:v>EEZ_585</x:v>
      </x:c>
      <x:c r="B1889" s="25" t="str">
        <x:v>functional_ppr</x:v>
      </x:c>
      <x:c r="C1889" s="25" t="n">
        <x:v>20847627.440702245</x:v>
      </x:c>
      <x:c r="D1889" s="25" t="str">
        <x:v>tonnes_primary_production_equivalent</x:v>
      </x:c>
    </x:row>
    <x:row r="1890" ht="18" customHeight="1">
      <x:c r="A1890" s="25" t="str">
        <x:v>EEZ_585</x:v>
      </x:c>
      <x:c r="B1890" s="25" t="str">
        <x:v>commercial_ppr_difference</x:v>
      </x:c>
      <x:c r="C1890" s="25" t="n">
        <x:v>-1296631.9123206772</x:v>
      </x:c>
      <x:c r="D1890" s="25" t="str">
        <x:v>tonnes_primary_production_equivalent</x:v>
      </x:c>
    </x:row>
    <x:row r="1891" ht="18" customHeight="1">
      <x:c r="A1891" s="25" t="str">
        <x:v>EEZ_585</x:v>
      </x:c>
      <x:c r="B1891" s="25" t="str">
        <x:v>functional_ppr_difference</x:v>
      </x:c>
      <x:c r="C1891" s="25" t="n">
        <x:v>-908861.5725987963</x:v>
      </x:c>
      <x:c r="D1891" s="25" t="str">
        <x:v>tonnes_primary_production_equivalent</x:v>
      </x:c>
    </x:row>
    <x:row r="1892" ht="18" customHeight="1">
      <x:c r="A1892" s="25" t="str">
        <x:v>EEZ_586</x:v>
      </x:c>
      <x:c r="B1892" s="25" t="str">
        <x:v>raw_filtered_tonnes</x:v>
      </x:c>
      <x:c r="C1892" s="25" t="n">
        <x:v>930340.293158082</x:v>
      </x:c>
      <x:c r="D1892" s="25" t="str">
        <x:v>tonnes</x:v>
      </x:c>
    </x:row>
    <x:row r="1893" ht="18" customHeight="1">
      <x:c r="A1893" s="25" t="str">
        <x:v>EEZ_586</x:v>
      </x:c>
      <x:c r="B1893" s="25" t="str">
        <x:v>species_catch_tonnes</x:v>
      </x:c>
      <x:c r="C1893" s="25" t="n">
        <x:v>930340.2931580818</x:v>
      </x:c>
      <x:c r="D1893" s="25" t="str">
        <x:v>tonnes</x:v>
      </x:c>
    </x:row>
    <x:row r="1894" ht="18" customHeight="1">
      <x:c r="A1894" s="25" t="str">
        <x:v>EEZ_586</x:v>
      </x:c>
      <x:c r="B1894" s="25" t="str">
        <x:v>catch_difference_tonnes</x:v>
      </x:c>
      <x:c r="C1894" s="25" t="n">
        <x:v>-1.1641532182693481e-10</x:v>
      </x:c>
      <x:c r="D1894" s="25" t="str">
        <x:v>tonnes</x:v>
      </x:c>
    </x:row>
    <x:row r="1895" ht="18" customHeight="1">
      <x:c r="A1895" s="25" t="str">
        <x:v>EEZ_586</x:v>
      </x:c>
      <x:c r="B1895" s="25" t="str">
        <x:v>catch_reconciled</x:v>
      </x:c>
      <x:c r="C1895" s="36" t="b">
        <x:v>1</x:v>
      </x:c>
      <x:c r="D1895" s="25" t="str">
        <x:v>boolean</x:v>
      </x:c>
    </x:row>
    <x:row r="1896" ht="18" customHeight="1">
      <x:c r="A1896" s="25" t="str">
        <x:v>EEZ_586</x:v>
      </x:c>
      <x:c r="B1896" s="25" t="str">
        <x:v>matched_catch_tonnes</x:v>
      </x:c>
      <x:c r="C1896" s="25" t="n">
        <x:v>930340.2931580818</x:v>
      </x:c>
      <x:c r="D1896" s="25" t="str">
        <x:v>tonnes</x:v>
      </x:c>
    </x:row>
    <x:row r="1897" ht="18" customHeight="1">
      <x:c r="A1897" s="25" t="str">
        <x:v>EEZ_586</x:v>
      </x:c>
      <x:c r="B1897" s="25" t="str">
        <x:v>catch_coverage_fraction</x:v>
      </x:c>
      <x:c r="C1897" s="25" t="n">
        <x:v>1</x:v>
      </x:c>
      <x:c r="D1897" s="25" t="str">
        <x:v>fraction</x:v>
      </x:c>
    </x:row>
    <x:row r="1898" ht="18" customHeight="1">
      <x:c r="A1898" s="25" t="str">
        <x:v>EEZ_586</x:v>
      </x:c>
      <x:c r="B1898" s="25" t="str">
        <x:v>taxa_count</x:v>
      </x:c>
      <x:c r="C1898" s="25" t="n">
        <x:v>126</x:v>
      </x:c>
      <x:c r="D1898" s="25" t="str">
        <x:v>count</x:v>
      </x:c>
    </x:row>
    <x:row r="1899" ht="18" customHeight="1">
      <x:c r="A1899" s="25" t="str">
        <x:v>EEZ_586</x:v>
      </x:c>
      <x:c r="B1899" s="25" t="str">
        <x:v>matched_taxa_count</x:v>
      </x:c>
      <x:c r="C1899" s="25" t="n">
        <x:v>126</x:v>
      </x:c>
      <x:c r="D1899" s="25" t="str">
        <x:v>count</x:v>
      </x:c>
    </x:row>
    <x:row r="1900" ht="18" customHeight="1">
      <x:c r="A1900" s="25" t="str">
        <x:v>EEZ_586</x:v>
      </x:c>
      <x:c r="B1900" s="25" t="str">
        <x:v>unmatched_taxa_count</x:v>
      </x:c>
      <x:c r="C1900" s="25" t="n">
        <x:v>0</x:v>
      </x:c>
      <x:c r="D1900" s="25" t="str">
        <x:v>count</x:v>
      </x:c>
    </x:row>
    <x:row r="1901" ht="18" customHeight="1">
      <x:c r="A1901" s="25" t="str">
        <x:v>EEZ_586</x:v>
      </x:c>
      <x:c r="B1901" s="25" t="str">
        <x:v>species_ppr</x:v>
      </x:c>
      <x:c r="C1901" s="25" t="n">
        <x:v>790261291.1785368</x:v>
      </x:c>
      <x:c r="D1901" s="25" t="str">
        <x:v>tonnes_primary_production_equivalent</x:v>
      </x:c>
    </x:row>
    <x:row r="1902" ht="18" customHeight="1">
      <x:c r="A1902" s="25" t="str">
        <x:v>EEZ_586</x:v>
      </x:c>
      <x:c r="B1902" s="25" t="str">
        <x:v>commercial_ppr</x:v>
      </x:c>
      <x:c r="C1902" s="25" t="n">
        <x:v>523696541.5776824</x:v>
      </x:c>
      <x:c r="D1902" s="25" t="str">
        <x:v>tonnes_primary_production_equivalent</x:v>
      </x:c>
    </x:row>
    <x:row r="1903" ht="18" customHeight="1">
      <x:c r="A1903" s="25" t="str">
        <x:v>EEZ_586</x:v>
      </x:c>
      <x:c r="B1903" s="25" t="str">
        <x:v>functional_ppr</x:v>
      </x:c>
      <x:c r="C1903" s="25" t="n">
        <x:v>623228915.1263041</x:v>
      </x:c>
      <x:c r="D1903" s="25" t="str">
        <x:v>tonnes_primary_production_equivalent</x:v>
      </x:c>
    </x:row>
    <x:row r="1904" ht="18" customHeight="1">
      <x:c r="A1904" s="25" t="str">
        <x:v>EEZ_586</x:v>
      </x:c>
      <x:c r="B1904" s="25" t="str">
        <x:v>commercial_ppr_difference</x:v>
      </x:c>
      <x:c r="C1904" s="25" t="n">
        <x:v>-266564749.6008544</x:v>
      </x:c>
      <x:c r="D1904" s="25" t="str">
        <x:v>tonnes_primary_production_equivalent</x:v>
      </x:c>
    </x:row>
    <x:row r="1905" ht="18" customHeight="1">
      <x:c r="A1905" s="25" t="str">
        <x:v>EEZ_586</x:v>
      </x:c>
      <x:c r="B1905" s="25" t="str">
        <x:v>functional_ppr_difference</x:v>
      </x:c>
      <x:c r="C1905" s="25" t="n">
        <x:v>-167032376.05223262</x:v>
      </x:c>
      <x:c r="D1905" s="25" t="str">
        <x:v>tonnes_primary_production_equivalent</x:v>
      </x:c>
    </x:row>
    <x:row r="1906" ht="18" customHeight="1">
      <x:c r="A1906" s="25" t="str">
        <x:v>EEZ_598</x:v>
      </x:c>
      <x:c r="B1906" s="25" t="str">
        <x:v>raw_filtered_tonnes</x:v>
      </x:c>
      <x:c r="C1906" s="25" t="n">
        <x:v>536763.5433324722</x:v>
      </x:c>
      <x:c r="D1906" s="25" t="str">
        <x:v>tonnes</x:v>
      </x:c>
    </x:row>
    <x:row r="1907" ht="18" customHeight="1">
      <x:c r="A1907" s="25" t="str">
        <x:v>EEZ_598</x:v>
      </x:c>
      <x:c r="B1907" s="25" t="str">
        <x:v>species_catch_tonnes</x:v>
      </x:c>
      <x:c r="C1907" s="25" t="n">
        <x:v>536763.5433324721</x:v>
      </x:c>
      <x:c r="D1907" s="25" t="str">
        <x:v>tonnes</x:v>
      </x:c>
    </x:row>
    <x:row r="1908" ht="18" customHeight="1">
      <x:c r="A1908" s="25" t="str">
        <x:v>EEZ_598</x:v>
      </x:c>
      <x:c r="B1908" s="25" t="str">
        <x:v>catch_difference_tonnes</x:v>
      </x:c>
      <x:c r="C1908" s="25" t="n">
        <x:v>-1.1641532182693481e-10</x:v>
      </x:c>
      <x:c r="D1908" s="25" t="str">
        <x:v>tonnes</x:v>
      </x:c>
    </x:row>
    <x:row r="1909" ht="18" customHeight="1">
      <x:c r="A1909" s="25" t="str">
        <x:v>EEZ_598</x:v>
      </x:c>
      <x:c r="B1909" s="25" t="str">
        <x:v>catch_reconciled</x:v>
      </x:c>
      <x:c r="C1909" s="36" t="b">
        <x:v>1</x:v>
      </x:c>
      <x:c r="D1909" s="25" t="str">
        <x:v>boolean</x:v>
      </x:c>
    </x:row>
    <x:row r="1910" ht="18" customHeight="1">
      <x:c r="A1910" s="25" t="str">
        <x:v>EEZ_598</x:v>
      </x:c>
      <x:c r="B1910" s="25" t="str">
        <x:v>matched_catch_tonnes</x:v>
      </x:c>
      <x:c r="C1910" s="25" t="n">
        <x:v>536763.5433324721</x:v>
      </x:c>
      <x:c r="D1910" s="25" t="str">
        <x:v>tonnes</x:v>
      </x:c>
    </x:row>
    <x:row r="1911" ht="18" customHeight="1">
      <x:c r="A1911" s="25" t="str">
        <x:v>EEZ_598</x:v>
      </x:c>
      <x:c r="B1911" s="25" t="str">
        <x:v>catch_coverage_fraction</x:v>
      </x:c>
      <x:c r="C1911" s="25" t="n">
        <x:v>1</x:v>
      </x:c>
      <x:c r="D1911" s="25" t="str">
        <x:v>fraction</x:v>
      </x:c>
    </x:row>
    <x:row r="1912" ht="18" customHeight="1">
      <x:c r="A1912" s="25" t="str">
        <x:v>EEZ_598</x:v>
      </x:c>
      <x:c r="B1912" s="25" t="str">
        <x:v>taxa_count</x:v>
      </x:c>
      <x:c r="C1912" s="25" t="n">
        <x:v>55</x:v>
      </x:c>
      <x:c r="D1912" s="25" t="str">
        <x:v>count</x:v>
      </x:c>
    </x:row>
    <x:row r="1913" ht="18" customHeight="1">
      <x:c r="A1913" s="25" t="str">
        <x:v>EEZ_598</x:v>
      </x:c>
      <x:c r="B1913" s="25" t="str">
        <x:v>matched_taxa_count</x:v>
      </x:c>
      <x:c r="C1913" s="25" t="n">
        <x:v>55</x:v>
      </x:c>
      <x:c r="D1913" s="25" t="str">
        <x:v>count</x:v>
      </x:c>
    </x:row>
    <x:row r="1914" ht="18" customHeight="1">
      <x:c r="A1914" s="25" t="str">
        <x:v>EEZ_598</x:v>
      </x:c>
      <x:c r="B1914" s="25" t="str">
        <x:v>unmatched_taxa_count</x:v>
      </x:c>
      <x:c r="C1914" s="25" t="n">
        <x:v>0</x:v>
      </x:c>
      <x:c r="D1914" s="25" t="str">
        <x:v>count</x:v>
      </x:c>
    </x:row>
    <x:row r="1915" ht="18" customHeight="1">
      <x:c r="A1915" s="25" t="str">
        <x:v>EEZ_598</x:v>
      </x:c>
      <x:c r="B1915" s="25" t="str">
        <x:v>species_ppr</x:v>
      </x:c>
      <x:c r="C1915" s="25" t="n">
        <x:v>1304961504.0343719</x:v>
      </x:c>
      <x:c r="D1915" s="25" t="str">
        <x:v>tonnes_primary_production_equivalent</x:v>
      </x:c>
    </x:row>
    <x:row r="1916" ht="18" customHeight="1">
      <x:c r="A1916" s="25" t="str">
        <x:v>EEZ_598</x:v>
      </x:c>
      <x:c r="B1916" s="25" t="str">
        <x:v>commercial_ppr</x:v>
      </x:c>
      <x:c r="C1916" s="25" t="n">
        <x:v>1282035228.7863865</x:v>
      </x:c>
      <x:c r="D1916" s="25" t="str">
        <x:v>tonnes_primary_production_equivalent</x:v>
      </x:c>
    </x:row>
    <x:row r="1917" ht="18" customHeight="1">
      <x:c r="A1917" s="25" t="str">
        <x:v>EEZ_598</x:v>
      </x:c>
      <x:c r="B1917" s="25" t="str">
        <x:v>functional_ppr</x:v>
      </x:c>
      <x:c r="C1917" s="25" t="n">
        <x:v>1295086077.4864874</x:v>
      </x:c>
      <x:c r="D1917" s="25" t="str">
        <x:v>tonnes_primary_production_equivalent</x:v>
      </x:c>
    </x:row>
    <x:row r="1918" ht="18" customHeight="1">
      <x:c r="A1918" s="25" t="str">
        <x:v>EEZ_598</x:v>
      </x:c>
      <x:c r="B1918" s="25" t="str">
        <x:v>commercial_ppr_difference</x:v>
      </x:c>
      <x:c r="C1918" s="25" t="n">
        <x:v>-22926275.247985363</x:v>
      </x:c>
      <x:c r="D1918" s="25" t="str">
        <x:v>tonnes_primary_production_equivalent</x:v>
      </x:c>
    </x:row>
    <x:row r="1919" ht="18" customHeight="1">
      <x:c r="A1919" s="25" t="str">
        <x:v>EEZ_598</x:v>
      </x:c>
      <x:c r="B1919" s="25" t="str">
        <x:v>functional_ppr_difference</x:v>
      </x:c>
      <x:c r="C1919" s="25" t="n">
        <x:v>-9875426.547884464</x:v>
      </x:c>
      <x:c r="D1919" s="25" t="str">
        <x:v>tonnes_primary_production_equivalent</x:v>
      </x:c>
    </x:row>
    <x:row r="1920" ht="18" customHeight="1">
      <x:c r="A1920" s="25" t="str">
        <x:v>EEZ_604</x:v>
      </x:c>
      <x:c r="B1920" s="25" t="str">
        <x:v>raw_filtered_tonnes</x:v>
      </x:c>
      <x:c r="C1920" s="25" t="n">
        <x:v>6008753.148833273</x:v>
      </x:c>
      <x:c r="D1920" s="25" t="str">
        <x:v>tonnes</x:v>
      </x:c>
    </x:row>
    <x:row r="1921" ht="18" customHeight="1">
      <x:c r="A1921" s="25" t="str">
        <x:v>EEZ_604</x:v>
      </x:c>
      <x:c r="B1921" s="25" t="str">
        <x:v>species_catch_tonnes</x:v>
      </x:c>
      <x:c r="C1921" s="25" t="n">
        <x:v>6008753.148833272</x:v>
      </x:c>
      <x:c r="D1921" s="25" t="str">
        <x:v>tonnes</x:v>
      </x:c>
    </x:row>
    <x:row r="1922" ht="18" customHeight="1">
      <x:c r="A1922" s="25" t="str">
        <x:v>EEZ_604</x:v>
      </x:c>
      <x:c r="B1922" s="25" t="str">
        <x:v>catch_difference_tonnes</x:v>
      </x:c>
      <x:c r="C1922" s="25" t="n">
        <x:v>-9.313225746154785e-10</x:v>
      </x:c>
      <x:c r="D1922" s="25" t="str">
        <x:v>tonnes</x:v>
      </x:c>
    </x:row>
    <x:row r="1923" ht="18" customHeight="1">
      <x:c r="A1923" s="25" t="str">
        <x:v>EEZ_604</x:v>
      </x:c>
      <x:c r="B1923" s="25" t="str">
        <x:v>catch_reconciled</x:v>
      </x:c>
      <x:c r="C1923" s="36" t="b">
        <x:v>1</x:v>
      </x:c>
      <x:c r="D1923" s="25" t="str">
        <x:v>boolean</x:v>
      </x:c>
    </x:row>
    <x:row r="1924" ht="18" customHeight="1">
      <x:c r="A1924" s="25" t="str">
        <x:v>EEZ_604</x:v>
      </x:c>
      <x:c r="B1924" s="25" t="str">
        <x:v>matched_catch_tonnes</x:v>
      </x:c>
      <x:c r="C1924" s="25" t="n">
        <x:v>6008753.148833272</x:v>
      </x:c>
      <x:c r="D1924" s="25" t="str">
        <x:v>tonnes</x:v>
      </x:c>
    </x:row>
    <x:row r="1925" ht="18" customHeight="1">
      <x:c r="A1925" s="25" t="str">
        <x:v>EEZ_604</x:v>
      </x:c>
      <x:c r="B1925" s="25" t="str">
        <x:v>catch_coverage_fraction</x:v>
      </x:c>
      <x:c r="C1925" s="25" t="n">
        <x:v>1</x:v>
      </x:c>
      <x:c r="D1925" s="25" t="str">
        <x:v>fraction</x:v>
      </x:c>
    </x:row>
    <x:row r="1926" ht="18" customHeight="1">
      <x:c r="A1926" s="25" t="str">
        <x:v>EEZ_604</x:v>
      </x:c>
      <x:c r="B1926" s="25" t="str">
        <x:v>taxa_count</x:v>
      </x:c>
      <x:c r="C1926" s="25" t="n">
        <x:v>113</x:v>
      </x:c>
      <x:c r="D1926" s="25" t="str">
        <x:v>count</x:v>
      </x:c>
    </x:row>
    <x:row r="1927" ht="18" customHeight="1">
      <x:c r="A1927" s="25" t="str">
        <x:v>EEZ_604</x:v>
      </x:c>
      <x:c r="B1927" s="25" t="str">
        <x:v>matched_taxa_count</x:v>
      </x:c>
      <x:c r="C1927" s="25" t="n">
        <x:v>113</x:v>
      </x:c>
      <x:c r="D1927" s="25" t="str">
        <x:v>count</x:v>
      </x:c>
    </x:row>
    <x:row r="1928" ht="18" customHeight="1">
      <x:c r="A1928" s="25" t="str">
        <x:v>EEZ_604</x:v>
      </x:c>
      <x:c r="B1928" s="25" t="str">
        <x:v>unmatched_taxa_count</x:v>
      </x:c>
      <x:c r="C1928" s="25" t="n">
        <x:v>0</x:v>
      </x:c>
      <x:c r="D1928" s="25" t="str">
        <x:v>count</x:v>
      </x:c>
    </x:row>
    <x:row r="1929" ht="18" customHeight="1">
      <x:c r="A1929" s="25" t="str">
        <x:v>EEZ_604</x:v>
      </x:c>
      <x:c r="B1929" s="25" t="str">
        <x:v>species_ppr</x:v>
      </x:c>
      <x:c r="C1929" s="25" t="n">
        <x:v>2417258362.672758</x:v>
      </x:c>
      <x:c r="D1929" s="25" t="str">
        <x:v>tonnes_primary_production_equivalent</x:v>
      </x:c>
    </x:row>
    <x:row r="1930" ht="18" customHeight="1">
      <x:c r="A1930" s="25" t="str">
        <x:v>EEZ_604</x:v>
      </x:c>
      <x:c r="B1930" s="25" t="str">
        <x:v>commercial_ppr</x:v>
      </x:c>
      <x:c r="C1930" s="25" t="n">
        <x:v>1998384823.2690477</x:v>
      </x:c>
      <x:c r="D1930" s="25" t="str">
        <x:v>tonnes_primary_production_equivalent</x:v>
      </x:c>
    </x:row>
    <x:row r="1931" ht="18" customHeight="1">
      <x:c r="A1931" s="25" t="str">
        <x:v>EEZ_604</x:v>
      </x:c>
      <x:c r="B1931" s="25" t="str">
        <x:v>functional_ppr</x:v>
      </x:c>
      <x:c r="C1931" s="25" t="n">
        <x:v>2113505685.2717364</x:v>
      </x:c>
      <x:c r="D1931" s="25" t="str">
        <x:v>tonnes_primary_production_equivalent</x:v>
      </x:c>
    </x:row>
    <x:row r="1932" ht="18" customHeight="1">
      <x:c r="A1932" s="25" t="str">
        <x:v>EEZ_604</x:v>
      </x:c>
      <x:c r="B1932" s="25" t="str">
        <x:v>commercial_ppr_difference</x:v>
      </x:c>
      <x:c r="C1932" s="25" t="n">
        <x:v>-418873539.40371037</x:v>
      </x:c>
      <x:c r="D1932" s="25" t="str">
        <x:v>tonnes_primary_production_equivalent</x:v>
      </x:c>
    </x:row>
    <x:row r="1933" ht="18" customHeight="1">
      <x:c r="A1933" s="25" t="str">
        <x:v>EEZ_604</x:v>
      </x:c>
      <x:c r="B1933" s="25" t="str">
        <x:v>functional_ppr_difference</x:v>
      </x:c>
      <x:c r="C1933" s="25" t="n">
        <x:v>-303752677.4010217</x:v>
      </x:c>
      <x:c r="D1933" s="25" t="str">
        <x:v>tonnes_primary_production_equivalent</x:v>
      </x:c>
    </x:row>
    <x:row r="1934" ht="18" customHeight="1">
      <x:c r="A1934" s="25" t="str">
        <x:v>EEZ_608</x:v>
      </x:c>
      <x:c r="B1934" s="25" t="str">
        <x:v>raw_filtered_tonnes</x:v>
      </x:c>
      <x:c r="C1934" s="25" t="n">
        <x:v>2152202.0418273807</x:v>
      </x:c>
      <x:c r="D1934" s="25" t="str">
        <x:v>tonnes</x:v>
      </x:c>
    </x:row>
    <x:row r="1935" ht="18" customHeight="1">
      <x:c r="A1935" s="25" t="str">
        <x:v>EEZ_608</x:v>
      </x:c>
      <x:c r="B1935" s="25" t="str">
        <x:v>species_catch_tonnes</x:v>
      </x:c>
      <x:c r="C1935" s="25" t="n">
        <x:v>2152202.04182738</x:v>
      </x:c>
      <x:c r="D1935" s="25" t="str">
        <x:v>tonnes</x:v>
      </x:c>
    </x:row>
    <x:row r="1936" ht="18" customHeight="1">
      <x:c r="A1936" s="25" t="str">
        <x:v>EEZ_608</x:v>
      </x:c>
      <x:c r="B1936" s="25" t="str">
        <x:v>catch_difference_tonnes</x:v>
      </x:c>
      <x:c r="C1936" s="25" t="n">
        <x:v>-4.656612873077393e-10</x:v>
      </x:c>
      <x:c r="D1936" s="25" t="str">
        <x:v>tonnes</x:v>
      </x:c>
    </x:row>
    <x:row r="1937" ht="18" customHeight="1">
      <x:c r="A1937" s="25" t="str">
        <x:v>EEZ_608</x:v>
      </x:c>
      <x:c r="B1937" s="25" t="str">
        <x:v>catch_reconciled</x:v>
      </x:c>
      <x:c r="C1937" s="36" t="b">
        <x:v>1</x:v>
      </x:c>
      <x:c r="D1937" s="25" t="str">
        <x:v>boolean</x:v>
      </x:c>
    </x:row>
    <x:row r="1938" ht="18" customHeight="1">
      <x:c r="A1938" s="25" t="str">
        <x:v>EEZ_608</x:v>
      </x:c>
      <x:c r="B1938" s="25" t="str">
        <x:v>matched_catch_tonnes</x:v>
      </x:c>
      <x:c r="C1938" s="25" t="n">
        <x:v>2152202.04182738</x:v>
      </x:c>
      <x:c r="D1938" s="25" t="str">
        <x:v>tonnes</x:v>
      </x:c>
    </x:row>
    <x:row r="1939" ht="18" customHeight="1">
      <x:c r="A1939" s="25" t="str">
        <x:v>EEZ_608</x:v>
      </x:c>
      <x:c r="B1939" s="25" t="str">
        <x:v>catch_coverage_fraction</x:v>
      </x:c>
      <x:c r="C1939" s="25" t="n">
        <x:v>1</x:v>
      </x:c>
      <x:c r="D1939" s="25" t="str">
        <x:v>fraction</x:v>
      </x:c>
    </x:row>
    <x:row r="1940" ht="18" customHeight="1">
      <x:c r="A1940" s="25" t="str">
        <x:v>EEZ_608</x:v>
      </x:c>
      <x:c r="B1940" s="25" t="str">
        <x:v>taxa_count</x:v>
      </x:c>
      <x:c r="C1940" s="25" t="n">
        <x:v>172</x:v>
      </x:c>
      <x:c r="D1940" s="25" t="str">
        <x:v>count</x:v>
      </x:c>
    </x:row>
    <x:row r="1941" ht="18" customHeight="1">
      <x:c r="A1941" s="25" t="str">
        <x:v>EEZ_608</x:v>
      </x:c>
      <x:c r="B1941" s="25" t="str">
        <x:v>matched_taxa_count</x:v>
      </x:c>
      <x:c r="C1941" s="25" t="n">
        <x:v>172</x:v>
      </x:c>
      <x:c r="D1941" s="25" t="str">
        <x:v>count</x:v>
      </x:c>
    </x:row>
    <x:row r="1942" ht="18" customHeight="1">
      <x:c r="A1942" s="25" t="str">
        <x:v>EEZ_608</x:v>
      </x:c>
      <x:c r="B1942" s="25" t="str">
        <x:v>unmatched_taxa_count</x:v>
      </x:c>
      <x:c r="C1942" s="25" t="n">
        <x:v>0</x:v>
      </x:c>
      <x:c r="D1942" s="25" t="str">
        <x:v>count</x:v>
      </x:c>
    </x:row>
    <x:row r="1943" ht="18" customHeight="1">
      <x:c r="A1943" s="25" t="str">
        <x:v>EEZ_608</x:v>
      </x:c>
      <x:c r="B1943" s="25" t="str">
        <x:v>species_ppr</x:v>
      </x:c>
      <x:c r="C1943" s="25" t="n">
        <x:v>1117733410.478486</x:v>
      </x:c>
      <x:c r="D1943" s="25" t="str">
        <x:v>tonnes_primary_production_equivalent</x:v>
      </x:c>
    </x:row>
    <x:row r="1944" ht="18" customHeight="1">
      <x:c r="A1944" s="25" t="str">
        <x:v>EEZ_608</x:v>
      </x:c>
      <x:c r="B1944" s="25" t="str">
        <x:v>commercial_ppr</x:v>
      </x:c>
      <x:c r="C1944" s="25" t="n">
        <x:v>863818470.0629802</x:v>
      </x:c>
      <x:c r="D1944" s="25" t="str">
        <x:v>tonnes_primary_production_equivalent</x:v>
      </x:c>
    </x:row>
    <x:row r="1945" ht="18" customHeight="1">
      <x:c r="A1945" s="25" t="str">
        <x:v>EEZ_608</x:v>
      </x:c>
      <x:c r="B1945" s="25" t="str">
        <x:v>functional_ppr</x:v>
      </x:c>
      <x:c r="C1945" s="25" t="n">
        <x:v>865862679.5151173</x:v>
      </x:c>
      <x:c r="D1945" s="25" t="str">
        <x:v>tonnes_primary_production_equivalent</x:v>
      </x:c>
    </x:row>
    <x:row r="1946" ht="18" customHeight="1">
      <x:c r="A1946" s="25" t="str">
        <x:v>EEZ_608</x:v>
      </x:c>
      <x:c r="B1946" s="25" t="str">
        <x:v>commercial_ppr_difference</x:v>
      </x:c>
      <x:c r="C1946" s="25" t="n">
        <x:v>-253914940.4155059</x:v>
      </x:c>
      <x:c r="D1946" s="25" t="str">
        <x:v>tonnes_primary_production_equivalent</x:v>
      </x:c>
    </x:row>
    <x:row r="1947" ht="18" customHeight="1">
      <x:c r="A1947" s="25" t="str">
        <x:v>EEZ_608</x:v>
      </x:c>
      <x:c r="B1947" s="25" t="str">
        <x:v>functional_ppr_difference</x:v>
      </x:c>
      <x:c r="C1947" s="25" t="n">
        <x:v>-251870730.96336877</x:v>
      </x:c>
      <x:c r="D1947" s="25" t="str">
        <x:v>tonnes_primary_production_equivalent</x:v>
      </x:c>
    </x:row>
    <x:row r="1948" ht="18" customHeight="1">
      <x:c r="A1948" s="25" t="str">
        <x:v>EEZ_612</x:v>
      </x:c>
      <x:c r="B1948" s="25" t="str">
        <x:v>raw_filtered_tonnes</x:v>
      </x:c>
      <x:c r="C1948" s="25" t="n">
        <x:v>3.000000000000001</x:v>
      </x:c>
      <x:c r="D1948" s="25" t="str">
        <x:v>tonnes</x:v>
      </x:c>
    </x:row>
    <x:row r="1949" ht="18" customHeight="1">
      <x:c r="A1949" s="25" t="str">
        <x:v>EEZ_612</x:v>
      </x:c>
      <x:c r="B1949" s="25" t="str">
        <x:v>species_catch_tonnes</x:v>
      </x:c>
      <x:c r="C1949" s="25" t="n">
        <x:v>3.0000000000000004</x:v>
      </x:c>
      <x:c r="D1949" s="25" t="str">
        <x:v>tonnes</x:v>
      </x:c>
    </x:row>
    <x:row r="1950" ht="18" customHeight="1">
      <x:c r="A1950" s="25" t="str">
        <x:v>EEZ_612</x:v>
      </x:c>
      <x:c r="B1950" s="25" t="str">
        <x:v>catch_difference_tonnes</x:v>
      </x:c>
      <x:c r="C1950" s="25" t="n">
        <x:v>-4.440892098500626e-16</x:v>
      </x:c>
      <x:c r="D1950" s="25" t="str">
        <x:v>tonnes</x:v>
      </x:c>
    </x:row>
    <x:row r="1951" ht="18" customHeight="1">
      <x:c r="A1951" s="25" t="str">
        <x:v>EEZ_612</x:v>
      </x:c>
      <x:c r="B1951" s="25" t="str">
        <x:v>catch_reconciled</x:v>
      </x:c>
      <x:c r="C1951" s="36" t="b">
        <x:v>1</x:v>
      </x:c>
      <x:c r="D1951" s="25" t="str">
        <x:v>boolean</x:v>
      </x:c>
    </x:row>
    <x:row r="1952" ht="18" customHeight="1">
      <x:c r="A1952" s="25" t="str">
        <x:v>EEZ_612</x:v>
      </x:c>
      <x:c r="B1952" s="25" t="str">
        <x:v>matched_catch_tonnes</x:v>
      </x:c>
      <x:c r="C1952" s="25" t="n">
        <x:v>3.0000000000000004</x:v>
      </x:c>
      <x:c r="D1952" s="25" t="str">
        <x:v>tonnes</x:v>
      </x:c>
    </x:row>
    <x:row r="1953" ht="18" customHeight="1">
      <x:c r="A1953" s="25" t="str">
        <x:v>EEZ_612</x:v>
      </x:c>
      <x:c r="B1953" s="25" t="str">
        <x:v>catch_coverage_fraction</x:v>
      </x:c>
      <x:c r="C1953" s="25" t="n">
        <x:v>1</x:v>
      </x:c>
      <x:c r="D1953" s="25" t="str">
        <x:v>fraction</x:v>
      </x:c>
    </x:row>
    <x:row r="1954" ht="18" customHeight="1">
      <x:c r="A1954" s="25" t="str">
        <x:v>EEZ_612</x:v>
      </x:c>
      <x:c r="B1954" s="25" t="str">
        <x:v>taxa_count</x:v>
      </x:c>
      <x:c r="C1954" s="25" t="n">
        <x:v>3</x:v>
      </x:c>
      <x:c r="D1954" s="25" t="str">
        <x:v>count</x:v>
      </x:c>
    </x:row>
    <x:row r="1955" ht="18" customHeight="1">
      <x:c r="A1955" s="25" t="str">
        <x:v>EEZ_612</x:v>
      </x:c>
      <x:c r="B1955" s="25" t="str">
        <x:v>matched_taxa_count</x:v>
      </x:c>
      <x:c r="C1955" s="25" t="n">
        <x:v>3</x:v>
      </x:c>
      <x:c r="D1955" s="25" t="str">
        <x:v>count</x:v>
      </x:c>
    </x:row>
    <x:row r="1956" ht="18" customHeight="1">
      <x:c r="A1956" s="25" t="str">
        <x:v>EEZ_612</x:v>
      </x:c>
      <x:c r="B1956" s="25" t="str">
        <x:v>unmatched_taxa_count</x:v>
      </x:c>
      <x:c r="C1956" s="25" t="n">
        <x:v>0</x:v>
      </x:c>
      <x:c r="D1956" s="25" t="str">
        <x:v>count</x:v>
      </x:c>
    </x:row>
    <x:row r="1957" ht="18" customHeight="1">
      <x:c r="A1957" s="25" t="str">
        <x:v>EEZ_612</x:v>
      </x:c>
      <x:c r="B1957" s="25" t="str">
        <x:v>species_ppr</x:v>
      </x:c>
      <x:c r="C1957" s="25" t="n">
        <x:v>1014.8820128320708</x:v>
      </x:c>
      <x:c r="D1957" s="25" t="str">
        <x:v>tonnes_primary_production_equivalent</x:v>
      </x:c>
    </x:row>
    <x:row r="1958" ht="18" customHeight="1">
      <x:c r="A1958" s="25" t="str">
        <x:v>EEZ_612</x:v>
      </x:c>
      <x:c r="B1958" s="25" t="str">
        <x:v>commercial_ppr</x:v>
      </x:c>
      <x:c r="C1958" s="25" t="n">
        <x:v>977.999850774341</x:v>
      </x:c>
      <x:c r="D1958" s="25" t="str">
        <x:v>tonnes_primary_production_equivalent</x:v>
      </x:c>
    </x:row>
    <x:row r="1959" ht="18" customHeight="1">
      <x:c r="A1959" s="25" t="str">
        <x:v>EEZ_612</x:v>
      </x:c>
      <x:c r="B1959" s="25" t="str">
        <x:v>functional_ppr</x:v>
      </x:c>
      <x:c r="C1959" s="25" t="n">
        <x:v>1014.8820128320714</x:v>
      </x:c>
      <x:c r="D1959" s="25" t="str">
        <x:v>tonnes_primary_production_equivalent</x:v>
      </x:c>
    </x:row>
    <x:row r="1960" ht="18" customHeight="1">
      <x:c r="A1960" s="25" t="str">
        <x:v>EEZ_612</x:v>
      </x:c>
      <x:c r="B1960" s="25" t="str">
        <x:v>commercial_ppr_difference</x:v>
      </x:c>
      <x:c r="C1960" s="25" t="n">
        <x:v>-36.88216205772983</x:v>
      </x:c>
      <x:c r="D1960" s="25" t="str">
        <x:v>tonnes_primary_production_equivalent</x:v>
      </x:c>
    </x:row>
    <x:row r="1961" ht="18" customHeight="1">
      <x:c r="A1961" s="25" t="str">
        <x:v>EEZ_612</x:v>
      </x:c>
      <x:c r="B1961" s="25" t="str">
        <x:v>functional_ppr_difference</x:v>
      </x:c>
      <x:c r="C1961" s="25" t="n">
        <x:v>5.684341886080801e-13</x:v>
      </x:c>
      <x:c r="D1961" s="25" t="str">
        <x:v>tonnes_primary_production_equivalent</x:v>
      </x:c>
    </x:row>
    <x:row r="1962" ht="18" customHeight="1">
      <x:c r="A1962" s="25" t="str">
        <x:v>EEZ_616</x:v>
      </x:c>
      <x:c r="B1962" s="25" t="str">
        <x:v>raw_filtered_tonnes</x:v>
      </x:c>
      <x:c r="C1962" s="25" t="n">
        <x:v>155232.7053557617</x:v>
      </x:c>
      <x:c r="D1962" s="25" t="str">
        <x:v>tonnes</x:v>
      </x:c>
    </x:row>
    <x:row r="1963" ht="18" customHeight="1">
      <x:c r="A1963" s="25" t="str">
        <x:v>EEZ_616</x:v>
      </x:c>
      <x:c r="B1963" s="25" t="str">
        <x:v>species_catch_tonnes</x:v>
      </x:c>
      <x:c r="C1963" s="25" t="n">
        <x:v>155232.70535576172</x:v>
      </x:c>
      <x:c r="D1963" s="25" t="str">
        <x:v>tonnes</x:v>
      </x:c>
    </x:row>
    <x:row r="1964" ht="18" customHeight="1">
      <x:c r="A1964" s="25" t="str">
        <x:v>EEZ_616</x:v>
      </x:c>
      <x:c r="B1964" s="25" t="str">
        <x:v>catch_difference_tonnes</x:v>
      </x:c>
      <x:c r="C1964" s="25" t="n">
        <x:v>2.9103830456733704e-11</x:v>
      </x:c>
      <x:c r="D1964" s="25" t="str">
        <x:v>tonnes</x:v>
      </x:c>
    </x:row>
    <x:row r="1965" ht="18" customHeight="1">
      <x:c r="A1965" s="25" t="str">
        <x:v>EEZ_616</x:v>
      </x:c>
      <x:c r="B1965" s="25" t="str">
        <x:v>catch_reconciled</x:v>
      </x:c>
      <x:c r="C1965" s="36" t="b">
        <x:v>1</x:v>
      </x:c>
      <x:c r="D1965" s="25" t="str">
        <x:v>boolean</x:v>
      </x:c>
    </x:row>
    <x:row r="1966" ht="18" customHeight="1">
      <x:c r="A1966" s="25" t="str">
        <x:v>EEZ_616</x:v>
      </x:c>
      <x:c r="B1966" s="25" t="str">
        <x:v>matched_catch_tonnes</x:v>
      </x:c>
      <x:c r="C1966" s="25" t="n">
        <x:v>155232.70535576172</x:v>
      </x:c>
      <x:c r="D1966" s="25" t="str">
        <x:v>tonnes</x:v>
      </x:c>
    </x:row>
    <x:row r="1967" ht="18" customHeight="1">
      <x:c r="A1967" s="25" t="str">
        <x:v>EEZ_616</x:v>
      </x:c>
      <x:c r="B1967" s="25" t="str">
        <x:v>catch_coverage_fraction</x:v>
      </x:c>
      <x:c r="C1967" s="25" t="n">
        <x:v>1</x:v>
      </x:c>
      <x:c r="D1967" s="25" t="str">
        <x:v>fraction</x:v>
      </x:c>
    </x:row>
    <x:row r="1968" ht="18" customHeight="1">
      <x:c r="A1968" s="25" t="str">
        <x:v>EEZ_616</x:v>
      </x:c>
      <x:c r="B1968" s="25" t="str">
        <x:v>taxa_count</x:v>
      </x:c>
      <x:c r="C1968" s="25" t="n">
        <x:v>56</x:v>
      </x:c>
      <x:c r="D1968" s="25" t="str">
        <x:v>count</x:v>
      </x:c>
    </x:row>
    <x:row r="1969" ht="18" customHeight="1">
      <x:c r="A1969" s="25" t="str">
        <x:v>EEZ_616</x:v>
      </x:c>
      <x:c r="B1969" s="25" t="str">
        <x:v>matched_taxa_count</x:v>
      </x:c>
      <x:c r="C1969" s="25" t="n">
        <x:v>56</x:v>
      </x:c>
      <x:c r="D1969" s="25" t="str">
        <x:v>count</x:v>
      </x:c>
    </x:row>
    <x:row r="1970" ht="18" customHeight="1">
      <x:c r="A1970" s="25" t="str">
        <x:v>EEZ_616</x:v>
      </x:c>
      <x:c r="B1970" s="25" t="str">
        <x:v>unmatched_taxa_count</x:v>
      </x:c>
      <x:c r="C1970" s="25" t="n">
        <x:v>0</x:v>
      </x:c>
      <x:c r="D1970" s="25" t="str">
        <x:v>count</x:v>
      </x:c>
    </x:row>
    <x:row r="1971" ht="18" customHeight="1">
      <x:c r="A1971" s="25" t="str">
        <x:v>EEZ_616</x:v>
      </x:c>
      <x:c r="B1971" s="25" t="str">
        <x:v>species_ppr</x:v>
      </x:c>
      <x:c r="C1971" s="25" t="n">
        <x:v>48709783.74274053</x:v>
      </x:c>
      <x:c r="D1971" s="25" t="str">
        <x:v>tonnes_primary_production_equivalent</x:v>
      </x:c>
    </x:row>
    <x:row r="1972" ht="18" customHeight="1">
      <x:c r="A1972" s="25" t="str">
        <x:v>EEZ_616</x:v>
      </x:c>
      <x:c r="B1972" s="25" t="str">
        <x:v>commercial_ppr</x:v>
      </x:c>
      <x:c r="C1972" s="25" t="n">
        <x:v>44737293.36258347</x:v>
      </x:c>
      <x:c r="D1972" s="25" t="str">
        <x:v>tonnes_primary_production_equivalent</x:v>
      </x:c>
    </x:row>
    <x:row r="1973" ht="18" customHeight="1">
      <x:c r="A1973" s="25" t="str">
        <x:v>EEZ_616</x:v>
      </x:c>
      <x:c r="B1973" s="25" t="str">
        <x:v>functional_ppr</x:v>
      </x:c>
      <x:c r="C1973" s="25" t="n">
        <x:v>44613820.51525869</x:v>
      </x:c>
      <x:c r="D1973" s="25" t="str">
        <x:v>tonnes_primary_production_equivalent</x:v>
      </x:c>
    </x:row>
    <x:row r="1974" ht="18" customHeight="1">
      <x:c r="A1974" s="25" t="str">
        <x:v>EEZ_616</x:v>
      </x:c>
      <x:c r="B1974" s="25" t="str">
        <x:v>commercial_ppr_difference</x:v>
      </x:c>
      <x:c r="C1974" s="25" t="n">
        <x:v>-3972490.3801570535</x:v>
      </x:c>
      <x:c r="D1974" s="25" t="str">
        <x:v>tonnes_primary_production_equivalent</x:v>
      </x:c>
    </x:row>
    <x:row r="1975" ht="18" customHeight="1">
      <x:c r="A1975" s="25" t="str">
        <x:v>EEZ_616</x:v>
      </x:c>
      <x:c r="B1975" s="25" t="str">
        <x:v>functional_ppr_difference</x:v>
      </x:c>
      <x:c r="C1975" s="25" t="n">
        <x:v>-4095963.2274818346</x:v>
      </x:c>
      <x:c r="D1975" s="25" t="str">
        <x:v>tonnes_primary_production_equivalent</x:v>
      </x:c>
    </x:row>
    <x:row r="1976" ht="18" customHeight="1">
      <x:c r="A1976" s="25" t="str">
        <x:v>EEZ_620</x:v>
      </x:c>
      <x:c r="B1976" s="25" t="str">
        <x:v>raw_filtered_tonnes</x:v>
      </x:c>
      <x:c r="C1976" s="25" t="n">
        <x:v>208342.58846173983</x:v>
      </x:c>
      <x:c r="D1976" s="25" t="str">
        <x:v>tonnes</x:v>
      </x:c>
    </x:row>
    <x:row r="1977" ht="18" customHeight="1">
      <x:c r="A1977" s="25" t="str">
        <x:v>EEZ_620</x:v>
      </x:c>
      <x:c r="B1977" s="25" t="str">
        <x:v>species_catch_tonnes</x:v>
      </x:c>
      <x:c r="C1977" s="25" t="n">
        <x:v>208342.58846173977</x:v>
      </x:c>
      <x:c r="D1977" s="25" t="str">
        <x:v>tonnes</x:v>
      </x:c>
    </x:row>
    <x:row r="1978" ht="18" customHeight="1">
      <x:c r="A1978" s="25" t="str">
        <x:v>EEZ_620</x:v>
      </x:c>
      <x:c r="B1978" s="25" t="str">
        <x:v>catch_difference_tonnes</x:v>
      </x:c>
      <x:c r="C1978" s="25" t="n">
        <x:v>-5.820766091346741e-11</x:v>
      </x:c>
      <x:c r="D1978" s="25" t="str">
        <x:v>tonnes</x:v>
      </x:c>
    </x:row>
    <x:row r="1979" ht="18" customHeight="1">
      <x:c r="A1979" s="25" t="str">
        <x:v>EEZ_620</x:v>
      </x:c>
      <x:c r="B1979" s="25" t="str">
        <x:v>catch_reconciled</x:v>
      </x:c>
      <x:c r="C1979" s="36" t="b">
        <x:v>1</x:v>
      </x:c>
      <x:c r="D1979" s="25" t="str">
        <x:v>boolean</x:v>
      </x:c>
    </x:row>
    <x:row r="1980" ht="18" customHeight="1">
      <x:c r="A1980" s="25" t="str">
        <x:v>EEZ_620</x:v>
      </x:c>
      <x:c r="B1980" s="25" t="str">
        <x:v>matched_catch_tonnes</x:v>
      </x:c>
      <x:c r="C1980" s="25" t="n">
        <x:v>208342.58846173977</x:v>
      </x:c>
      <x:c r="D1980" s="25" t="str">
        <x:v>tonnes</x:v>
      </x:c>
    </x:row>
    <x:row r="1981" ht="18" customHeight="1">
      <x:c r="A1981" s="25" t="str">
        <x:v>EEZ_620</x:v>
      </x:c>
      <x:c r="B1981" s="25" t="str">
        <x:v>catch_coverage_fraction</x:v>
      </x:c>
      <x:c r="C1981" s="25" t="n">
        <x:v>1</x:v>
      </x:c>
      <x:c r="D1981" s="25" t="str">
        <x:v>fraction</x:v>
      </x:c>
    </x:row>
    <x:row r="1982" ht="18" customHeight="1">
      <x:c r="A1982" s="25" t="str">
        <x:v>EEZ_620</x:v>
      </x:c>
      <x:c r="B1982" s="25" t="str">
        <x:v>taxa_count</x:v>
      </x:c>
      <x:c r="C1982" s="25" t="n">
        <x:v>254</x:v>
      </x:c>
      <x:c r="D1982" s="25" t="str">
        <x:v>count</x:v>
      </x:c>
    </x:row>
    <x:row r="1983" ht="18" customHeight="1">
      <x:c r="A1983" s="25" t="str">
        <x:v>EEZ_620</x:v>
      </x:c>
      <x:c r="B1983" s="25" t="str">
        <x:v>matched_taxa_count</x:v>
      </x:c>
      <x:c r="C1983" s="25" t="n">
        <x:v>254</x:v>
      </x:c>
      <x:c r="D1983" s="25" t="str">
        <x:v>count</x:v>
      </x:c>
    </x:row>
    <x:row r="1984" ht="18" customHeight="1">
      <x:c r="A1984" s="25" t="str">
        <x:v>EEZ_620</x:v>
      </x:c>
      <x:c r="B1984" s="25" t="str">
        <x:v>unmatched_taxa_count</x:v>
      </x:c>
      <x:c r="C1984" s="25" t="n">
        <x:v>0</x:v>
      </x:c>
      <x:c r="D1984" s="25" t="str">
        <x:v>count</x:v>
      </x:c>
    </x:row>
    <x:row r="1985" ht="18" customHeight="1">
      <x:c r="A1985" s="25" t="str">
        <x:v>EEZ_620</x:v>
      </x:c>
      <x:c r="B1985" s="25" t="str">
        <x:v>species_ppr</x:v>
      </x:c>
      <x:c r="C1985" s="25" t="n">
        <x:v>114209964.99740621</x:v>
      </x:c>
      <x:c r="D1985" s="25" t="str">
        <x:v>tonnes_primary_production_equivalent</x:v>
      </x:c>
    </x:row>
    <x:row r="1986" ht="18" customHeight="1">
      <x:c r="A1986" s="25" t="str">
        <x:v>EEZ_620</x:v>
      </x:c>
      <x:c r="B1986" s="25" t="str">
        <x:v>commercial_ppr</x:v>
      </x:c>
      <x:c r="C1986" s="25" t="n">
        <x:v>91002480.39629517</x:v>
      </x:c>
      <x:c r="D1986" s="25" t="str">
        <x:v>tonnes_primary_production_equivalent</x:v>
      </x:c>
    </x:row>
    <x:row r="1987" ht="18" customHeight="1">
      <x:c r="A1987" s="25" t="str">
        <x:v>EEZ_620</x:v>
      </x:c>
      <x:c r="B1987" s="25" t="str">
        <x:v>functional_ppr</x:v>
      </x:c>
      <x:c r="C1987" s="25" t="n">
        <x:v>100522142.76751196</x:v>
      </x:c>
      <x:c r="D1987" s="25" t="str">
        <x:v>tonnes_primary_production_equivalent</x:v>
      </x:c>
    </x:row>
    <x:row r="1988" ht="18" customHeight="1">
      <x:c r="A1988" s="25" t="str">
        <x:v>EEZ_620</x:v>
      </x:c>
      <x:c r="B1988" s="25" t="str">
        <x:v>commercial_ppr_difference</x:v>
      </x:c>
      <x:c r="C1988" s="25" t="n">
        <x:v>-23207484.60111104</x:v>
      </x:c>
      <x:c r="D1988" s="25" t="str">
        <x:v>tonnes_primary_production_equivalent</x:v>
      </x:c>
    </x:row>
    <x:row r="1989" ht="18" customHeight="1">
      <x:c r="A1989" s="25" t="str">
        <x:v>EEZ_620</x:v>
      </x:c>
      <x:c r="B1989" s="25" t="str">
        <x:v>functional_ppr_difference</x:v>
      </x:c>
      <x:c r="C1989" s="25" t="n">
        <x:v>-13687822.22989425</x:v>
      </x:c>
      <x:c r="D1989" s="25" t="str">
        <x:v>tonnes_primary_production_equivalent</x:v>
      </x:c>
    </x:row>
    <x:row r="1990" ht="18" customHeight="1">
      <x:c r="A1990" s="25" t="str">
        <x:v>EEZ_621</x:v>
      </x:c>
      <x:c r="B1990" s="25" t="str">
        <x:v>raw_filtered_tonnes</x:v>
      </x:c>
      <x:c r="C1990" s="25" t="n">
        <x:v>14928.145180905802</x:v>
      </x:c>
      <x:c r="D1990" s="25" t="str">
        <x:v>tonnes</x:v>
      </x:c>
    </x:row>
    <x:row r="1991" ht="18" customHeight="1">
      <x:c r="A1991" s="25" t="str">
        <x:v>EEZ_621</x:v>
      </x:c>
      <x:c r="B1991" s="25" t="str">
        <x:v>species_catch_tonnes</x:v>
      </x:c>
      <x:c r="C1991" s="25" t="n">
        <x:v>14928.145180905802</x:v>
      </x:c>
      <x:c r="D1991" s="25" t="str">
        <x:v>tonnes</x:v>
      </x:c>
    </x:row>
    <x:row r="1992" ht="18" customHeight="1">
      <x:c r="A1992" s="25" t="str">
        <x:v>EEZ_621</x:v>
      </x:c>
      <x:c r="B1992" s="25" t="str">
        <x:v>catch_difference_tonnes</x:v>
      </x:c>
      <x:c r="C1992" s="25" t="n">
        <x:v>0</x:v>
      </x:c>
      <x:c r="D1992" s="25" t="str">
        <x:v>tonnes</x:v>
      </x:c>
    </x:row>
    <x:row r="1993" ht="18" customHeight="1">
      <x:c r="A1993" s="25" t="str">
        <x:v>EEZ_621</x:v>
      </x:c>
      <x:c r="B1993" s="25" t="str">
        <x:v>catch_reconciled</x:v>
      </x:c>
      <x:c r="C1993" s="36" t="b">
        <x:v>1</x:v>
      </x:c>
      <x:c r="D1993" s="25" t="str">
        <x:v>boolean</x:v>
      </x:c>
    </x:row>
    <x:row r="1994" ht="18" customHeight="1">
      <x:c r="A1994" s="25" t="str">
        <x:v>EEZ_621</x:v>
      </x:c>
      <x:c r="B1994" s="25" t="str">
        <x:v>matched_catch_tonnes</x:v>
      </x:c>
      <x:c r="C1994" s="25" t="n">
        <x:v>14928.145180905802</x:v>
      </x:c>
      <x:c r="D1994" s="25" t="str">
        <x:v>tonnes</x:v>
      </x:c>
    </x:row>
    <x:row r="1995" ht="18" customHeight="1">
      <x:c r="A1995" s="25" t="str">
        <x:v>EEZ_621</x:v>
      </x:c>
      <x:c r="B1995" s="25" t="str">
        <x:v>catch_coverage_fraction</x:v>
      </x:c>
      <x:c r="C1995" s="25" t="n">
        <x:v>1</x:v>
      </x:c>
      <x:c r="D1995" s="25" t="str">
        <x:v>fraction</x:v>
      </x:c>
    </x:row>
    <x:row r="1996" ht="18" customHeight="1">
      <x:c r="A1996" s="25" t="str">
        <x:v>EEZ_621</x:v>
      </x:c>
      <x:c r="B1996" s="25" t="str">
        <x:v>taxa_count</x:v>
      </x:c>
      <x:c r="C1996" s="25" t="n">
        <x:v>98</x:v>
      </x:c>
      <x:c r="D1996" s="25" t="str">
        <x:v>count</x:v>
      </x:c>
    </x:row>
    <x:row r="1997" ht="18" customHeight="1">
      <x:c r="A1997" s="25" t="str">
        <x:v>EEZ_621</x:v>
      </x:c>
      <x:c r="B1997" s="25" t="str">
        <x:v>matched_taxa_count</x:v>
      </x:c>
      <x:c r="C1997" s="25" t="n">
        <x:v>98</x:v>
      </x:c>
      <x:c r="D1997" s="25" t="str">
        <x:v>count</x:v>
      </x:c>
    </x:row>
    <x:row r="1998" ht="18" customHeight="1">
      <x:c r="A1998" s="25" t="str">
        <x:v>EEZ_621</x:v>
      </x:c>
      <x:c r="B1998" s="25" t="str">
        <x:v>unmatched_taxa_count</x:v>
      </x:c>
      <x:c r="C1998" s="25" t="n">
        <x:v>0</x:v>
      </x:c>
      <x:c r="D1998" s="25" t="str">
        <x:v>count</x:v>
      </x:c>
    </x:row>
    <x:row r="1999" ht="18" customHeight="1">
      <x:c r="A1999" s="25" t="str">
        <x:v>EEZ_621</x:v>
      </x:c>
      <x:c r="B1999" s="25" t="str">
        <x:v>species_ppr</x:v>
      </x:c>
      <x:c r="C1999" s="25" t="n">
        <x:v>34811066.00645102</x:v>
      </x:c>
      <x:c r="D1999" s="25" t="str">
        <x:v>tonnes_primary_production_equivalent</x:v>
      </x:c>
    </x:row>
    <x:row r="2000" ht="18" customHeight="1">
      <x:c r="A2000" s="25" t="str">
        <x:v>EEZ_621</x:v>
      </x:c>
      <x:c r="B2000" s="25" t="str">
        <x:v>commercial_ppr</x:v>
      </x:c>
      <x:c r="C2000" s="25" t="n">
        <x:v>32261921.518062312</x:v>
      </x:c>
      <x:c r="D2000" s="25" t="str">
        <x:v>tonnes_primary_production_equivalent</x:v>
      </x:c>
    </x:row>
    <x:row r="2001" ht="18" customHeight="1">
      <x:c r="A2001" s="25" t="str">
        <x:v>EEZ_621</x:v>
      </x:c>
      <x:c r="B2001" s="25" t="str">
        <x:v>functional_ppr</x:v>
      </x:c>
      <x:c r="C2001" s="25" t="n">
        <x:v>34151617.34439845</x:v>
      </x:c>
      <x:c r="D2001" s="25" t="str">
        <x:v>tonnes_primary_production_equivalent</x:v>
      </x:c>
    </x:row>
    <x:row r="2002" ht="18" customHeight="1">
      <x:c r="A2002" s="25" t="str">
        <x:v>EEZ_621</x:v>
      </x:c>
      <x:c r="B2002" s="25" t="str">
        <x:v>commercial_ppr_difference</x:v>
      </x:c>
      <x:c r="C2002" s="25" t="n">
        <x:v>-2549144.488388706</x:v>
      </x:c>
      <x:c r="D2002" s="25" t="str">
        <x:v>tonnes_primary_production_equivalent</x:v>
      </x:c>
    </x:row>
    <x:row r="2003" ht="18" customHeight="1">
      <x:c r="A2003" s="25" t="str">
        <x:v>EEZ_621</x:v>
      </x:c>
      <x:c r="B2003" s="25" t="str">
        <x:v>functional_ppr_difference</x:v>
      </x:c>
      <x:c r="C2003" s="25" t="n">
        <x:v>-659448.6620525718</x:v>
      </x:c>
      <x:c r="D2003" s="25" t="str">
        <x:v>tonnes_primary_production_equivalent</x:v>
      </x:c>
    </x:row>
    <x:row r="2004" ht="18" customHeight="1">
      <x:c r="A2004" s="25" t="str">
        <x:v>EEZ_622</x:v>
      </x:c>
      <x:c r="B2004" s="25" t="str">
        <x:v>raw_filtered_tonnes</x:v>
      </x:c>
      <x:c r="C2004" s="25" t="n">
        <x:v>21195.035296286802</x:v>
      </x:c>
      <x:c r="D2004" s="25" t="str">
        <x:v>tonnes</x:v>
      </x:c>
    </x:row>
    <x:row r="2005" ht="18" customHeight="1">
      <x:c r="A2005" s="25" t="str">
        <x:v>EEZ_622</x:v>
      </x:c>
      <x:c r="B2005" s="25" t="str">
        <x:v>species_catch_tonnes</x:v>
      </x:c>
      <x:c r="C2005" s="25" t="n">
        <x:v>21195.0352962868</x:v>
      </x:c>
      <x:c r="D2005" s="25" t="str">
        <x:v>tonnes</x:v>
      </x:c>
    </x:row>
    <x:row r="2006" ht="18" customHeight="1">
      <x:c r="A2006" s="25" t="str">
        <x:v>EEZ_622</x:v>
      </x:c>
      <x:c r="B2006" s="25" t="str">
        <x:v>catch_difference_tonnes</x:v>
      </x:c>
      <x:c r="C2006" s="25" t="n">
        <x:v>-3.637978807091713e-12</x:v>
      </x:c>
      <x:c r="D2006" s="25" t="str">
        <x:v>tonnes</x:v>
      </x:c>
    </x:row>
    <x:row r="2007" ht="18" customHeight="1">
      <x:c r="A2007" s="25" t="str">
        <x:v>EEZ_622</x:v>
      </x:c>
      <x:c r="B2007" s="25" t="str">
        <x:v>catch_reconciled</x:v>
      </x:c>
      <x:c r="C2007" s="36" t="b">
        <x:v>1</x:v>
      </x:c>
      <x:c r="D2007" s="25" t="str">
        <x:v>boolean</x:v>
      </x:c>
    </x:row>
    <x:row r="2008" ht="18" customHeight="1">
      <x:c r="A2008" s="25" t="str">
        <x:v>EEZ_622</x:v>
      </x:c>
      <x:c r="B2008" s="25" t="str">
        <x:v>matched_catch_tonnes</x:v>
      </x:c>
      <x:c r="C2008" s="25" t="n">
        <x:v>21195.0352962868</x:v>
      </x:c>
      <x:c r="D2008" s="25" t="str">
        <x:v>tonnes</x:v>
      </x:c>
    </x:row>
    <x:row r="2009" ht="18" customHeight="1">
      <x:c r="A2009" s="25" t="str">
        <x:v>EEZ_622</x:v>
      </x:c>
      <x:c r="B2009" s="25" t="str">
        <x:v>catch_coverage_fraction</x:v>
      </x:c>
      <x:c r="C2009" s="25" t="n">
        <x:v>1</x:v>
      </x:c>
      <x:c r="D2009" s="25" t="str">
        <x:v>fraction</x:v>
      </x:c>
    </x:row>
    <x:row r="2010" ht="18" customHeight="1">
      <x:c r="A2010" s="25" t="str">
        <x:v>EEZ_622</x:v>
      </x:c>
      <x:c r="B2010" s="25" t="str">
        <x:v>taxa_count</x:v>
      </x:c>
      <x:c r="C2010" s="25" t="n">
        <x:v>132</x:v>
      </x:c>
      <x:c r="D2010" s="25" t="str">
        <x:v>count</x:v>
      </x:c>
    </x:row>
    <x:row r="2011" ht="18" customHeight="1">
      <x:c r="A2011" s="25" t="str">
        <x:v>EEZ_622</x:v>
      </x:c>
      <x:c r="B2011" s="25" t="str">
        <x:v>matched_taxa_count</x:v>
      </x:c>
      <x:c r="C2011" s="25" t="n">
        <x:v>132</x:v>
      </x:c>
      <x:c r="D2011" s="25" t="str">
        <x:v>count</x:v>
      </x:c>
    </x:row>
    <x:row r="2012" ht="18" customHeight="1">
      <x:c r="A2012" s="25" t="str">
        <x:v>EEZ_622</x:v>
      </x:c>
      <x:c r="B2012" s="25" t="str">
        <x:v>unmatched_taxa_count</x:v>
      </x:c>
      <x:c r="C2012" s="25" t="n">
        <x:v>0</x:v>
      </x:c>
      <x:c r="D2012" s="25" t="str">
        <x:v>count</x:v>
      </x:c>
    </x:row>
    <x:row r="2013" ht="18" customHeight="1">
      <x:c r="A2013" s="25" t="str">
        <x:v>EEZ_622</x:v>
      </x:c>
      <x:c r="B2013" s="25" t="str">
        <x:v>species_ppr</x:v>
      </x:c>
      <x:c r="C2013" s="25" t="n">
        <x:v>27576431.66877207</x:v>
      </x:c>
      <x:c r="D2013" s="25" t="str">
        <x:v>tonnes_primary_production_equivalent</x:v>
      </x:c>
    </x:row>
    <x:row r="2014" ht="18" customHeight="1">
      <x:c r="A2014" s="25" t="str">
        <x:v>EEZ_622</x:v>
      </x:c>
      <x:c r="B2014" s="25" t="str">
        <x:v>commercial_ppr</x:v>
      </x:c>
      <x:c r="C2014" s="25" t="n">
        <x:v>24900064.89058782</x:v>
      </x:c>
      <x:c r="D2014" s="25" t="str">
        <x:v>tonnes_primary_production_equivalent</x:v>
      </x:c>
    </x:row>
    <x:row r="2015" ht="18" customHeight="1">
      <x:c r="A2015" s="25" t="str">
        <x:v>EEZ_622</x:v>
      </x:c>
      <x:c r="B2015" s="25" t="str">
        <x:v>functional_ppr</x:v>
      </x:c>
      <x:c r="C2015" s="25" t="n">
        <x:v>26059454.854341455</x:v>
      </x:c>
      <x:c r="D2015" s="25" t="str">
        <x:v>tonnes_primary_production_equivalent</x:v>
      </x:c>
    </x:row>
    <x:row r="2016" ht="18" customHeight="1">
      <x:c r="A2016" s="25" t="str">
        <x:v>EEZ_622</x:v>
      </x:c>
      <x:c r="B2016" s="25" t="str">
        <x:v>commercial_ppr_difference</x:v>
      </x:c>
      <x:c r="C2016" s="25" t="n">
        <x:v>-2676366.77818425</x:v>
      </x:c>
      <x:c r="D2016" s="25" t="str">
        <x:v>tonnes_primary_production_equivalent</x:v>
      </x:c>
    </x:row>
    <x:row r="2017" ht="18" customHeight="1">
      <x:c r="A2017" s="25" t="str">
        <x:v>EEZ_622</x:v>
      </x:c>
      <x:c r="B2017" s="25" t="str">
        <x:v>functional_ppr_difference</x:v>
      </x:c>
      <x:c r="C2017" s="25" t="n">
        <x:v>-1516976.8144306168</x:v>
      </x:c>
      <x:c r="D2017" s="25" t="str">
        <x:v>tonnes_primary_production_equivalent</x:v>
      </x:c>
    </x:row>
    <x:row r="2018" ht="18" customHeight="1">
      <x:c r="A2018" s="25" t="str">
        <x:v>EEZ_624</x:v>
      </x:c>
      <x:c r="B2018" s="25" t="str">
        <x:v>raw_filtered_tonnes</x:v>
      </x:c>
      <x:c r="C2018" s="25" t="n">
        <x:v>1133937.8605595874</x:v>
      </x:c>
      <x:c r="D2018" s="25" t="str">
        <x:v>tonnes</x:v>
      </x:c>
    </x:row>
    <x:row r="2019" ht="18" customHeight="1">
      <x:c r="A2019" s="25" t="str">
        <x:v>EEZ_624</x:v>
      </x:c>
      <x:c r="B2019" s="25" t="str">
        <x:v>species_catch_tonnes</x:v>
      </x:c>
      <x:c r="C2019" s="25" t="n">
        <x:v>1133937.8605595871</x:v>
      </x:c>
      <x:c r="D2019" s="25" t="str">
        <x:v>tonnes</x:v>
      </x:c>
    </x:row>
    <x:row r="2020" ht="18" customHeight="1">
      <x:c r="A2020" s="25" t="str">
        <x:v>EEZ_624</x:v>
      </x:c>
      <x:c r="B2020" s="25" t="str">
        <x:v>catch_difference_tonnes</x:v>
      </x:c>
      <x:c r="C2020" s="25" t="n">
        <x:v>-2.3283064365386963e-10</x:v>
      </x:c>
      <x:c r="D2020" s="25" t="str">
        <x:v>tonnes</x:v>
      </x:c>
    </x:row>
    <x:row r="2021" ht="18" customHeight="1">
      <x:c r="A2021" s="25" t="str">
        <x:v>EEZ_624</x:v>
      </x:c>
      <x:c r="B2021" s="25" t="str">
        <x:v>catch_reconciled</x:v>
      </x:c>
      <x:c r="C2021" s="36" t="b">
        <x:v>1</x:v>
      </x:c>
      <x:c r="D2021" s="25" t="str">
        <x:v>boolean</x:v>
      </x:c>
    </x:row>
    <x:row r="2022" ht="18" customHeight="1">
      <x:c r="A2022" s="25" t="str">
        <x:v>EEZ_624</x:v>
      </x:c>
      <x:c r="B2022" s="25" t="str">
        <x:v>matched_catch_tonnes</x:v>
      </x:c>
      <x:c r="C2022" s="25" t="n">
        <x:v>1133937.8605595871</x:v>
      </x:c>
      <x:c r="D2022" s="25" t="str">
        <x:v>tonnes</x:v>
      </x:c>
    </x:row>
    <x:row r="2023" ht="18" customHeight="1">
      <x:c r="A2023" s="25" t="str">
        <x:v>EEZ_624</x:v>
      </x:c>
      <x:c r="B2023" s="25" t="str">
        <x:v>catch_coverage_fraction</x:v>
      </x:c>
      <x:c r="C2023" s="25" t="n">
        <x:v>1</x:v>
      </x:c>
      <x:c r="D2023" s="25" t="str">
        <x:v>fraction</x:v>
      </x:c>
    </x:row>
    <x:row r="2024" ht="18" customHeight="1">
      <x:c r="A2024" s="25" t="str">
        <x:v>EEZ_624</x:v>
      </x:c>
      <x:c r="B2024" s="25" t="str">
        <x:v>taxa_count</x:v>
      </x:c>
      <x:c r="C2024" s="25" t="n">
        <x:v>229</x:v>
      </x:c>
      <x:c r="D2024" s="25" t="str">
        <x:v>count</x:v>
      </x:c>
    </x:row>
    <x:row r="2025" ht="18" customHeight="1">
      <x:c r="A2025" s="25" t="str">
        <x:v>EEZ_624</x:v>
      </x:c>
      <x:c r="B2025" s="25" t="str">
        <x:v>matched_taxa_count</x:v>
      </x:c>
      <x:c r="C2025" s="25" t="n">
        <x:v>229</x:v>
      </x:c>
      <x:c r="D2025" s="25" t="str">
        <x:v>count</x:v>
      </x:c>
    </x:row>
    <x:row r="2026" ht="18" customHeight="1">
      <x:c r="A2026" s="25" t="str">
        <x:v>EEZ_624</x:v>
      </x:c>
      <x:c r="B2026" s="25" t="str">
        <x:v>unmatched_taxa_count</x:v>
      </x:c>
      <x:c r="C2026" s="25" t="n">
        <x:v>0</x:v>
      </x:c>
      <x:c r="D2026" s="25" t="str">
        <x:v>count</x:v>
      </x:c>
    </x:row>
    <x:row r="2027" ht="18" customHeight="1">
      <x:c r="A2027" s="25" t="str">
        <x:v>EEZ_624</x:v>
      </x:c>
      <x:c r="B2027" s="25" t="str">
        <x:v>species_ppr</x:v>
      </x:c>
      <x:c r="C2027" s="25" t="n">
        <x:v>583910166.0894275</x:v>
      </x:c>
      <x:c r="D2027" s="25" t="str">
        <x:v>tonnes_primary_production_equivalent</x:v>
      </x:c>
    </x:row>
    <x:row r="2028" ht="18" customHeight="1">
      <x:c r="A2028" s="25" t="str">
        <x:v>EEZ_624</x:v>
      </x:c>
      <x:c r="B2028" s="25" t="str">
        <x:v>commercial_ppr</x:v>
      </x:c>
      <x:c r="C2028" s="25" t="n">
        <x:v>433763263.03919053</x:v>
      </x:c>
      <x:c r="D2028" s="25" t="str">
        <x:v>tonnes_primary_production_equivalent</x:v>
      </x:c>
    </x:row>
    <x:row r="2029" ht="18" customHeight="1">
      <x:c r="A2029" s="25" t="str">
        <x:v>EEZ_624</x:v>
      </x:c>
      <x:c r="B2029" s="25" t="str">
        <x:v>functional_ppr</x:v>
      </x:c>
      <x:c r="C2029" s="25" t="n">
        <x:v>516189062.1832388</x:v>
      </x:c>
      <x:c r="D2029" s="25" t="str">
        <x:v>tonnes_primary_production_equivalent</x:v>
      </x:c>
    </x:row>
    <x:row r="2030" ht="18" customHeight="1">
      <x:c r="A2030" s="25" t="str">
        <x:v>EEZ_624</x:v>
      </x:c>
      <x:c r="B2030" s="25" t="str">
        <x:v>commercial_ppr_difference</x:v>
      </x:c>
      <x:c r="C2030" s="25" t="n">
        <x:v>-150146903.05023694</x:v>
      </x:c>
      <x:c r="D2030" s="25" t="str">
        <x:v>tonnes_primary_production_equivalent</x:v>
      </x:c>
    </x:row>
    <x:row r="2031" ht="18" customHeight="1">
      <x:c r="A2031" s="25" t="str">
        <x:v>EEZ_624</x:v>
      </x:c>
      <x:c r="B2031" s="25" t="str">
        <x:v>functional_ppr_difference</x:v>
      </x:c>
      <x:c r="C2031" s="25" t="n">
        <x:v>-67721103.90618867</x:v>
      </x:c>
      <x:c r="D2031" s="25" t="str">
        <x:v>tonnes_primary_production_equivalent</x:v>
      </x:c>
    </x:row>
    <x:row r="2032" ht="18" customHeight="1">
      <x:c r="A2032" s="25" t="str">
        <x:v>EEZ_626</x:v>
      </x:c>
      <x:c r="B2032" s="25" t="str">
        <x:v>raw_filtered_tonnes</x:v>
      </x:c>
      <x:c r="C2032" s="25" t="n">
        <x:v>6740.440535282099</x:v>
      </x:c>
      <x:c r="D2032" s="25" t="str">
        <x:v>tonnes</x:v>
      </x:c>
    </x:row>
    <x:row r="2033" ht="18" customHeight="1">
      <x:c r="A2033" s="25" t="str">
        <x:v>EEZ_626</x:v>
      </x:c>
      <x:c r="B2033" s="25" t="str">
        <x:v>species_catch_tonnes</x:v>
      </x:c>
      <x:c r="C2033" s="25" t="n">
        <x:v>6740.4405352820995</x:v>
      </x:c>
      <x:c r="D2033" s="25" t="str">
        <x:v>tonnes</x:v>
      </x:c>
    </x:row>
    <x:row r="2034" ht="18" customHeight="1">
      <x:c r="A2034" s="25" t="str">
        <x:v>EEZ_626</x:v>
      </x:c>
      <x:c r="B2034" s="25" t="str">
        <x:v>catch_difference_tonnes</x:v>
      </x:c>
      <x:c r="C2034" s="25" t="n">
        <x:v>9.094947017729282e-13</x:v>
      </x:c>
      <x:c r="D2034" s="25" t="str">
        <x:v>tonnes</x:v>
      </x:c>
    </x:row>
    <x:row r="2035" ht="18" customHeight="1">
      <x:c r="A2035" s="25" t="str">
        <x:v>EEZ_626</x:v>
      </x:c>
      <x:c r="B2035" s="25" t="str">
        <x:v>catch_reconciled</x:v>
      </x:c>
      <x:c r="C2035" s="36" t="b">
        <x:v>1</x:v>
      </x:c>
      <x:c r="D2035" s="25" t="str">
        <x:v>boolean</x:v>
      </x:c>
    </x:row>
    <x:row r="2036" ht="18" customHeight="1">
      <x:c r="A2036" s="25" t="str">
        <x:v>EEZ_626</x:v>
      </x:c>
      <x:c r="B2036" s="25" t="str">
        <x:v>matched_catch_tonnes</x:v>
      </x:c>
      <x:c r="C2036" s="25" t="n">
        <x:v>6740.4405352820995</x:v>
      </x:c>
      <x:c r="D2036" s="25" t="str">
        <x:v>tonnes</x:v>
      </x:c>
    </x:row>
    <x:row r="2037" ht="18" customHeight="1">
      <x:c r="A2037" s="25" t="str">
        <x:v>EEZ_626</x:v>
      </x:c>
      <x:c r="B2037" s="25" t="str">
        <x:v>catch_coverage_fraction</x:v>
      </x:c>
      <x:c r="C2037" s="25" t="n">
        <x:v>1</x:v>
      </x:c>
      <x:c r="D2037" s="25" t="str">
        <x:v>fraction</x:v>
      </x:c>
    </x:row>
    <x:row r="2038" ht="18" customHeight="1">
      <x:c r="A2038" s="25" t="str">
        <x:v>EEZ_626</x:v>
      </x:c>
      <x:c r="B2038" s="25" t="str">
        <x:v>taxa_count</x:v>
      </x:c>
      <x:c r="C2038" s="25" t="n">
        <x:v>28</x:v>
      </x:c>
      <x:c r="D2038" s="25" t="str">
        <x:v>count</x:v>
      </x:c>
    </x:row>
    <x:row r="2039" ht="18" customHeight="1">
      <x:c r="A2039" s="25" t="str">
        <x:v>EEZ_626</x:v>
      </x:c>
      <x:c r="B2039" s="25" t="str">
        <x:v>matched_taxa_count</x:v>
      </x:c>
      <x:c r="C2039" s="25" t="n">
        <x:v>28</x:v>
      </x:c>
      <x:c r="D2039" s="25" t="str">
        <x:v>count</x:v>
      </x:c>
    </x:row>
    <x:row r="2040" ht="18" customHeight="1">
      <x:c r="A2040" s="25" t="str">
        <x:v>EEZ_626</x:v>
      </x:c>
      <x:c r="B2040" s="25" t="str">
        <x:v>unmatched_taxa_count</x:v>
      </x:c>
      <x:c r="C2040" s="25" t="n">
        <x:v>0</x:v>
      </x:c>
      <x:c r="D2040" s="25" t="str">
        <x:v>count</x:v>
      </x:c>
    </x:row>
    <x:row r="2041" ht="18" customHeight="1">
      <x:c r="A2041" s="25" t="str">
        <x:v>EEZ_626</x:v>
      </x:c>
      <x:c r="B2041" s="25" t="str">
        <x:v>species_ppr</x:v>
      </x:c>
      <x:c r="C2041" s="25" t="n">
        <x:v>7104836.656840956</x:v>
      </x:c>
      <x:c r="D2041" s="25" t="str">
        <x:v>tonnes_primary_production_equivalent</x:v>
      </x:c>
    </x:row>
    <x:row r="2042" ht="18" customHeight="1">
      <x:c r="A2042" s="25" t="str">
        <x:v>EEZ_626</x:v>
      </x:c>
      <x:c r="B2042" s="25" t="str">
        <x:v>commercial_ppr</x:v>
      </x:c>
      <x:c r="C2042" s="25" t="n">
        <x:v>5825364.341053546</x:v>
      </x:c>
      <x:c r="D2042" s="25" t="str">
        <x:v>tonnes_primary_production_equivalent</x:v>
      </x:c>
    </x:row>
    <x:row r="2043" ht="18" customHeight="1">
      <x:c r="A2043" s="25" t="str">
        <x:v>EEZ_626</x:v>
      </x:c>
      <x:c r="B2043" s="25" t="str">
        <x:v>functional_ppr</x:v>
      </x:c>
      <x:c r="C2043" s="25" t="n">
        <x:v>6128911.235511971</x:v>
      </x:c>
      <x:c r="D2043" s="25" t="str">
        <x:v>tonnes_primary_production_equivalent</x:v>
      </x:c>
    </x:row>
    <x:row r="2044" ht="18" customHeight="1">
      <x:c r="A2044" s="25" t="str">
        <x:v>EEZ_626</x:v>
      </x:c>
      <x:c r="B2044" s="25" t="str">
        <x:v>commercial_ppr_difference</x:v>
      </x:c>
      <x:c r="C2044" s="25" t="n">
        <x:v>-1279472.3157874094</x:v>
      </x:c>
      <x:c r="D2044" s="25" t="str">
        <x:v>tonnes_primary_production_equivalent</x:v>
      </x:c>
    </x:row>
    <x:row r="2045" ht="18" customHeight="1">
      <x:c r="A2045" s="25" t="str">
        <x:v>EEZ_626</x:v>
      </x:c>
      <x:c r="B2045" s="25" t="str">
        <x:v>functional_ppr_difference</x:v>
      </x:c>
      <x:c r="C2045" s="25" t="n">
        <x:v>-975925.4213289851</x:v>
      </x:c>
      <x:c r="D2045" s="25" t="str">
        <x:v>tonnes_primary_production_equivalent</x:v>
      </x:c>
    </x:row>
    <x:row r="2046" ht="18" customHeight="1">
      <x:c r="A2046" s="25" t="str">
        <x:v>EEZ_630</x:v>
      </x:c>
      <x:c r="B2046" s="25" t="str">
        <x:v>raw_filtered_tonnes</x:v>
      </x:c>
      <x:c r="C2046" s="25" t="n">
        <x:v>1866.1053035135</x:v>
      </x:c>
      <x:c r="D2046" s="25" t="str">
        <x:v>tonnes</x:v>
      </x:c>
    </x:row>
    <x:row r="2047" ht="18" customHeight="1">
      <x:c r="A2047" s="25" t="str">
        <x:v>EEZ_630</x:v>
      </x:c>
      <x:c r="B2047" s="25" t="str">
        <x:v>species_catch_tonnes</x:v>
      </x:c>
      <x:c r="C2047" s="25" t="n">
        <x:v>1866.1053035134998</x:v>
      </x:c>
      <x:c r="D2047" s="25" t="str">
        <x:v>tonnes</x:v>
      </x:c>
    </x:row>
    <x:row r="2048" ht="18" customHeight="1">
      <x:c r="A2048" s="25" t="str">
        <x:v>EEZ_630</x:v>
      </x:c>
      <x:c r="B2048" s="25" t="str">
        <x:v>catch_difference_tonnes</x:v>
      </x:c>
      <x:c r="C2048" s="25" t="n">
        <x:v>-2.2737367544323206e-13</x:v>
      </x:c>
      <x:c r="D2048" s="25" t="str">
        <x:v>tonnes</x:v>
      </x:c>
    </x:row>
    <x:row r="2049" ht="18" customHeight="1">
      <x:c r="A2049" s="25" t="str">
        <x:v>EEZ_630</x:v>
      </x:c>
      <x:c r="B2049" s="25" t="str">
        <x:v>catch_reconciled</x:v>
      </x:c>
      <x:c r="C2049" s="36" t="b">
        <x:v>1</x:v>
      </x:c>
      <x:c r="D2049" s="25" t="str">
        <x:v>boolean</x:v>
      </x:c>
    </x:row>
    <x:row r="2050" ht="18" customHeight="1">
      <x:c r="A2050" s="25" t="str">
        <x:v>EEZ_630</x:v>
      </x:c>
      <x:c r="B2050" s="25" t="str">
        <x:v>matched_catch_tonnes</x:v>
      </x:c>
      <x:c r="C2050" s="25" t="n">
        <x:v>1866.1053035134998</x:v>
      </x:c>
      <x:c r="D2050" s="25" t="str">
        <x:v>tonnes</x:v>
      </x:c>
    </x:row>
    <x:row r="2051" ht="18" customHeight="1">
      <x:c r="A2051" s="25" t="str">
        <x:v>EEZ_630</x:v>
      </x:c>
      <x:c r="B2051" s="25" t="str">
        <x:v>catch_coverage_fraction</x:v>
      </x:c>
      <x:c r="C2051" s="25" t="n">
        <x:v>1</x:v>
      </x:c>
      <x:c r="D2051" s="25" t="str">
        <x:v>fraction</x:v>
      </x:c>
    </x:row>
    <x:row r="2052" ht="18" customHeight="1">
      <x:c r="A2052" s="25" t="str">
        <x:v>EEZ_630</x:v>
      </x:c>
      <x:c r="B2052" s="25" t="str">
        <x:v>taxa_count</x:v>
      </x:c>
      <x:c r="C2052" s="25" t="n">
        <x:v>36</x:v>
      </x:c>
      <x:c r="D2052" s="25" t="str">
        <x:v>count</x:v>
      </x:c>
    </x:row>
    <x:row r="2053" ht="18" customHeight="1">
      <x:c r="A2053" s="25" t="str">
        <x:v>EEZ_630</x:v>
      </x:c>
      <x:c r="B2053" s="25" t="str">
        <x:v>matched_taxa_count</x:v>
      </x:c>
      <x:c r="C2053" s="25" t="n">
        <x:v>36</x:v>
      </x:c>
      <x:c r="D2053" s="25" t="str">
        <x:v>count</x:v>
      </x:c>
    </x:row>
    <x:row r="2054" ht="18" customHeight="1">
      <x:c r="A2054" s="25" t="str">
        <x:v>EEZ_630</x:v>
      </x:c>
      <x:c r="B2054" s="25" t="str">
        <x:v>unmatched_taxa_count</x:v>
      </x:c>
      <x:c r="C2054" s="25" t="n">
        <x:v>0</x:v>
      </x:c>
      <x:c r="D2054" s="25" t="str">
        <x:v>count</x:v>
      </x:c>
    </x:row>
    <x:row r="2055" ht="18" customHeight="1">
      <x:c r="A2055" s="25" t="str">
        <x:v>EEZ_630</x:v>
      </x:c>
      <x:c r="B2055" s="25" t="str">
        <x:v>species_ppr</x:v>
      </x:c>
      <x:c r="C2055" s="25" t="n">
        <x:v>1514296.9073134165</x:v>
      </x:c>
      <x:c r="D2055" s="25" t="str">
        <x:v>tonnes_primary_production_equivalent</x:v>
      </x:c>
    </x:row>
    <x:row r="2056" ht="18" customHeight="1">
      <x:c r="A2056" s="25" t="str">
        <x:v>EEZ_630</x:v>
      </x:c>
      <x:c r="B2056" s="25" t="str">
        <x:v>commercial_ppr</x:v>
      </x:c>
      <x:c r="C2056" s="25" t="n">
        <x:v>1278081.2516040145</x:v>
      </x:c>
      <x:c r="D2056" s="25" t="str">
        <x:v>tonnes_primary_production_equivalent</x:v>
      </x:c>
    </x:row>
    <x:row r="2057" ht="18" customHeight="1">
      <x:c r="A2057" s="25" t="str">
        <x:v>EEZ_630</x:v>
      </x:c>
      <x:c r="B2057" s="25" t="str">
        <x:v>functional_ppr</x:v>
      </x:c>
      <x:c r="C2057" s="25" t="n">
        <x:v>1446815.3783786865</x:v>
      </x:c>
      <x:c r="D2057" s="25" t="str">
        <x:v>tonnes_primary_production_equivalent</x:v>
      </x:c>
    </x:row>
    <x:row r="2058" ht="18" customHeight="1">
      <x:c r="A2058" s="25" t="str">
        <x:v>EEZ_630</x:v>
      </x:c>
      <x:c r="B2058" s="25" t="str">
        <x:v>commercial_ppr_difference</x:v>
      </x:c>
      <x:c r="C2058" s="25" t="n">
        <x:v>-236215.65570940194</x:v>
      </x:c>
      <x:c r="D2058" s="25" t="str">
        <x:v>tonnes_primary_production_equivalent</x:v>
      </x:c>
    </x:row>
    <x:row r="2059" ht="18" customHeight="1">
      <x:c r="A2059" s="25" t="str">
        <x:v>EEZ_630</x:v>
      </x:c>
      <x:c r="B2059" s="25" t="str">
        <x:v>functional_ppr_difference</x:v>
      </x:c>
      <x:c r="C2059" s="25" t="n">
        <x:v>-67481.52893472998</x:v>
      </x:c>
      <x:c r="D2059" s="25" t="str">
        <x:v>tonnes_primary_production_equivalent</x:v>
      </x:c>
    </x:row>
    <x:row r="2060" ht="18" customHeight="1">
      <x:c r="A2060" s="25" t="str">
        <x:v>EEZ_634</x:v>
      </x:c>
      <x:c r="B2060" s="25" t="str">
        <x:v>raw_filtered_tonnes</x:v>
      </x:c>
      <x:c r="C2060" s="25" t="n">
        <x:v>18300.125898307102</x:v>
      </x:c>
      <x:c r="D2060" s="25" t="str">
        <x:v>tonnes</x:v>
      </x:c>
    </x:row>
    <x:row r="2061" ht="18" customHeight="1">
      <x:c r="A2061" s="25" t="str">
        <x:v>EEZ_634</x:v>
      </x:c>
      <x:c r="B2061" s="25" t="str">
        <x:v>species_catch_tonnes</x:v>
      </x:c>
      <x:c r="C2061" s="25" t="n">
        <x:v>18300.125898307102</x:v>
      </x:c>
      <x:c r="D2061" s="25" t="str">
        <x:v>tonnes</x:v>
      </x:c>
    </x:row>
    <x:row r="2062" ht="18" customHeight="1">
      <x:c r="A2062" s="25" t="str">
        <x:v>EEZ_634</x:v>
      </x:c>
      <x:c r="B2062" s="25" t="str">
        <x:v>catch_difference_tonnes</x:v>
      </x:c>
      <x:c r="C2062" s="25" t="n">
        <x:v>0</x:v>
      </x:c>
      <x:c r="D2062" s="25" t="str">
        <x:v>tonnes</x:v>
      </x:c>
    </x:row>
    <x:row r="2063" ht="18" customHeight="1">
      <x:c r="A2063" s="25" t="str">
        <x:v>EEZ_634</x:v>
      </x:c>
      <x:c r="B2063" s="25" t="str">
        <x:v>catch_reconciled</x:v>
      </x:c>
      <x:c r="C2063" s="36" t="b">
        <x:v>1</x:v>
      </x:c>
      <x:c r="D2063" s="25" t="str">
        <x:v>boolean</x:v>
      </x:c>
    </x:row>
    <x:row r="2064" ht="18" customHeight="1">
      <x:c r="A2064" s="25" t="str">
        <x:v>EEZ_634</x:v>
      </x:c>
      <x:c r="B2064" s="25" t="str">
        <x:v>matched_catch_tonnes</x:v>
      </x:c>
      <x:c r="C2064" s="25" t="n">
        <x:v>18300.125898307102</x:v>
      </x:c>
      <x:c r="D2064" s="25" t="str">
        <x:v>tonnes</x:v>
      </x:c>
    </x:row>
    <x:row r="2065" ht="18" customHeight="1">
      <x:c r="A2065" s="25" t="str">
        <x:v>EEZ_634</x:v>
      </x:c>
      <x:c r="B2065" s="25" t="str">
        <x:v>catch_coverage_fraction</x:v>
      </x:c>
      <x:c r="C2065" s="25" t="n">
        <x:v>1</x:v>
      </x:c>
      <x:c r="D2065" s="25" t="str">
        <x:v>fraction</x:v>
      </x:c>
    </x:row>
    <x:row r="2066" ht="18" customHeight="1">
      <x:c r="A2066" s="25" t="str">
        <x:v>EEZ_634</x:v>
      </x:c>
      <x:c r="B2066" s="25" t="str">
        <x:v>taxa_count</x:v>
      </x:c>
      <x:c r="C2066" s="25" t="n">
        <x:v>47</x:v>
      </x:c>
      <x:c r="D2066" s="25" t="str">
        <x:v>count</x:v>
      </x:c>
    </x:row>
    <x:row r="2067" ht="18" customHeight="1">
      <x:c r="A2067" s="25" t="str">
        <x:v>EEZ_634</x:v>
      </x:c>
      <x:c r="B2067" s="25" t="str">
        <x:v>matched_taxa_count</x:v>
      </x:c>
      <x:c r="C2067" s="25" t="n">
        <x:v>47</x:v>
      </x:c>
      <x:c r="D2067" s="25" t="str">
        <x:v>count</x:v>
      </x:c>
    </x:row>
    <x:row r="2068" ht="18" customHeight="1">
      <x:c r="A2068" s="25" t="str">
        <x:v>EEZ_634</x:v>
      </x:c>
      <x:c r="B2068" s="25" t="str">
        <x:v>unmatched_taxa_count</x:v>
      </x:c>
      <x:c r="C2068" s="25" t="n">
        <x:v>0</x:v>
      </x:c>
      <x:c r="D2068" s="25" t="str">
        <x:v>count</x:v>
      </x:c>
    </x:row>
    <x:row r="2069" ht="18" customHeight="1">
      <x:c r="A2069" s="25" t="str">
        <x:v>EEZ_634</x:v>
      </x:c>
      <x:c r="B2069" s="25" t="str">
        <x:v>species_ppr</x:v>
      </x:c>
      <x:c r="C2069" s="25" t="n">
        <x:v>17533760.271710783</x:v>
      </x:c>
      <x:c r="D2069" s="25" t="str">
        <x:v>tonnes_primary_production_equivalent</x:v>
      </x:c>
    </x:row>
    <x:row r="2070" ht="18" customHeight="1">
      <x:c r="A2070" s="25" t="str">
        <x:v>EEZ_634</x:v>
      </x:c>
      <x:c r="B2070" s="25" t="str">
        <x:v>commercial_ppr</x:v>
      </x:c>
      <x:c r="C2070" s="25" t="n">
        <x:v>9745305.186637845</x:v>
      </x:c>
      <x:c r="D2070" s="25" t="str">
        <x:v>tonnes_primary_production_equivalent</x:v>
      </x:c>
    </x:row>
    <x:row r="2071" ht="18" customHeight="1">
      <x:c r="A2071" s="25" t="str">
        <x:v>EEZ_634</x:v>
      </x:c>
      <x:c r="B2071" s="25" t="str">
        <x:v>functional_ppr</x:v>
      </x:c>
      <x:c r="C2071" s="25" t="n">
        <x:v>14158026.384637725</x:v>
      </x:c>
      <x:c r="D2071" s="25" t="str">
        <x:v>tonnes_primary_production_equivalent</x:v>
      </x:c>
    </x:row>
    <x:row r="2072" ht="18" customHeight="1">
      <x:c r="A2072" s="25" t="str">
        <x:v>EEZ_634</x:v>
      </x:c>
      <x:c r="B2072" s="25" t="str">
        <x:v>commercial_ppr_difference</x:v>
      </x:c>
      <x:c r="C2072" s="25" t="n">
        <x:v>-7788455.085072938</x:v>
      </x:c>
      <x:c r="D2072" s="25" t="str">
        <x:v>tonnes_primary_production_equivalent</x:v>
      </x:c>
    </x:row>
    <x:row r="2073" ht="18" customHeight="1">
      <x:c r="A2073" s="25" t="str">
        <x:v>EEZ_634</x:v>
      </x:c>
      <x:c r="B2073" s="25" t="str">
        <x:v>functional_ppr_difference</x:v>
      </x:c>
      <x:c r="C2073" s="25" t="n">
        <x:v>-3375733.8870730586</x:v>
      </x:c>
      <x:c r="D2073" s="25" t="str">
        <x:v>tonnes_primary_production_equivalent</x:v>
      </x:c>
    </x:row>
    <x:row r="2074" ht="18" customHeight="1">
      <x:c r="A2074" s="25" t="str">
        <x:v>EEZ_638</x:v>
      </x:c>
      <x:c r="B2074" s="25" t="str">
        <x:v>raw_filtered_tonnes</x:v>
      </x:c>
      <x:c r="C2074" s="25" t="n">
        <x:v>537.9865677244001</x:v>
      </x:c>
      <x:c r="D2074" s="25" t="str">
        <x:v>tonnes</x:v>
      </x:c>
    </x:row>
    <x:row r="2075" ht="18" customHeight="1">
      <x:c r="A2075" s="25" t="str">
        <x:v>EEZ_638</x:v>
      </x:c>
      <x:c r="B2075" s="25" t="str">
        <x:v>species_catch_tonnes</x:v>
      </x:c>
      <x:c r="C2075" s="25" t="n">
        <x:v>537.9865677244</x:v>
      </x:c>
      <x:c r="D2075" s="25" t="str">
        <x:v>tonnes</x:v>
      </x:c>
    </x:row>
    <x:row r="2076" ht="18" customHeight="1">
      <x:c r="A2076" s="25" t="str">
        <x:v>EEZ_638</x:v>
      </x:c>
      <x:c r="B2076" s="25" t="str">
        <x:v>catch_difference_tonnes</x:v>
      </x:c>
      <x:c r="C2076" s="25" t="n">
        <x:v>-1.1368683772161603e-13</x:v>
      </x:c>
      <x:c r="D2076" s="25" t="str">
        <x:v>tonnes</x:v>
      </x:c>
    </x:row>
    <x:row r="2077" ht="18" customHeight="1">
      <x:c r="A2077" s="25" t="str">
        <x:v>EEZ_638</x:v>
      </x:c>
      <x:c r="B2077" s="25" t="str">
        <x:v>catch_reconciled</x:v>
      </x:c>
      <x:c r="C2077" s="36" t="b">
        <x:v>1</x:v>
      </x:c>
      <x:c r="D2077" s="25" t="str">
        <x:v>boolean</x:v>
      </x:c>
    </x:row>
    <x:row r="2078" ht="18" customHeight="1">
      <x:c r="A2078" s="25" t="str">
        <x:v>EEZ_638</x:v>
      </x:c>
      <x:c r="B2078" s="25" t="str">
        <x:v>matched_catch_tonnes</x:v>
      </x:c>
      <x:c r="C2078" s="25" t="n">
        <x:v>537.9865677244</x:v>
      </x:c>
      <x:c r="D2078" s="25" t="str">
        <x:v>tonnes</x:v>
      </x:c>
    </x:row>
    <x:row r="2079" ht="18" customHeight="1">
      <x:c r="A2079" s="25" t="str">
        <x:v>EEZ_638</x:v>
      </x:c>
      <x:c r="B2079" s="25" t="str">
        <x:v>catch_coverage_fraction</x:v>
      </x:c>
      <x:c r="C2079" s="25" t="n">
        <x:v>1</x:v>
      </x:c>
      <x:c r="D2079" s="25" t="str">
        <x:v>fraction</x:v>
      </x:c>
    </x:row>
    <x:row r="2080" ht="18" customHeight="1">
      <x:c r="A2080" s="25" t="str">
        <x:v>EEZ_638</x:v>
      </x:c>
      <x:c r="B2080" s="25" t="str">
        <x:v>taxa_count</x:v>
      </x:c>
      <x:c r="C2080" s="25" t="n">
        <x:v>26</x:v>
      </x:c>
      <x:c r="D2080" s="25" t="str">
        <x:v>count</x:v>
      </x:c>
    </x:row>
    <x:row r="2081" ht="18" customHeight="1">
      <x:c r="A2081" s="25" t="str">
        <x:v>EEZ_638</x:v>
      </x:c>
      <x:c r="B2081" s="25" t="str">
        <x:v>matched_taxa_count</x:v>
      </x:c>
      <x:c r="C2081" s="25" t="n">
        <x:v>26</x:v>
      </x:c>
      <x:c r="D2081" s="25" t="str">
        <x:v>count</x:v>
      </x:c>
    </x:row>
    <x:row r="2082" ht="18" customHeight="1">
      <x:c r="A2082" s="25" t="str">
        <x:v>EEZ_638</x:v>
      </x:c>
      <x:c r="B2082" s="25" t="str">
        <x:v>unmatched_taxa_count</x:v>
      </x:c>
      <x:c r="C2082" s="25" t="n">
        <x:v>0</x:v>
      </x:c>
      <x:c r="D2082" s="25" t="str">
        <x:v>count</x:v>
      </x:c>
    </x:row>
    <x:row r="2083" ht="18" customHeight="1">
      <x:c r="A2083" s="25" t="str">
        <x:v>EEZ_638</x:v>
      </x:c>
      <x:c r="B2083" s="25" t="str">
        <x:v>species_ppr</x:v>
      </x:c>
      <x:c r="C2083" s="25" t="n">
        <x:v>1039295.5371920002</x:v>
      </x:c>
      <x:c r="D2083" s="25" t="str">
        <x:v>tonnes_primary_production_equivalent</x:v>
      </x:c>
    </x:row>
    <x:row r="2084" ht="18" customHeight="1">
      <x:c r="A2084" s="25" t="str">
        <x:v>EEZ_638</x:v>
      </x:c>
      <x:c r="B2084" s="25" t="str">
        <x:v>commercial_ppr</x:v>
      </x:c>
      <x:c r="C2084" s="25" t="n">
        <x:v>1016429.7210691373</x:v>
      </x:c>
      <x:c r="D2084" s="25" t="str">
        <x:v>tonnes_primary_production_equivalent</x:v>
      </x:c>
    </x:row>
    <x:row r="2085" ht="18" customHeight="1">
      <x:c r="A2085" s="25" t="str">
        <x:v>EEZ_638</x:v>
      </x:c>
      <x:c r="B2085" s="25" t="str">
        <x:v>functional_ppr</x:v>
      </x:c>
      <x:c r="C2085" s="25" t="n">
        <x:v>1029294.7264742714</x:v>
      </x:c>
      <x:c r="D2085" s="25" t="str">
        <x:v>tonnes_primary_production_equivalent</x:v>
      </x:c>
    </x:row>
    <x:row r="2086" ht="18" customHeight="1">
      <x:c r="A2086" s="25" t="str">
        <x:v>EEZ_638</x:v>
      </x:c>
      <x:c r="B2086" s="25" t="str">
        <x:v>commercial_ppr_difference</x:v>
      </x:c>
      <x:c r="C2086" s="25" t="n">
        <x:v>-22865.81612286286</x:v>
      </x:c>
      <x:c r="D2086" s="25" t="str">
        <x:v>tonnes_primary_production_equivalent</x:v>
      </x:c>
    </x:row>
    <x:row r="2087" ht="18" customHeight="1">
      <x:c r="A2087" s="25" t="str">
        <x:v>EEZ_638</x:v>
      </x:c>
      <x:c r="B2087" s="25" t="str">
        <x:v>functional_ppr_difference</x:v>
      </x:c>
      <x:c r="C2087" s="25" t="n">
        <x:v>-10000.810717728804</x:v>
      </x:c>
      <x:c r="D2087" s="25" t="str">
        <x:v>tonnes_primary_production_equivalent</x:v>
      </x:c>
    </x:row>
    <x:row r="2088" ht="18" customHeight="1">
      <x:c r="A2088" s="25" t="str">
        <x:v>EEZ_642</x:v>
      </x:c>
      <x:c r="B2088" s="25" t="str">
        <x:v>raw_filtered_tonnes</x:v>
      </x:c>
      <x:c r="C2088" s="25" t="n">
        <x:v>8116.5109813193</x:v>
      </x:c>
      <x:c r="D2088" s="25" t="str">
        <x:v>tonnes</x:v>
      </x:c>
    </x:row>
    <x:row r="2089" ht="18" customHeight="1">
      <x:c r="A2089" s="25" t="str">
        <x:v>EEZ_642</x:v>
      </x:c>
      <x:c r="B2089" s="25" t="str">
        <x:v>species_catch_tonnes</x:v>
      </x:c>
      <x:c r="C2089" s="25" t="n">
        <x:v>8116.5109813192985</x:v>
      </x:c>
      <x:c r="D2089" s="25" t="str">
        <x:v>tonnes</x:v>
      </x:c>
    </x:row>
    <x:row r="2090" ht="18" customHeight="1">
      <x:c r="A2090" s="25" t="str">
        <x:v>EEZ_642</x:v>
      </x:c>
      <x:c r="B2090" s="25" t="str">
        <x:v>catch_difference_tonnes</x:v>
      </x:c>
      <x:c r="C2090" s="25" t="n">
        <x:v>-1.8189894035458565e-12</x:v>
      </x:c>
      <x:c r="D2090" s="25" t="str">
        <x:v>tonnes</x:v>
      </x:c>
    </x:row>
    <x:row r="2091" ht="18" customHeight="1">
      <x:c r="A2091" s="25" t="str">
        <x:v>EEZ_642</x:v>
      </x:c>
      <x:c r="B2091" s="25" t="str">
        <x:v>catch_reconciled</x:v>
      </x:c>
      <x:c r="C2091" s="36" t="b">
        <x:v>1</x:v>
      </x:c>
      <x:c r="D2091" s="25" t="str">
        <x:v>boolean</x:v>
      </x:c>
    </x:row>
    <x:row r="2092" ht="18" customHeight="1">
      <x:c r="A2092" s="25" t="str">
        <x:v>EEZ_642</x:v>
      </x:c>
      <x:c r="B2092" s="25" t="str">
        <x:v>matched_catch_tonnes</x:v>
      </x:c>
      <x:c r="C2092" s="25" t="n">
        <x:v>8116.5109813192985</x:v>
      </x:c>
      <x:c r="D2092" s="25" t="str">
        <x:v>tonnes</x:v>
      </x:c>
    </x:row>
    <x:row r="2093" ht="18" customHeight="1">
      <x:c r="A2093" s="25" t="str">
        <x:v>EEZ_642</x:v>
      </x:c>
      <x:c r="B2093" s="25" t="str">
        <x:v>catch_coverage_fraction</x:v>
      </x:c>
      <x:c r="C2093" s="25" t="n">
        <x:v>1</x:v>
      </x:c>
      <x:c r="D2093" s="25" t="str">
        <x:v>fraction</x:v>
      </x:c>
    </x:row>
    <x:row r="2094" ht="18" customHeight="1">
      <x:c r="A2094" s="25" t="str">
        <x:v>EEZ_642</x:v>
      </x:c>
      <x:c r="B2094" s="25" t="str">
        <x:v>taxa_count</x:v>
      </x:c>
      <x:c r="C2094" s="25" t="n">
        <x:v>16</x:v>
      </x:c>
      <x:c r="D2094" s="25" t="str">
        <x:v>count</x:v>
      </x:c>
    </x:row>
    <x:row r="2095" ht="18" customHeight="1">
      <x:c r="A2095" s="25" t="str">
        <x:v>EEZ_642</x:v>
      </x:c>
      <x:c r="B2095" s="25" t="str">
        <x:v>matched_taxa_count</x:v>
      </x:c>
      <x:c r="C2095" s="25" t="n">
        <x:v>16</x:v>
      </x:c>
      <x:c r="D2095" s="25" t="str">
        <x:v>count</x:v>
      </x:c>
    </x:row>
    <x:row r="2096" ht="18" customHeight="1">
      <x:c r="A2096" s="25" t="str">
        <x:v>EEZ_642</x:v>
      </x:c>
      <x:c r="B2096" s="25" t="str">
        <x:v>unmatched_taxa_count</x:v>
      </x:c>
      <x:c r="C2096" s="25" t="n">
        <x:v>0</x:v>
      </x:c>
      <x:c r="D2096" s="25" t="str">
        <x:v>count</x:v>
      </x:c>
    </x:row>
    <x:row r="2097" ht="18" customHeight="1">
      <x:c r="A2097" s="25" t="str">
        <x:v>EEZ_642</x:v>
      </x:c>
      <x:c r="B2097" s="25" t="str">
        <x:v>species_ppr</x:v>
      </x:c>
      <x:c r="C2097" s="25" t="n">
        <x:v>2431527.305444525</x:v>
      </x:c>
      <x:c r="D2097" s="25" t="str">
        <x:v>tonnes_primary_production_equivalent</x:v>
      </x:c>
    </x:row>
    <x:row r="2098" ht="18" customHeight="1">
      <x:c r="A2098" s="25" t="str">
        <x:v>EEZ_642</x:v>
      </x:c>
      <x:c r="B2098" s="25" t="str">
        <x:v>commercial_ppr</x:v>
      </x:c>
      <x:c r="C2098" s="25" t="n">
        <x:v>2346234.9205780765</x:v>
      </x:c>
      <x:c r="D2098" s="25" t="str">
        <x:v>tonnes_primary_production_equivalent</x:v>
      </x:c>
    </x:row>
    <x:row r="2099" ht="18" customHeight="1">
      <x:c r="A2099" s="25" t="str">
        <x:v>EEZ_642</x:v>
      </x:c>
      <x:c r="B2099" s="25" t="str">
        <x:v>functional_ppr</x:v>
      </x:c>
      <x:c r="C2099" s="25" t="n">
        <x:v>2409941.2696078424</x:v>
      </x:c>
      <x:c r="D2099" s="25" t="str">
        <x:v>tonnes_primary_production_equivalent</x:v>
      </x:c>
    </x:row>
    <x:row r="2100" ht="18" customHeight="1">
      <x:c r="A2100" s="25" t="str">
        <x:v>EEZ_642</x:v>
      </x:c>
      <x:c r="B2100" s="25" t="str">
        <x:v>commercial_ppr_difference</x:v>
      </x:c>
      <x:c r="C2100" s="25" t="n">
        <x:v>-85292.38486644858</x:v>
      </x:c>
      <x:c r="D2100" s="25" t="str">
        <x:v>tonnes_primary_production_equivalent</x:v>
      </x:c>
    </x:row>
    <x:row r="2101" ht="18" customHeight="1">
      <x:c r="A2101" s="25" t="str">
        <x:v>EEZ_642</x:v>
      </x:c>
      <x:c r="B2101" s="25" t="str">
        <x:v>functional_ppr_difference</x:v>
      </x:c>
      <x:c r="C2101" s="25" t="n">
        <x:v>-21586.035836682655</x:v>
      </x:c>
      <x:c r="D2101" s="25" t="str">
        <x:v>tonnes_primary_production_equivalent</x:v>
      </x:c>
    </x:row>
    <x:row r="2102" ht="18" customHeight="1">
      <x:c r="A2102" s="25" t="str">
        <x:v>EEZ_645</x:v>
      </x:c>
      <x:c r="B2102" s="25" t="str">
        <x:v>raw_filtered_tonnes</x:v>
      </x:c>
      <x:c r="C2102" s="25" t="n">
        <x:v>257638.50382026169</x:v>
      </x:c>
      <x:c r="D2102" s="25" t="str">
        <x:v>tonnes</x:v>
      </x:c>
    </x:row>
    <x:row r="2103" ht="18" customHeight="1">
      <x:c r="A2103" s="25" t="str">
        <x:v>EEZ_645</x:v>
      </x:c>
      <x:c r="B2103" s="25" t="str">
        <x:v>species_catch_tonnes</x:v>
      </x:c>
      <x:c r="C2103" s="25" t="n">
        <x:v>257638.50382026174</x:v>
      </x:c>
      <x:c r="D2103" s="25" t="str">
        <x:v>tonnes</x:v>
      </x:c>
    </x:row>
    <x:row r="2104" ht="18" customHeight="1">
      <x:c r="A2104" s="25" t="str">
        <x:v>EEZ_645</x:v>
      </x:c>
      <x:c r="B2104" s="25" t="str">
        <x:v>catch_difference_tonnes</x:v>
      </x:c>
      <x:c r="C2104" s="25" t="n">
        <x:v>5.820766091346741e-11</x:v>
      </x:c>
      <x:c r="D2104" s="25" t="str">
        <x:v>tonnes</x:v>
      </x:c>
    </x:row>
    <x:row r="2105" ht="18" customHeight="1">
      <x:c r="A2105" s="25" t="str">
        <x:v>EEZ_645</x:v>
      </x:c>
      <x:c r="B2105" s="25" t="str">
        <x:v>catch_reconciled</x:v>
      </x:c>
      <x:c r="C2105" s="36" t="b">
        <x:v>1</x:v>
      </x:c>
      <x:c r="D2105" s="25" t="str">
        <x:v>boolean</x:v>
      </x:c>
    </x:row>
    <x:row r="2106" ht="18" customHeight="1">
      <x:c r="A2106" s="25" t="str">
        <x:v>EEZ_645</x:v>
      </x:c>
      <x:c r="B2106" s="25" t="str">
        <x:v>matched_catch_tonnes</x:v>
      </x:c>
      <x:c r="C2106" s="25" t="n">
        <x:v>257638.50382026174</x:v>
      </x:c>
      <x:c r="D2106" s="25" t="str">
        <x:v>tonnes</x:v>
      </x:c>
    </x:row>
    <x:row r="2107" ht="18" customHeight="1">
      <x:c r="A2107" s="25" t="str">
        <x:v>EEZ_645</x:v>
      </x:c>
      <x:c r="B2107" s="25" t="str">
        <x:v>catch_coverage_fraction</x:v>
      </x:c>
      <x:c r="C2107" s="25" t="n">
        <x:v>1</x:v>
      </x:c>
      <x:c r="D2107" s="25" t="str">
        <x:v>fraction</x:v>
      </x:c>
    </x:row>
    <x:row r="2108" ht="18" customHeight="1">
      <x:c r="A2108" s="25" t="str">
        <x:v>EEZ_645</x:v>
      </x:c>
      <x:c r="B2108" s="25" t="str">
        <x:v>taxa_count</x:v>
      </x:c>
      <x:c r="C2108" s="25" t="n">
        <x:v>86</x:v>
      </x:c>
      <x:c r="D2108" s="25" t="str">
        <x:v>count</x:v>
      </x:c>
    </x:row>
    <x:row r="2109" ht="18" customHeight="1">
      <x:c r="A2109" s="25" t="str">
        <x:v>EEZ_645</x:v>
      </x:c>
      <x:c r="B2109" s="25" t="str">
        <x:v>matched_taxa_count</x:v>
      </x:c>
      <x:c r="C2109" s="25" t="n">
        <x:v>86</x:v>
      </x:c>
      <x:c r="D2109" s="25" t="str">
        <x:v>count</x:v>
      </x:c>
    </x:row>
    <x:row r="2110" ht="18" customHeight="1">
      <x:c r="A2110" s="25" t="str">
        <x:v>EEZ_645</x:v>
      </x:c>
      <x:c r="B2110" s="25" t="str">
        <x:v>unmatched_taxa_count</x:v>
      </x:c>
      <x:c r="C2110" s="25" t="n">
        <x:v>0</x:v>
      </x:c>
      <x:c r="D2110" s="25" t="str">
        <x:v>count</x:v>
      </x:c>
    </x:row>
    <x:row r="2111" ht="18" customHeight="1">
      <x:c r="A2111" s="25" t="str">
        <x:v>EEZ_645</x:v>
      </x:c>
      <x:c r="B2111" s="25" t="str">
        <x:v>species_ppr</x:v>
      </x:c>
      <x:c r="C2111" s="25" t="n">
        <x:v>256304293.92408934</x:v>
      </x:c>
      <x:c r="D2111" s="25" t="str">
        <x:v>tonnes_primary_production_equivalent</x:v>
      </x:c>
    </x:row>
    <x:row r="2112" ht="18" customHeight="1">
      <x:c r="A2112" s="25" t="str">
        <x:v>EEZ_645</x:v>
      </x:c>
      <x:c r="B2112" s="25" t="str">
        <x:v>commercial_ppr</x:v>
      </x:c>
      <x:c r="C2112" s="25" t="n">
        <x:v>248417328.29440054</x:v>
      </x:c>
      <x:c r="D2112" s="25" t="str">
        <x:v>tonnes_primary_production_equivalent</x:v>
      </x:c>
    </x:row>
    <x:row r="2113" ht="18" customHeight="1">
      <x:c r="A2113" s="25" t="str">
        <x:v>EEZ_645</x:v>
      </x:c>
      <x:c r="B2113" s="25" t="str">
        <x:v>functional_ppr</x:v>
      </x:c>
      <x:c r="C2113" s="25" t="n">
        <x:v>236031062.5418131</x:v>
      </x:c>
      <x:c r="D2113" s="25" t="str">
        <x:v>tonnes_primary_production_equivalent</x:v>
      </x:c>
    </x:row>
    <x:row r="2114" ht="18" customHeight="1">
      <x:c r="A2114" s="25" t="str">
        <x:v>EEZ_645</x:v>
      </x:c>
      <x:c r="B2114" s="25" t="str">
        <x:v>commercial_ppr_difference</x:v>
      </x:c>
      <x:c r="C2114" s="25" t="n">
        <x:v>-7886965.629688799</x:v>
      </x:c>
      <x:c r="D2114" s="25" t="str">
        <x:v>tonnes_primary_production_equivalent</x:v>
      </x:c>
    </x:row>
    <x:row r="2115" ht="18" customHeight="1">
      <x:c r="A2115" s="25" t="str">
        <x:v>EEZ_645</x:v>
      </x:c>
      <x:c r="B2115" s="25" t="str">
        <x:v>functional_ppr_difference</x:v>
      </x:c>
      <x:c r="C2115" s="25" t="n">
        <x:v>-20273231.382276237</x:v>
      </x:c>
      <x:c r="D2115" s="25" t="str">
        <x:v>tonnes_primary_production_equivalent</x:v>
      </x:c>
    </x:row>
    <x:row r="2116" ht="18" customHeight="1">
      <x:c r="A2116" s="25" t="str">
        <x:v>EEZ_647</x:v>
      </x:c>
      <x:c r="B2116" s="25" t="str">
        <x:v>raw_filtered_tonnes</x:v>
      </x:c>
      <x:c r="C2116" s="25" t="n">
        <x:v>151771.4553513236</x:v>
      </x:c>
      <x:c r="D2116" s="25" t="str">
        <x:v>tonnes</x:v>
      </x:c>
    </x:row>
    <x:row r="2117" ht="18" customHeight="1">
      <x:c r="A2117" s="25" t="str">
        <x:v>EEZ_647</x:v>
      </x:c>
      <x:c r="B2117" s="25" t="str">
        <x:v>species_catch_tonnes</x:v>
      </x:c>
      <x:c r="C2117" s="25" t="n">
        <x:v>151771.4553513236</x:v>
      </x:c>
      <x:c r="D2117" s="25" t="str">
        <x:v>tonnes</x:v>
      </x:c>
    </x:row>
    <x:row r="2118" ht="18" customHeight="1">
      <x:c r="A2118" s="25" t="str">
        <x:v>EEZ_647</x:v>
      </x:c>
      <x:c r="B2118" s="25" t="str">
        <x:v>catch_difference_tonnes</x:v>
      </x:c>
      <x:c r="C2118" s="25" t="n">
        <x:v>0</x:v>
      </x:c>
      <x:c r="D2118" s="25" t="str">
        <x:v>tonnes</x:v>
      </x:c>
    </x:row>
    <x:row r="2119" ht="18" customHeight="1">
      <x:c r="A2119" s="25" t="str">
        <x:v>EEZ_647</x:v>
      </x:c>
      <x:c r="B2119" s="25" t="str">
        <x:v>catch_reconciled</x:v>
      </x:c>
      <x:c r="C2119" s="36" t="b">
        <x:v>1</x:v>
      </x:c>
      <x:c r="D2119" s="25" t="str">
        <x:v>boolean</x:v>
      </x:c>
    </x:row>
    <x:row r="2120" ht="18" customHeight="1">
      <x:c r="A2120" s="25" t="str">
        <x:v>EEZ_647</x:v>
      </x:c>
      <x:c r="B2120" s="25" t="str">
        <x:v>matched_catch_tonnes</x:v>
      </x:c>
      <x:c r="C2120" s="25" t="n">
        <x:v>151771.4553513236</x:v>
      </x:c>
      <x:c r="D2120" s="25" t="str">
        <x:v>tonnes</x:v>
      </x:c>
    </x:row>
    <x:row r="2121" ht="18" customHeight="1">
      <x:c r="A2121" s="25" t="str">
        <x:v>EEZ_647</x:v>
      </x:c>
      <x:c r="B2121" s="25" t="str">
        <x:v>catch_coverage_fraction</x:v>
      </x:c>
      <x:c r="C2121" s="25" t="n">
        <x:v>1</x:v>
      </x:c>
      <x:c r="D2121" s="25" t="str">
        <x:v>fraction</x:v>
      </x:c>
    </x:row>
    <x:row r="2122" ht="18" customHeight="1">
      <x:c r="A2122" s="25" t="str">
        <x:v>EEZ_647</x:v>
      </x:c>
      <x:c r="B2122" s="25" t="str">
        <x:v>taxa_count</x:v>
      </x:c>
      <x:c r="C2122" s="25" t="n">
        <x:v>40</x:v>
      </x:c>
      <x:c r="D2122" s="25" t="str">
        <x:v>count</x:v>
      </x:c>
    </x:row>
    <x:row r="2123" ht="18" customHeight="1">
      <x:c r="A2123" s="25" t="str">
        <x:v>EEZ_647</x:v>
      </x:c>
      <x:c r="B2123" s="25" t="str">
        <x:v>matched_taxa_count</x:v>
      </x:c>
      <x:c r="C2123" s="25" t="n">
        <x:v>40</x:v>
      </x:c>
      <x:c r="D2123" s="25" t="str">
        <x:v>count</x:v>
      </x:c>
    </x:row>
    <x:row r="2124" ht="18" customHeight="1">
      <x:c r="A2124" s="25" t="str">
        <x:v>EEZ_647</x:v>
      </x:c>
      <x:c r="B2124" s="25" t="str">
        <x:v>unmatched_taxa_count</x:v>
      </x:c>
      <x:c r="C2124" s="25" t="n">
        <x:v>0</x:v>
      </x:c>
      <x:c r="D2124" s="25" t="str">
        <x:v>count</x:v>
      </x:c>
    </x:row>
    <x:row r="2125" ht="18" customHeight="1">
      <x:c r="A2125" s="25" t="str">
        <x:v>EEZ_647</x:v>
      </x:c>
      <x:c r="B2125" s="25" t="str">
        <x:v>species_ppr</x:v>
      </x:c>
      <x:c r="C2125" s="25" t="n">
        <x:v>30470880.239130165</x:v>
      </x:c>
      <x:c r="D2125" s="25" t="str">
        <x:v>tonnes_primary_production_equivalent</x:v>
      </x:c>
    </x:row>
    <x:row r="2126" ht="18" customHeight="1">
      <x:c r="A2126" s="25" t="str">
        <x:v>EEZ_647</x:v>
      </x:c>
      <x:c r="B2126" s="25" t="str">
        <x:v>commercial_ppr</x:v>
      </x:c>
      <x:c r="C2126" s="25" t="n">
        <x:v>26641731.874007963</x:v>
      </x:c>
      <x:c r="D2126" s="25" t="str">
        <x:v>tonnes_primary_production_equivalent</x:v>
      </x:c>
    </x:row>
    <x:row r="2127" ht="18" customHeight="1">
      <x:c r="A2127" s="25" t="str">
        <x:v>EEZ_647</x:v>
      </x:c>
      <x:c r="B2127" s="25" t="str">
        <x:v>functional_ppr</x:v>
      </x:c>
      <x:c r="C2127" s="25" t="n">
        <x:v>26908430.4472515</x:v>
      </x:c>
      <x:c r="D2127" s="25" t="str">
        <x:v>tonnes_primary_production_equivalent</x:v>
      </x:c>
    </x:row>
    <x:row r="2128" ht="18" customHeight="1">
      <x:c r="A2128" s="25" t="str">
        <x:v>EEZ_647</x:v>
      </x:c>
      <x:c r="B2128" s="25" t="str">
        <x:v>commercial_ppr_difference</x:v>
      </x:c>
      <x:c r="C2128" s="25" t="n">
        <x:v>-3829148.365122203</x:v>
      </x:c>
      <x:c r="D2128" s="25" t="str">
        <x:v>tonnes_primary_production_equivalent</x:v>
      </x:c>
    </x:row>
    <x:row r="2129" ht="18" customHeight="1">
      <x:c r="A2129" s="25" t="str">
        <x:v>EEZ_647</x:v>
      </x:c>
      <x:c r="B2129" s="25" t="str">
        <x:v>functional_ppr_difference</x:v>
      </x:c>
      <x:c r="C2129" s="25" t="n">
        <x:v>-3562449.7918786667</x:v>
      </x:c>
      <x:c r="D2129" s="25" t="str">
        <x:v>tonnes_primary_production_equivalent</x:v>
      </x:c>
    </x:row>
    <x:row r="2130" ht="18" customHeight="1">
      <x:c r="A2130" s="25" t="str">
        <x:v>EEZ_648</x:v>
      </x:c>
      <x:c r="B2130" s="25" t="str">
        <x:v>raw_filtered_tonnes</x:v>
      </x:c>
      <x:c r="C2130" s="25" t="n">
        <x:v>111294.2692790642</x:v>
      </x:c>
      <x:c r="D2130" s="25" t="str">
        <x:v>tonnes</x:v>
      </x:c>
    </x:row>
    <x:row r="2131" ht="18" customHeight="1">
      <x:c r="A2131" s="25" t="str">
        <x:v>EEZ_648</x:v>
      </x:c>
      <x:c r="B2131" s="25" t="str">
        <x:v>species_catch_tonnes</x:v>
      </x:c>
      <x:c r="C2131" s="25" t="n">
        <x:v>111294.2692790642</x:v>
      </x:c>
      <x:c r="D2131" s="25" t="str">
        <x:v>tonnes</x:v>
      </x:c>
    </x:row>
    <x:row r="2132" ht="18" customHeight="1">
      <x:c r="A2132" s="25" t="str">
        <x:v>EEZ_648</x:v>
      </x:c>
      <x:c r="B2132" s="25" t="str">
        <x:v>catch_difference_tonnes</x:v>
      </x:c>
      <x:c r="C2132" s="25" t="n">
        <x:v>0</x:v>
      </x:c>
      <x:c r="D2132" s="25" t="str">
        <x:v>tonnes</x:v>
      </x:c>
    </x:row>
    <x:row r="2133" ht="18" customHeight="1">
      <x:c r="A2133" s="25" t="str">
        <x:v>EEZ_648</x:v>
      </x:c>
      <x:c r="B2133" s="25" t="str">
        <x:v>catch_reconciled</x:v>
      </x:c>
      <x:c r="C2133" s="36" t="b">
        <x:v>1</x:v>
      </x:c>
      <x:c r="D2133" s="25" t="str">
        <x:v>boolean</x:v>
      </x:c>
    </x:row>
    <x:row r="2134" ht="18" customHeight="1">
      <x:c r="A2134" s="25" t="str">
        <x:v>EEZ_648</x:v>
      </x:c>
      <x:c r="B2134" s="25" t="str">
        <x:v>matched_catch_tonnes</x:v>
      </x:c>
      <x:c r="C2134" s="25" t="n">
        <x:v>111294.2692790642</x:v>
      </x:c>
      <x:c r="D2134" s="25" t="str">
        <x:v>tonnes</x:v>
      </x:c>
    </x:row>
    <x:row r="2135" ht="18" customHeight="1">
      <x:c r="A2135" s="25" t="str">
        <x:v>EEZ_648</x:v>
      </x:c>
      <x:c r="B2135" s="25" t="str">
        <x:v>catch_coverage_fraction</x:v>
      </x:c>
      <x:c r="C2135" s="25" t="n">
        <x:v>1</x:v>
      </x:c>
      <x:c r="D2135" s="25" t="str">
        <x:v>fraction</x:v>
      </x:c>
    </x:row>
    <x:row r="2136" ht="18" customHeight="1">
      <x:c r="A2136" s="25" t="str">
        <x:v>EEZ_648</x:v>
      </x:c>
      <x:c r="B2136" s="25" t="str">
        <x:v>taxa_count</x:v>
      </x:c>
      <x:c r="C2136" s="25" t="n">
        <x:v>47</x:v>
      </x:c>
      <x:c r="D2136" s="25" t="str">
        <x:v>count</x:v>
      </x:c>
    </x:row>
    <x:row r="2137" ht="18" customHeight="1">
      <x:c r="A2137" s="25" t="str">
        <x:v>EEZ_648</x:v>
      </x:c>
      <x:c r="B2137" s="25" t="str">
        <x:v>matched_taxa_count</x:v>
      </x:c>
      <x:c r="C2137" s="25" t="n">
        <x:v>47</x:v>
      </x:c>
      <x:c r="D2137" s="25" t="str">
        <x:v>count</x:v>
      </x:c>
    </x:row>
    <x:row r="2138" ht="18" customHeight="1">
      <x:c r="A2138" s="25" t="str">
        <x:v>EEZ_648</x:v>
      </x:c>
      <x:c r="B2138" s="25" t="str">
        <x:v>unmatched_taxa_count</x:v>
      </x:c>
      <x:c r="C2138" s="25" t="n">
        <x:v>0</x:v>
      </x:c>
      <x:c r="D2138" s="25" t="str">
        <x:v>count</x:v>
      </x:c>
    </x:row>
    <x:row r="2139" ht="18" customHeight="1">
      <x:c r="A2139" s="25" t="str">
        <x:v>EEZ_648</x:v>
      </x:c>
      <x:c r="B2139" s="25" t="str">
        <x:v>species_ppr</x:v>
      </x:c>
      <x:c r="C2139" s="25" t="n">
        <x:v>25778605.82277208</x:v>
      </x:c>
      <x:c r="D2139" s="25" t="str">
        <x:v>tonnes_primary_production_equivalent</x:v>
      </x:c>
    </x:row>
    <x:row r="2140" ht="18" customHeight="1">
      <x:c r="A2140" s="25" t="str">
        <x:v>EEZ_648</x:v>
      </x:c>
      <x:c r="B2140" s="25" t="str">
        <x:v>commercial_ppr</x:v>
      </x:c>
      <x:c r="C2140" s="25" t="n">
        <x:v>23733257.182470594</x:v>
      </x:c>
      <x:c r="D2140" s="25" t="str">
        <x:v>tonnes_primary_production_equivalent</x:v>
      </x:c>
    </x:row>
    <x:row r="2141" ht="18" customHeight="1">
      <x:c r="A2141" s="25" t="str">
        <x:v>EEZ_648</x:v>
      </x:c>
      <x:c r="B2141" s="25" t="str">
        <x:v>functional_ppr</x:v>
      </x:c>
      <x:c r="C2141" s="25" t="n">
        <x:v>25211716.740608588</x:v>
      </x:c>
      <x:c r="D2141" s="25" t="str">
        <x:v>tonnes_primary_production_equivalent</x:v>
      </x:c>
    </x:row>
    <x:row r="2142" ht="18" customHeight="1">
      <x:c r="A2142" s="25" t="str">
        <x:v>EEZ_648</x:v>
      </x:c>
      <x:c r="B2142" s="25" t="str">
        <x:v>commercial_ppr_difference</x:v>
      </x:c>
      <x:c r="C2142" s="25" t="n">
        <x:v>-2045348.6403014846</x:v>
      </x:c>
      <x:c r="D2142" s="25" t="str">
        <x:v>tonnes_primary_production_equivalent</x:v>
      </x:c>
    </x:row>
    <x:row r="2143" ht="18" customHeight="1">
      <x:c r="A2143" s="25" t="str">
        <x:v>EEZ_648</x:v>
      </x:c>
      <x:c r="B2143" s="25" t="str">
        <x:v>functional_ppr_difference</x:v>
      </x:c>
      <x:c r="C2143" s="25" t="n">
        <x:v>-566889.0821634904</x:v>
      </x:c>
      <x:c r="D2143" s="25" t="str">
        <x:v>tonnes_primary_production_equivalent</x:v>
      </x:c>
    </x:row>
    <x:row r="2144" ht="18" customHeight="1">
      <x:c r="A2144" s="25" t="str">
        <x:v>EEZ_649</x:v>
      </x:c>
      <x:c r="B2144" s="25" t="str">
        <x:v>raw_filtered_tonnes</x:v>
      </x:c>
      <x:c r="C2144" s="25" t="n">
        <x:v>7341976.862507814</x:v>
      </x:c>
      <x:c r="D2144" s="25" t="str">
        <x:v>tonnes</x:v>
      </x:c>
    </x:row>
    <x:row r="2145" ht="18" customHeight="1">
      <x:c r="A2145" s="25" t="str">
        <x:v>EEZ_649</x:v>
      </x:c>
      <x:c r="B2145" s="25" t="str">
        <x:v>species_catch_tonnes</x:v>
      </x:c>
      <x:c r="C2145" s="25" t="n">
        <x:v>7341976.862507814</x:v>
      </x:c>
      <x:c r="D2145" s="25" t="str">
        <x:v>tonnes</x:v>
      </x:c>
    </x:row>
    <x:row r="2146" ht="18" customHeight="1">
      <x:c r="A2146" s="25" t="str">
        <x:v>EEZ_649</x:v>
      </x:c>
      <x:c r="B2146" s="25" t="str">
        <x:v>catch_difference_tonnes</x:v>
      </x:c>
      <x:c r="C2146" s="25" t="n">
        <x:v>0</x:v>
      </x:c>
      <x:c r="D2146" s="25" t="str">
        <x:v>tonnes</x:v>
      </x:c>
    </x:row>
    <x:row r="2147" ht="18" customHeight="1">
      <x:c r="A2147" s="25" t="str">
        <x:v>EEZ_649</x:v>
      </x:c>
      <x:c r="B2147" s="25" t="str">
        <x:v>catch_reconciled</x:v>
      </x:c>
      <x:c r="C2147" s="36" t="b">
        <x:v>1</x:v>
      </x:c>
      <x:c r="D2147" s="25" t="str">
        <x:v>boolean</x:v>
      </x:c>
    </x:row>
    <x:row r="2148" ht="18" customHeight="1">
      <x:c r="A2148" s="25" t="str">
        <x:v>EEZ_649</x:v>
      </x:c>
      <x:c r="B2148" s="25" t="str">
        <x:v>matched_catch_tonnes</x:v>
      </x:c>
      <x:c r="C2148" s="25" t="n">
        <x:v>7341976.862507814</x:v>
      </x:c>
      <x:c r="D2148" s="25" t="str">
        <x:v>tonnes</x:v>
      </x:c>
    </x:row>
    <x:row r="2149" ht="18" customHeight="1">
      <x:c r="A2149" s="25" t="str">
        <x:v>EEZ_649</x:v>
      </x:c>
      <x:c r="B2149" s="25" t="str">
        <x:v>catch_coverage_fraction</x:v>
      </x:c>
      <x:c r="C2149" s="25" t="n">
        <x:v>1</x:v>
      </x:c>
      <x:c r="D2149" s="25" t="str">
        <x:v>fraction</x:v>
      </x:c>
    </x:row>
    <x:row r="2150" ht="18" customHeight="1">
      <x:c r="A2150" s="25" t="str">
        <x:v>EEZ_649</x:v>
      </x:c>
      <x:c r="B2150" s="25" t="str">
        <x:v>taxa_count</x:v>
      </x:c>
      <x:c r="C2150" s="25" t="n">
        <x:v>86</x:v>
      </x:c>
      <x:c r="D2150" s="25" t="str">
        <x:v>count</x:v>
      </x:c>
    </x:row>
    <x:row r="2151" ht="18" customHeight="1">
      <x:c r="A2151" s="25" t="str">
        <x:v>EEZ_649</x:v>
      </x:c>
      <x:c r="B2151" s="25" t="str">
        <x:v>matched_taxa_count</x:v>
      </x:c>
      <x:c r="C2151" s="25" t="n">
        <x:v>86</x:v>
      </x:c>
      <x:c r="D2151" s="25" t="str">
        <x:v>count</x:v>
      </x:c>
    </x:row>
    <x:row r="2152" ht="18" customHeight="1">
      <x:c r="A2152" s="25" t="str">
        <x:v>EEZ_649</x:v>
      </x:c>
      <x:c r="B2152" s="25" t="str">
        <x:v>unmatched_taxa_count</x:v>
      </x:c>
      <x:c r="C2152" s="25" t="n">
        <x:v>0</x:v>
      </x:c>
      <x:c r="D2152" s="25" t="str">
        <x:v>count</x:v>
      </x:c>
    </x:row>
    <x:row r="2153" ht="18" customHeight="1">
      <x:c r="A2153" s="25" t="str">
        <x:v>EEZ_649</x:v>
      </x:c>
      <x:c r="B2153" s="25" t="str">
        <x:v>species_ppr</x:v>
      </x:c>
      <x:c r="C2153" s="25" t="n">
        <x:v>4411197893.890587</x:v>
      </x:c>
      <x:c r="D2153" s="25" t="str">
        <x:v>tonnes_primary_production_equivalent</x:v>
      </x:c>
    </x:row>
    <x:row r="2154" ht="18" customHeight="1">
      <x:c r="A2154" s="25" t="str">
        <x:v>EEZ_649</x:v>
      </x:c>
      <x:c r="B2154" s="25" t="str">
        <x:v>commercial_ppr</x:v>
      </x:c>
      <x:c r="C2154" s="25" t="n">
        <x:v>3483199576.481157</x:v>
      </x:c>
      <x:c r="D2154" s="25" t="str">
        <x:v>tonnes_primary_production_equivalent</x:v>
      </x:c>
    </x:row>
    <x:row r="2155" ht="18" customHeight="1">
      <x:c r="A2155" s="25" t="str">
        <x:v>EEZ_649</x:v>
      </x:c>
      <x:c r="B2155" s="25" t="str">
        <x:v>functional_ppr</x:v>
      </x:c>
      <x:c r="C2155" s="25" t="n">
        <x:v>3296898592.209809</x:v>
      </x:c>
      <x:c r="D2155" s="25" t="str">
        <x:v>tonnes_primary_production_equivalent</x:v>
      </x:c>
    </x:row>
    <x:row r="2156" ht="18" customHeight="1">
      <x:c r="A2156" s="25" t="str">
        <x:v>EEZ_649</x:v>
      </x:c>
      <x:c r="B2156" s="25" t="str">
        <x:v>commercial_ppr_difference</x:v>
      </x:c>
      <x:c r="C2156" s="25" t="n">
        <x:v>-927998317.40943</x:v>
      </x:c>
      <x:c r="D2156" s="25" t="str">
        <x:v>tonnes_primary_production_equivalent</x:v>
      </x:c>
    </x:row>
    <x:row r="2157" ht="18" customHeight="1">
      <x:c r="A2157" s="25" t="str">
        <x:v>EEZ_649</x:v>
      </x:c>
      <x:c r="B2157" s="25" t="str">
        <x:v>functional_ppr_difference</x:v>
      </x:c>
      <x:c r="C2157" s="25" t="n">
        <x:v>-1114299301.680778</x:v>
      </x:c>
      <x:c r="D2157" s="25" t="str">
        <x:v>tonnes_primary_production_equivalent</x:v>
      </x:c>
    </x:row>
    <x:row r="2158" ht="18" customHeight="1">
      <x:c r="A2158" s="25" t="str">
        <x:v>EEZ_654</x:v>
      </x:c>
      <x:c r="B2158" s="25" t="str">
        <x:v>raw_filtered_tonnes</x:v>
      </x:c>
      <x:c r="C2158" s="25" t="n">
        <x:v>515.4002517916999</x:v>
      </x:c>
      <x:c r="D2158" s="25" t="str">
        <x:v>tonnes</x:v>
      </x:c>
    </x:row>
    <x:row r="2159" ht="18" customHeight="1">
      <x:c r="A2159" s="25" t="str">
        <x:v>EEZ_654</x:v>
      </x:c>
      <x:c r="B2159" s="25" t="str">
        <x:v>species_catch_tonnes</x:v>
      </x:c>
      <x:c r="C2159" s="25" t="n">
        <x:v>515.4002517916999</x:v>
      </x:c>
      <x:c r="D2159" s="25" t="str">
        <x:v>tonnes</x:v>
      </x:c>
    </x:row>
    <x:row r="2160" ht="18" customHeight="1">
      <x:c r="A2160" s="25" t="str">
        <x:v>EEZ_654</x:v>
      </x:c>
      <x:c r="B2160" s="25" t="str">
        <x:v>catch_difference_tonnes</x:v>
      </x:c>
      <x:c r="C2160" s="25" t="n">
        <x:v>0</x:v>
      </x:c>
      <x:c r="D2160" s="25" t="str">
        <x:v>tonnes</x:v>
      </x:c>
    </x:row>
    <x:row r="2161" ht="18" customHeight="1">
      <x:c r="A2161" s="25" t="str">
        <x:v>EEZ_654</x:v>
      </x:c>
      <x:c r="B2161" s="25" t="str">
        <x:v>catch_reconciled</x:v>
      </x:c>
      <x:c r="C2161" s="36" t="b">
        <x:v>1</x:v>
      </x:c>
      <x:c r="D2161" s="25" t="str">
        <x:v>boolean</x:v>
      </x:c>
    </x:row>
    <x:row r="2162" ht="18" customHeight="1">
      <x:c r="A2162" s="25" t="str">
        <x:v>EEZ_654</x:v>
      </x:c>
      <x:c r="B2162" s="25" t="str">
        <x:v>matched_catch_tonnes</x:v>
      </x:c>
      <x:c r="C2162" s="25" t="n">
        <x:v>515.4002517916999</x:v>
      </x:c>
      <x:c r="D2162" s="25" t="str">
        <x:v>tonnes</x:v>
      </x:c>
    </x:row>
    <x:row r="2163" ht="18" customHeight="1">
      <x:c r="A2163" s="25" t="str">
        <x:v>EEZ_654</x:v>
      </x:c>
      <x:c r="B2163" s="25" t="str">
        <x:v>catch_coverage_fraction</x:v>
      </x:c>
      <x:c r="C2163" s="25" t="n">
        <x:v>1</x:v>
      </x:c>
      <x:c r="D2163" s="25" t="str">
        <x:v>fraction</x:v>
      </x:c>
    </x:row>
    <x:row r="2164" ht="18" customHeight="1">
      <x:c r="A2164" s="25" t="str">
        <x:v>EEZ_654</x:v>
      </x:c>
      <x:c r="B2164" s="25" t="str">
        <x:v>taxa_count</x:v>
      </x:c>
      <x:c r="C2164" s="25" t="n">
        <x:v>20</x:v>
      </x:c>
      <x:c r="D2164" s="25" t="str">
        <x:v>count</x:v>
      </x:c>
    </x:row>
    <x:row r="2165" ht="18" customHeight="1">
      <x:c r="A2165" s="25" t="str">
        <x:v>EEZ_654</x:v>
      </x:c>
      <x:c r="B2165" s="25" t="str">
        <x:v>matched_taxa_count</x:v>
      </x:c>
      <x:c r="C2165" s="25" t="n">
        <x:v>20</x:v>
      </x:c>
      <x:c r="D2165" s="25" t="str">
        <x:v>count</x:v>
      </x:c>
    </x:row>
    <x:row r="2166" ht="18" customHeight="1">
      <x:c r="A2166" s="25" t="str">
        <x:v>EEZ_654</x:v>
      </x:c>
      <x:c r="B2166" s="25" t="str">
        <x:v>unmatched_taxa_count</x:v>
      </x:c>
      <x:c r="C2166" s="25" t="n">
        <x:v>0</x:v>
      </x:c>
      <x:c r="D2166" s="25" t="str">
        <x:v>count</x:v>
      </x:c>
    </x:row>
    <x:row r="2167" ht="18" customHeight="1">
      <x:c r="A2167" s="25" t="str">
        <x:v>EEZ_654</x:v>
      </x:c>
      <x:c r="B2167" s="25" t="str">
        <x:v>species_ppr</x:v>
      </x:c>
      <x:c r="C2167" s="25" t="n">
        <x:v>982147.5503922047</x:v>
      </x:c>
      <x:c r="D2167" s="25" t="str">
        <x:v>tonnes_primary_production_equivalent</x:v>
      </x:c>
    </x:row>
    <x:row r="2168" ht="18" customHeight="1">
      <x:c r="A2168" s="25" t="str">
        <x:v>EEZ_654</x:v>
      </x:c>
      <x:c r="B2168" s="25" t="str">
        <x:v>commercial_ppr</x:v>
      </x:c>
      <x:c r="C2168" s="25" t="n">
        <x:v>973106.9444326712</x:v>
      </x:c>
      <x:c r="D2168" s="25" t="str">
        <x:v>tonnes_primary_production_equivalent</x:v>
      </x:c>
    </x:row>
    <x:row r="2169" ht="18" customHeight="1">
      <x:c r="A2169" s="25" t="str">
        <x:v>EEZ_654</x:v>
      </x:c>
      <x:c r="B2169" s="25" t="str">
        <x:v>functional_ppr</x:v>
      </x:c>
      <x:c r="C2169" s="25" t="n">
        <x:v>979520.3046732456</x:v>
      </x:c>
      <x:c r="D2169" s="25" t="str">
        <x:v>tonnes_primary_production_equivalent</x:v>
      </x:c>
    </x:row>
    <x:row r="2170" ht="18" customHeight="1">
      <x:c r="A2170" s="25" t="str">
        <x:v>EEZ_654</x:v>
      </x:c>
      <x:c r="B2170" s="25" t="str">
        <x:v>commercial_ppr_difference</x:v>
      </x:c>
      <x:c r="C2170" s="25" t="n">
        <x:v>-9040.605959533481</x:v>
      </x:c>
      <x:c r="D2170" s="25" t="str">
        <x:v>tonnes_primary_production_equivalent</x:v>
      </x:c>
    </x:row>
    <x:row r="2171" ht="18" customHeight="1">
      <x:c r="A2171" s="25" t="str">
        <x:v>EEZ_654</x:v>
      </x:c>
      <x:c r="B2171" s="25" t="str">
        <x:v>functional_ppr_difference</x:v>
      </x:c>
      <x:c r="C2171" s="25" t="n">
        <x:v>-2627.2457189590205</x:v>
      </x:c>
      <x:c r="D2171" s="25" t="str">
        <x:v>tonnes_primary_production_equivalent</x:v>
      </x:c>
    </x:row>
    <x:row r="2172" ht="18" customHeight="1">
      <x:c r="A2172" s="25" t="str">
        <x:v>EEZ_659</x:v>
      </x:c>
      <x:c r="B2172" s="25" t="str">
        <x:v>raw_filtered_tonnes</x:v>
      </x:c>
      <x:c r="C2172" s="25" t="n">
        <x:v>1724.2738873690002</x:v>
      </x:c>
      <x:c r="D2172" s="25" t="str">
        <x:v>tonnes</x:v>
      </x:c>
    </x:row>
    <x:row r="2173" ht="18" customHeight="1">
      <x:c r="A2173" s="25" t="str">
        <x:v>EEZ_659</x:v>
      </x:c>
      <x:c r="B2173" s="25" t="str">
        <x:v>species_catch_tonnes</x:v>
      </x:c>
      <x:c r="C2173" s="25" t="n">
        <x:v>1724.273887369</x:v>
      </x:c>
      <x:c r="D2173" s="25" t="str">
        <x:v>tonnes</x:v>
      </x:c>
    </x:row>
    <x:row r="2174" ht="18" customHeight="1">
      <x:c r="A2174" s="25" t="str">
        <x:v>EEZ_659</x:v>
      </x:c>
      <x:c r="B2174" s="25" t="str">
        <x:v>catch_difference_tonnes</x:v>
      </x:c>
      <x:c r="C2174" s="25" t="n">
        <x:v>-2.2737367544323206e-13</x:v>
      </x:c>
      <x:c r="D2174" s="25" t="str">
        <x:v>tonnes</x:v>
      </x:c>
    </x:row>
    <x:row r="2175" ht="18" customHeight="1">
      <x:c r="A2175" s="25" t="str">
        <x:v>EEZ_659</x:v>
      </x:c>
      <x:c r="B2175" s="25" t="str">
        <x:v>catch_reconciled</x:v>
      </x:c>
      <x:c r="C2175" s="36" t="b">
        <x:v>1</x:v>
      </x:c>
      <x:c r="D2175" s="25" t="str">
        <x:v>boolean</x:v>
      </x:c>
    </x:row>
    <x:row r="2176" ht="18" customHeight="1">
      <x:c r="A2176" s="25" t="str">
        <x:v>EEZ_659</x:v>
      </x:c>
      <x:c r="B2176" s="25" t="str">
        <x:v>matched_catch_tonnes</x:v>
      </x:c>
      <x:c r="C2176" s="25" t="n">
        <x:v>1724.273887369</x:v>
      </x:c>
      <x:c r="D2176" s="25" t="str">
        <x:v>tonnes</x:v>
      </x:c>
    </x:row>
    <x:row r="2177" ht="18" customHeight="1">
      <x:c r="A2177" s="25" t="str">
        <x:v>EEZ_659</x:v>
      </x:c>
      <x:c r="B2177" s="25" t="str">
        <x:v>catch_coverage_fraction</x:v>
      </x:c>
      <x:c r="C2177" s="25" t="n">
        <x:v>1</x:v>
      </x:c>
      <x:c r="D2177" s="25" t="str">
        <x:v>fraction</x:v>
      </x:c>
    </x:row>
    <x:row r="2178" ht="18" customHeight="1">
      <x:c r="A2178" s="25" t="str">
        <x:v>EEZ_659</x:v>
      </x:c>
      <x:c r="B2178" s="25" t="str">
        <x:v>taxa_count</x:v>
      </x:c>
      <x:c r="C2178" s="25" t="n">
        <x:v>19</x:v>
      </x:c>
      <x:c r="D2178" s="25" t="str">
        <x:v>count</x:v>
      </x:c>
    </x:row>
    <x:row r="2179" ht="18" customHeight="1">
      <x:c r="A2179" s="25" t="str">
        <x:v>EEZ_659</x:v>
      </x:c>
      <x:c r="B2179" s="25" t="str">
        <x:v>matched_taxa_count</x:v>
      </x:c>
      <x:c r="C2179" s="25" t="n">
        <x:v>19</x:v>
      </x:c>
      <x:c r="D2179" s="25" t="str">
        <x:v>count</x:v>
      </x:c>
    </x:row>
    <x:row r="2180" ht="18" customHeight="1">
      <x:c r="A2180" s="25" t="str">
        <x:v>EEZ_659</x:v>
      </x:c>
      <x:c r="B2180" s="25" t="str">
        <x:v>unmatched_taxa_count</x:v>
      </x:c>
      <x:c r="C2180" s="25" t="n">
        <x:v>0</x:v>
      </x:c>
      <x:c r="D2180" s="25" t="str">
        <x:v>count</x:v>
      </x:c>
    </x:row>
    <x:row r="2181" ht="18" customHeight="1">
      <x:c r="A2181" s="25" t="str">
        <x:v>EEZ_659</x:v>
      </x:c>
      <x:c r="B2181" s="25" t="str">
        <x:v>species_ppr</x:v>
      </x:c>
      <x:c r="C2181" s="25" t="n">
        <x:v>1106283.6685462072</x:v>
      </x:c>
      <x:c r="D2181" s="25" t="str">
        <x:v>tonnes_primary_production_equivalent</x:v>
      </x:c>
    </x:row>
    <x:row r="2182" ht="18" customHeight="1">
      <x:c r="A2182" s="25" t="str">
        <x:v>EEZ_659</x:v>
      </x:c>
      <x:c r="B2182" s="25" t="str">
        <x:v>commercial_ppr</x:v>
      </x:c>
      <x:c r="C2182" s="25" t="n">
        <x:v>699631.8379555495</x:v>
      </x:c>
      <x:c r="D2182" s="25" t="str">
        <x:v>tonnes_primary_production_equivalent</x:v>
      </x:c>
    </x:row>
    <x:row r="2183" ht="18" customHeight="1">
      <x:c r="A2183" s="25" t="str">
        <x:v>EEZ_659</x:v>
      </x:c>
      <x:c r="B2183" s="25" t="str">
        <x:v>functional_ppr</x:v>
      </x:c>
      <x:c r="C2183" s="25" t="n">
        <x:v>1006125.3220770671</x:v>
      </x:c>
      <x:c r="D2183" s="25" t="str">
        <x:v>tonnes_primary_production_equivalent</x:v>
      </x:c>
    </x:row>
    <x:row r="2184" ht="18" customHeight="1">
      <x:c r="A2184" s="25" t="str">
        <x:v>EEZ_659</x:v>
      </x:c>
      <x:c r="B2184" s="25" t="str">
        <x:v>commercial_ppr_difference</x:v>
      </x:c>
      <x:c r="C2184" s="25" t="n">
        <x:v>-406651.8305906578</x:v>
      </x:c>
      <x:c r="D2184" s="25" t="str">
        <x:v>tonnes_primary_production_equivalent</x:v>
      </x:c>
    </x:row>
    <x:row r="2185" ht="18" customHeight="1">
      <x:c r="A2185" s="25" t="str">
        <x:v>EEZ_659</x:v>
      </x:c>
      <x:c r="B2185" s="25" t="str">
        <x:v>functional_ppr_difference</x:v>
      </x:c>
      <x:c r="C2185" s="25" t="n">
        <x:v>-100158.34646914015</x:v>
      </x:c>
      <x:c r="D2185" s="25" t="str">
        <x:v>tonnes_primary_production_equivalent</x:v>
      </x:c>
    </x:row>
    <x:row r="2186" ht="18" customHeight="1">
      <x:c r="A2186" s="25" t="str">
        <x:v>EEZ_660</x:v>
      </x:c>
      <x:c r="B2186" s="25" t="str">
        <x:v>raw_filtered_tonnes</x:v>
      </x:c>
      <x:c r="C2186" s="25" t="n">
        <x:v>1027.0367155169997</x:v>
      </x:c>
      <x:c r="D2186" s="25" t="str">
        <x:v>tonnes</x:v>
      </x:c>
    </x:row>
    <x:row r="2187" ht="18" customHeight="1">
      <x:c r="A2187" s="25" t="str">
        <x:v>EEZ_660</x:v>
      </x:c>
      <x:c r="B2187" s="25" t="str">
        <x:v>species_catch_tonnes</x:v>
      </x:c>
      <x:c r="C2187" s="25" t="n">
        <x:v>1027.036715517</x:v>
      </x:c>
      <x:c r="D2187" s="25" t="str">
        <x:v>tonnes</x:v>
      </x:c>
    </x:row>
    <x:row r="2188" ht="18" customHeight="1">
      <x:c r="A2188" s="25" t="str">
        <x:v>EEZ_660</x:v>
      </x:c>
      <x:c r="B2188" s="25" t="str">
        <x:v>catch_difference_tonnes</x:v>
      </x:c>
      <x:c r="C2188" s="25" t="n">
        <x:v>2.2737367544323206e-13</x:v>
      </x:c>
      <x:c r="D2188" s="25" t="str">
        <x:v>tonnes</x:v>
      </x:c>
    </x:row>
    <x:row r="2189" ht="18" customHeight="1">
      <x:c r="A2189" s="25" t="str">
        <x:v>EEZ_660</x:v>
      </x:c>
      <x:c r="B2189" s="25" t="str">
        <x:v>catch_reconciled</x:v>
      </x:c>
      <x:c r="C2189" s="36" t="b">
        <x:v>1</x:v>
      </x:c>
      <x:c r="D2189" s="25" t="str">
        <x:v>boolean</x:v>
      </x:c>
    </x:row>
    <x:row r="2190" ht="18" customHeight="1">
      <x:c r="A2190" s="25" t="str">
        <x:v>EEZ_660</x:v>
      </x:c>
      <x:c r="B2190" s="25" t="str">
        <x:v>matched_catch_tonnes</x:v>
      </x:c>
      <x:c r="C2190" s="25" t="n">
        <x:v>1027.036715517</x:v>
      </x:c>
      <x:c r="D2190" s="25" t="str">
        <x:v>tonnes</x:v>
      </x:c>
    </x:row>
    <x:row r="2191" ht="18" customHeight="1">
      <x:c r="A2191" s="25" t="str">
        <x:v>EEZ_660</x:v>
      </x:c>
      <x:c r="B2191" s="25" t="str">
        <x:v>catch_coverage_fraction</x:v>
      </x:c>
      <x:c r="C2191" s="25" t="n">
        <x:v>1</x:v>
      </x:c>
      <x:c r="D2191" s="25" t="str">
        <x:v>fraction</x:v>
      </x:c>
    </x:row>
    <x:row r="2192" ht="18" customHeight="1">
      <x:c r="A2192" s="25" t="str">
        <x:v>EEZ_660</x:v>
      </x:c>
      <x:c r="B2192" s="25" t="str">
        <x:v>taxa_count</x:v>
      </x:c>
      <x:c r="C2192" s="25" t="n">
        <x:v>24</x:v>
      </x:c>
      <x:c r="D2192" s="25" t="str">
        <x:v>count</x:v>
      </x:c>
    </x:row>
    <x:row r="2193" ht="18" customHeight="1">
      <x:c r="A2193" s="25" t="str">
        <x:v>EEZ_660</x:v>
      </x:c>
      <x:c r="B2193" s="25" t="str">
        <x:v>matched_taxa_count</x:v>
      </x:c>
      <x:c r="C2193" s="25" t="n">
        <x:v>24</x:v>
      </x:c>
      <x:c r="D2193" s="25" t="str">
        <x:v>count</x:v>
      </x:c>
    </x:row>
    <x:row r="2194" ht="18" customHeight="1">
      <x:c r="A2194" s="25" t="str">
        <x:v>EEZ_660</x:v>
      </x:c>
      <x:c r="B2194" s="25" t="str">
        <x:v>unmatched_taxa_count</x:v>
      </x:c>
      <x:c r="C2194" s="25" t="n">
        <x:v>0</x:v>
      </x:c>
      <x:c r="D2194" s="25" t="str">
        <x:v>count</x:v>
      </x:c>
    </x:row>
    <x:row r="2195" ht="18" customHeight="1">
      <x:c r="A2195" s="25" t="str">
        <x:v>EEZ_660</x:v>
      </x:c>
      <x:c r="B2195" s="25" t="str">
        <x:v>species_ppr</x:v>
      </x:c>
      <x:c r="C2195" s="25" t="n">
        <x:v>448305.9886107153</x:v>
      </x:c>
      <x:c r="D2195" s="25" t="str">
        <x:v>tonnes_primary_production_equivalent</x:v>
      </x:c>
    </x:row>
    <x:row r="2196" ht="18" customHeight="1">
      <x:c r="A2196" s="25" t="str">
        <x:v>EEZ_660</x:v>
      </x:c>
      <x:c r="B2196" s="25" t="str">
        <x:v>commercial_ppr</x:v>
      </x:c>
      <x:c r="C2196" s="25" t="n">
        <x:v>333813.7039874791</x:v>
      </x:c>
      <x:c r="D2196" s="25" t="str">
        <x:v>tonnes_primary_production_equivalent</x:v>
      </x:c>
    </x:row>
    <x:row r="2197" ht="18" customHeight="1">
      <x:c r="A2197" s="25" t="str">
        <x:v>EEZ_660</x:v>
      </x:c>
      <x:c r="B2197" s="25" t="str">
        <x:v>functional_ppr</x:v>
      </x:c>
      <x:c r="C2197" s="25" t="n">
        <x:v>414194.8589122577</x:v>
      </x:c>
      <x:c r="D2197" s="25" t="str">
        <x:v>tonnes_primary_production_equivalent</x:v>
      </x:c>
    </x:row>
    <x:row r="2198" ht="18" customHeight="1">
      <x:c r="A2198" s="25" t="str">
        <x:v>EEZ_660</x:v>
      </x:c>
      <x:c r="B2198" s="25" t="str">
        <x:v>commercial_ppr_difference</x:v>
      </x:c>
      <x:c r="C2198" s="25" t="n">
        <x:v>-114492.28462323622</x:v>
      </x:c>
      <x:c r="D2198" s="25" t="str">
        <x:v>tonnes_primary_production_equivalent</x:v>
      </x:c>
    </x:row>
    <x:row r="2199" ht="18" customHeight="1">
      <x:c r="A2199" s="25" t="str">
        <x:v>EEZ_660</x:v>
      </x:c>
      <x:c r="B2199" s="25" t="str">
        <x:v>functional_ppr_difference</x:v>
      </x:c>
      <x:c r="C2199" s="25" t="n">
        <x:v>-34111.129698457604</x:v>
      </x:c>
      <x:c r="D2199" s="25" t="str">
        <x:v>tonnes_primary_production_equivalent</x:v>
      </x:c>
    </x:row>
    <x:row r="2200" ht="18" customHeight="1">
      <x:c r="A2200" s="25" t="str">
        <x:v>EEZ_662</x:v>
      </x:c>
      <x:c r="B2200" s="25" t="str">
        <x:v>raw_filtered_tonnes</x:v>
      </x:c>
      <x:c r="C2200" s="25" t="n">
        <x:v>1454.7830351649</x:v>
      </x:c>
      <x:c r="D2200" s="25" t="str">
        <x:v>tonnes</x:v>
      </x:c>
    </x:row>
    <x:row r="2201" ht="18" customHeight="1">
      <x:c r="A2201" s="25" t="str">
        <x:v>EEZ_662</x:v>
      </x:c>
      <x:c r="B2201" s="25" t="str">
        <x:v>species_catch_tonnes</x:v>
      </x:c>
      <x:c r="C2201" s="25" t="n">
        <x:v>1454.7830351649</x:v>
      </x:c>
      <x:c r="D2201" s="25" t="str">
        <x:v>tonnes</x:v>
      </x:c>
    </x:row>
    <x:row r="2202" ht="18" customHeight="1">
      <x:c r="A2202" s="25" t="str">
        <x:v>EEZ_662</x:v>
      </x:c>
      <x:c r="B2202" s="25" t="str">
        <x:v>catch_difference_tonnes</x:v>
      </x:c>
      <x:c r="C2202" s="25" t="n">
        <x:v>0</x:v>
      </x:c>
      <x:c r="D2202" s="25" t="str">
        <x:v>tonnes</x:v>
      </x:c>
    </x:row>
    <x:row r="2203" ht="18" customHeight="1">
      <x:c r="A2203" s="25" t="str">
        <x:v>EEZ_662</x:v>
      </x:c>
      <x:c r="B2203" s="25" t="str">
        <x:v>catch_reconciled</x:v>
      </x:c>
      <x:c r="C2203" s="36" t="b">
        <x:v>1</x:v>
      </x:c>
      <x:c r="D2203" s="25" t="str">
        <x:v>boolean</x:v>
      </x:c>
    </x:row>
    <x:row r="2204" ht="18" customHeight="1">
      <x:c r="A2204" s="25" t="str">
        <x:v>EEZ_662</x:v>
      </x:c>
      <x:c r="B2204" s="25" t="str">
        <x:v>matched_catch_tonnes</x:v>
      </x:c>
      <x:c r="C2204" s="25" t="n">
        <x:v>1454.7830351649</x:v>
      </x:c>
      <x:c r="D2204" s="25" t="str">
        <x:v>tonnes</x:v>
      </x:c>
    </x:row>
    <x:row r="2205" ht="18" customHeight="1">
      <x:c r="A2205" s="25" t="str">
        <x:v>EEZ_662</x:v>
      </x:c>
      <x:c r="B2205" s="25" t="str">
        <x:v>catch_coverage_fraction</x:v>
      </x:c>
      <x:c r="C2205" s="25" t="n">
        <x:v>1</x:v>
      </x:c>
      <x:c r="D2205" s="25" t="str">
        <x:v>fraction</x:v>
      </x:c>
    </x:row>
    <x:row r="2206" ht="18" customHeight="1">
      <x:c r="A2206" s="25" t="str">
        <x:v>EEZ_662</x:v>
      </x:c>
      <x:c r="B2206" s="25" t="str">
        <x:v>taxa_count</x:v>
      </x:c>
      <x:c r="C2206" s="25" t="n">
        <x:v>72</x:v>
      </x:c>
      <x:c r="D2206" s="25" t="str">
        <x:v>count</x:v>
      </x:c>
    </x:row>
    <x:row r="2207" ht="18" customHeight="1">
      <x:c r="A2207" s="25" t="str">
        <x:v>EEZ_662</x:v>
      </x:c>
      <x:c r="B2207" s="25" t="str">
        <x:v>matched_taxa_count</x:v>
      </x:c>
      <x:c r="C2207" s="25" t="n">
        <x:v>72</x:v>
      </x:c>
      <x:c r="D2207" s="25" t="str">
        <x:v>count</x:v>
      </x:c>
    </x:row>
    <x:row r="2208" ht="18" customHeight="1">
      <x:c r="A2208" s="25" t="str">
        <x:v>EEZ_662</x:v>
      </x:c>
      <x:c r="B2208" s="25" t="str">
        <x:v>unmatched_taxa_count</x:v>
      </x:c>
      <x:c r="C2208" s="25" t="n">
        <x:v>0</x:v>
      </x:c>
      <x:c r="D2208" s="25" t="str">
        <x:v>count</x:v>
      </x:c>
    </x:row>
    <x:row r="2209" ht="18" customHeight="1">
      <x:c r="A2209" s="25" t="str">
        <x:v>EEZ_662</x:v>
      </x:c>
      <x:c r="B2209" s="25" t="str">
        <x:v>species_ppr</x:v>
      </x:c>
      <x:c r="C2209" s="25" t="n">
        <x:v>1369040.7680055425</x:v>
      </x:c>
      <x:c r="D2209" s="25" t="str">
        <x:v>tonnes_primary_production_equivalent</x:v>
      </x:c>
    </x:row>
    <x:row r="2210" ht="18" customHeight="1">
      <x:c r="A2210" s="25" t="str">
        <x:v>EEZ_662</x:v>
      </x:c>
      <x:c r="B2210" s="25" t="str">
        <x:v>commercial_ppr</x:v>
      </x:c>
      <x:c r="C2210" s="25" t="n">
        <x:v>1048677.6806679727</x:v>
      </x:c>
      <x:c r="D2210" s="25" t="str">
        <x:v>tonnes_primary_production_equivalent</x:v>
      </x:c>
    </x:row>
    <x:row r="2211" ht="18" customHeight="1">
      <x:c r="A2211" s="25" t="str">
        <x:v>EEZ_662</x:v>
      </x:c>
      <x:c r="B2211" s="25" t="str">
        <x:v>functional_ppr</x:v>
      </x:c>
      <x:c r="C2211" s="25" t="n">
        <x:v>1251891.6250043544</x:v>
      </x:c>
      <x:c r="D2211" s="25" t="str">
        <x:v>tonnes_primary_production_equivalent</x:v>
      </x:c>
    </x:row>
    <x:row r="2212" ht="18" customHeight="1">
      <x:c r="A2212" s="25" t="str">
        <x:v>EEZ_662</x:v>
      </x:c>
      <x:c r="B2212" s="25" t="str">
        <x:v>commercial_ppr_difference</x:v>
      </x:c>
      <x:c r="C2212" s="25" t="n">
        <x:v>-320363.0873375698</x:v>
      </x:c>
      <x:c r="D2212" s="25" t="str">
        <x:v>tonnes_primary_production_equivalent</x:v>
      </x:c>
    </x:row>
    <x:row r="2213" ht="18" customHeight="1">
      <x:c r="A2213" s="25" t="str">
        <x:v>EEZ_662</x:v>
      </x:c>
      <x:c r="B2213" s="25" t="str">
        <x:v>functional_ppr_difference</x:v>
      </x:c>
      <x:c r="C2213" s="25" t="n">
        <x:v>-117149.14300118806</x:v>
      </x:c>
      <x:c r="D2213" s="25" t="str">
        <x:v>tonnes_primary_production_equivalent</x:v>
      </x:c>
    </x:row>
    <x:row r="2214" ht="18" customHeight="1">
      <x:c r="A2214" s="25" t="str">
        <x:v>EEZ_666</x:v>
      </x:c>
      <x:c r="B2214" s="25" t="str">
        <x:v>raw_filtered_tonnes</x:v>
      </x:c>
      <x:c r="C2214" s="25" t="n">
        <x:v>1766.0866185219998</x:v>
      </x:c>
      <x:c r="D2214" s="25" t="str">
        <x:v>tonnes</x:v>
      </x:c>
    </x:row>
    <x:row r="2215" ht="18" customHeight="1">
      <x:c r="A2215" s="25" t="str">
        <x:v>EEZ_666</x:v>
      </x:c>
      <x:c r="B2215" s="25" t="str">
        <x:v>species_catch_tonnes</x:v>
      </x:c>
      <x:c r="C2215" s="25" t="n">
        <x:v>1766.086618522</x:v>
      </x:c>
      <x:c r="D2215" s="25" t="str">
        <x:v>tonnes</x:v>
      </x:c>
    </x:row>
    <x:row r="2216" ht="18" customHeight="1">
      <x:c r="A2216" s="25" t="str">
        <x:v>EEZ_666</x:v>
      </x:c>
      <x:c r="B2216" s="25" t="str">
        <x:v>catch_difference_tonnes</x:v>
      </x:c>
      <x:c r="C2216" s="25" t="n">
        <x:v>2.2737367544323206e-13</x:v>
      </x:c>
      <x:c r="D2216" s="25" t="str">
        <x:v>tonnes</x:v>
      </x:c>
    </x:row>
    <x:row r="2217" ht="18" customHeight="1">
      <x:c r="A2217" s="25" t="str">
        <x:v>EEZ_666</x:v>
      </x:c>
      <x:c r="B2217" s="25" t="str">
        <x:v>catch_reconciled</x:v>
      </x:c>
      <x:c r="C2217" s="36" t="b">
        <x:v>1</x:v>
      </x:c>
      <x:c r="D2217" s="25" t="str">
        <x:v>boolean</x:v>
      </x:c>
    </x:row>
    <x:row r="2218" ht="18" customHeight="1">
      <x:c r="A2218" s="25" t="str">
        <x:v>EEZ_666</x:v>
      </x:c>
      <x:c r="B2218" s="25" t="str">
        <x:v>matched_catch_tonnes</x:v>
      </x:c>
      <x:c r="C2218" s="25" t="n">
        <x:v>1766.086618522</x:v>
      </x:c>
      <x:c r="D2218" s="25" t="str">
        <x:v>tonnes</x:v>
      </x:c>
    </x:row>
    <x:row r="2219" ht="18" customHeight="1">
      <x:c r="A2219" s="25" t="str">
        <x:v>EEZ_666</x:v>
      </x:c>
      <x:c r="B2219" s="25" t="str">
        <x:v>catch_coverage_fraction</x:v>
      </x:c>
      <x:c r="C2219" s="25" t="n">
        <x:v>1</x:v>
      </x:c>
      <x:c r="D2219" s="25" t="str">
        <x:v>fraction</x:v>
      </x:c>
    </x:row>
    <x:row r="2220" ht="18" customHeight="1">
      <x:c r="A2220" s="25" t="str">
        <x:v>EEZ_666</x:v>
      </x:c>
      <x:c r="B2220" s="25" t="str">
        <x:v>taxa_count</x:v>
      </x:c>
      <x:c r="C2220" s="25" t="n">
        <x:v>21</x:v>
      </x:c>
      <x:c r="D2220" s="25" t="str">
        <x:v>count</x:v>
      </x:c>
    </x:row>
    <x:row r="2221" ht="18" customHeight="1">
      <x:c r="A2221" s="25" t="str">
        <x:v>EEZ_666</x:v>
      </x:c>
      <x:c r="B2221" s="25" t="str">
        <x:v>matched_taxa_count</x:v>
      </x:c>
      <x:c r="C2221" s="25" t="n">
        <x:v>21</x:v>
      </x:c>
      <x:c r="D2221" s="25" t="str">
        <x:v>count</x:v>
      </x:c>
    </x:row>
    <x:row r="2222" ht="18" customHeight="1">
      <x:c r="A2222" s="25" t="str">
        <x:v>EEZ_666</x:v>
      </x:c>
      <x:c r="B2222" s="25" t="str">
        <x:v>unmatched_taxa_count</x:v>
      </x:c>
      <x:c r="C2222" s="25" t="n">
        <x:v>0</x:v>
      </x:c>
      <x:c r="D2222" s="25" t="str">
        <x:v>count</x:v>
      </x:c>
    </x:row>
    <x:row r="2223" ht="18" customHeight="1">
      <x:c r="A2223" s="25" t="str">
        <x:v>EEZ_666</x:v>
      </x:c>
      <x:c r="B2223" s="25" t="str">
        <x:v>species_ppr</x:v>
      </x:c>
      <x:c r="C2223" s="25" t="n">
        <x:v>574386.8852731779</x:v>
      </x:c>
      <x:c r="D2223" s="25" t="str">
        <x:v>tonnes_primary_production_equivalent</x:v>
      </x:c>
    </x:row>
    <x:row r="2224" ht="18" customHeight="1">
      <x:c r="A2224" s="25" t="str">
        <x:v>EEZ_666</x:v>
      </x:c>
      <x:c r="B2224" s="25" t="str">
        <x:v>commercial_ppr</x:v>
      </x:c>
      <x:c r="C2224" s="25" t="n">
        <x:v>532431.3474728933</x:v>
      </x:c>
      <x:c r="D2224" s="25" t="str">
        <x:v>tonnes_primary_production_equivalent</x:v>
      </x:c>
    </x:row>
    <x:row r="2225" ht="18" customHeight="1">
      <x:c r="A2225" s="25" t="str">
        <x:v>EEZ_666</x:v>
      </x:c>
      <x:c r="B2225" s="25" t="str">
        <x:v>functional_ppr</x:v>
      </x:c>
      <x:c r="C2225" s="25" t="n">
        <x:v>538876.9446376901</x:v>
      </x:c>
      <x:c r="D2225" s="25" t="str">
        <x:v>tonnes_primary_production_equivalent</x:v>
      </x:c>
    </x:row>
    <x:row r="2226" ht="18" customHeight="1">
      <x:c r="A2226" s="25" t="str">
        <x:v>EEZ_666</x:v>
      </x:c>
      <x:c r="B2226" s="25" t="str">
        <x:v>commercial_ppr_difference</x:v>
      </x:c>
      <x:c r="C2226" s="25" t="n">
        <x:v>-41955.53780028457</x:v>
      </x:c>
      <x:c r="D2226" s="25" t="str">
        <x:v>tonnes_primary_production_equivalent</x:v>
      </x:c>
    </x:row>
    <x:row r="2227" ht="18" customHeight="1">
      <x:c r="A2227" s="25" t="str">
        <x:v>EEZ_666</x:v>
      </x:c>
      <x:c r="B2227" s="25" t="str">
        <x:v>functional_ppr_difference</x:v>
      </x:c>
      <x:c r="C2227" s="25" t="n">
        <x:v>-35509.94063548779</x:v>
      </x:c>
      <x:c r="D2227" s="25" t="str">
        <x:v>tonnes_primary_production_equivalent</x:v>
      </x:c>
    </x:row>
    <x:row r="2228" ht="18" customHeight="1">
      <x:c r="A2228" s="25" t="str">
        <x:v>EEZ_670</x:v>
      </x:c>
      <x:c r="B2228" s="25" t="str">
        <x:v>raw_filtered_tonnes</x:v>
      </x:c>
      <x:c r="C2228" s="25" t="n">
        <x:v>1694.7906050879</x:v>
      </x:c>
      <x:c r="D2228" s="25" t="str">
        <x:v>tonnes</x:v>
      </x:c>
    </x:row>
    <x:row r="2229" ht="18" customHeight="1">
      <x:c r="A2229" s="25" t="str">
        <x:v>EEZ_670</x:v>
      </x:c>
      <x:c r="B2229" s="25" t="str">
        <x:v>species_catch_tonnes</x:v>
      </x:c>
      <x:c r="C2229" s="25" t="n">
        <x:v>1694.7906050879</x:v>
      </x:c>
      <x:c r="D2229" s="25" t="str">
        <x:v>tonnes</x:v>
      </x:c>
    </x:row>
    <x:row r="2230" ht="18" customHeight="1">
      <x:c r="A2230" s="25" t="str">
        <x:v>EEZ_670</x:v>
      </x:c>
      <x:c r="B2230" s="25" t="str">
        <x:v>catch_difference_tonnes</x:v>
      </x:c>
      <x:c r="C2230" s="25" t="n">
        <x:v>0</x:v>
      </x:c>
      <x:c r="D2230" s="25" t="str">
        <x:v>tonnes</x:v>
      </x:c>
    </x:row>
    <x:row r="2231" ht="18" customHeight="1">
      <x:c r="A2231" s="25" t="str">
        <x:v>EEZ_670</x:v>
      </x:c>
      <x:c r="B2231" s="25" t="str">
        <x:v>catch_reconciled</x:v>
      </x:c>
      <x:c r="C2231" s="36" t="b">
        <x:v>1</x:v>
      </x:c>
      <x:c r="D2231" s="25" t="str">
        <x:v>boolean</x:v>
      </x:c>
    </x:row>
    <x:row r="2232" ht="18" customHeight="1">
      <x:c r="A2232" s="25" t="str">
        <x:v>EEZ_670</x:v>
      </x:c>
      <x:c r="B2232" s="25" t="str">
        <x:v>matched_catch_tonnes</x:v>
      </x:c>
      <x:c r="C2232" s="25" t="n">
        <x:v>1694.7906050879</x:v>
      </x:c>
      <x:c r="D2232" s="25" t="str">
        <x:v>tonnes</x:v>
      </x:c>
    </x:row>
    <x:row r="2233" ht="18" customHeight="1">
      <x:c r="A2233" s="25" t="str">
        <x:v>EEZ_670</x:v>
      </x:c>
      <x:c r="B2233" s="25" t="str">
        <x:v>catch_coverage_fraction</x:v>
      </x:c>
      <x:c r="C2233" s="25" t="n">
        <x:v>1</x:v>
      </x:c>
      <x:c r="D2233" s="25" t="str">
        <x:v>fraction</x:v>
      </x:c>
    </x:row>
    <x:row r="2234" ht="18" customHeight="1">
      <x:c r="A2234" s="25" t="str">
        <x:v>EEZ_670</x:v>
      </x:c>
      <x:c r="B2234" s="25" t="str">
        <x:v>taxa_count</x:v>
      </x:c>
      <x:c r="C2234" s="25" t="n">
        <x:v>93</x:v>
      </x:c>
      <x:c r="D2234" s="25" t="str">
        <x:v>count</x:v>
      </x:c>
    </x:row>
    <x:row r="2235" ht="18" customHeight="1">
      <x:c r="A2235" s="25" t="str">
        <x:v>EEZ_670</x:v>
      </x:c>
      <x:c r="B2235" s="25" t="str">
        <x:v>matched_taxa_count</x:v>
      </x:c>
      <x:c r="C2235" s="25" t="n">
        <x:v>93</x:v>
      </x:c>
      <x:c r="D2235" s="25" t="str">
        <x:v>count</x:v>
      </x:c>
    </x:row>
    <x:row r="2236" ht="18" customHeight="1">
      <x:c r="A2236" s="25" t="str">
        <x:v>EEZ_670</x:v>
      </x:c>
      <x:c r="B2236" s="25" t="str">
        <x:v>unmatched_taxa_count</x:v>
      </x:c>
      <x:c r="C2236" s="25" t="n">
        <x:v>0</x:v>
      </x:c>
      <x:c r="D2236" s="25" t="str">
        <x:v>count</x:v>
      </x:c>
    </x:row>
    <x:row r="2237" ht="18" customHeight="1">
      <x:c r="A2237" s="25" t="str">
        <x:v>EEZ_670</x:v>
      </x:c>
      <x:c r="B2237" s="25" t="str">
        <x:v>species_ppr</x:v>
      </x:c>
      <x:c r="C2237" s="25" t="n">
        <x:v>1747160.988916773</x:v>
      </x:c>
      <x:c r="D2237" s="25" t="str">
        <x:v>tonnes_primary_production_equivalent</x:v>
      </x:c>
    </x:row>
    <x:row r="2238" ht="18" customHeight="1">
      <x:c r="A2238" s="25" t="str">
        <x:v>EEZ_670</x:v>
      </x:c>
      <x:c r="B2238" s="25" t="str">
        <x:v>commercial_ppr</x:v>
      </x:c>
      <x:c r="C2238" s="25" t="n">
        <x:v>1429597.53318564</x:v>
      </x:c>
      <x:c r="D2238" s="25" t="str">
        <x:v>tonnes_primary_production_equivalent</x:v>
      </x:c>
    </x:row>
    <x:row r="2239" ht="18" customHeight="1">
      <x:c r="A2239" s="25" t="str">
        <x:v>EEZ_670</x:v>
      </x:c>
      <x:c r="B2239" s="25" t="str">
        <x:v>functional_ppr</x:v>
      </x:c>
      <x:c r="C2239" s="25" t="n">
        <x:v>1649077.8247641998</x:v>
      </x:c>
      <x:c r="D2239" s="25" t="str">
        <x:v>tonnes_primary_production_equivalent</x:v>
      </x:c>
    </x:row>
    <x:row r="2240" ht="18" customHeight="1">
      <x:c r="A2240" s="25" t="str">
        <x:v>EEZ_670</x:v>
      </x:c>
      <x:c r="B2240" s="25" t="str">
        <x:v>commercial_ppr_difference</x:v>
      </x:c>
      <x:c r="C2240" s="25" t="n">
        <x:v>-317563.45573113323</x:v>
      </x:c>
      <x:c r="D2240" s="25" t="str">
        <x:v>tonnes_primary_production_equivalent</x:v>
      </x:c>
    </x:row>
    <x:row r="2241" ht="18" customHeight="1">
      <x:c r="A2241" s="25" t="str">
        <x:v>EEZ_670</x:v>
      </x:c>
      <x:c r="B2241" s="25" t="str">
        <x:v>functional_ppr_difference</x:v>
      </x:c>
      <x:c r="C2241" s="25" t="n">
        <x:v>-98083.16415257333</x:v>
      </x:c>
      <x:c r="D2241" s="25" t="str">
        <x:v>tonnes_primary_production_equivalent</x:v>
      </x:c>
    </x:row>
    <x:row r="2242" ht="18" customHeight="1">
      <x:c r="A2242" s="25" t="str">
        <x:v>EEZ_678</x:v>
      </x:c>
      <x:c r="B2242" s="25" t="str">
        <x:v>raw_filtered_tonnes</x:v>
      </x:c>
      <x:c r="C2242" s="25" t="n">
        <x:v>11530.348500865499</x:v>
      </x:c>
      <x:c r="D2242" s="25" t="str">
        <x:v>tonnes</x:v>
      </x:c>
    </x:row>
    <x:row r="2243" ht="18" customHeight="1">
      <x:c r="A2243" s="25" t="str">
        <x:v>EEZ_678</x:v>
      </x:c>
      <x:c r="B2243" s="25" t="str">
        <x:v>species_catch_tonnes</x:v>
      </x:c>
      <x:c r="C2243" s="25" t="n">
        <x:v>11530.348500865499</x:v>
      </x:c>
      <x:c r="D2243" s="25" t="str">
        <x:v>tonnes</x:v>
      </x:c>
    </x:row>
    <x:row r="2244" ht="18" customHeight="1">
      <x:c r="A2244" s="25" t="str">
        <x:v>EEZ_678</x:v>
      </x:c>
      <x:c r="B2244" s="25" t="str">
        <x:v>catch_difference_tonnes</x:v>
      </x:c>
      <x:c r="C2244" s="25" t="n">
        <x:v>0</x:v>
      </x:c>
      <x:c r="D2244" s="25" t="str">
        <x:v>tonnes</x:v>
      </x:c>
    </x:row>
    <x:row r="2245" ht="18" customHeight="1">
      <x:c r="A2245" s="25" t="str">
        <x:v>EEZ_678</x:v>
      </x:c>
      <x:c r="B2245" s="25" t="str">
        <x:v>catch_reconciled</x:v>
      </x:c>
      <x:c r="C2245" s="36" t="b">
        <x:v>1</x:v>
      </x:c>
      <x:c r="D2245" s="25" t="str">
        <x:v>boolean</x:v>
      </x:c>
    </x:row>
    <x:row r="2246" ht="18" customHeight="1">
      <x:c r="A2246" s="25" t="str">
        <x:v>EEZ_678</x:v>
      </x:c>
      <x:c r="B2246" s="25" t="str">
        <x:v>matched_catch_tonnes</x:v>
      </x:c>
      <x:c r="C2246" s="25" t="n">
        <x:v>11530.348500865499</x:v>
      </x:c>
      <x:c r="D2246" s="25" t="str">
        <x:v>tonnes</x:v>
      </x:c>
    </x:row>
    <x:row r="2247" ht="18" customHeight="1">
      <x:c r="A2247" s="25" t="str">
        <x:v>EEZ_678</x:v>
      </x:c>
      <x:c r="B2247" s="25" t="str">
        <x:v>catch_coverage_fraction</x:v>
      </x:c>
      <x:c r="C2247" s="25" t="n">
        <x:v>1</x:v>
      </x:c>
      <x:c r="D2247" s="25" t="str">
        <x:v>fraction</x:v>
      </x:c>
    </x:row>
    <x:row r="2248" ht="18" customHeight="1">
      <x:c r="A2248" s="25" t="str">
        <x:v>EEZ_678</x:v>
      </x:c>
      <x:c r="B2248" s="25" t="str">
        <x:v>taxa_count</x:v>
      </x:c>
      <x:c r="C2248" s="25" t="n">
        <x:v>115</x:v>
      </x:c>
      <x:c r="D2248" s="25" t="str">
        <x:v>count</x:v>
      </x:c>
    </x:row>
    <x:row r="2249" ht="18" customHeight="1">
      <x:c r="A2249" s="25" t="str">
        <x:v>EEZ_678</x:v>
      </x:c>
      <x:c r="B2249" s="25" t="str">
        <x:v>matched_taxa_count</x:v>
      </x:c>
      <x:c r="C2249" s="25" t="n">
        <x:v>115</x:v>
      </x:c>
      <x:c r="D2249" s="25" t="str">
        <x:v>count</x:v>
      </x:c>
    </x:row>
    <x:row r="2250" ht="18" customHeight="1">
      <x:c r="A2250" s="25" t="str">
        <x:v>EEZ_678</x:v>
      </x:c>
      <x:c r="B2250" s="25" t="str">
        <x:v>unmatched_taxa_count</x:v>
      </x:c>
      <x:c r="C2250" s="25" t="n">
        <x:v>0</x:v>
      </x:c>
      <x:c r="D2250" s="25" t="str">
        <x:v>count</x:v>
      </x:c>
    </x:row>
    <x:row r="2251" ht="18" customHeight="1">
      <x:c r="A2251" s="25" t="str">
        <x:v>EEZ_678</x:v>
      </x:c>
      <x:c r="B2251" s="25" t="str">
        <x:v>species_ppr</x:v>
      </x:c>
      <x:c r="C2251" s="25" t="n">
        <x:v>13253757.621874493</x:v>
      </x:c>
      <x:c r="D2251" s="25" t="str">
        <x:v>tonnes_primary_production_equivalent</x:v>
      </x:c>
    </x:row>
    <x:row r="2252" ht="18" customHeight="1">
      <x:c r="A2252" s="25" t="str">
        <x:v>EEZ_678</x:v>
      </x:c>
      <x:c r="B2252" s="25" t="str">
        <x:v>commercial_ppr</x:v>
      </x:c>
      <x:c r="C2252" s="25" t="n">
        <x:v>12239742.278498132</x:v>
      </x:c>
      <x:c r="D2252" s="25" t="str">
        <x:v>tonnes_primary_production_equivalent</x:v>
      </x:c>
    </x:row>
    <x:row r="2253" ht="18" customHeight="1">
      <x:c r="A2253" s="25" t="str">
        <x:v>EEZ_678</x:v>
      </x:c>
      <x:c r="B2253" s="25" t="str">
        <x:v>functional_ppr</x:v>
      </x:c>
      <x:c r="C2253" s="25" t="n">
        <x:v>12346995.80337172</x:v>
      </x:c>
      <x:c r="D2253" s="25" t="str">
        <x:v>tonnes_primary_production_equivalent</x:v>
      </x:c>
    </x:row>
    <x:row r="2254" ht="18" customHeight="1">
      <x:c r="A2254" s="25" t="str">
        <x:v>EEZ_678</x:v>
      </x:c>
      <x:c r="B2254" s="25" t="str">
        <x:v>commercial_ppr_difference</x:v>
      </x:c>
      <x:c r="C2254" s="25" t="n">
        <x:v>-1014015.3433763608</x:v>
      </x:c>
      <x:c r="D2254" s="25" t="str">
        <x:v>tonnes_primary_production_equivalent</x:v>
      </x:c>
    </x:row>
    <x:row r="2255" ht="18" customHeight="1">
      <x:c r="A2255" s="25" t="str">
        <x:v>EEZ_678</x:v>
      </x:c>
      <x:c r="B2255" s="25" t="str">
        <x:v>functional_ppr_difference</x:v>
      </x:c>
      <x:c r="C2255" s="25" t="n">
        <x:v>-906761.8185027726</x:v>
      </x:c>
      <x:c r="D2255" s="25" t="str">
        <x:v>tonnes_primary_production_equivalent</x:v>
      </x:c>
    </x:row>
    <x:row r="2256" ht="18" customHeight="1">
      <x:c r="A2256" s="25" t="str">
        <x:v>EEZ_683</x:v>
      </x:c>
      <x:c r="B2256" s="25" t="str">
        <x:v>raw_filtered_tonnes</x:v>
      </x:c>
      <x:c r="C2256" s="25" t="n">
        <x:v>39296.800791863905</x:v>
      </x:c>
      <x:c r="D2256" s="25" t="str">
        <x:v>tonnes</x:v>
      </x:c>
    </x:row>
    <x:row r="2257" ht="18" customHeight="1">
      <x:c r="A2257" s="25" t="str">
        <x:v>EEZ_683</x:v>
      </x:c>
      <x:c r="B2257" s="25" t="str">
        <x:v>species_catch_tonnes</x:v>
      </x:c>
      <x:c r="C2257" s="25" t="n">
        <x:v>39296.800791863905</x:v>
      </x:c>
      <x:c r="D2257" s="25" t="str">
        <x:v>tonnes</x:v>
      </x:c>
    </x:row>
    <x:row r="2258" ht="18" customHeight="1">
      <x:c r="A2258" s="25" t="str">
        <x:v>EEZ_683</x:v>
      </x:c>
      <x:c r="B2258" s="25" t="str">
        <x:v>catch_difference_tonnes</x:v>
      </x:c>
      <x:c r="C2258" s="25" t="n">
        <x:v>0</x:v>
      </x:c>
      <x:c r="D2258" s="25" t="str">
        <x:v>tonnes</x:v>
      </x:c>
    </x:row>
    <x:row r="2259" ht="18" customHeight="1">
      <x:c r="A2259" s="25" t="str">
        <x:v>EEZ_683</x:v>
      </x:c>
      <x:c r="B2259" s="25" t="str">
        <x:v>catch_reconciled</x:v>
      </x:c>
      <x:c r="C2259" s="36" t="b">
        <x:v>1</x:v>
      </x:c>
      <x:c r="D2259" s="25" t="str">
        <x:v>boolean</x:v>
      </x:c>
    </x:row>
    <x:row r="2260" ht="18" customHeight="1">
      <x:c r="A2260" s="25" t="str">
        <x:v>EEZ_683</x:v>
      </x:c>
      <x:c r="B2260" s="25" t="str">
        <x:v>matched_catch_tonnes</x:v>
      </x:c>
      <x:c r="C2260" s="25" t="n">
        <x:v>39296.800791863905</x:v>
      </x:c>
      <x:c r="D2260" s="25" t="str">
        <x:v>tonnes</x:v>
      </x:c>
    </x:row>
    <x:row r="2261" ht="18" customHeight="1">
      <x:c r="A2261" s="25" t="str">
        <x:v>EEZ_683</x:v>
      </x:c>
      <x:c r="B2261" s="25" t="str">
        <x:v>catch_coverage_fraction</x:v>
      </x:c>
      <x:c r="C2261" s="25" t="n">
        <x:v>1</x:v>
      </x:c>
      <x:c r="D2261" s="25" t="str">
        <x:v>fraction</x:v>
      </x:c>
    </x:row>
    <x:row r="2262" ht="18" customHeight="1">
      <x:c r="A2262" s="25" t="str">
        <x:v>EEZ_683</x:v>
      </x:c>
      <x:c r="B2262" s="25" t="str">
        <x:v>taxa_count</x:v>
      </x:c>
      <x:c r="C2262" s="25" t="n">
        <x:v>122</x:v>
      </x:c>
      <x:c r="D2262" s="25" t="str">
        <x:v>count</x:v>
      </x:c>
    </x:row>
    <x:row r="2263" ht="18" customHeight="1">
      <x:c r="A2263" s="25" t="str">
        <x:v>EEZ_683</x:v>
      </x:c>
      <x:c r="B2263" s="25" t="str">
        <x:v>matched_taxa_count</x:v>
      </x:c>
      <x:c r="C2263" s="25" t="n">
        <x:v>122</x:v>
      </x:c>
      <x:c r="D2263" s="25" t="str">
        <x:v>count</x:v>
      </x:c>
    </x:row>
    <x:row r="2264" ht="18" customHeight="1">
      <x:c r="A2264" s="25" t="str">
        <x:v>EEZ_683</x:v>
      </x:c>
      <x:c r="B2264" s="25" t="str">
        <x:v>unmatched_taxa_count</x:v>
      </x:c>
      <x:c r="C2264" s="25" t="n">
        <x:v>0</x:v>
      </x:c>
      <x:c r="D2264" s="25" t="str">
        <x:v>count</x:v>
      </x:c>
    </x:row>
    <x:row r="2265" ht="18" customHeight="1">
      <x:c r="A2265" s="25" t="str">
        <x:v>EEZ_683</x:v>
      </x:c>
      <x:c r="B2265" s="25" t="str">
        <x:v>species_ppr</x:v>
      </x:c>
      <x:c r="C2265" s="25" t="n">
        <x:v>38075252.287188336</x:v>
      </x:c>
      <x:c r="D2265" s="25" t="str">
        <x:v>tonnes_primary_production_equivalent</x:v>
      </x:c>
    </x:row>
    <x:row r="2266" ht="18" customHeight="1">
      <x:c r="A2266" s="25" t="str">
        <x:v>EEZ_683</x:v>
      </x:c>
      <x:c r="B2266" s="25" t="str">
        <x:v>commercial_ppr</x:v>
      </x:c>
      <x:c r="C2266" s="25" t="n">
        <x:v>22624139.603720143</x:v>
      </x:c>
      <x:c r="D2266" s="25" t="str">
        <x:v>tonnes_primary_production_equivalent</x:v>
      </x:c>
    </x:row>
    <x:row r="2267" ht="18" customHeight="1">
      <x:c r="A2267" s="25" t="str">
        <x:v>EEZ_683</x:v>
      </x:c>
      <x:c r="B2267" s="25" t="str">
        <x:v>functional_ppr</x:v>
      </x:c>
      <x:c r="C2267" s="25" t="n">
        <x:v>30442217.503559966</x:v>
      </x:c>
      <x:c r="D2267" s="25" t="str">
        <x:v>tonnes_primary_production_equivalent</x:v>
      </x:c>
    </x:row>
    <x:row r="2268" ht="18" customHeight="1">
      <x:c r="A2268" s="25" t="str">
        <x:v>EEZ_683</x:v>
      </x:c>
      <x:c r="B2268" s="25" t="str">
        <x:v>commercial_ppr_difference</x:v>
      </x:c>
      <x:c r="C2268" s="25" t="n">
        <x:v>-15451112.683468193</x:v>
      </x:c>
      <x:c r="D2268" s="25" t="str">
        <x:v>tonnes_primary_production_equivalent</x:v>
      </x:c>
    </x:row>
    <x:row r="2269" ht="18" customHeight="1">
      <x:c r="A2269" s="25" t="str">
        <x:v>EEZ_683</x:v>
      </x:c>
      <x:c r="B2269" s="25" t="str">
        <x:v>functional_ppr_difference</x:v>
      </x:c>
      <x:c r="C2269" s="25" t="n">
        <x:v>-7633034.783628371</x:v>
      </x:c>
      <x:c r="D2269" s="25" t="str">
        <x:v>tonnes_primary_production_equivalent</x:v>
      </x:c>
    </x:row>
    <x:row r="2270" ht="18" customHeight="1">
      <x:c r="A2270" s="25" t="str">
        <x:v>EEZ_684</x:v>
      </x:c>
      <x:c r="B2270" s="25" t="str">
        <x:v>raw_filtered_tonnes</x:v>
      </x:c>
      <x:c r="C2270" s="25" t="n">
        <x:v>52003.6423239321</x:v>
      </x:c>
      <x:c r="D2270" s="25" t="str">
        <x:v>tonnes</x:v>
      </x:c>
    </x:row>
    <x:row r="2271" ht="18" customHeight="1">
      <x:c r="A2271" s="25" t="str">
        <x:v>EEZ_684</x:v>
      </x:c>
      <x:c r="B2271" s="25" t="str">
        <x:v>species_catch_tonnes</x:v>
      </x:c>
      <x:c r="C2271" s="25" t="n">
        <x:v>52003.642323932094</x:v>
      </x:c>
      <x:c r="D2271" s="25" t="str">
        <x:v>tonnes</x:v>
      </x:c>
    </x:row>
    <x:row r="2272" ht="18" customHeight="1">
      <x:c r="A2272" s="25" t="str">
        <x:v>EEZ_684</x:v>
      </x:c>
      <x:c r="B2272" s="25" t="str">
        <x:v>catch_difference_tonnes</x:v>
      </x:c>
      <x:c r="C2272" s="25" t="n">
        <x:v>-7.275957614183426e-12</x:v>
      </x:c>
      <x:c r="D2272" s="25" t="str">
        <x:v>tonnes</x:v>
      </x:c>
    </x:row>
    <x:row r="2273" ht="18" customHeight="1">
      <x:c r="A2273" s="25" t="str">
        <x:v>EEZ_684</x:v>
      </x:c>
      <x:c r="B2273" s="25" t="str">
        <x:v>catch_reconciled</x:v>
      </x:c>
      <x:c r="C2273" s="36" t="b">
        <x:v>1</x:v>
      </x:c>
      <x:c r="D2273" s="25" t="str">
        <x:v>boolean</x:v>
      </x:c>
    </x:row>
    <x:row r="2274" ht="18" customHeight="1">
      <x:c r="A2274" s="25" t="str">
        <x:v>EEZ_684</x:v>
      </x:c>
      <x:c r="B2274" s="25" t="str">
        <x:v>matched_catch_tonnes</x:v>
      </x:c>
      <x:c r="C2274" s="25" t="n">
        <x:v>52003.642323932094</x:v>
      </x:c>
      <x:c r="D2274" s="25" t="str">
        <x:v>tonnes</x:v>
      </x:c>
    </x:row>
    <x:row r="2275" ht="18" customHeight="1">
      <x:c r="A2275" s="25" t="str">
        <x:v>EEZ_684</x:v>
      </x:c>
      <x:c r="B2275" s="25" t="str">
        <x:v>catch_coverage_fraction</x:v>
      </x:c>
      <x:c r="C2275" s="25" t="n">
        <x:v>1</x:v>
      </x:c>
      <x:c r="D2275" s="25" t="str">
        <x:v>fraction</x:v>
      </x:c>
    </x:row>
    <x:row r="2276" ht="18" customHeight="1">
      <x:c r="A2276" s="25" t="str">
        <x:v>EEZ_684</x:v>
      </x:c>
      <x:c r="B2276" s="25" t="str">
        <x:v>taxa_count</x:v>
      </x:c>
      <x:c r="C2276" s="25" t="n">
        <x:v>101</x:v>
      </x:c>
      <x:c r="D2276" s="25" t="str">
        <x:v>count</x:v>
      </x:c>
    </x:row>
    <x:row r="2277" ht="18" customHeight="1">
      <x:c r="A2277" s="25" t="str">
        <x:v>EEZ_684</x:v>
      </x:c>
      <x:c r="B2277" s="25" t="str">
        <x:v>matched_taxa_count</x:v>
      </x:c>
      <x:c r="C2277" s="25" t="n">
        <x:v>101</x:v>
      </x:c>
      <x:c r="D2277" s="25" t="str">
        <x:v>count</x:v>
      </x:c>
    </x:row>
    <x:row r="2278" ht="18" customHeight="1">
      <x:c r="A2278" s="25" t="str">
        <x:v>EEZ_684</x:v>
      </x:c>
      <x:c r="B2278" s="25" t="str">
        <x:v>unmatched_taxa_count</x:v>
      </x:c>
      <x:c r="C2278" s="25" t="n">
        <x:v>0</x:v>
      </x:c>
      <x:c r="D2278" s="25" t="str">
        <x:v>count</x:v>
      </x:c>
    </x:row>
    <x:row r="2279" ht="18" customHeight="1">
      <x:c r="A2279" s="25" t="str">
        <x:v>EEZ_684</x:v>
      </x:c>
      <x:c r="B2279" s="25" t="str">
        <x:v>species_ppr</x:v>
      </x:c>
      <x:c r="C2279" s="25" t="n">
        <x:v>49497257.93937051</x:v>
      </x:c>
      <x:c r="D2279" s="25" t="str">
        <x:v>tonnes_primary_production_equivalent</x:v>
      </x:c>
    </x:row>
    <x:row r="2280" ht="18" customHeight="1">
      <x:c r="A2280" s="25" t="str">
        <x:v>EEZ_684</x:v>
      </x:c>
      <x:c r="B2280" s="25" t="str">
        <x:v>commercial_ppr</x:v>
      </x:c>
      <x:c r="C2280" s="25" t="n">
        <x:v>27757809.108077534</x:v>
      </x:c>
      <x:c r="D2280" s="25" t="str">
        <x:v>tonnes_primary_production_equivalent</x:v>
      </x:c>
    </x:row>
    <x:row r="2281" ht="18" customHeight="1">
      <x:c r="A2281" s="25" t="str">
        <x:v>EEZ_684</x:v>
      </x:c>
      <x:c r="B2281" s="25" t="str">
        <x:v>functional_ppr</x:v>
      </x:c>
      <x:c r="C2281" s="25" t="n">
        <x:v>36273332.4841109</x:v>
      </x:c>
      <x:c r="D2281" s="25" t="str">
        <x:v>tonnes_primary_production_equivalent</x:v>
      </x:c>
    </x:row>
    <x:row r="2282" ht="18" customHeight="1">
      <x:c r="A2282" s="25" t="str">
        <x:v>EEZ_684</x:v>
      </x:c>
      <x:c r="B2282" s="25" t="str">
        <x:v>commercial_ppr_difference</x:v>
      </x:c>
      <x:c r="C2282" s="25" t="n">
        <x:v>-21739448.83129298</x:v>
      </x:c>
      <x:c r="D2282" s="25" t="str">
        <x:v>tonnes_primary_production_equivalent</x:v>
      </x:c>
    </x:row>
    <x:row r="2283" ht="18" customHeight="1">
      <x:c r="A2283" s="25" t="str">
        <x:v>EEZ_684</x:v>
      </x:c>
      <x:c r="B2283" s="25" t="str">
        <x:v>functional_ppr_difference</x:v>
      </x:c>
      <x:c r="C2283" s="25" t="n">
        <x:v>-13223925.455259614</x:v>
      </x:c>
      <x:c r="D2283" s="25" t="str">
        <x:v>tonnes_primary_production_equivalent</x:v>
      </x:c>
    </x:row>
    <x:row r="2284" ht="18" customHeight="1">
      <x:c r="A2284" s="25" t="str">
        <x:v>EEZ_686</x:v>
      </x:c>
      <x:c r="B2284" s="25" t="str">
        <x:v>raw_filtered_tonnes</x:v>
      </x:c>
      <x:c r="C2284" s="25" t="n">
        <x:v>542145.3642563997</x:v>
      </x:c>
      <x:c r="D2284" s="25" t="str">
        <x:v>tonnes</x:v>
      </x:c>
    </x:row>
    <x:row r="2285" ht="18" customHeight="1">
      <x:c r="A2285" s="25" t="str">
        <x:v>EEZ_686</x:v>
      </x:c>
      <x:c r="B2285" s="25" t="str">
        <x:v>species_catch_tonnes</x:v>
      </x:c>
      <x:c r="C2285" s="25" t="n">
        <x:v>542145.3642563997</x:v>
      </x:c>
      <x:c r="D2285" s="25" t="str">
        <x:v>tonnes</x:v>
      </x:c>
    </x:row>
    <x:row r="2286" ht="18" customHeight="1">
      <x:c r="A2286" s="25" t="str">
        <x:v>EEZ_686</x:v>
      </x:c>
      <x:c r="B2286" s="25" t="str">
        <x:v>catch_difference_tonnes</x:v>
      </x:c>
      <x:c r="C2286" s="25" t="n">
        <x:v>0</x:v>
      </x:c>
      <x:c r="D2286" s="25" t="str">
        <x:v>tonnes</x:v>
      </x:c>
    </x:row>
    <x:row r="2287" ht="18" customHeight="1">
      <x:c r="A2287" s="25" t="str">
        <x:v>EEZ_686</x:v>
      </x:c>
      <x:c r="B2287" s="25" t="str">
        <x:v>catch_reconciled</x:v>
      </x:c>
      <x:c r="C2287" s="36" t="b">
        <x:v>1</x:v>
      </x:c>
      <x:c r="D2287" s="25" t="str">
        <x:v>boolean</x:v>
      </x:c>
    </x:row>
    <x:row r="2288" ht="18" customHeight="1">
      <x:c r="A2288" s="25" t="str">
        <x:v>EEZ_686</x:v>
      </x:c>
      <x:c r="B2288" s="25" t="str">
        <x:v>matched_catch_tonnes</x:v>
      </x:c>
      <x:c r="C2288" s="25" t="n">
        <x:v>542145.3642563997</x:v>
      </x:c>
      <x:c r="D2288" s="25" t="str">
        <x:v>tonnes</x:v>
      </x:c>
    </x:row>
    <x:row r="2289" ht="18" customHeight="1">
      <x:c r="A2289" s="25" t="str">
        <x:v>EEZ_686</x:v>
      </x:c>
      <x:c r="B2289" s="25" t="str">
        <x:v>catch_coverage_fraction</x:v>
      </x:c>
      <x:c r="C2289" s="25" t="n">
        <x:v>1</x:v>
      </x:c>
      <x:c r="D2289" s="25" t="str">
        <x:v>fraction</x:v>
      </x:c>
    </x:row>
    <x:row r="2290" ht="18" customHeight="1">
      <x:c r="A2290" s="25" t="str">
        <x:v>EEZ_686</x:v>
      </x:c>
      <x:c r="B2290" s="25" t="str">
        <x:v>taxa_count</x:v>
      </x:c>
      <x:c r="C2290" s="25" t="n">
        <x:v>256</x:v>
      </x:c>
      <x:c r="D2290" s="25" t="str">
        <x:v>count</x:v>
      </x:c>
    </x:row>
    <x:row r="2291" ht="18" customHeight="1">
      <x:c r="A2291" s="25" t="str">
        <x:v>EEZ_686</x:v>
      </x:c>
      <x:c r="B2291" s="25" t="str">
        <x:v>matched_taxa_count</x:v>
      </x:c>
      <x:c r="C2291" s="25" t="n">
        <x:v>256</x:v>
      </x:c>
      <x:c r="D2291" s="25" t="str">
        <x:v>count</x:v>
      </x:c>
    </x:row>
    <x:row r="2292" ht="18" customHeight="1">
      <x:c r="A2292" s="25" t="str">
        <x:v>EEZ_686</x:v>
      </x:c>
      <x:c r="B2292" s="25" t="str">
        <x:v>unmatched_taxa_count</x:v>
      </x:c>
      <x:c r="C2292" s="25" t="n">
        <x:v>0</x:v>
      </x:c>
      <x:c r="D2292" s="25" t="str">
        <x:v>count</x:v>
      </x:c>
    </x:row>
    <x:row r="2293" ht="18" customHeight="1">
      <x:c r="A2293" s="25" t="str">
        <x:v>EEZ_686</x:v>
      </x:c>
      <x:c r="B2293" s="25" t="str">
        <x:v>species_ppr</x:v>
      </x:c>
      <x:c r="C2293" s="25" t="n">
        <x:v>263403378.0497803</x:v>
      </x:c>
      <x:c r="D2293" s="25" t="str">
        <x:v>tonnes_primary_production_equivalent</x:v>
      </x:c>
    </x:row>
    <x:row r="2294" ht="18" customHeight="1">
      <x:c r="A2294" s="25" t="str">
        <x:v>EEZ_686</x:v>
      </x:c>
      <x:c r="B2294" s="25" t="str">
        <x:v>commercial_ppr</x:v>
      </x:c>
      <x:c r="C2294" s="25" t="n">
        <x:v>223582525.0829516</x:v>
      </x:c>
      <x:c r="D2294" s="25" t="str">
        <x:v>tonnes_primary_production_equivalent</x:v>
      </x:c>
    </x:row>
    <x:row r="2295" ht="18" customHeight="1">
      <x:c r="A2295" s="25" t="str">
        <x:v>EEZ_686</x:v>
      </x:c>
      <x:c r="B2295" s="25" t="str">
        <x:v>functional_ppr</x:v>
      </x:c>
      <x:c r="C2295" s="25" t="n">
        <x:v>222639224.56650266</x:v>
      </x:c>
      <x:c r="D2295" s="25" t="str">
        <x:v>tonnes_primary_production_equivalent</x:v>
      </x:c>
    </x:row>
    <x:row r="2296" ht="18" customHeight="1">
      <x:c r="A2296" s="25" t="str">
        <x:v>EEZ_686</x:v>
      </x:c>
      <x:c r="B2296" s="25" t="str">
        <x:v>commercial_ppr_difference</x:v>
      </x:c>
      <x:c r="C2296" s="25" t="n">
        <x:v>-39820852.966828704</x:v>
      </x:c>
      <x:c r="D2296" s="25" t="str">
        <x:v>tonnes_primary_production_equivalent</x:v>
      </x:c>
    </x:row>
    <x:row r="2297" ht="18" customHeight="1">
      <x:c r="A2297" s="25" t="str">
        <x:v>EEZ_686</x:v>
      </x:c>
      <x:c r="B2297" s="25" t="str">
        <x:v>functional_ppr_difference</x:v>
      </x:c>
      <x:c r="C2297" s="25" t="n">
        <x:v>-40764153.48327765</x:v>
      </x:c>
      <x:c r="D2297" s="25" t="str">
        <x:v>tonnes_primary_production_equivalent</x:v>
      </x:c>
    </x:row>
    <x:row r="2298" ht="18" customHeight="1">
      <x:c r="A2298" s="25" t="str">
        <x:v>EEZ_690</x:v>
      </x:c>
      <x:c r="B2298" s="25" t="str">
        <x:v>raw_filtered_tonnes</x:v>
      </x:c>
      <x:c r="C2298" s="25" t="n">
        <x:v>18710.237207483602</x:v>
      </x:c>
      <x:c r="D2298" s="25" t="str">
        <x:v>tonnes</x:v>
      </x:c>
    </x:row>
    <x:row r="2299" ht="18" customHeight="1">
      <x:c r="A2299" s="25" t="str">
        <x:v>EEZ_690</x:v>
      </x:c>
      <x:c r="B2299" s="25" t="str">
        <x:v>species_catch_tonnes</x:v>
      </x:c>
      <x:c r="C2299" s="25" t="n">
        <x:v>18710.237207483602</x:v>
      </x:c>
      <x:c r="D2299" s="25" t="str">
        <x:v>tonnes</x:v>
      </x:c>
    </x:row>
    <x:row r="2300" ht="18" customHeight="1">
      <x:c r="A2300" s="25" t="str">
        <x:v>EEZ_690</x:v>
      </x:c>
      <x:c r="B2300" s="25" t="str">
        <x:v>catch_difference_tonnes</x:v>
      </x:c>
      <x:c r="C2300" s="25" t="n">
        <x:v>0</x:v>
      </x:c>
      <x:c r="D2300" s="25" t="str">
        <x:v>tonnes</x:v>
      </x:c>
    </x:row>
    <x:row r="2301" ht="18" customHeight="1">
      <x:c r="A2301" s="25" t="str">
        <x:v>EEZ_690</x:v>
      </x:c>
      <x:c r="B2301" s="25" t="str">
        <x:v>catch_reconciled</x:v>
      </x:c>
      <x:c r="C2301" s="36" t="b">
        <x:v>1</x:v>
      </x:c>
      <x:c r="D2301" s="25" t="str">
        <x:v>boolean</x:v>
      </x:c>
    </x:row>
    <x:row r="2302" ht="18" customHeight="1">
      <x:c r="A2302" s="25" t="str">
        <x:v>EEZ_690</x:v>
      </x:c>
      <x:c r="B2302" s="25" t="str">
        <x:v>matched_catch_tonnes</x:v>
      </x:c>
      <x:c r="C2302" s="25" t="n">
        <x:v>18710.237207483602</x:v>
      </x:c>
      <x:c r="D2302" s="25" t="str">
        <x:v>tonnes</x:v>
      </x:c>
    </x:row>
    <x:row r="2303" ht="18" customHeight="1">
      <x:c r="A2303" s="25" t="str">
        <x:v>EEZ_690</x:v>
      </x:c>
      <x:c r="B2303" s="25" t="str">
        <x:v>catch_coverage_fraction</x:v>
      </x:c>
      <x:c r="C2303" s="25" t="n">
        <x:v>1</x:v>
      </x:c>
      <x:c r="D2303" s="25" t="str">
        <x:v>fraction</x:v>
      </x:c>
    </x:row>
    <x:row r="2304" ht="18" customHeight="1">
      <x:c r="A2304" s="25" t="str">
        <x:v>EEZ_690</x:v>
      </x:c>
      <x:c r="B2304" s="25" t="str">
        <x:v>taxa_count</x:v>
      </x:c>
      <x:c r="C2304" s="25" t="n">
        <x:v>118</x:v>
      </x:c>
      <x:c r="D2304" s="25" t="str">
        <x:v>count</x:v>
      </x:c>
    </x:row>
    <x:row r="2305" ht="18" customHeight="1">
      <x:c r="A2305" s="25" t="str">
        <x:v>EEZ_690</x:v>
      </x:c>
      <x:c r="B2305" s="25" t="str">
        <x:v>matched_taxa_count</x:v>
      </x:c>
      <x:c r="C2305" s="25" t="n">
        <x:v>118</x:v>
      </x:c>
      <x:c r="D2305" s="25" t="str">
        <x:v>count</x:v>
      </x:c>
    </x:row>
    <x:row r="2306" ht="18" customHeight="1">
      <x:c r="A2306" s="25" t="str">
        <x:v>EEZ_690</x:v>
      </x:c>
      <x:c r="B2306" s="25" t="str">
        <x:v>unmatched_taxa_count</x:v>
      </x:c>
      <x:c r="C2306" s="25" t="n">
        <x:v>0</x:v>
      </x:c>
      <x:c r="D2306" s="25" t="str">
        <x:v>count</x:v>
      </x:c>
    </x:row>
    <x:row r="2307" ht="18" customHeight="1">
      <x:c r="A2307" s="25" t="str">
        <x:v>EEZ_690</x:v>
      </x:c>
      <x:c r="B2307" s="25" t="str">
        <x:v>species_ppr</x:v>
      </x:c>
      <x:c r="C2307" s="25" t="n">
        <x:v>32871376.210854456</x:v>
      </x:c>
      <x:c r="D2307" s="25" t="str">
        <x:v>tonnes_primary_production_equivalent</x:v>
      </x:c>
    </x:row>
    <x:row r="2308" ht="18" customHeight="1">
      <x:c r="A2308" s="25" t="str">
        <x:v>EEZ_690</x:v>
      </x:c>
      <x:c r="B2308" s="25" t="str">
        <x:v>commercial_ppr</x:v>
      </x:c>
      <x:c r="C2308" s="25" t="n">
        <x:v>27077113.811881226</x:v>
      </x:c>
      <x:c r="D2308" s="25" t="str">
        <x:v>tonnes_primary_production_equivalent</x:v>
      </x:c>
    </x:row>
    <x:row r="2309" ht="18" customHeight="1">
      <x:c r="A2309" s="25" t="str">
        <x:v>EEZ_690</x:v>
      </x:c>
      <x:c r="B2309" s="25" t="str">
        <x:v>functional_ppr</x:v>
      </x:c>
      <x:c r="C2309" s="25" t="n">
        <x:v>28959993.568596356</x:v>
      </x:c>
      <x:c r="D2309" s="25" t="str">
        <x:v>tonnes_primary_production_equivalent</x:v>
      </x:c>
    </x:row>
    <x:row r="2310" ht="18" customHeight="1">
      <x:c r="A2310" s="25" t="str">
        <x:v>EEZ_690</x:v>
      </x:c>
      <x:c r="B2310" s="25" t="str">
        <x:v>commercial_ppr_difference</x:v>
      </x:c>
      <x:c r="C2310" s="25" t="n">
        <x:v>-5794262.39897323</x:v>
      </x:c>
      <x:c r="D2310" s="25" t="str">
        <x:v>tonnes_primary_production_equivalent</x:v>
      </x:c>
    </x:row>
    <x:row r="2311" ht="18" customHeight="1">
      <x:c r="A2311" s="25" t="str">
        <x:v>EEZ_690</x:v>
      </x:c>
      <x:c r="B2311" s="25" t="str">
        <x:v>functional_ppr_difference</x:v>
      </x:c>
      <x:c r="C2311" s="25" t="n">
        <x:v>-3911382.6422581</x:v>
      </x:c>
      <x:c r="D2311" s="25" t="str">
        <x:v>tonnes_primary_production_equivalent</x:v>
      </x:c>
    </x:row>
    <x:row r="2312" ht="18" customHeight="1">
      <x:c r="A2312" s="25" t="str">
        <x:v>EEZ_694</x:v>
      </x:c>
      <x:c r="B2312" s="25" t="str">
        <x:v>raw_filtered_tonnes</x:v>
      </x:c>
      <x:c r="C2312" s="25" t="n">
        <x:v>442517.00676733244</x:v>
      </x:c>
      <x:c r="D2312" s="25" t="str">
        <x:v>tonnes</x:v>
      </x:c>
    </x:row>
    <x:row r="2313" ht="18" customHeight="1">
      <x:c r="A2313" s="25" t="str">
        <x:v>EEZ_694</x:v>
      </x:c>
      <x:c r="B2313" s="25" t="str">
        <x:v>species_catch_tonnes</x:v>
      </x:c>
      <x:c r="C2313" s="25" t="n">
        <x:v>442517.00676733244</x:v>
      </x:c>
      <x:c r="D2313" s="25" t="str">
        <x:v>tonnes</x:v>
      </x:c>
    </x:row>
    <x:row r="2314" ht="18" customHeight="1">
      <x:c r="A2314" s="25" t="str">
        <x:v>EEZ_694</x:v>
      </x:c>
      <x:c r="B2314" s="25" t="str">
        <x:v>catch_difference_tonnes</x:v>
      </x:c>
      <x:c r="C2314" s="25" t="n">
        <x:v>0</x:v>
      </x:c>
      <x:c r="D2314" s="25" t="str">
        <x:v>tonnes</x:v>
      </x:c>
    </x:row>
    <x:row r="2315" ht="18" customHeight="1">
      <x:c r="A2315" s="25" t="str">
        <x:v>EEZ_694</x:v>
      </x:c>
      <x:c r="B2315" s="25" t="str">
        <x:v>catch_reconciled</x:v>
      </x:c>
      <x:c r="C2315" s="36" t="b">
        <x:v>1</x:v>
      </x:c>
      <x:c r="D2315" s="25" t="str">
        <x:v>boolean</x:v>
      </x:c>
    </x:row>
    <x:row r="2316" ht="18" customHeight="1">
      <x:c r="A2316" s="25" t="str">
        <x:v>EEZ_694</x:v>
      </x:c>
      <x:c r="B2316" s="25" t="str">
        <x:v>matched_catch_tonnes</x:v>
      </x:c>
      <x:c r="C2316" s="25" t="n">
        <x:v>442517.00676733244</x:v>
      </x:c>
      <x:c r="D2316" s="25" t="str">
        <x:v>tonnes</x:v>
      </x:c>
    </x:row>
    <x:row r="2317" ht="18" customHeight="1">
      <x:c r="A2317" s="25" t="str">
        <x:v>EEZ_694</x:v>
      </x:c>
      <x:c r="B2317" s="25" t="str">
        <x:v>catch_coverage_fraction</x:v>
      </x:c>
      <x:c r="C2317" s="25" t="n">
        <x:v>1</x:v>
      </x:c>
      <x:c r="D2317" s="25" t="str">
        <x:v>fraction</x:v>
      </x:c>
    </x:row>
    <x:row r="2318" ht="18" customHeight="1">
      <x:c r="A2318" s="25" t="str">
        <x:v>EEZ_694</x:v>
      </x:c>
      <x:c r="B2318" s="25" t="str">
        <x:v>taxa_count</x:v>
      </x:c>
      <x:c r="C2318" s="25" t="n">
        <x:v>214</x:v>
      </x:c>
      <x:c r="D2318" s="25" t="str">
        <x:v>count</x:v>
      </x:c>
    </x:row>
    <x:row r="2319" ht="18" customHeight="1">
      <x:c r="A2319" s="25" t="str">
        <x:v>EEZ_694</x:v>
      </x:c>
      <x:c r="B2319" s="25" t="str">
        <x:v>matched_taxa_count</x:v>
      </x:c>
      <x:c r="C2319" s="25" t="n">
        <x:v>214</x:v>
      </x:c>
      <x:c r="D2319" s="25" t="str">
        <x:v>count</x:v>
      </x:c>
    </x:row>
    <x:row r="2320" ht="18" customHeight="1">
      <x:c r="A2320" s="25" t="str">
        <x:v>EEZ_694</x:v>
      </x:c>
      <x:c r="B2320" s="25" t="str">
        <x:v>unmatched_taxa_count</x:v>
      </x:c>
      <x:c r="C2320" s="25" t="n">
        <x:v>0</x:v>
      </x:c>
      <x:c r="D2320" s="25" t="str">
        <x:v>count</x:v>
      </x:c>
    </x:row>
    <x:row r="2321" ht="18" customHeight="1">
      <x:c r="A2321" s="25" t="str">
        <x:v>EEZ_694</x:v>
      </x:c>
      <x:c r="B2321" s="25" t="str">
        <x:v>species_ppr</x:v>
      </x:c>
      <x:c r="C2321" s="25" t="n">
        <x:v>188913523.83892518</x:v>
      </x:c>
      <x:c r="D2321" s="25" t="str">
        <x:v>tonnes_primary_production_equivalent</x:v>
      </x:c>
    </x:row>
    <x:row r="2322" ht="18" customHeight="1">
      <x:c r="A2322" s="25" t="str">
        <x:v>EEZ_694</x:v>
      </x:c>
      <x:c r="B2322" s="25" t="str">
        <x:v>commercial_ppr</x:v>
      </x:c>
      <x:c r="C2322" s="25" t="n">
        <x:v>146072990.1542673</x:v>
      </x:c>
      <x:c r="D2322" s="25" t="str">
        <x:v>tonnes_primary_production_equivalent</x:v>
      </x:c>
    </x:row>
    <x:row r="2323" ht="18" customHeight="1">
      <x:c r="A2323" s="25" t="str">
        <x:v>EEZ_694</x:v>
      </x:c>
      <x:c r="B2323" s="25" t="str">
        <x:v>functional_ppr</x:v>
      </x:c>
      <x:c r="C2323" s="25" t="n">
        <x:v>143010668.57291692</x:v>
      </x:c>
      <x:c r="D2323" s="25" t="str">
        <x:v>tonnes_primary_production_equivalent</x:v>
      </x:c>
    </x:row>
    <x:row r="2324" ht="18" customHeight="1">
      <x:c r="A2324" s="25" t="str">
        <x:v>EEZ_694</x:v>
      </x:c>
      <x:c r="B2324" s="25" t="str">
        <x:v>commercial_ppr_difference</x:v>
      </x:c>
      <x:c r="C2324" s="25" t="n">
        <x:v>-42840533.68465787</x:v>
      </x:c>
      <x:c r="D2324" s="25" t="str">
        <x:v>tonnes_primary_production_equivalent</x:v>
      </x:c>
    </x:row>
    <x:row r="2325" ht="18" customHeight="1">
      <x:c r="A2325" s="25" t="str">
        <x:v>EEZ_694</x:v>
      </x:c>
      <x:c r="B2325" s="25" t="str">
        <x:v>functional_ppr_difference</x:v>
      </x:c>
      <x:c r="C2325" s="25" t="n">
        <x:v>-45902855.26600826</x:v>
      </x:c>
      <x:c r="D2325" s="25" t="str">
        <x:v>tonnes_primary_production_equivalent</x:v>
      </x:c>
    </x:row>
    <x:row r="2326" ht="18" customHeight="1">
      <x:c r="A2326" s="25" t="str">
        <x:v>EEZ_702</x:v>
      </x:c>
      <x:c r="B2326" s="25" t="str">
        <x:v>raw_filtered_tonnes</x:v>
      </x:c>
      <x:c r="C2326" s="25" t="n">
        <x:v>3539.5904974153</x:v>
      </x:c>
      <x:c r="D2326" s="25" t="str">
        <x:v>tonnes</x:v>
      </x:c>
    </x:row>
    <x:row r="2327" ht="18" customHeight="1">
      <x:c r="A2327" s="25" t="str">
        <x:v>EEZ_702</x:v>
      </x:c>
      <x:c r="B2327" s="25" t="str">
        <x:v>species_catch_tonnes</x:v>
      </x:c>
      <x:c r="C2327" s="25" t="n">
        <x:v>3539.5904974153</x:v>
      </x:c>
      <x:c r="D2327" s="25" t="str">
        <x:v>tonnes</x:v>
      </x:c>
    </x:row>
    <x:row r="2328" ht="18" customHeight="1">
      <x:c r="A2328" s="25" t="str">
        <x:v>EEZ_702</x:v>
      </x:c>
      <x:c r="B2328" s="25" t="str">
        <x:v>catch_difference_tonnes</x:v>
      </x:c>
      <x:c r="C2328" s="25" t="n">
        <x:v>0</x:v>
      </x:c>
      <x:c r="D2328" s="25" t="str">
        <x:v>tonnes</x:v>
      </x:c>
    </x:row>
    <x:row r="2329" ht="18" customHeight="1">
      <x:c r="A2329" s="25" t="str">
        <x:v>EEZ_702</x:v>
      </x:c>
      <x:c r="B2329" s="25" t="str">
        <x:v>catch_reconciled</x:v>
      </x:c>
      <x:c r="C2329" s="36" t="b">
        <x:v>1</x:v>
      </x:c>
      <x:c r="D2329" s="25" t="str">
        <x:v>boolean</x:v>
      </x:c>
    </x:row>
    <x:row r="2330" ht="18" customHeight="1">
      <x:c r="A2330" s="25" t="str">
        <x:v>EEZ_702</x:v>
      </x:c>
      <x:c r="B2330" s="25" t="str">
        <x:v>matched_catch_tonnes</x:v>
      </x:c>
      <x:c r="C2330" s="25" t="n">
        <x:v>3539.5904974153</x:v>
      </x:c>
      <x:c r="D2330" s="25" t="str">
        <x:v>tonnes</x:v>
      </x:c>
    </x:row>
    <x:row r="2331" ht="18" customHeight="1">
      <x:c r="A2331" s="25" t="str">
        <x:v>EEZ_702</x:v>
      </x:c>
      <x:c r="B2331" s="25" t="str">
        <x:v>catch_coverage_fraction</x:v>
      </x:c>
      <x:c r="C2331" s="25" t="n">
        <x:v>1</x:v>
      </x:c>
      <x:c r="D2331" s="25" t="str">
        <x:v>fraction</x:v>
      </x:c>
    </x:row>
    <x:row r="2332" ht="18" customHeight="1">
      <x:c r="A2332" s="25" t="str">
        <x:v>EEZ_702</x:v>
      </x:c>
      <x:c r="B2332" s="25" t="str">
        <x:v>taxa_count</x:v>
      </x:c>
      <x:c r="C2332" s="25" t="n">
        <x:v>28</x:v>
      </x:c>
      <x:c r="D2332" s="25" t="str">
        <x:v>count</x:v>
      </x:c>
    </x:row>
    <x:row r="2333" ht="18" customHeight="1">
      <x:c r="A2333" s="25" t="str">
        <x:v>EEZ_702</x:v>
      </x:c>
      <x:c r="B2333" s="25" t="str">
        <x:v>matched_taxa_count</x:v>
      </x:c>
      <x:c r="C2333" s="25" t="n">
        <x:v>28</x:v>
      </x:c>
      <x:c r="D2333" s="25" t="str">
        <x:v>count</x:v>
      </x:c>
    </x:row>
    <x:row r="2334" ht="18" customHeight="1">
      <x:c r="A2334" s="25" t="str">
        <x:v>EEZ_702</x:v>
      </x:c>
      <x:c r="B2334" s="25" t="str">
        <x:v>unmatched_taxa_count</x:v>
      </x:c>
      <x:c r="C2334" s="25" t="n">
        <x:v>0</x:v>
      </x:c>
      <x:c r="D2334" s="25" t="str">
        <x:v>count</x:v>
      </x:c>
    </x:row>
    <x:row r="2335" ht="18" customHeight="1">
      <x:c r="A2335" s="25" t="str">
        <x:v>EEZ_702</x:v>
      </x:c>
      <x:c r="B2335" s="25" t="str">
        <x:v>species_ppr</x:v>
      </x:c>
      <x:c r="C2335" s="25" t="n">
        <x:v>1866751.9294676457</x:v>
      </x:c>
      <x:c r="D2335" s="25" t="str">
        <x:v>tonnes_primary_production_equivalent</x:v>
      </x:c>
    </x:row>
    <x:row r="2336" ht="18" customHeight="1">
      <x:c r="A2336" s="25" t="str">
        <x:v>EEZ_702</x:v>
      </x:c>
      <x:c r="B2336" s="25" t="str">
        <x:v>commercial_ppr</x:v>
      </x:c>
      <x:c r="C2336" s="25" t="n">
        <x:v>1355193.8352168016</x:v>
      </x:c>
      <x:c r="D2336" s="25" t="str">
        <x:v>tonnes_primary_production_equivalent</x:v>
      </x:c>
    </x:row>
    <x:row r="2337" ht="18" customHeight="1">
      <x:c r="A2337" s="25" t="str">
        <x:v>EEZ_702</x:v>
      </x:c>
      <x:c r="B2337" s="25" t="str">
        <x:v>functional_ppr</x:v>
      </x:c>
      <x:c r="C2337" s="25" t="n">
        <x:v>1557480.524856959</x:v>
      </x:c>
      <x:c r="D2337" s="25" t="str">
        <x:v>tonnes_primary_production_equivalent</x:v>
      </x:c>
    </x:row>
    <x:row r="2338" ht="18" customHeight="1">
      <x:c r="A2338" s="25" t="str">
        <x:v>EEZ_702</x:v>
      </x:c>
      <x:c r="B2338" s="25" t="str">
        <x:v>commercial_ppr_difference</x:v>
      </x:c>
      <x:c r="C2338" s="25" t="n">
        <x:v>-511558.0942508441</x:v>
      </x:c>
      <x:c r="D2338" s="25" t="str">
        <x:v>tonnes_primary_production_equivalent</x:v>
      </x:c>
    </x:row>
    <x:row r="2339" ht="18" customHeight="1">
      <x:c r="A2339" s="25" t="str">
        <x:v>EEZ_702</x:v>
      </x:c>
      <x:c r="B2339" s="25" t="str">
        <x:v>functional_ppr_difference</x:v>
      </x:c>
      <x:c r="C2339" s="25" t="n">
        <x:v>-309271.4046106867</x:v>
      </x:c>
      <x:c r="D2339" s="25" t="str">
        <x:v>tonnes_primary_production_equivalent</x:v>
      </x:c>
    </x:row>
    <x:row r="2340" ht="18" customHeight="1">
      <x:c r="A2340" s="25" t="str">
        <x:v>EEZ_704</x:v>
      </x:c>
      <x:c r="B2340" s="25" t="str">
        <x:v>raw_filtered_tonnes</x:v>
      </x:c>
      <x:c r="C2340" s="25" t="n">
        <x:v>5148305.1369901</x:v>
      </x:c>
      <x:c r="D2340" s="25" t="str">
        <x:v>tonnes</x:v>
      </x:c>
    </x:row>
    <x:row r="2341" ht="18" customHeight="1">
      <x:c r="A2341" s="25" t="str">
        <x:v>EEZ_704</x:v>
      </x:c>
      <x:c r="B2341" s="25" t="str">
        <x:v>species_catch_tonnes</x:v>
      </x:c>
      <x:c r="C2341" s="25" t="n">
        <x:v>5148305.1369901</x:v>
      </x:c>
      <x:c r="D2341" s="25" t="str">
        <x:v>tonnes</x:v>
      </x:c>
    </x:row>
    <x:row r="2342" ht="18" customHeight="1">
      <x:c r="A2342" s="25" t="str">
        <x:v>EEZ_704</x:v>
      </x:c>
      <x:c r="B2342" s="25" t="str">
        <x:v>catch_difference_tonnes</x:v>
      </x:c>
      <x:c r="C2342" s="25" t="n">
        <x:v>0</x:v>
      </x:c>
      <x:c r="D2342" s="25" t="str">
        <x:v>tonnes</x:v>
      </x:c>
    </x:row>
    <x:row r="2343" ht="18" customHeight="1">
      <x:c r="A2343" s="25" t="str">
        <x:v>EEZ_704</x:v>
      </x:c>
      <x:c r="B2343" s="25" t="str">
        <x:v>catch_reconciled</x:v>
      </x:c>
      <x:c r="C2343" s="36" t="b">
        <x:v>1</x:v>
      </x:c>
      <x:c r="D2343" s="25" t="str">
        <x:v>boolean</x:v>
      </x:c>
    </x:row>
    <x:row r="2344" ht="18" customHeight="1">
      <x:c r="A2344" s="25" t="str">
        <x:v>EEZ_704</x:v>
      </x:c>
      <x:c r="B2344" s="25" t="str">
        <x:v>matched_catch_tonnes</x:v>
      </x:c>
      <x:c r="C2344" s="25" t="n">
        <x:v>5148305.1369901</x:v>
      </x:c>
      <x:c r="D2344" s="25" t="str">
        <x:v>tonnes</x:v>
      </x:c>
    </x:row>
    <x:row r="2345" ht="18" customHeight="1">
      <x:c r="A2345" s="25" t="str">
        <x:v>EEZ_704</x:v>
      </x:c>
      <x:c r="B2345" s="25" t="str">
        <x:v>catch_coverage_fraction</x:v>
      </x:c>
      <x:c r="C2345" s="25" t="n">
        <x:v>1</x:v>
      </x:c>
      <x:c r="D2345" s="25" t="str">
        <x:v>fraction</x:v>
      </x:c>
    </x:row>
    <x:row r="2346" ht="18" customHeight="1">
      <x:c r="A2346" s="25" t="str">
        <x:v>EEZ_704</x:v>
      </x:c>
      <x:c r="B2346" s="25" t="str">
        <x:v>taxa_count</x:v>
      </x:c>
      <x:c r="C2346" s="25" t="n">
        <x:v>69</x:v>
      </x:c>
      <x:c r="D2346" s="25" t="str">
        <x:v>count</x:v>
      </x:c>
    </x:row>
    <x:row r="2347" ht="18" customHeight="1">
      <x:c r="A2347" s="25" t="str">
        <x:v>EEZ_704</x:v>
      </x:c>
      <x:c r="B2347" s="25" t="str">
        <x:v>matched_taxa_count</x:v>
      </x:c>
      <x:c r="C2347" s="25" t="n">
        <x:v>69</x:v>
      </x:c>
      <x:c r="D2347" s="25" t="str">
        <x:v>count</x:v>
      </x:c>
    </x:row>
    <x:row r="2348" ht="18" customHeight="1">
      <x:c r="A2348" s="25" t="str">
        <x:v>EEZ_704</x:v>
      </x:c>
      <x:c r="B2348" s="25" t="str">
        <x:v>unmatched_taxa_count</x:v>
      </x:c>
      <x:c r="C2348" s="25" t="n">
        <x:v>0</x:v>
      </x:c>
      <x:c r="D2348" s="25" t="str">
        <x:v>count</x:v>
      </x:c>
    </x:row>
    <x:row r="2349" ht="18" customHeight="1">
      <x:c r="A2349" s="25" t="str">
        <x:v>EEZ_704</x:v>
      </x:c>
      <x:c r="B2349" s="25" t="str">
        <x:v>species_ppr</x:v>
      </x:c>
      <x:c r="C2349" s="25" t="n">
        <x:v>4395854129.781088</x:v>
      </x:c>
      <x:c r="D2349" s="25" t="str">
        <x:v>tonnes_primary_production_equivalent</x:v>
      </x:c>
    </x:row>
    <x:row r="2350" ht="18" customHeight="1">
      <x:c r="A2350" s="25" t="str">
        <x:v>EEZ_704</x:v>
      </x:c>
      <x:c r="B2350" s="25" t="str">
        <x:v>commercial_ppr</x:v>
      </x:c>
      <x:c r="C2350" s="25" t="n">
        <x:v>3315003466.095495</x:v>
      </x:c>
      <x:c r="D2350" s="25" t="str">
        <x:v>tonnes_primary_production_equivalent</x:v>
      </x:c>
    </x:row>
    <x:row r="2351" ht="18" customHeight="1">
      <x:c r="A2351" s="25" t="str">
        <x:v>EEZ_704</x:v>
      </x:c>
      <x:c r="B2351" s="25" t="str">
        <x:v>functional_ppr</x:v>
      </x:c>
      <x:c r="C2351" s="25" t="n">
        <x:v>3620671605.916037</x:v>
      </x:c>
      <x:c r="D2351" s="25" t="str">
        <x:v>tonnes_primary_production_equivalent</x:v>
      </x:c>
    </x:row>
    <x:row r="2352" ht="18" customHeight="1">
      <x:c r="A2352" s="25" t="str">
        <x:v>EEZ_704</x:v>
      </x:c>
      <x:c r="B2352" s="25" t="str">
        <x:v>commercial_ppr_difference</x:v>
      </x:c>
      <x:c r="C2352" s="25" t="n">
        <x:v>-1080850663.6855927</x:v>
      </x:c>
      <x:c r="D2352" s="25" t="str">
        <x:v>tonnes_primary_production_equivalent</x:v>
      </x:c>
    </x:row>
    <x:row r="2353" ht="18" customHeight="1">
      <x:c r="A2353" s="25" t="str">
        <x:v>EEZ_704</x:v>
      </x:c>
      <x:c r="B2353" s="25" t="str">
        <x:v>functional_ppr_difference</x:v>
      </x:c>
      <x:c r="C2353" s="25" t="n">
        <x:v>-775182523.8650508</x:v>
      </x:c>
      <x:c r="D2353" s="25" t="str">
        <x:v>tonnes_primary_production_equivalent</x:v>
      </x:c>
    </x:row>
    <x:row r="2354" ht="18" customHeight="1">
      <x:c r="A2354" s="25" t="str">
        <x:v>EEZ_705</x:v>
      </x:c>
      <x:c r="B2354" s="25" t="str">
        <x:v>raw_filtered_tonnes</x:v>
      </x:c>
      <x:c r="C2354" s="25" t="n">
        <x:v>203.5210142398</x:v>
      </x:c>
      <x:c r="D2354" s="25" t="str">
        <x:v>tonnes</x:v>
      </x:c>
    </x:row>
    <x:row r="2355" ht="18" customHeight="1">
      <x:c r="A2355" s="25" t="str">
        <x:v>EEZ_705</x:v>
      </x:c>
      <x:c r="B2355" s="25" t="str">
        <x:v>species_catch_tonnes</x:v>
      </x:c>
      <x:c r="C2355" s="25" t="n">
        <x:v>203.5210142398</x:v>
      </x:c>
      <x:c r="D2355" s="25" t="str">
        <x:v>tonnes</x:v>
      </x:c>
    </x:row>
    <x:row r="2356" ht="18" customHeight="1">
      <x:c r="A2356" s="25" t="str">
        <x:v>EEZ_705</x:v>
      </x:c>
      <x:c r="B2356" s="25" t="str">
        <x:v>catch_difference_tonnes</x:v>
      </x:c>
      <x:c r="C2356" s="25" t="n">
        <x:v>0</x:v>
      </x:c>
      <x:c r="D2356" s="25" t="str">
        <x:v>tonnes</x:v>
      </x:c>
    </x:row>
    <x:row r="2357" ht="18" customHeight="1">
      <x:c r="A2357" s="25" t="str">
        <x:v>EEZ_705</x:v>
      </x:c>
      <x:c r="B2357" s="25" t="str">
        <x:v>catch_reconciled</x:v>
      </x:c>
      <x:c r="C2357" s="36" t="b">
        <x:v>1</x:v>
      </x:c>
      <x:c r="D2357" s="25" t="str">
        <x:v>boolean</x:v>
      </x:c>
    </x:row>
    <x:row r="2358" ht="18" customHeight="1">
      <x:c r="A2358" s="25" t="str">
        <x:v>EEZ_705</x:v>
      </x:c>
      <x:c r="B2358" s="25" t="str">
        <x:v>matched_catch_tonnes</x:v>
      </x:c>
      <x:c r="C2358" s="25" t="n">
        <x:v>203.5210142398</x:v>
      </x:c>
      <x:c r="D2358" s="25" t="str">
        <x:v>tonnes</x:v>
      </x:c>
    </x:row>
    <x:row r="2359" ht="18" customHeight="1">
      <x:c r="A2359" s="25" t="str">
        <x:v>EEZ_705</x:v>
      </x:c>
      <x:c r="B2359" s="25" t="str">
        <x:v>catch_coverage_fraction</x:v>
      </x:c>
      <x:c r="C2359" s="25" t="n">
        <x:v>1</x:v>
      </x:c>
      <x:c r="D2359" s="25" t="str">
        <x:v>fraction</x:v>
      </x:c>
    </x:row>
    <x:row r="2360" ht="18" customHeight="1">
      <x:c r="A2360" s="25" t="str">
        <x:v>EEZ_705</x:v>
      </x:c>
      <x:c r="B2360" s="25" t="str">
        <x:v>taxa_count</x:v>
      </x:c>
      <x:c r="C2360" s="25" t="n">
        <x:v>80</x:v>
      </x:c>
      <x:c r="D2360" s="25" t="str">
        <x:v>count</x:v>
      </x:c>
    </x:row>
    <x:row r="2361" ht="18" customHeight="1">
      <x:c r="A2361" s="25" t="str">
        <x:v>EEZ_705</x:v>
      </x:c>
      <x:c r="B2361" s="25" t="str">
        <x:v>matched_taxa_count</x:v>
      </x:c>
      <x:c r="C2361" s="25" t="n">
        <x:v>80</x:v>
      </x:c>
      <x:c r="D2361" s="25" t="str">
        <x:v>count</x:v>
      </x:c>
    </x:row>
    <x:row r="2362" ht="18" customHeight="1">
      <x:c r="A2362" s="25" t="str">
        <x:v>EEZ_705</x:v>
      </x:c>
      <x:c r="B2362" s="25" t="str">
        <x:v>unmatched_taxa_count</x:v>
      </x:c>
      <x:c r="C2362" s="25" t="n">
        <x:v>0</x:v>
      </x:c>
      <x:c r="D2362" s="25" t="str">
        <x:v>count</x:v>
      </x:c>
    </x:row>
    <x:row r="2363" ht="18" customHeight="1">
      <x:c r="A2363" s="25" t="str">
        <x:v>EEZ_705</x:v>
      </x:c>
      <x:c r="B2363" s="25" t="str">
        <x:v>species_ppr</x:v>
      </x:c>
      <x:c r="C2363" s="25" t="n">
        <x:v>130224.70736268716</x:v>
      </x:c>
      <x:c r="D2363" s="25" t="str">
        <x:v>tonnes_primary_production_equivalent</x:v>
      </x:c>
    </x:row>
    <x:row r="2364" ht="18" customHeight="1">
      <x:c r="A2364" s="25" t="str">
        <x:v>EEZ_705</x:v>
      </x:c>
      <x:c r="B2364" s="25" t="str">
        <x:v>commercial_ppr</x:v>
      </x:c>
      <x:c r="C2364" s="25" t="n">
        <x:v>111916.27879652377</x:v>
      </x:c>
      <x:c r="D2364" s="25" t="str">
        <x:v>tonnes_primary_production_equivalent</x:v>
      </x:c>
    </x:row>
    <x:row r="2365" ht="18" customHeight="1">
      <x:c r="A2365" s="25" t="str">
        <x:v>EEZ_705</x:v>
      </x:c>
      <x:c r="B2365" s="25" t="str">
        <x:v>functional_ppr</x:v>
      </x:c>
      <x:c r="C2365" s="25" t="n">
        <x:v>105628.72766938074</x:v>
      </x:c>
      <x:c r="D2365" s="25" t="str">
        <x:v>tonnes_primary_production_equivalent</x:v>
      </x:c>
    </x:row>
    <x:row r="2366" ht="18" customHeight="1">
      <x:c r="A2366" s="25" t="str">
        <x:v>EEZ_705</x:v>
      </x:c>
      <x:c r="B2366" s="25" t="str">
        <x:v>commercial_ppr_difference</x:v>
      </x:c>
      <x:c r="C2366" s="25" t="n">
        <x:v>-18308.42856616339</x:v>
      </x:c>
      <x:c r="D2366" s="25" t="str">
        <x:v>tonnes_primary_production_equivalent</x:v>
      </x:c>
    </x:row>
    <x:row r="2367" ht="18" customHeight="1">
      <x:c r="A2367" s="25" t="str">
        <x:v>EEZ_705</x:v>
      </x:c>
      <x:c r="B2367" s="25" t="str">
        <x:v>functional_ppr_difference</x:v>
      </x:c>
      <x:c r="C2367" s="25" t="n">
        <x:v>-24595.97969330642</x:v>
      </x:c>
      <x:c r="D2367" s="25" t="str">
        <x:v>tonnes_primary_production_equivalent</x:v>
      </x:c>
    </x:row>
    <x:row r="2368" ht="18" customHeight="1">
      <x:c r="A2368" s="25" t="str">
        <x:v>EEZ_706</x:v>
      </x:c>
      <x:c r="B2368" s="25" t="str">
        <x:v>raw_filtered_tonnes</x:v>
      </x:c>
      <x:c r="C2368" s="25" t="n">
        <x:v>139703.8091832829</x:v>
      </x:c>
      <x:c r="D2368" s="25" t="str">
        <x:v>tonnes</x:v>
      </x:c>
    </x:row>
    <x:row r="2369" ht="18" customHeight="1">
      <x:c r="A2369" s="25" t="str">
        <x:v>EEZ_706</x:v>
      </x:c>
      <x:c r="B2369" s="25" t="str">
        <x:v>species_catch_tonnes</x:v>
      </x:c>
      <x:c r="C2369" s="25" t="n">
        <x:v>139703.8091832829</x:v>
      </x:c>
      <x:c r="D2369" s="25" t="str">
        <x:v>tonnes</x:v>
      </x:c>
    </x:row>
    <x:row r="2370" ht="18" customHeight="1">
      <x:c r="A2370" s="25" t="str">
        <x:v>EEZ_706</x:v>
      </x:c>
      <x:c r="B2370" s="25" t="str">
        <x:v>catch_difference_tonnes</x:v>
      </x:c>
      <x:c r="C2370" s="25" t="n">
        <x:v>0</x:v>
      </x:c>
      <x:c r="D2370" s="25" t="str">
        <x:v>tonnes</x:v>
      </x:c>
    </x:row>
    <x:row r="2371" ht="18" customHeight="1">
      <x:c r="A2371" s="25" t="str">
        <x:v>EEZ_706</x:v>
      </x:c>
      <x:c r="B2371" s="25" t="str">
        <x:v>catch_reconciled</x:v>
      </x:c>
      <x:c r="C2371" s="36" t="b">
        <x:v>1</x:v>
      </x:c>
      <x:c r="D2371" s="25" t="str">
        <x:v>boolean</x:v>
      </x:c>
    </x:row>
    <x:row r="2372" ht="18" customHeight="1">
      <x:c r="A2372" s="25" t="str">
        <x:v>EEZ_706</x:v>
      </x:c>
      <x:c r="B2372" s="25" t="str">
        <x:v>matched_catch_tonnes</x:v>
      </x:c>
      <x:c r="C2372" s="25" t="n">
        <x:v>139703.8091832829</x:v>
      </x:c>
      <x:c r="D2372" s="25" t="str">
        <x:v>tonnes</x:v>
      </x:c>
    </x:row>
    <x:row r="2373" ht="18" customHeight="1">
      <x:c r="A2373" s="25" t="str">
        <x:v>EEZ_706</x:v>
      </x:c>
      <x:c r="B2373" s="25" t="str">
        <x:v>catch_coverage_fraction</x:v>
      </x:c>
      <x:c r="C2373" s="25" t="n">
        <x:v>1</x:v>
      </x:c>
      <x:c r="D2373" s="25" t="str">
        <x:v>fraction</x:v>
      </x:c>
    </x:row>
    <x:row r="2374" ht="18" customHeight="1">
      <x:c r="A2374" s="25" t="str">
        <x:v>EEZ_706</x:v>
      </x:c>
      <x:c r="B2374" s="25" t="str">
        <x:v>taxa_count</x:v>
      </x:c>
      <x:c r="C2374" s="25" t="n">
        <x:v>121</x:v>
      </x:c>
      <x:c r="D2374" s="25" t="str">
        <x:v>count</x:v>
      </x:c>
    </x:row>
    <x:row r="2375" ht="18" customHeight="1">
      <x:c r="A2375" s="25" t="str">
        <x:v>EEZ_706</x:v>
      </x:c>
      <x:c r="B2375" s="25" t="str">
        <x:v>matched_taxa_count</x:v>
      </x:c>
      <x:c r="C2375" s="25" t="n">
        <x:v>121</x:v>
      </x:c>
      <x:c r="D2375" s="25" t="str">
        <x:v>count</x:v>
      </x:c>
    </x:row>
    <x:row r="2376" ht="18" customHeight="1">
      <x:c r="A2376" s="25" t="str">
        <x:v>EEZ_706</x:v>
      </x:c>
      <x:c r="B2376" s="25" t="str">
        <x:v>unmatched_taxa_count</x:v>
      </x:c>
      <x:c r="C2376" s="25" t="n">
        <x:v>0</x:v>
      </x:c>
      <x:c r="D2376" s="25" t="str">
        <x:v>count</x:v>
      </x:c>
    </x:row>
    <x:row r="2377" ht="18" customHeight="1">
      <x:c r="A2377" s="25" t="str">
        <x:v>EEZ_706</x:v>
      </x:c>
      <x:c r="B2377" s="25" t="str">
        <x:v>species_ppr</x:v>
      </x:c>
      <x:c r="C2377" s="25" t="n">
        <x:v>166015194.26696122</x:v>
      </x:c>
      <x:c r="D2377" s="25" t="str">
        <x:v>tonnes_primary_production_equivalent</x:v>
      </x:c>
    </x:row>
    <x:row r="2378" ht="18" customHeight="1">
      <x:c r="A2378" s="25" t="str">
        <x:v>EEZ_706</x:v>
      </x:c>
      <x:c r="B2378" s="25" t="str">
        <x:v>commercial_ppr</x:v>
      </x:c>
      <x:c r="C2378" s="25" t="n">
        <x:v>128484904.46261014</x:v>
      </x:c>
      <x:c r="D2378" s="25" t="str">
        <x:v>tonnes_primary_production_equivalent</x:v>
      </x:c>
    </x:row>
    <x:row r="2379" ht="18" customHeight="1">
      <x:c r="A2379" s="25" t="str">
        <x:v>EEZ_706</x:v>
      </x:c>
      <x:c r="B2379" s="25" t="str">
        <x:v>functional_ppr</x:v>
      </x:c>
      <x:c r="C2379" s="25" t="n">
        <x:v>148400965.22101557</x:v>
      </x:c>
      <x:c r="D2379" s="25" t="str">
        <x:v>tonnes_primary_production_equivalent</x:v>
      </x:c>
    </x:row>
    <x:row r="2380" ht="18" customHeight="1">
      <x:c r="A2380" s="25" t="str">
        <x:v>EEZ_706</x:v>
      </x:c>
      <x:c r="B2380" s="25" t="str">
        <x:v>commercial_ppr_difference</x:v>
      </x:c>
      <x:c r="C2380" s="25" t="n">
        <x:v>-37530289.80435108</x:v>
      </x:c>
      <x:c r="D2380" s="25" t="str">
        <x:v>tonnes_primary_production_equivalent</x:v>
      </x:c>
    </x:row>
    <x:row r="2381" ht="18" customHeight="1">
      <x:c r="A2381" s="25" t="str">
        <x:v>EEZ_706</x:v>
      </x:c>
      <x:c r="B2381" s="25" t="str">
        <x:v>functional_ppr_difference</x:v>
      </x:c>
      <x:c r="C2381" s="25" t="n">
        <x:v>-17614229.045945644</x:v>
      </x:c>
      <x:c r="D2381" s="25" t="str">
        <x:v>tonnes_primary_production_equivalent</x:v>
      </x:c>
    </x:row>
    <x:row r="2382" ht="18" customHeight="1">
      <x:c r="A2382" s="25" t="str">
        <x:v>EEZ_711</x:v>
      </x:c>
      <x:c r="B2382" s="25" t="str">
        <x:v>raw_filtered_tonnes</x:v>
      </x:c>
      <x:c r="C2382" s="25" t="n">
        <x:v>974.4787150097001</x:v>
      </x:c>
      <x:c r="D2382" s="25" t="str">
        <x:v>tonnes</x:v>
      </x:c>
    </x:row>
    <x:row r="2383" ht="18" customHeight="1">
      <x:c r="A2383" s="25" t="str">
        <x:v>EEZ_711</x:v>
      </x:c>
      <x:c r="B2383" s="25" t="str">
        <x:v>species_catch_tonnes</x:v>
      </x:c>
      <x:c r="C2383" s="25" t="n">
        <x:v>974.4787150097001</x:v>
      </x:c>
      <x:c r="D2383" s="25" t="str">
        <x:v>tonnes</x:v>
      </x:c>
    </x:row>
    <x:row r="2384" ht="18" customHeight="1">
      <x:c r="A2384" s="25" t="str">
        <x:v>EEZ_711</x:v>
      </x:c>
      <x:c r="B2384" s="25" t="str">
        <x:v>catch_difference_tonnes</x:v>
      </x:c>
      <x:c r="C2384" s="25" t="n">
        <x:v>0</x:v>
      </x:c>
      <x:c r="D2384" s="25" t="str">
        <x:v>tonnes</x:v>
      </x:c>
    </x:row>
    <x:row r="2385" ht="18" customHeight="1">
      <x:c r="A2385" s="25" t="str">
        <x:v>EEZ_711</x:v>
      </x:c>
      <x:c r="B2385" s="25" t="str">
        <x:v>catch_reconciled</x:v>
      </x:c>
      <x:c r="C2385" s="36" t="b">
        <x:v>1</x:v>
      </x:c>
      <x:c r="D2385" s="25" t="str">
        <x:v>boolean</x:v>
      </x:c>
    </x:row>
    <x:row r="2386" ht="18" customHeight="1">
      <x:c r="A2386" s="25" t="str">
        <x:v>EEZ_711</x:v>
      </x:c>
      <x:c r="B2386" s="25" t="str">
        <x:v>matched_catch_tonnes</x:v>
      </x:c>
      <x:c r="C2386" s="25" t="n">
        <x:v>974.4787150097001</x:v>
      </x:c>
      <x:c r="D2386" s="25" t="str">
        <x:v>tonnes</x:v>
      </x:c>
    </x:row>
    <x:row r="2387" ht="18" customHeight="1">
      <x:c r="A2387" s="25" t="str">
        <x:v>EEZ_711</x:v>
      </x:c>
      <x:c r="B2387" s="25" t="str">
        <x:v>catch_coverage_fraction</x:v>
      </x:c>
      <x:c r="C2387" s="25" t="n">
        <x:v>1</x:v>
      </x:c>
      <x:c r="D2387" s="25" t="str">
        <x:v>fraction</x:v>
      </x:c>
    </x:row>
    <x:row r="2388" ht="18" customHeight="1">
      <x:c r="A2388" s="25" t="str">
        <x:v>EEZ_711</x:v>
      </x:c>
      <x:c r="B2388" s="25" t="str">
        <x:v>taxa_count</x:v>
      </x:c>
      <x:c r="C2388" s="25" t="n">
        <x:v>18</x:v>
      </x:c>
      <x:c r="D2388" s="25" t="str">
        <x:v>count</x:v>
      </x:c>
    </x:row>
    <x:row r="2389" ht="18" customHeight="1">
      <x:c r="A2389" s="25" t="str">
        <x:v>EEZ_711</x:v>
      </x:c>
      <x:c r="B2389" s="25" t="str">
        <x:v>matched_taxa_count</x:v>
      </x:c>
      <x:c r="C2389" s="25" t="n">
        <x:v>18</x:v>
      </x:c>
      <x:c r="D2389" s="25" t="str">
        <x:v>count</x:v>
      </x:c>
    </x:row>
    <x:row r="2390" ht="18" customHeight="1">
      <x:c r="A2390" s="25" t="str">
        <x:v>EEZ_711</x:v>
      </x:c>
      <x:c r="B2390" s="25" t="str">
        <x:v>unmatched_taxa_count</x:v>
      </x:c>
      <x:c r="C2390" s="25" t="n">
        <x:v>0</x:v>
      </x:c>
      <x:c r="D2390" s="25" t="str">
        <x:v>count</x:v>
      </x:c>
    </x:row>
    <x:row r="2391" ht="18" customHeight="1">
      <x:c r="A2391" s="25" t="str">
        <x:v>EEZ_711</x:v>
      </x:c>
      <x:c r="B2391" s="25" t="str">
        <x:v>species_ppr</x:v>
      </x:c>
      <x:c r="C2391" s="25" t="n">
        <x:v>1225800.4341437374</x:v>
      </x:c>
      <x:c r="D2391" s="25" t="str">
        <x:v>tonnes_primary_production_equivalent</x:v>
      </x:c>
    </x:row>
    <x:row r="2392" ht="18" customHeight="1">
      <x:c r="A2392" s="25" t="str">
        <x:v>EEZ_711</x:v>
      </x:c>
      <x:c r="B2392" s="25" t="str">
        <x:v>commercial_ppr</x:v>
      </x:c>
      <x:c r="C2392" s="25" t="n">
        <x:v>1188081.6649972731</x:v>
      </x:c>
      <x:c r="D2392" s="25" t="str">
        <x:v>tonnes_primary_production_equivalent</x:v>
      </x:c>
    </x:row>
    <x:row r="2393" ht="18" customHeight="1">
      <x:c r="A2393" s="25" t="str">
        <x:v>EEZ_711</x:v>
      </x:c>
      <x:c r="B2393" s="25" t="str">
        <x:v>functional_ppr</x:v>
      </x:c>
      <x:c r="C2393" s="25" t="n">
        <x:v>1222776.7918840728</x:v>
      </x:c>
      <x:c r="D2393" s="25" t="str">
        <x:v>tonnes_primary_production_equivalent</x:v>
      </x:c>
    </x:row>
    <x:row r="2394" ht="18" customHeight="1">
      <x:c r="A2394" s="25" t="str">
        <x:v>EEZ_711</x:v>
      </x:c>
      <x:c r="B2394" s="25" t="str">
        <x:v>commercial_ppr_difference</x:v>
      </x:c>
      <x:c r="C2394" s="25" t="n">
        <x:v>-37718.7691464643</x:v>
      </x:c>
      <x:c r="D2394" s="25" t="str">
        <x:v>tonnes_primary_production_equivalent</x:v>
      </x:c>
    </x:row>
    <x:row r="2395" ht="18" customHeight="1">
      <x:c r="A2395" s="25" t="str">
        <x:v>EEZ_711</x:v>
      </x:c>
      <x:c r="B2395" s="25" t="str">
        <x:v>functional_ppr_difference</x:v>
      </x:c>
      <x:c r="C2395" s="25" t="n">
        <x:v>-3023.6422596646007</x:v>
      </x:c>
      <x:c r="D2395" s="25" t="str">
        <x:v>tonnes_primary_production_equivalent</x:v>
      </x:c>
    </x:row>
    <x:row r="2396" ht="18" customHeight="1">
      <x:c r="A2396" s="25" t="str">
        <x:v>EEZ_723</x:v>
      </x:c>
      <x:c r="B2396" s="25" t="str">
        <x:v>raw_filtered_tonnes</x:v>
      </x:c>
      <x:c r="C2396" s="25" t="n">
        <x:v>92826.4650597252</x:v>
      </x:c>
      <x:c r="D2396" s="25" t="str">
        <x:v>tonnes</x:v>
      </x:c>
    </x:row>
    <x:row r="2397" ht="18" customHeight="1">
      <x:c r="A2397" s="25" t="str">
        <x:v>EEZ_723</x:v>
      </x:c>
      <x:c r="B2397" s="25" t="str">
        <x:v>species_catch_tonnes</x:v>
      </x:c>
      <x:c r="C2397" s="25" t="n">
        <x:v>92826.4650597252</x:v>
      </x:c>
      <x:c r="D2397" s="25" t="str">
        <x:v>tonnes</x:v>
      </x:c>
    </x:row>
    <x:row r="2398" ht="18" customHeight="1">
      <x:c r="A2398" s="25" t="str">
        <x:v>EEZ_723</x:v>
      </x:c>
      <x:c r="B2398" s="25" t="str">
        <x:v>catch_difference_tonnes</x:v>
      </x:c>
      <x:c r="C2398" s="25" t="n">
        <x:v>0</x:v>
      </x:c>
      <x:c r="D2398" s="25" t="str">
        <x:v>tonnes</x:v>
      </x:c>
    </x:row>
    <x:row r="2399" ht="18" customHeight="1">
      <x:c r="A2399" s="25" t="str">
        <x:v>EEZ_723</x:v>
      </x:c>
      <x:c r="B2399" s="25" t="str">
        <x:v>catch_reconciled</x:v>
      </x:c>
      <x:c r="C2399" s="36" t="b">
        <x:v>1</x:v>
      </x:c>
      <x:c r="D2399" s="25" t="str">
        <x:v>boolean</x:v>
      </x:c>
    </x:row>
    <x:row r="2400" ht="18" customHeight="1">
      <x:c r="A2400" s="25" t="str">
        <x:v>EEZ_723</x:v>
      </x:c>
      <x:c r="B2400" s="25" t="str">
        <x:v>matched_catch_tonnes</x:v>
      </x:c>
      <x:c r="C2400" s="25" t="n">
        <x:v>92826.4650597252</x:v>
      </x:c>
      <x:c r="D2400" s="25" t="str">
        <x:v>tonnes</x:v>
      </x:c>
    </x:row>
    <x:row r="2401" ht="18" customHeight="1">
      <x:c r="A2401" s="25" t="str">
        <x:v>EEZ_723</x:v>
      </x:c>
      <x:c r="B2401" s="25" t="str">
        <x:v>catch_coverage_fraction</x:v>
      </x:c>
      <x:c r="C2401" s="25" t="n">
        <x:v>1</x:v>
      </x:c>
      <x:c r="D2401" s="25" t="str">
        <x:v>fraction</x:v>
      </x:c>
    </x:row>
    <x:row r="2402" ht="18" customHeight="1">
      <x:c r="A2402" s="25" t="str">
        <x:v>EEZ_723</x:v>
      </x:c>
      <x:c r="B2402" s="25" t="str">
        <x:v>taxa_count</x:v>
      </x:c>
      <x:c r="C2402" s="25" t="n">
        <x:v>174</x:v>
      </x:c>
      <x:c r="D2402" s="25" t="str">
        <x:v>count</x:v>
      </x:c>
    </x:row>
    <x:row r="2403" ht="18" customHeight="1">
      <x:c r="A2403" s="25" t="str">
        <x:v>EEZ_723</x:v>
      </x:c>
      <x:c r="B2403" s="25" t="str">
        <x:v>matched_taxa_count</x:v>
      </x:c>
      <x:c r="C2403" s="25" t="n">
        <x:v>174</x:v>
      </x:c>
      <x:c r="D2403" s="25" t="str">
        <x:v>count</x:v>
      </x:c>
    </x:row>
    <x:row r="2404" ht="18" customHeight="1">
      <x:c r="A2404" s="25" t="str">
        <x:v>EEZ_723</x:v>
      </x:c>
      <x:c r="B2404" s="25" t="str">
        <x:v>unmatched_taxa_count</x:v>
      </x:c>
      <x:c r="C2404" s="25" t="n">
        <x:v>0</x:v>
      </x:c>
      <x:c r="D2404" s="25" t="str">
        <x:v>count</x:v>
      </x:c>
    </x:row>
    <x:row r="2405" ht="18" customHeight="1">
      <x:c r="A2405" s="25" t="str">
        <x:v>EEZ_723</x:v>
      </x:c>
      <x:c r="B2405" s="25" t="str">
        <x:v>species_ppr</x:v>
      </x:c>
      <x:c r="C2405" s="25" t="n">
        <x:v>101920689.58241549</x:v>
      </x:c>
      <x:c r="D2405" s="25" t="str">
        <x:v>tonnes_primary_production_equivalent</x:v>
      </x:c>
    </x:row>
    <x:row r="2406" ht="18" customHeight="1">
      <x:c r="A2406" s="25" t="str">
        <x:v>EEZ_723</x:v>
      </x:c>
      <x:c r="B2406" s="25" t="str">
        <x:v>commercial_ppr</x:v>
      </x:c>
      <x:c r="C2406" s="25" t="n">
        <x:v>82436966.40149522</x:v>
      </x:c>
      <x:c r="D2406" s="25" t="str">
        <x:v>tonnes_primary_production_equivalent</x:v>
      </x:c>
    </x:row>
    <x:row r="2407" ht="18" customHeight="1">
      <x:c r="A2407" s="25" t="str">
        <x:v>EEZ_723</x:v>
      </x:c>
      <x:c r="B2407" s="25" t="str">
        <x:v>functional_ppr</x:v>
      </x:c>
      <x:c r="C2407" s="25" t="n">
        <x:v>92632535.1043963</x:v>
      </x:c>
      <x:c r="D2407" s="25" t="str">
        <x:v>tonnes_primary_production_equivalent</x:v>
      </x:c>
    </x:row>
    <x:row r="2408" ht="18" customHeight="1">
      <x:c r="A2408" s="25" t="str">
        <x:v>EEZ_723</x:v>
      </x:c>
      <x:c r="B2408" s="25" t="str">
        <x:v>commercial_ppr_difference</x:v>
      </x:c>
      <x:c r="C2408" s="25" t="n">
        <x:v>-19483723.180920273</x:v>
      </x:c>
      <x:c r="D2408" s="25" t="str">
        <x:v>tonnes_primary_production_equivalent</x:v>
      </x:c>
    </x:row>
    <x:row r="2409" ht="18" customHeight="1">
      <x:c r="A2409" s="25" t="str">
        <x:v>EEZ_723</x:v>
      </x:c>
      <x:c r="B2409" s="25" t="str">
        <x:v>functional_ppr_difference</x:v>
      </x:c>
      <x:c r="C2409" s="25" t="n">
        <x:v>-9288154.478019193</x:v>
      </x:c>
      <x:c r="D2409" s="25" t="str">
        <x:v>tonnes_primary_production_equivalent</x:v>
      </x:c>
    </x:row>
    <x:row r="2410" ht="18" customHeight="1">
      <x:c r="A2410" s="25" t="str">
        <x:v>EEZ_736</x:v>
      </x:c>
      <x:c r="B2410" s="25" t="str">
        <x:v>raw_filtered_tonnes</x:v>
      </x:c>
      <x:c r="C2410" s="25" t="n">
        <x:v>1903.8009104609998</x:v>
      </x:c>
      <x:c r="D2410" s="25" t="str">
        <x:v>tonnes</x:v>
      </x:c>
    </x:row>
    <x:row r="2411" ht="18" customHeight="1">
      <x:c r="A2411" s="25" t="str">
        <x:v>EEZ_736</x:v>
      </x:c>
      <x:c r="B2411" s="25" t="str">
        <x:v>species_catch_tonnes</x:v>
      </x:c>
      <x:c r="C2411" s="25" t="n">
        <x:v>1903.800910461</x:v>
      </x:c>
      <x:c r="D2411" s="25" t="str">
        <x:v>tonnes</x:v>
      </x:c>
    </x:row>
    <x:row r="2412" ht="18" customHeight="1">
      <x:c r="A2412" s="25" t="str">
        <x:v>EEZ_736</x:v>
      </x:c>
      <x:c r="B2412" s="25" t="str">
        <x:v>catch_difference_tonnes</x:v>
      </x:c>
      <x:c r="C2412" s="25" t="n">
        <x:v>2.2737367544323206e-13</x:v>
      </x:c>
      <x:c r="D2412" s="25" t="str">
        <x:v>tonnes</x:v>
      </x:c>
    </x:row>
    <x:row r="2413" ht="18" customHeight="1">
      <x:c r="A2413" s="25" t="str">
        <x:v>EEZ_736</x:v>
      </x:c>
      <x:c r="B2413" s="25" t="str">
        <x:v>catch_reconciled</x:v>
      </x:c>
      <x:c r="C2413" s="36" t="b">
        <x:v>1</x:v>
      </x:c>
      <x:c r="D2413" s="25" t="str">
        <x:v>boolean</x:v>
      </x:c>
    </x:row>
    <x:row r="2414" ht="18" customHeight="1">
      <x:c r="A2414" s="25" t="str">
        <x:v>EEZ_736</x:v>
      </x:c>
      <x:c r="B2414" s="25" t="str">
        <x:v>matched_catch_tonnes</x:v>
      </x:c>
      <x:c r="C2414" s="25" t="n">
        <x:v>1903.800910461</x:v>
      </x:c>
      <x:c r="D2414" s="25" t="str">
        <x:v>tonnes</x:v>
      </x:c>
    </x:row>
    <x:row r="2415" ht="18" customHeight="1">
      <x:c r="A2415" s="25" t="str">
        <x:v>EEZ_736</x:v>
      </x:c>
      <x:c r="B2415" s="25" t="str">
        <x:v>catch_coverage_fraction</x:v>
      </x:c>
      <x:c r="C2415" s="25" t="n">
        <x:v>1</x:v>
      </x:c>
      <x:c r="D2415" s="25" t="str">
        <x:v>fraction</x:v>
      </x:c>
    </x:row>
    <x:row r="2416" ht="18" customHeight="1">
      <x:c r="A2416" s="25" t="str">
        <x:v>EEZ_736</x:v>
      </x:c>
      <x:c r="B2416" s="25" t="str">
        <x:v>taxa_count</x:v>
      </x:c>
      <x:c r="C2416" s="25" t="n">
        <x:v>9</x:v>
      </x:c>
      <x:c r="D2416" s="25" t="str">
        <x:v>count</x:v>
      </x:c>
    </x:row>
    <x:row r="2417" ht="18" customHeight="1">
      <x:c r="A2417" s="25" t="str">
        <x:v>EEZ_736</x:v>
      </x:c>
      <x:c r="B2417" s="25" t="str">
        <x:v>matched_taxa_count</x:v>
      </x:c>
      <x:c r="C2417" s="25" t="n">
        <x:v>9</x:v>
      </x:c>
      <x:c r="D2417" s="25" t="str">
        <x:v>count</x:v>
      </x:c>
    </x:row>
    <x:row r="2418" ht="18" customHeight="1">
      <x:c r="A2418" s="25" t="str">
        <x:v>EEZ_736</x:v>
      </x:c>
      <x:c r="B2418" s="25" t="str">
        <x:v>unmatched_taxa_count</x:v>
      </x:c>
      <x:c r="C2418" s="25" t="n">
        <x:v>0</x:v>
      </x:c>
      <x:c r="D2418" s="25" t="str">
        <x:v>count</x:v>
      </x:c>
    </x:row>
    <x:row r="2419" ht="18" customHeight="1">
      <x:c r="A2419" s="25" t="str">
        <x:v>EEZ_736</x:v>
      </x:c>
      <x:c r="B2419" s="25" t="str">
        <x:v>species_ppr</x:v>
      </x:c>
      <x:c r="C2419" s="25" t="n">
        <x:v>1065191.496904894</x:v>
      </x:c>
      <x:c r="D2419" s="25" t="str">
        <x:v>tonnes_primary_production_equivalent</x:v>
      </x:c>
    </x:row>
    <x:row r="2420" ht="18" customHeight="1">
      <x:c r="A2420" s="25" t="str">
        <x:v>EEZ_736</x:v>
      </x:c>
      <x:c r="B2420" s="25" t="str">
        <x:v>commercial_ppr</x:v>
      </x:c>
      <x:c r="C2420" s="25" t="n">
        <x:v>630296.4033463453</x:v>
      </x:c>
      <x:c r="D2420" s="25" t="str">
        <x:v>tonnes_primary_production_equivalent</x:v>
      </x:c>
    </x:row>
    <x:row r="2421" ht="18" customHeight="1">
      <x:c r="A2421" s="25" t="str">
        <x:v>EEZ_736</x:v>
      </x:c>
      <x:c r="B2421" s="25" t="str">
        <x:v>functional_ppr</x:v>
      </x:c>
      <x:c r="C2421" s="25" t="n">
        <x:v>630624.815329453</x:v>
      </x:c>
      <x:c r="D2421" s="25" t="str">
        <x:v>tonnes_primary_production_equivalent</x:v>
      </x:c>
    </x:row>
    <x:row r="2422" ht="18" customHeight="1">
      <x:c r="A2422" s="25" t="str">
        <x:v>EEZ_736</x:v>
      </x:c>
      <x:c r="B2422" s="25" t="str">
        <x:v>commercial_ppr_difference</x:v>
      </x:c>
      <x:c r="C2422" s="25" t="n">
        <x:v>-434895.0935585487</x:v>
      </x:c>
      <x:c r="D2422" s="25" t="str">
        <x:v>tonnes_primary_production_equivalent</x:v>
      </x:c>
    </x:row>
    <x:row r="2423" ht="18" customHeight="1">
      <x:c r="A2423" s="25" t="str">
        <x:v>EEZ_736</x:v>
      </x:c>
      <x:c r="B2423" s="25" t="str">
        <x:v>functional_ppr_difference</x:v>
      </x:c>
      <x:c r="C2423" s="25" t="n">
        <x:v>-434566.68157544103</x:v>
      </x:c>
      <x:c r="D2423" s="25" t="str">
        <x:v>tonnes_primary_production_equivalent</x:v>
      </x:c>
    </x:row>
    <x:row r="2424" ht="18" customHeight="1">
      <x:c r="A2424" s="25" t="str">
        <x:v>EEZ_740</x:v>
      </x:c>
      <x:c r="B2424" s="25" t="str">
        <x:v>raw_filtered_tonnes</x:v>
      </x:c>
      <x:c r="C2424" s="25" t="n">
        <x:v>58397.2558737715</x:v>
      </x:c>
      <x:c r="D2424" s="25" t="str">
        <x:v>tonnes</x:v>
      </x:c>
    </x:row>
    <x:row r="2425" ht="18" customHeight="1">
      <x:c r="A2425" s="25" t="str">
        <x:v>EEZ_740</x:v>
      </x:c>
      <x:c r="B2425" s="25" t="str">
        <x:v>species_catch_tonnes</x:v>
      </x:c>
      <x:c r="C2425" s="25" t="n">
        <x:v>58397.2558737715</x:v>
      </x:c>
      <x:c r="D2425" s="25" t="str">
        <x:v>tonnes</x:v>
      </x:c>
    </x:row>
    <x:row r="2426" ht="18" customHeight="1">
      <x:c r="A2426" s="25" t="str">
        <x:v>EEZ_740</x:v>
      </x:c>
      <x:c r="B2426" s="25" t="str">
        <x:v>catch_difference_tonnes</x:v>
      </x:c>
      <x:c r="C2426" s="25" t="n">
        <x:v>0</x:v>
      </x:c>
      <x:c r="D2426" s="25" t="str">
        <x:v>tonnes</x:v>
      </x:c>
    </x:row>
    <x:row r="2427" ht="18" customHeight="1">
      <x:c r="A2427" s="25" t="str">
        <x:v>EEZ_740</x:v>
      </x:c>
      <x:c r="B2427" s="25" t="str">
        <x:v>catch_reconciled</x:v>
      </x:c>
      <x:c r="C2427" s="36" t="b">
        <x:v>1</x:v>
      </x:c>
      <x:c r="D2427" s="25" t="str">
        <x:v>boolean</x:v>
      </x:c>
    </x:row>
    <x:row r="2428" ht="18" customHeight="1">
      <x:c r="A2428" s="25" t="str">
        <x:v>EEZ_740</x:v>
      </x:c>
      <x:c r="B2428" s="25" t="str">
        <x:v>matched_catch_tonnes</x:v>
      </x:c>
      <x:c r="C2428" s="25" t="n">
        <x:v>58397.2558737715</x:v>
      </x:c>
      <x:c r="D2428" s="25" t="str">
        <x:v>tonnes</x:v>
      </x:c>
    </x:row>
    <x:row r="2429" ht="18" customHeight="1">
      <x:c r="A2429" s="25" t="str">
        <x:v>EEZ_740</x:v>
      </x:c>
      <x:c r="B2429" s="25" t="str">
        <x:v>catch_coverage_fraction</x:v>
      </x:c>
      <x:c r="C2429" s="25" t="n">
        <x:v>1</x:v>
      </x:c>
      <x:c r="D2429" s="25" t="str">
        <x:v>fraction</x:v>
      </x:c>
    </x:row>
    <x:row r="2430" ht="18" customHeight="1">
      <x:c r="A2430" s="25" t="str">
        <x:v>EEZ_740</x:v>
      </x:c>
      <x:c r="B2430" s="25" t="str">
        <x:v>taxa_count</x:v>
      </x:c>
      <x:c r="C2430" s="25" t="n">
        <x:v>80</x:v>
      </x:c>
      <x:c r="D2430" s="25" t="str">
        <x:v>count</x:v>
      </x:c>
    </x:row>
    <x:row r="2431" ht="18" customHeight="1">
      <x:c r="A2431" s="25" t="str">
        <x:v>EEZ_740</x:v>
      </x:c>
      <x:c r="B2431" s="25" t="str">
        <x:v>matched_taxa_count</x:v>
      </x:c>
      <x:c r="C2431" s="25" t="n">
        <x:v>80</x:v>
      </x:c>
      <x:c r="D2431" s="25" t="str">
        <x:v>count</x:v>
      </x:c>
    </x:row>
    <x:row r="2432" ht="18" customHeight="1">
      <x:c r="A2432" s="25" t="str">
        <x:v>EEZ_740</x:v>
      </x:c>
      <x:c r="B2432" s="25" t="str">
        <x:v>unmatched_taxa_count</x:v>
      </x:c>
      <x:c r="C2432" s="25" t="n">
        <x:v>0</x:v>
      </x:c>
      <x:c r="D2432" s="25" t="str">
        <x:v>count</x:v>
      </x:c>
    </x:row>
    <x:row r="2433" ht="18" customHeight="1">
      <x:c r="A2433" s="25" t="str">
        <x:v>EEZ_740</x:v>
      </x:c>
      <x:c r="B2433" s="25" t="str">
        <x:v>species_ppr</x:v>
      </x:c>
      <x:c r="C2433" s="25" t="n">
        <x:v>50180471.08869745</x:v>
      </x:c>
      <x:c r="D2433" s="25" t="str">
        <x:v>tonnes_primary_production_equivalent</x:v>
      </x:c>
    </x:row>
    <x:row r="2434" ht="18" customHeight="1">
      <x:c r="A2434" s="25" t="str">
        <x:v>EEZ_740</x:v>
      </x:c>
      <x:c r="B2434" s="25" t="str">
        <x:v>commercial_ppr</x:v>
      </x:c>
      <x:c r="C2434" s="25" t="n">
        <x:v>38776814.36208194</x:v>
      </x:c>
      <x:c r="D2434" s="25" t="str">
        <x:v>tonnes_primary_production_equivalent</x:v>
      </x:c>
    </x:row>
    <x:row r="2435" ht="18" customHeight="1">
      <x:c r="A2435" s="25" t="str">
        <x:v>EEZ_740</x:v>
      </x:c>
      <x:c r="B2435" s="25" t="str">
        <x:v>functional_ppr</x:v>
      </x:c>
      <x:c r="C2435" s="25" t="n">
        <x:v>41306279.01996325</x:v>
      </x:c>
      <x:c r="D2435" s="25" t="str">
        <x:v>tonnes_primary_production_equivalent</x:v>
      </x:c>
    </x:row>
    <x:row r="2436" ht="18" customHeight="1">
      <x:c r="A2436" s="25" t="str">
        <x:v>EEZ_740</x:v>
      </x:c>
      <x:c r="B2436" s="25" t="str">
        <x:v>commercial_ppr_difference</x:v>
      </x:c>
      <x:c r="C2436" s="25" t="n">
        <x:v>-11403656.72661551</x:v>
      </x:c>
      <x:c r="D2436" s="25" t="str">
        <x:v>tonnes_primary_production_equivalent</x:v>
      </x:c>
    </x:row>
    <x:row r="2437" ht="18" customHeight="1">
      <x:c r="A2437" s="25" t="str">
        <x:v>EEZ_740</x:v>
      </x:c>
      <x:c r="B2437" s="25" t="str">
        <x:v>functional_ppr_difference</x:v>
      </x:c>
      <x:c r="C2437" s="25" t="n">
        <x:v>-8874192.068734199</x:v>
      </x:c>
      <x:c r="D2437" s="25" t="str">
        <x:v>tonnes_primary_production_equivalent</x:v>
      </x:c>
    </x:row>
    <x:row r="2438" ht="18" customHeight="1">
      <x:c r="A2438" s="25" t="str">
        <x:v>EEZ_744</x:v>
      </x:c>
      <x:c r="B2438" s="25" t="str">
        <x:v>raw_filtered_tonnes</x:v>
      </x:c>
      <x:c r="C2438" s="25" t="n">
        <x:v>219891.4498277699</x:v>
      </x:c>
      <x:c r="D2438" s="25" t="str">
        <x:v>tonnes</x:v>
      </x:c>
    </x:row>
    <x:row r="2439" ht="18" customHeight="1">
      <x:c r="A2439" s="25" t="str">
        <x:v>EEZ_744</x:v>
      </x:c>
      <x:c r="B2439" s="25" t="str">
        <x:v>species_catch_tonnes</x:v>
      </x:c>
      <x:c r="C2439" s="25" t="n">
        <x:v>219891.4498277699</x:v>
      </x:c>
      <x:c r="D2439" s="25" t="str">
        <x:v>tonnes</x:v>
      </x:c>
    </x:row>
    <x:row r="2440" ht="18" customHeight="1">
      <x:c r="A2440" s="25" t="str">
        <x:v>EEZ_744</x:v>
      </x:c>
      <x:c r="B2440" s="25" t="str">
        <x:v>catch_difference_tonnes</x:v>
      </x:c>
      <x:c r="C2440" s="25" t="n">
        <x:v>0</x:v>
      </x:c>
      <x:c r="D2440" s="25" t="str">
        <x:v>tonnes</x:v>
      </x:c>
    </x:row>
    <x:row r="2441" ht="18" customHeight="1">
      <x:c r="A2441" s="25" t="str">
        <x:v>EEZ_744</x:v>
      </x:c>
      <x:c r="B2441" s="25" t="str">
        <x:v>catch_reconciled</x:v>
      </x:c>
      <x:c r="C2441" s="36" t="b">
        <x:v>1</x:v>
      </x:c>
      <x:c r="D2441" s="25" t="str">
        <x:v>boolean</x:v>
      </x:c>
    </x:row>
    <x:row r="2442" ht="18" customHeight="1">
      <x:c r="A2442" s="25" t="str">
        <x:v>EEZ_744</x:v>
      </x:c>
      <x:c r="B2442" s="25" t="str">
        <x:v>matched_catch_tonnes</x:v>
      </x:c>
      <x:c r="C2442" s="25" t="n">
        <x:v>219891.4498277699</x:v>
      </x:c>
      <x:c r="D2442" s="25" t="str">
        <x:v>tonnes</x:v>
      </x:c>
    </x:row>
    <x:row r="2443" ht="18" customHeight="1">
      <x:c r="A2443" s="25" t="str">
        <x:v>EEZ_744</x:v>
      </x:c>
      <x:c r="B2443" s="25" t="str">
        <x:v>catch_coverage_fraction</x:v>
      </x:c>
      <x:c r="C2443" s="25" t="n">
        <x:v>1</x:v>
      </x:c>
      <x:c r="D2443" s="25" t="str">
        <x:v>fraction</x:v>
      </x:c>
    </x:row>
    <x:row r="2444" ht="18" customHeight="1">
      <x:c r="A2444" s="25" t="str">
        <x:v>EEZ_744</x:v>
      </x:c>
      <x:c r="B2444" s="25" t="str">
        <x:v>taxa_count</x:v>
      </x:c>
      <x:c r="C2444" s="25" t="n">
        <x:v>62</x:v>
      </x:c>
      <x:c r="D2444" s="25" t="str">
        <x:v>count</x:v>
      </x:c>
    </x:row>
    <x:row r="2445" ht="18" customHeight="1">
      <x:c r="A2445" s="25" t="str">
        <x:v>EEZ_744</x:v>
      </x:c>
      <x:c r="B2445" s="25" t="str">
        <x:v>matched_taxa_count</x:v>
      </x:c>
      <x:c r="C2445" s="25" t="n">
        <x:v>62</x:v>
      </x:c>
      <x:c r="D2445" s="25" t="str">
        <x:v>count</x:v>
      </x:c>
    </x:row>
    <x:row r="2446" ht="18" customHeight="1">
      <x:c r="A2446" s="25" t="str">
        <x:v>EEZ_744</x:v>
      </x:c>
      <x:c r="B2446" s="25" t="str">
        <x:v>unmatched_taxa_count</x:v>
      </x:c>
      <x:c r="C2446" s="25" t="n">
        <x:v>0</x:v>
      </x:c>
      <x:c r="D2446" s="25" t="str">
        <x:v>count</x:v>
      </x:c>
    </x:row>
    <x:row r="2447" ht="18" customHeight="1">
      <x:c r="A2447" s="25" t="str">
        <x:v>EEZ_744</x:v>
      </x:c>
      <x:c r="B2447" s="25" t="str">
        <x:v>species_ppr</x:v>
      </x:c>
      <x:c r="C2447" s="25" t="n">
        <x:v>218315950.64442787</x:v>
      </x:c>
      <x:c r="D2447" s="25" t="str">
        <x:v>tonnes_primary_production_equivalent</x:v>
      </x:c>
    </x:row>
    <x:row r="2448" ht="18" customHeight="1">
      <x:c r="A2448" s="25" t="str">
        <x:v>EEZ_744</x:v>
      </x:c>
      <x:c r="B2448" s="25" t="str">
        <x:v>commercial_ppr</x:v>
      </x:c>
      <x:c r="C2448" s="25" t="n">
        <x:v>217216675.2255146</x:v>
      </x:c>
      <x:c r="D2448" s="25" t="str">
        <x:v>tonnes_primary_production_equivalent</x:v>
      </x:c>
    </x:row>
    <x:row r="2449" ht="18" customHeight="1">
      <x:c r="A2449" s="25" t="str">
        <x:v>EEZ_744</x:v>
      </x:c>
      <x:c r="B2449" s="25" t="str">
        <x:v>functional_ppr</x:v>
      </x:c>
      <x:c r="C2449" s="25" t="n">
        <x:v>207323146.5444756</x:v>
      </x:c>
      <x:c r="D2449" s="25" t="str">
        <x:v>tonnes_primary_production_equivalent</x:v>
      </x:c>
    </x:row>
    <x:row r="2450" ht="18" customHeight="1">
      <x:c r="A2450" s="25" t="str">
        <x:v>EEZ_744</x:v>
      </x:c>
      <x:c r="B2450" s="25" t="str">
        <x:v>commercial_ppr_difference</x:v>
      </x:c>
      <x:c r="C2450" s="25" t="n">
        <x:v>-1099275.418913275</x:v>
      </x:c>
      <x:c r="D2450" s="25" t="str">
        <x:v>tonnes_primary_production_equivalent</x:v>
      </x:c>
    </x:row>
    <x:row r="2451" ht="18" customHeight="1">
      <x:c r="A2451" s="25" t="str">
        <x:v>EEZ_744</x:v>
      </x:c>
      <x:c r="B2451" s="25" t="str">
        <x:v>functional_ppr_difference</x:v>
      </x:c>
      <x:c r="C2451" s="25" t="n">
        <x:v>-10992804.09995228</x:v>
      </x:c>
      <x:c r="D2451" s="25" t="str">
        <x:v>tonnes_primary_production_equivalent</x:v>
      </x:c>
    </x:row>
    <x:row r="2452" ht="18" customHeight="1">
      <x:c r="A2452" s="25" t="str">
        <x:v>EEZ_760</x:v>
      </x:c>
      <x:c r="B2452" s="25" t="str">
        <x:v>raw_filtered_tonnes</x:v>
      </x:c>
      <x:c r="C2452" s="25" t="n">
        <x:v>4003.3374784953003</x:v>
      </x:c>
      <x:c r="D2452" s="25" t="str">
        <x:v>tonnes</x:v>
      </x:c>
    </x:row>
    <x:row r="2453" ht="18" customHeight="1">
      <x:c r="A2453" s="25" t="str">
        <x:v>EEZ_760</x:v>
      </x:c>
      <x:c r="B2453" s="25" t="str">
        <x:v>species_catch_tonnes</x:v>
      </x:c>
      <x:c r="C2453" s="25" t="n">
        <x:v>4003.3374784953</x:v>
      </x:c>
      <x:c r="D2453" s="25" t="str">
        <x:v>tonnes</x:v>
      </x:c>
    </x:row>
    <x:row r="2454" ht="18" customHeight="1">
      <x:c r="A2454" s="25" t="str">
        <x:v>EEZ_760</x:v>
      </x:c>
      <x:c r="B2454" s="25" t="str">
        <x:v>catch_difference_tonnes</x:v>
      </x:c>
      <x:c r="C2454" s="25" t="n">
        <x:v>-4.547473508864641e-13</x:v>
      </x:c>
      <x:c r="D2454" s="25" t="str">
        <x:v>tonnes</x:v>
      </x:c>
    </x:row>
    <x:row r="2455" ht="18" customHeight="1">
      <x:c r="A2455" s="25" t="str">
        <x:v>EEZ_760</x:v>
      </x:c>
      <x:c r="B2455" s="25" t="str">
        <x:v>catch_reconciled</x:v>
      </x:c>
      <x:c r="C2455" s="36" t="b">
        <x:v>1</x:v>
      </x:c>
      <x:c r="D2455" s="25" t="str">
        <x:v>boolean</x:v>
      </x:c>
    </x:row>
    <x:row r="2456" ht="18" customHeight="1">
      <x:c r="A2456" s="25" t="str">
        <x:v>EEZ_760</x:v>
      </x:c>
      <x:c r="B2456" s="25" t="str">
        <x:v>matched_catch_tonnes</x:v>
      </x:c>
      <x:c r="C2456" s="25" t="n">
        <x:v>4003.3374784953</x:v>
      </x:c>
      <x:c r="D2456" s="25" t="str">
        <x:v>tonnes</x:v>
      </x:c>
    </x:row>
    <x:row r="2457" ht="18" customHeight="1">
      <x:c r="A2457" s="25" t="str">
        <x:v>EEZ_760</x:v>
      </x:c>
      <x:c r="B2457" s="25" t="str">
        <x:v>catch_coverage_fraction</x:v>
      </x:c>
      <x:c r="C2457" s="25" t="n">
        <x:v>1</x:v>
      </x:c>
      <x:c r="D2457" s="25" t="str">
        <x:v>fraction</x:v>
      </x:c>
    </x:row>
    <x:row r="2458" ht="18" customHeight="1">
      <x:c r="A2458" s="25" t="str">
        <x:v>EEZ_760</x:v>
      </x:c>
      <x:c r="B2458" s="25" t="str">
        <x:v>taxa_count</x:v>
      </x:c>
      <x:c r="C2458" s="25" t="n">
        <x:v>51</x:v>
      </x:c>
      <x:c r="D2458" s="25" t="str">
        <x:v>count</x:v>
      </x:c>
    </x:row>
    <x:row r="2459" ht="18" customHeight="1">
      <x:c r="A2459" s="25" t="str">
        <x:v>EEZ_760</x:v>
      </x:c>
      <x:c r="B2459" s="25" t="str">
        <x:v>matched_taxa_count</x:v>
      </x:c>
      <x:c r="C2459" s="25" t="n">
        <x:v>51</x:v>
      </x:c>
      <x:c r="D2459" s="25" t="str">
        <x:v>count</x:v>
      </x:c>
    </x:row>
    <x:row r="2460" ht="18" customHeight="1">
      <x:c r="A2460" s="25" t="str">
        <x:v>EEZ_760</x:v>
      </x:c>
      <x:c r="B2460" s="25" t="str">
        <x:v>unmatched_taxa_count</x:v>
      </x:c>
      <x:c r="C2460" s="25" t="n">
        <x:v>0</x:v>
      </x:c>
      <x:c r="D2460" s="25" t="str">
        <x:v>count</x:v>
      </x:c>
    </x:row>
    <x:row r="2461" ht="18" customHeight="1">
      <x:c r="A2461" s="25" t="str">
        <x:v>EEZ_760</x:v>
      </x:c>
      <x:c r="B2461" s="25" t="str">
        <x:v>species_ppr</x:v>
      </x:c>
      <x:c r="C2461" s="25" t="n">
        <x:v>3019943.8712182636</x:v>
      </x:c>
      <x:c r="D2461" s="25" t="str">
        <x:v>tonnes_primary_production_equivalent</x:v>
      </x:c>
    </x:row>
    <x:row r="2462" ht="18" customHeight="1">
      <x:c r="A2462" s="25" t="str">
        <x:v>EEZ_760</x:v>
      </x:c>
      <x:c r="B2462" s="25" t="str">
        <x:v>commercial_ppr</x:v>
      </x:c>
      <x:c r="C2462" s="25" t="n">
        <x:v>2273637.0677929926</x:v>
      </x:c>
      <x:c r="D2462" s="25" t="str">
        <x:v>tonnes_primary_production_equivalent</x:v>
      </x:c>
    </x:row>
    <x:row r="2463" ht="18" customHeight="1">
      <x:c r="A2463" s="25" t="str">
        <x:v>EEZ_760</x:v>
      </x:c>
      <x:c r="B2463" s="25" t="str">
        <x:v>functional_ppr</x:v>
      </x:c>
      <x:c r="C2463" s="25" t="n">
        <x:v>2542874.7689883593</x:v>
      </x:c>
      <x:c r="D2463" s="25" t="str">
        <x:v>tonnes_primary_production_equivalent</x:v>
      </x:c>
    </x:row>
    <x:row r="2464" ht="18" customHeight="1">
      <x:c r="A2464" s="25" t="str">
        <x:v>EEZ_760</x:v>
      </x:c>
      <x:c r="B2464" s="25" t="str">
        <x:v>commercial_ppr_difference</x:v>
      </x:c>
      <x:c r="C2464" s="25" t="n">
        <x:v>-746306.8034252711</x:v>
      </x:c>
      <x:c r="D2464" s="25" t="str">
        <x:v>tonnes_primary_production_equivalent</x:v>
      </x:c>
    </x:row>
    <x:row r="2465" ht="18" customHeight="1">
      <x:c r="A2465" s="25" t="str">
        <x:v>EEZ_760</x:v>
      </x:c>
      <x:c r="B2465" s="25" t="str">
        <x:v>functional_ppr_difference</x:v>
      </x:c>
      <x:c r="C2465" s="25" t="n">
        <x:v>-477069.1022299044</x:v>
      </x:c>
      <x:c r="D2465" s="25" t="str">
        <x:v>tonnes_primary_production_equivalent</x:v>
      </x:c>
    </x:row>
    <x:row r="2466" ht="18" customHeight="1">
      <x:c r="A2466" s="25" t="str">
        <x:v>EEZ_768</x:v>
      </x:c>
      <x:c r="B2466" s="25" t="str">
        <x:v>raw_filtered_tonnes</x:v>
      </x:c>
      <x:c r="C2466" s="25" t="n">
        <x:v>51334.51177780791</x:v>
      </x:c>
      <x:c r="D2466" s="25" t="str">
        <x:v>tonnes</x:v>
      </x:c>
    </x:row>
    <x:row r="2467" ht="18" customHeight="1">
      <x:c r="A2467" s="25" t="str">
        <x:v>EEZ_768</x:v>
      </x:c>
      <x:c r="B2467" s="25" t="str">
        <x:v>species_catch_tonnes</x:v>
      </x:c>
      <x:c r="C2467" s="25" t="n">
        <x:v>51334.51177780791</x:v>
      </x:c>
      <x:c r="D2467" s="25" t="str">
        <x:v>tonnes</x:v>
      </x:c>
    </x:row>
    <x:row r="2468" ht="18" customHeight="1">
      <x:c r="A2468" s="25" t="str">
        <x:v>EEZ_768</x:v>
      </x:c>
      <x:c r="B2468" s="25" t="str">
        <x:v>catch_difference_tonnes</x:v>
      </x:c>
      <x:c r="C2468" s="25" t="n">
        <x:v>0</x:v>
      </x:c>
      <x:c r="D2468" s="25" t="str">
        <x:v>tonnes</x:v>
      </x:c>
    </x:row>
    <x:row r="2469" ht="18" customHeight="1">
      <x:c r="A2469" s="25" t="str">
        <x:v>EEZ_768</x:v>
      </x:c>
      <x:c r="B2469" s="25" t="str">
        <x:v>catch_reconciled</x:v>
      </x:c>
      <x:c r="C2469" s="36" t="b">
        <x:v>1</x:v>
      </x:c>
      <x:c r="D2469" s="25" t="str">
        <x:v>boolean</x:v>
      </x:c>
    </x:row>
    <x:row r="2470" ht="18" customHeight="1">
      <x:c r="A2470" s="25" t="str">
        <x:v>EEZ_768</x:v>
      </x:c>
      <x:c r="B2470" s="25" t="str">
        <x:v>matched_catch_tonnes</x:v>
      </x:c>
      <x:c r="C2470" s="25" t="n">
        <x:v>51334.51177780791</x:v>
      </x:c>
      <x:c r="D2470" s="25" t="str">
        <x:v>tonnes</x:v>
      </x:c>
    </x:row>
    <x:row r="2471" ht="18" customHeight="1">
      <x:c r="A2471" s="25" t="str">
        <x:v>EEZ_768</x:v>
      </x:c>
      <x:c r="B2471" s="25" t="str">
        <x:v>catch_coverage_fraction</x:v>
      </x:c>
      <x:c r="C2471" s="25" t="n">
        <x:v>1</x:v>
      </x:c>
      <x:c r="D2471" s="25" t="str">
        <x:v>fraction</x:v>
      </x:c>
    </x:row>
    <x:row r="2472" ht="18" customHeight="1">
      <x:c r="A2472" s="25" t="str">
        <x:v>EEZ_768</x:v>
      </x:c>
      <x:c r="B2472" s="25" t="str">
        <x:v>taxa_count</x:v>
      </x:c>
      <x:c r="C2472" s="25" t="n">
        <x:v>129</x:v>
      </x:c>
      <x:c r="D2472" s="25" t="str">
        <x:v>count</x:v>
      </x:c>
    </x:row>
    <x:row r="2473" ht="18" customHeight="1">
      <x:c r="A2473" s="25" t="str">
        <x:v>EEZ_768</x:v>
      </x:c>
      <x:c r="B2473" s="25" t="str">
        <x:v>matched_taxa_count</x:v>
      </x:c>
      <x:c r="C2473" s="25" t="n">
        <x:v>129</x:v>
      </x:c>
      <x:c r="D2473" s="25" t="str">
        <x:v>count</x:v>
      </x:c>
    </x:row>
    <x:row r="2474" ht="18" customHeight="1">
      <x:c r="A2474" s="25" t="str">
        <x:v>EEZ_768</x:v>
      </x:c>
      <x:c r="B2474" s="25" t="str">
        <x:v>unmatched_taxa_count</x:v>
      </x:c>
      <x:c r="C2474" s="25" t="n">
        <x:v>0</x:v>
      </x:c>
      <x:c r="D2474" s="25" t="str">
        <x:v>count</x:v>
      </x:c>
    </x:row>
    <x:row r="2475" ht="18" customHeight="1">
      <x:c r="A2475" s="25" t="str">
        <x:v>EEZ_768</x:v>
      </x:c>
      <x:c r="B2475" s="25" t="str">
        <x:v>species_ppr</x:v>
      </x:c>
      <x:c r="C2475" s="25" t="n">
        <x:v>22085853.6318601</x:v>
      </x:c>
      <x:c r="D2475" s="25" t="str">
        <x:v>tonnes_primary_production_equivalent</x:v>
      </x:c>
    </x:row>
    <x:row r="2476" ht="18" customHeight="1">
      <x:c r="A2476" s="25" t="str">
        <x:v>EEZ_768</x:v>
      </x:c>
      <x:c r="B2476" s="25" t="str">
        <x:v>commercial_ppr</x:v>
      </x:c>
      <x:c r="C2476" s="25" t="n">
        <x:v>19613595.78582249</x:v>
      </x:c>
      <x:c r="D2476" s="25" t="str">
        <x:v>tonnes_primary_production_equivalent</x:v>
      </x:c>
    </x:row>
    <x:row r="2477" ht="18" customHeight="1">
      <x:c r="A2477" s="25" t="str">
        <x:v>EEZ_768</x:v>
      </x:c>
      <x:c r="B2477" s="25" t="str">
        <x:v>functional_ppr</x:v>
      </x:c>
      <x:c r="C2477" s="25" t="n">
        <x:v>21138321.64229359</x:v>
      </x:c>
      <x:c r="D2477" s="25" t="str">
        <x:v>tonnes_primary_production_equivalent</x:v>
      </x:c>
    </x:row>
    <x:row r="2478" ht="18" customHeight="1">
      <x:c r="A2478" s="25" t="str">
        <x:v>EEZ_768</x:v>
      </x:c>
      <x:c r="B2478" s="25" t="str">
        <x:v>commercial_ppr_difference</x:v>
      </x:c>
      <x:c r="C2478" s="25" t="n">
        <x:v>-2472257.8460376114</x:v>
      </x:c>
      <x:c r="D2478" s="25" t="str">
        <x:v>tonnes_primary_production_equivalent</x:v>
      </x:c>
    </x:row>
    <x:row r="2479" ht="18" customHeight="1">
      <x:c r="A2479" s="25" t="str">
        <x:v>EEZ_768</x:v>
      </x:c>
      <x:c r="B2479" s="25" t="str">
        <x:v>functional_ppr_difference</x:v>
      </x:c>
      <x:c r="C2479" s="25" t="n">
        <x:v>-947531.9895665087</x:v>
      </x:c>
      <x:c r="D2479" s="25" t="str">
        <x:v>tonnes_primary_production_equivalent</x:v>
      </x:c>
    </x:row>
    <x:row r="2480" ht="18" customHeight="1">
      <x:c r="A2480" s="25" t="str">
        <x:v>EEZ_772</x:v>
      </x:c>
      <x:c r="B2480" s="25" t="str">
        <x:v>raw_filtered_tonnes</x:v>
      </x:c>
      <x:c r="C2480" s="25" t="n">
        <x:v>9835.3636877018</x:v>
      </x:c>
      <x:c r="D2480" s="25" t="str">
        <x:v>tonnes</x:v>
      </x:c>
    </x:row>
    <x:row r="2481" ht="18" customHeight="1">
      <x:c r="A2481" s="25" t="str">
        <x:v>EEZ_772</x:v>
      </x:c>
      <x:c r="B2481" s="25" t="str">
        <x:v>species_catch_tonnes</x:v>
      </x:c>
      <x:c r="C2481" s="25" t="n">
        <x:v>9835.363687701802</x:v>
      </x:c>
      <x:c r="D2481" s="25" t="str">
        <x:v>tonnes</x:v>
      </x:c>
    </x:row>
    <x:row r="2482" ht="18" customHeight="1">
      <x:c r="A2482" s="25" t="str">
        <x:v>EEZ_772</x:v>
      </x:c>
      <x:c r="B2482" s="25" t="str">
        <x:v>catch_difference_tonnes</x:v>
      </x:c>
      <x:c r="C2482" s="25" t="n">
        <x:v>1.8189894035458565e-12</x:v>
      </x:c>
      <x:c r="D2482" s="25" t="str">
        <x:v>tonnes</x:v>
      </x:c>
    </x:row>
    <x:row r="2483" ht="18" customHeight="1">
      <x:c r="A2483" s="25" t="str">
        <x:v>EEZ_772</x:v>
      </x:c>
      <x:c r="B2483" s="25" t="str">
        <x:v>catch_reconciled</x:v>
      </x:c>
      <x:c r="C2483" s="36" t="b">
        <x:v>1</x:v>
      </x:c>
      <x:c r="D2483" s="25" t="str">
        <x:v>boolean</x:v>
      </x:c>
    </x:row>
    <x:row r="2484" ht="18" customHeight="1">
      <x:c r="A2484" s="25" t="str">
        <x:v>EEZ_772</x:v>
      </x:c>
      <x:c r="B2484" s="25" t="str">
        <x:v>matched_catch_tonnes</x:v>
      </x:c>
      <x:c r="C2484" s="25" t="n">
        <x:v>9835.363687701802</x:v>
      </x:c>
      <x:c r="D2484" s="25" t="str">
        <x:v>tonnes</x:v>
      </x:c>
    </x:row>
    <x:row r="2485" ht="18" customHeight="1">
      <x:c r="A2485" s="25" t="str">
        <x:v>EEZ_772</x:v>
      </x:c>
      <x:c r="B2485" s="25" t="str">
        <x:v>catch_coverage_fraction</x:v>
      </x:c>
      <x:c r="C2485" s="25" t="n">
        <x:v>1</x:v>
      </x:c>
      <x:c r="D2485" s="25" t="str">
        <x:v>fraction</x:v>
      </x:c>
    </x:row>
    <x:row r="2486" ht="18" customHeight="1">
      <x:c r="A2486" s="25" t="str">
        <x:v>EEZ_772</x:v>
      </x:c>
      <x:c r="B2486" s="25" t="str">
        <x:v>taxa_count</x:v>
      </x:c>
      <x:c r="C2486" s="25" t="n">
        <x:v>29</x:v>
      </x:c>
      <x:c r="D2486" s="25" t="str">
        <x:v>count</x:v>
      </x:c>
    </x:row>
    <x:row r="2487" ht="18" customHeight="1">
      <x:c r="A2487" s="25" t="str">
        <x:v>EEZ_772</x:v>
      </x:c>
      <x:c r="B2487" s="25" t="str">
        <x:v>matched_taxa_count</x:v>
      </x:c>
      <x:c r="C2487" s="25" t="n">
        <x:v>29</x:v>
      </x:c>
      <x:c r="D2487" s="25" t="str">
        <x:v>count</x:v>
      </x:c>
    </x:row>
    <x:row r="2488" ht="18" customHeight="1">
      <x:c r="A2488" s="25" t="str">
        <x:v>EEZ_772</x:v>
      </x:c>
      <x:c r="B2488" s="25" t="str">
        <x:v>unmatched_taxa_count</x:v>
      </x:c>
      <x:c r="C2488" s="25" t="n">
        <x:v>0</x:v>
      </x:c>
      <x:c r="D2488" s="25" t="str">
        <x:v>count</x:v>
      </x:c>
    </x:row>
    <x:row r="2489" ht="18" customHeight="1">
      <x:c r="A2489" s="25" t="str">
        <x:v>EEZ_772</x:v>
      </x:c>
      <x:c r="B2489" s="25" t="str">
        <x:v>species_ppr</x:v>
      </x:c>
      <x:c r="C2489" s="25" t="n">
        <x:v>23763562.20958886</x:v>
      </x:c>
      <x:c r="D2489" s="25" t="str">
        <x:v>tonnes_primary_production_equivalent</x:v>
      </x:c>
    </x:row>
    <x:row r="2490" ht="18" customHeight="1">
      <x:c r="A2490" s="25" t="str">
        <x:v>EEZ_772</x:v>
      </x:c>
      <x:c r="B2490" s="25" t="str">
        <x:v>commercial_ppr</x:v>
      </x:c>
      <x:c r="C2490" s="25" t="n">
        <x:v>23465804.42043172</x:v>
      </x:c>
      <x:c r="D2490" s="25" t="str">
        <x:v>tonnes_primary_production_equivalent</x:v>
      </x:c>
    </x:row>
    <x:row r="2491" ht="18" customHeight="1">
      <x:c r="A2491" s="25" t="str">
        <x:v>EEZ_772</x:v>
      </x:c>
      <x:c r="B2491" s="25" t="str">
        <x:v>functional_ppr</x:v>
      </x:c>
      <x:c r="C2491" s="25" t="n">
        <x:v>23559458.571684595</x:v>
      </x:c>
      <x:c r="D2491" s="25" t="str">
        <x:v>tonnes_primary_production_equivalent</x:v>
      </x:c>
    </x:row>
    <x:row r="2492" ht="18" customHeight="1">
      <x:c r="A2492" s="25" t="str">
        <x:v>EEZ_772</x:v>
      </x:c>
      <x:c r="B2492" s="25" t="str">
        <x:v>commercial_ppr_difference</x:v>
      </x:c>
      <x:c r="C2492" s="25" t="n">
        <x:v>-297757.789157141</x:v>
      </x:c>
      <x:c r="D2492" s="25" t="str">
        <x:v>tonnes_primary_production_equivalent</x:v>
      </x:c>
    </x:row>
    <x:row r="2493" ht="18" customHeight="1">
      <x:c r="A2493" s="25" t="str">
        <x:v>EEZ_772</x:v>
      </x:c>
      <x:c r="B2493" s="25" t="str">
        <x:v>functional_ppr_difference</x:v>
      </x:c>
      <x:c r="C2493" s="25" t="n">
        <x:v>-204103.63790426403</x:v>
      </x:c>
      <x:c r="D2493" s="25" t="str">
        <x:v>tonnes_primary_production_equivalent</x:v>
      </x:c>
    </x:row>
    <x:row r="2494" ht="18" customHeight="1">
      <x:c r="A2494" s="25" t="str">
        <x:v>EEZ_776</x:v>
      </x:c>
      <x:c r="B2494" s="25" t="str">
        <x:v>raw_filtered_tonnes</x:v>
      </x:c>
      <x:c r="C2494" s="25" t="n">
        <x:v>14542.412200733399</x:v>
      </x:c>
      <x:c r="D2494" s="25" t="str">
        <x:v>tonnes</x:v>
      </x:c>
    </x:row>
    <x:row r="2495" ht="18" customHeight="1">
      <x:c r="A2495" s="25" t="str">
        <x:v>EEZ_776</x:v>
      </x:c>
      <x:c r="B2495" s="25" t="str">
        <x:v>species_catch_tonnes</x:v>
      </x:c>
      <x:c r="C2495" s="25" t="n">
        <x:v>14542.412200733399</x:v>
      </x:c>
      <x:c r="D2495" s="25" t="str">
        <x:v>tonnes</x:v>
      </x:c>
    </x:row>
    <x:row r="2496" ht="18" customHeight="1">
      <x:c r="A2496" s="25" t="str">
        <x:v>EEZ_776</x:v>
      </x:c>
      <x:c r="B2496" s="25" t="str">
        <x:v>catch_difference_tonnes</x:v>
      </x:c>
      <x:c r="C2496" s="25" t="n">
        <x:v>0</x:v>
      </x:c>
      <x:c r="D2496" s="25" t="str">
        <x:v>tonnes</x:v>
      </x:c>
    </x:row>
    <x:row r="2497" ht="18" customHeight="1">
      <x:c r="A2497" s="25" t="str">
        <x:v>EEZ_776</x:v>
      </x:c>
      <x:c r="B2497" s="25" t="str">
        <x:v>catch_reconciled</x:v>
      </x:c>
      <x:c r="C2497" s="36" t="b">
        <x:v>1</x:v>
      </x:c>
      <x:c r="D2497" s="25" t="str">
        <x:v>boolean</x:v>
      </x:c>
    </x:row>
    <x:row r="2498" ht="18" customHeight="1">
      <x:c r="A2498" s="25" t="str">
        <x:v>EEZ_776</x:v>
      </x:c>
      <x:c r="B2498" s="25" t="str">
        <x:v>matched_catch_tonnes</x:v>
      </x:c>
      <x:c r="C2498" s="25" t="n">
        <x:v>14542.412200733399</x:v>
      </x:c>
      <x:c r="D2498" s="25" t="str">
        <x:v>tonnes</x:v>
      </x:c>
    </x:row>
    <x:row r="2499" ht="18" customHeight="1">
      <x:c r="A2499" s="25" t="str">
        <x:v>EEZ_776</x:v>
      </x:c>
      <x:c r="B2499" s="25" t="str">
        <x:v>catch_coverage_fraction</x:v>
      </x:c>
      <x:c r="C2499" s="25" t="n">
        <x:v>1</x:v>
      </x:c>
      <x:c r="D2499" s="25" t="str">
        <x:v>fraction</x:v>
      </x:c>
    </x:row>
    <x:row r="2500" ht="18" customHeight="1">
      <x:c r="A2500" s="25" t="str">
        <x:v>EEZ_776</x:v>
      </x:c>
      <x:c r="B2500" s="25" t="str">
        <x:v>taxa_count</x:v>
      </x:c>
      <x:c r="C2500" s="25" t="n">
        <x:v>86</x:v>
      </x:c>
      <x:c r="D2500" s="25" t="str">
        <x:v>count</x:v>
      </x:c>
    </x:row>
    <x:row r="2501" ht="18" customHeight="1">
      <x:c r="A2501" s="25" t="str">
        <x:v>EEZ_776</x:v>
      </x:c>
      <x:c r="B2501" s="25" t="str">
        <x:v>matched_taxa_count</x:v>
      </x:c>
      <x:c r="C2501" s="25" t="n">
        <x:v>86</x:v>
      </x:c>
      <x:c r="D2501" s="25" t="str">
        <x:v>count</x:v>
      </x:c>
    </x:row>
    <x:row r="2502" ht="18" customHeight="1">
      <x:c r="A2502" s="25" t="str">
        <x:v>EEZ_776</x:v>
      </x:c>
      <x:c r="B2502" s="25" t="str">
        <x:v>unmatched_taxa_count</x:v>
      </x:c>
      <x:c r="C2502" s="25" t="n">
        <x:v>0</x:v>
      </x:c>
      <x:c r="D2502" s="25" t="str">
        <x:v>count</x:v>
      </x:c>
    </x:row>
    <x:row r="2503" ht="18" customHeight="1">
      <x:c r="A2503" s="25" t="str">
        <x:v>EEZ_776</x:v>
      </x:c>
      <x:c r="B2503" s="25" t="str">
        <x:v>species_ppr</x:v>
      </x:c>
      <x:c r="C2503" s="25" t="n">
        <x:v>17016818.719265178</x:v>
      </x:c>
      <x:c r="D2503" s="25" t="str">
        <x:v>tonnes_primary_production_equivalent</x:v>
      </x:c>
    </x:row>
    <x:row r="2504" ht="18" customHeight="1">
      <x:c r="A2504" s="25" t="str">
        <x:v>EEZ_776</x:v>
      </x:c>
      <x:c r="B2504" s="25" t="str">
        <x:v>commercial_ppr</x:v>
      </x:c>
      <x:c r="C2504" s="25" t="n">
        <x:v>15387263.798386406</x:v>
      </x:c>
      <x:c r="D2504" s="25" t="str">
        <x:v>tonnes_primary_production_equivalent</x:v>
      </x:c>
    </x:row>
    <x:row r="2505" ht="18" customHeight="1">
      <x:c r="A2505" s="25" t="str">
        <x:v>EEZ_776</x:v>
      </x:c>
      <x:c r="B2505" s="25" t="str">
        <x:v>functional_ppr</x:v>
      </x:c>
      <x:c r="C2505" s="25" t="n">
        <x:v>15773312.444911908</x:v>
      </x:c>
      <x:c r="D2505" s="25" t="str">
        <x:v>tonnes_primary_production_equivalent</x:v>
      </x:c>
    </x:row>
    <x:row r="2506" ht="18" customHeight="1">
      <x:c r="A2506" s="25" t="str">
        <x:v>EEZ_776</x:v>
      </x:c>
      <x:c r="B2506" s="25" t="str">
        <x:v>commercial_ppr_difference</x:v>
      </x:c>
      <x:c r="C2506" s="25" t="n">
        <x:v>-1629554.9208787717</x:v>
      </x:c>
      <x:c r="D2506" s="25" t="str">
        <x:v>tonnes_primary_production_equivalent</x:v>
      </x:c>
    </x:row>
    <x:row r="2507" ht="18" customHeight="1">
      <x:c r="A2507" s="25" t="str">
        <x:v>EEZ_776</x:v>
      </x:c>
      <x:c r="B2507" s="25" t="str">
        <x:v>functional_ppr_difference</x:v>
      </x:c>
      <x:c r="C2507" s="25" t="n">
        <x:v>-1243506.2743532695</x:v>
      </x:c>
      <x:c r="D2507" s="25" t="str">
        <x:v>tonnes_primary_production_equivalent</x:v>
      </x:c>
    </x:row>
    <x:row r="2508" ht="18" customHeight="1">
      <x:c r="A2508" s="25" t="str">
        <x:v>EEZ_780</x:v>
      </x:c>
      <x:c r="B2508" s="25" t="str">
        <x:v>raw_filtered_tonnes</x:v>
      </x:c>
      <x:c r="C2508" s="25" t="n">
        <x:v>19523.2185592658</x:v>
      </x:c>
      <x:c r="D2508" s="25" t="str">
        <x:v>tonnes</x:v>
      </x:c>
    </x:row>
    <x:row r="2509" ht="18" customHeight="1">
      <x:c r="A2509" s="25" t="str">
        <x:v>EEZ_780</x:v>
      </x:c>
      <x:c r="B2509" s="25" t="str">
        <x:v>species_catch_tonnes</x:v>
      </x:c>
      <x:c r="C2509" s="25" t="n">
        <x:v>19523.2185592658</x:v>
      </x:c>
      <x:c r="D2509" s="25" t="str">
        <x:v>tonnes</x:v>
      </x:c>
    </x:row>
    <x:row r="2510" ht="18" customHeight="1">
      <x:c r="A2510" s="25" t="str">
        <x:v>EEZ_780</x:v>
      </x:c>
      <x:c r="B2510" s="25" t="str">
        <x:v>catch_difference_tonnes</x:v>
      </x:c>
      <x:c r="C2510" s="25" t="n">
        <x:v>0</x:v>
      </x:c>
      <x:c r="D2510" s="25" t="str">
        <x:v>tonnes</x:v>
      </x:c>
    </x:row>
    <x:row r="2511" ht="18" customHeight="1">
      <x:c r="A2511" s="25" t="str">
        <x:v>EEZ_780</x:v>
      </x:c>
      <x:c r="B2511" s="25" t="str">
        <x:v>catch_reconciled</x:v>
      </x:c>
      <x:c r="C2511" s="36" t="b">
        <x:v>1</x:v>
      </x:c>
      <x:c r="D2511" s="25" t="str">
        <x:v>boolean</x:v>
      </x:c>
    </x:row>
    <x:row r="2512" ht="18" customHeight="1">
      <x:c r="A2512" s="25" t="str">
        <x:v>EEZ_780</x:v>
      </x:c>
      <x:c r="B2512" s="25" t="str">
        <x:v>matched_catch_tonnes</x:v>
      </x:c>
      <x:c r="C2512" s="25" t="n">
        <x:v>19523.2185592658</x:v>
      </x:c>
      <x:c r="D2512" s="25" t="str">
        <x:v>tonnes</x:v>
      </x:c>
    </x:row>
    <x:row r="2513" ht="18" customHeight="1">
      <x:c r="A2513" s="25" t="str">
        <x:v>EEZ_780</x:v>
      </x:c>
      <x:c r="B2513" s="25" t="str">
        <x:v>catch_coverage_fraction</x:v>
      </x:c>
      <x:c r="C2513" s="25" t="n">
        <x:v>1</x:v>
      </x:c>
      <x:c r="D2513" s="25" t="str">
        <x:v>fraction</x:v>
      </x:c>
    </x:row>
    <x:row r="2514" ht="18" customHeight="1">
      <x:c r="A2514" s="25" t="str">
        <x:v>EEZ_780</x:v>
      </x:c>
      <x:c r="B2514" s="25" t="str">
        <x:v>taxa_count</x:v>
      </x:c>
      <x:c r="C2514" s="25" t="n">
        <x:v>97</x:v>
      </x:c>
      <x:c r="D2514" s="25" t="str">
        <x:v>count</x:v>
      </x:c>
    </x:row>
    <x:row r="2515" ht="18" customHeight="1">
      <x:c r="A2515" s="25" t="str">
        <x:v>EEZ_780</x:v>
      </x:c>
      <x:c r="B2515" s="25" t="str">
        <x:v>matched_taxa_count</x:v>
      </x:c>
      <x:c r="C2515" s="25" t="n">
        <x:v>97</x:v>
      </x:c>
      <x:c r="D2515" s="25" t="str">
        <x:v>count</x:v>
      </x:c>
    </x:row>
    <x:row r="2516" ht="18" customHeight="1">
      <x:c r="A2516" s="25" t="str">
        <x:v>EEZ_780</x:v>
      </x:c>
      <x:c r="B2516" s="25" t="str">
        <x:v>unmatched_taxa_count</x:v>
      </x:c>
      <x:c r="C2516" s="25" t="n">
        <x:v>0</x:v>
      </x:c>
      <x:c r="D2516" s="25" t="str">
        <x:v>count</x:v>
      </x:c>
    </x:row>
    <x:row r="2517" ht="18" customHeight="1">
      <x:c r="A2517" s="25" t="str">
        <x:v>EEZ_780</x:v>
      </x:c>
      <x:c r="B2517" s="25" t="str">
        <x:v>species_ppr</x:v>
      </x:c>
      <x:c r="C2517" s="25" t="n">
        <x:v>20381932.081780106</x:v>
      </x:c>
      <x:c r="D2517" s="25" t="str">
        <x:v>tonnes_primary_production_equivalent</x:v>
      </x:c>
    </x:row>
    <x:row r="2518" ht="18" customHeight="1">
      <x:c r="A2518" s="25" t="str">
        <x:v>EEZ_780</x:v>
      </x:c>
      <x:c r="B2518" s="25" t="str">
        <x:v>commercial_ppr</x:v>
      </x:c>
      <x:c r="C2518" s="25" t="n">
        <x:v>16725448.86862569</x:v>
      </x:c>
      <x:c r="D2518" s="25" t="str">
        <x:v>tonnes_primary_production_equivalent</x:v>
      </x:c>
    </x:row>
    <x:row r="2519" ht="18" customHeight="1">
      <x:c r="A2519" s="25" t="str">
        <x:v>EEZ_780</x:v>
      </x:c>
      <x:c r="B2519" s="25" t="str">
        <x:v>functional_ppr</x:v>
      </x:c>
      <x:c r="C2519" s="25" t="n">
        <x:v>17371133.672092713</x:v>
      </x:c>
      <x:c r="D2519" s="25" t="str">
        <x:v>tonnes_primary_production_equivalent</x:v>
      </x:c>
    </x:row>
    <x:row r="2520" ht="18" customHeight="1">
      <x:c r="A2520" s="25" t="str">
        <x:v>EEZ_780</x:v>
      </x:c>
      <x:c r="B2520" s="25" t="str">
        <x:v>commercial_ppr_difference</x:v>
      </x:c>
      <x:c r="C2520" s="25" t="n">
        <x:v>-3656483.2131544165</x:v>
      </x:c>
      <x:c r="D2520" s="25" t="str">
        <x:v>tonnes_primary_production_equivalent</x:v>
      </x:c>
    </x:row>
    <x:row r="2521" ht="18" customHeight="1">
      <x:c r="A2521" s="25" t="str">
        <x:v>EEZ_780</x:v>
      </x:c>
      <x:c r="B2521" s="25" t="str">
        <x:v>functional_ppr_difference</x:v>
      </x:c>
      <x:c r="C2521" s="25" t="n">
        <x:v>-3010798.4096873924</x:v>
      </x:c>
      <x:c r="D2521" s="25" t="str">
        <x:v>tonnes_primary_production_equivalent</x:v>
      </x:c>
    </x:row>
    <x:row r="2522" ht="18" customHeight="1">
      <x:c r="A2522" s="25" t="str">
        <x:v>EEZ_784</x:v>
      </x:c>
      <x:c r="B2522" s="25" t="str">
        <x:v>raw_filtered_tonnes</x:v>
      </x:c>
      <x:c r="C2522" s="25" t="n">
        <x:v>49925.3333488044</x:v>
      </x:c>
      <x:c r="D2522" s="25" t="str">
        <x:v>tonnes</x:v>
      </x:c>
    </x:row>
    <x:row r="2523" ht="18" customHeight="1">
      <x:c r="A2523" s="25" t="str">
        <x:v>EEZ_784</x:v>
      </x:c>
      <x:c r="B2523" s="25" t="str">
        <x:v>species_catch_tonnes</x:v>
      </x:c>
      <x:c r="C2523" s="25" t="n">
        <x:v>49925.3333488044</x:v>
      </x:c>
      <x:c r="D2523" s="25" t="str">
        <x:v>tonnes</x:v>
      </x:c>
    </x:row>
    <x:row r="2524" ht="18" customHeight="1">
      <x:c r="A2524" s="25" t="str">
        <x:v>EEZ_784</x:v>
      </x:c>
      <x:c r="B2524" s="25" t="str">
        <x:v>catch_difference_tonnes</x:v>
      </x:c>
      <x:c r="C2524" s="25" t="n">
        <x:v>0</x:v>
      </x:c>
      <x:c r="D2524" s="25" t="str">
        <x:v>tonnes</x:v>
      </x:c>
    </x:row>
    <x:row r="2525" ht="18" customHeight="1">
      <x:c r="A2525" s="25" t="str">
        <x:v>EEZ_784</x:v>
      </x:c>
      <x:c r="B2525" s="25" t="str">
        <x:v>catch_reconciled</x:v>
      </x:c>
      <x:c r="C2525" s="36" t="b">
        <x:v>1</x:v>
      </x:c>
      <x:c r="D2525" s="25" t="str">
        <x:v>boolean</x:v>
      </x:c>
    </x:row>
    <x:row r="2526" ht="18" customHeight="1">
      <x:c r="A2526" s="25" t="str">
        <x:v>EEZ_784</x:v>
      </x:c>
      <x:c r="B2526" s="25" t="str">
        <x:v>matched_catch_tonnes</x:v>
      </x:c>
      <x:c r="C2526" s="25" t="n">
        <x:v>49925.3333488044</x:v>
      </x:c>
      <x:c r="D2526" s="25" t="str">
        <x:v>tonnes</x:v>
      </x:c>
    </x:row>
    <x:row r="2527" ht="18" customHeight="1">
      <x:c r="A2527" s="25" t="str">
        <x:v>EEZ_784</x:v>
      </x:c>
      <x:c r="B2527" s="25" t="str">
        <x:v>catch_coverage_fraction</x:v>
      </x:c>
      <x:c r="C2527" s="25" t="n">
        <x:v>1</x:v>
      </x:c>
      <x:c r="D2527" s="25" t="str">
        <x:v>fraction</x:v>
      </x:c>
    </x:row>
    <x:row r="2528" ht="18" customHeight="1">
      <x:c r="A2528" s="25" t="str">
        <x:v>EEZ_784</x:v>
      </x:c>
      <x:c r="B2528" s="25" t="str">
        <x:v>taxa_count</x:v>
      </x:c>
      <x:c r="C2528" s="25" t="n">
        <x:v>42</x:v>
      </x:c>
      <x:c r="D2528" s="25" t="str">
        <x:v>count</x:v>
      </x:c>
    </x:row>
    <x:row r="2529" ht="18" customHeight="1">
      <x:c r="A2529" s="25" t="str">
        <x:v>EEZ_784</x:v>
      </x:c>
      <x:c r="B2529" s="25" t="str">
        <x:v>matched_taxa_count</x:v>
      </x:c>
      <x:c r="C2529" s="25" t="n">
        <x:v>42</x:v>
      </x:c>
      <x:c r="D2529" s="25" t="str">
        <x:v>count</x:v>
      </x:c>
    </x:row>
    <x:row r="2530" ht="18" customHeight="1">
      <x:c r="A2530" s="25" t="str">
        <x:v>EEZ_784</x:v>
      </x:c>
      <x:c r="B2530" s="25" t="str">
        <x:v>unmatched_taxa_count</x:v>
      </x:c>
      <x:c r="C2530" s="25" t="n">
        <x:v>0</x:v>
      </x:c>
      <x:c r="D2530" s="25" t="str">
        <x:v>count</x:v>
      </x:c>
    </x:row>
    <x:row r="2531" ht="18" customHeight="1">
      <x:c r="A2531" s="25" t="str">
        <x:v>EEZ_784</x:v>
      </x:c>
      <x:c r="B2531" s="25" t="str">
        <x:v>species_ppr</x:v>
      </x:c>
      <x:c r="C2531" s="25" t="n">
        <x:v>78213745.6926087</x:v>
      </x:c>
      <x:c r="D2531" s="25" t="str">
        <x:v>tonnes_primary_production_equivalent</x:v>
      </x:c>
    </x:row>
    <x:row r="2532" ht="18" customHeight="1">
      <x:c r="A2532" s="25" t="str">
        <x:v>EEZ_784</x:v>
      </x:c>
      <x:c r="B2532" s="25" t="str">
        <x:v>commercial_ppr</x:v>
      </x:c>
      <x:c r="C2532" s="25" t="n">
        <x:v>51264275.88172145</x:v>
      </x:c>
      <x:c r="D2532" s="25" t="str">
        <x:v>tonnes_primary_production_equivalent</x:v>
      </x:c>
    </x:row>
    <x:row r="2533" ht="18" customHeight="1">
      <x:c r="A2533" s="25" t="str">
        <x:v>EEZ_784</x:v>
      </x:c>
      <x:c r="B2533" s="25" t="str">
        <x:v>functional_ppr</x:v>
      </x:c>
      <x:c r="C2533" s="25" t="n">
        <x:v>70734405.98405288</x:v>
      </x:c>
      <x:c r="D2533" s="25" t="str">
        <x:v>tonnes_primary_production_equivalent</x:v>
      </x:c>
    </x:row>
    <x:row r="2534" ht="18" customHeight="1">
      <x:c r="A2534" s="25" t="str">
        <x:v>EEZ_784</x:v>
      </x:c>
      <x:c r="B2534" s="25" t="str">
        <x:v>commercial_ppr_difference</x:v>
      </x:c>
      <x:c r="C2534" s="25" t="n">
        <x:v>-26949469.810887247</x:v>
      </x:c>
      <x:c r="D2534" s="25" t="str">
        <x:v>tonnes_primary_production_equivalent</x:v>
      </x:c>
    </x:row>
    <x:row r="2535" ht="18" customHeight="1">
      <x:c r="A2535" s="25" t="str">
        <x:v>EEZ_784</x:v>
      </x:c>
      <x:c r="B2535" s="25" t="str">
        <x:v>functional_ppr_difference</x:v>
      </x:c>
      <x:c r="C2535" s="25" t="n">
        <x:v>-7479339.708555818</x:v>
      </x:c>
      <x:c r="D2535" s="25" t="str">
        <x:v>tonnes_primary_production_equivalent</x:v>
      </x:c>
    </x:row>
    <x:row r="2536" ht="18" customHeight="1">
      <x:c r="A2536" s="25" t="str">
        <x:v>EEZ_788</x:v>
      </x:c>
      <x:c r="B2536" s="25" t="str">
        <x:v>raw_filtered_tonnes</x:v>
      </x:c>
      <x:c r="C2536" s="25" t="n">
        <x:v>133288.5662711512</x:v>
      </x:c>
      <x:c r="D2536" s="25" t="str">
        <x:v>tonnes</x:v>
      </x:c>
    </x:row>
    <x:row r="2537" ht="18" customHeight="1">
      <x:c r="A2537" s="25" t="str">
        <x:v>EEZ_788</x:v>
      </x:c>
      <x:c r="B2537" s="25" t="str">
        <x:v>species_catch_tonnes</x:v>
      </x:c>
      <x:c r="C2537" s="25" t="n">
        <x:v>133288.5662711512</x:v>
      </x:c>
      <x:c r="D2537" s="25" t="str">
        <x:v>tonnes</x:v>
      </x:c>
    </x:row>
    <x:row r="2538" ht="18" customHeight="1">
      <x:c r="A2538" s="25" t="str">
        <x:v>EEZ_788</x:v>
      </x:c>
      <x:c r="B2538" s="25" t="str">
        <x:v>catch_difference_tonnes</x:v>
      </x:c>
      <x:c r="C2538" s="25" t="n">
        <x:v>0</x:v>
      </x:c>
      <x:c r="D2538" s="25" t="str">
        <x:v>tonnes</x:v>
      </x:c>
    </x:row>
    <x:row r="2539" ht="18" customHeight="1">
      <x:c r="A2539" s="25" t="str">
        <x:v>EEZ_788</x:v>
      </x:c>
      <x:c r="B2539" s="25" t="str">
        <x:v>catch_reconciled</x:v>
      </x:c>
      <x:c r="C2539" s="36" t="b">
        <x:v>1</x:v>
      </x:c>
      <x:c r="D2539" s="25" t="str">
        <x:v>boolean</x:v>
      </x:c>
    </x:row>
    <x:row r="2540" ht="18" customHeight="1">
      <x:c r="A2540" s="25" t="str">
        <x:v>EEZ_788</x:v>
      </x:c>
      <x:c r="B2540" s="25" t="str">
        <x:v>matched_catch_tonnes</x:v>
      </x:c>
      <x:c r="C2540" s="25" t="n">
        <x:v>133288.5662711512</x:v>
      </x:c>
      <x:c r="D2540" s="25" t="str">
        <x:v>tonnes</x:v>
      </x:c>
    </x:row>
    <x:row r="2541" ht="18" customHeight="1">
      <x:c r="A2541" s="25" t="str">
        <x:v>EEZ_788</x:v>
      </x:c>
      <x:c r="B2541" s="25" t="str">
        <x:v>catch_coverage_fraction</x:v>
      </x:c>
      <x:c r="C2541" s="25" t="n">
        <x:v>1</x:v>
      </x:c>
      <x:c r="D2541" s="25" t="str">
        <x:v>fraction</x:v>
      </x:c>
    </x:row>
    <x:row r="2542" ht="18" customHeight="1">
      <x:c r="A2542" s="25" t="str">
        <x:v>EEZ_788</x:v>
      </x:c>
      <x:c r="B2542" s="25" t="str">
        <x:v>taxa_count</x:v>
      </x:c>
      <x:c r="C2542" s="25" t="n">
        <x:v>167</x:v>
      </x:c>
      <x:c r="D2542" s="25" t="str">
        <x:v>count</x:v>
      </x:c>
    </x:row>
    <x:row r="2543" ht="18" customHeight="1">
      <x:c r="A2543" s="25" t="str">
        <x:v>EEZ_788</x:v>
      </x:c>
      <x:c r="B2543" s="25" t="str">
        <x:v>matched_taxa_count</x:v>
      </x:c>
      <x:c r="C2543" s="25" t="n">
        <x:v>167</x:v>
      </x:c>
      <x:c r="D2543" s="25" t="str">
        <x:v>count</x:v>
      </x:c>
    </x:row>
    <x:row r="2544" ht="18" customHeight="1">
      <x:c r="A2544" s="25" t="str">
        <x:v>EEZ_788</x:v>
      </x:c>
      <x:c r="B2544" s="25" t="str">
        <x:v>unmatched_taxa_count</x:v>
      </x:c>
      <x:c r="C2544" s="25" t="n">
        <x:v>0</x:v>
      </x:c>
      <x:c r="D2544" s="25" t="str">
        <x:v>count</x:v>
      </x:c>
    </x:row>
    <x:row r="2545" ht="18" customHeight="1">
      <x:c r="A2545" s="25" t="str">
        <x:v>EEZ_788</x:v>
      </x:c>
      <x:c r="B2545" s="25" t="str">
        <x:v>species_ppr</x:v>
      </x:c>
      <x:c r="C2545" s="25" t="n">
        <x:v>74633904.02001323</x:v>
      </x:c>
      <x:c r="D2545" s="25" t="str">
        <x:v>tonnes_primary_production_equivalent</x:v>
      </x:c>
    </x:row>
    <x:row r="2546" ht="18" customHeight="1">
      <x:c r="A2546" s="25" t="str">
        <x:v>EEZ_788</x:v>
      </x:c>
      <x:c r="B2546" s="25" t="str">
        <x:v>commercial_ppr</x:v>
      </x:c>
      <x:c r="C2546" s="25" t="n">
        <x:v>52178784.33944455</x:v>
      </x:c>
      <x:c r="D2546" s="25" t="str">
        <x:v>tonnes_primary_production_equivalent</x:v>
      </x:c>
    </x:row>
    <x:row r="2547" ht="18" customHeight="1">
      <x:c r="A2547" s="25" t="str">
        <x:v>EEZ_788</x:v>
      </x:c>
      <x:c r="B2547" s="25" t="str">
        <x:v>functional_ppr</x:v>
      </x:c>
      <x:c r="C2547" s="25" t="n">
        <x:v>57465097.24281223</x:v>
      </x:c>
      <x:c r="D2547" s="25" t="str">
        <x:v>tonnes_primary_production_equivalent</x:v>
      </x:c>
    </x:row>
    <x:row r="2548" ht="18" customHeight="1">
      <x:c r="A2548" s="25" t="str">
        <x:v>EEZ_788</x:v>
      </x:c>
      <x:c r="B2548" s="25" t="str">
        <x:v>commercial_ppr_difference</x:v>
      </x:c>
      <x:c r="C2548" s="25" t="n">
        <x:v>-22455119.68056868</x:v>
      </x:c>
      <x:c r="D2548" s="25" t="str">
        <x:v>tonnes_primary_production_equivalent</x:v>
      </x:c>
    </x:row>
    <x:row r="2549" ht="18" customHeight="1">
      <x:c r="A2549" s="25" t="str">
        <x:v>EEZ_788</x:v>
      </x:c>
      <x:c r="B2549" s="25" t="str">
        <x:v>functional_ppr_difference</x:v>
      </x:c>
      <x:c r="C2549" s="25" t="n">
        <x:v>-17168806.777200997</x:v>
      </x:c>
      <x:c r="D2549" s="25" t="str">
        <x:v>tonnes_primary_production_equivalent</x:v>
      </x:c>
    </x:row>
    <x:row r="2550" ht="18" customHeight="1">
      <x:c r="A2550" s="25" t="str">
        <x:v>EEZ_793</x:v>
      </x:c>
      <x:c r="B2550" s="25" t="str">
        <x:v>raw_filtered_tonnes</x:v>
      </x:c>
      <x:c r="C2550" s="25" t="n">
        <x:v>87055.4164278193</x:v>
      </x:c>
      <x:c r="D2550" s="25" t="str">
        <x:v>tonnes</x:v>
      </x:c>
    </x:row>
    <x:row r="2551" ht="18" customHeight="1">
      <x:c r="A2551" s="25" t="str">
        <x:v>EEZ_793</x:v>
      </x:c>
      <x:c r="B2551" s="25" t="str">
        <x:v>species_catch_tonnes</x:v>
      </x:c>
      <x:c r="C2551" s="25" t="n">
        <x:v>87055.4164278193</x:v>
      </x:c>
      <x:c r="D2551" s="25" t="str">
        <x:v>tonnes</x:v>
      </x:c>
    </x:row>
    <x:row r="2552" ht="18" customHeight="1">
      <x:c r="A2552" s="25" t="str">
        <x:v>EEZ_793</x:v>
      </x:c>
      <x:c r="B2552" s="25" t="str">
        <x:v>catch_difference_tonnes</x:v>
      </x:c>
      <x:c r="C2552" s="25" t="n">
        <x:v>0</x:v>
      </x:c>
      <x:c r="D2552" s="25" t="str">
        <x:v>tonnes</x:v>
      </x:c>
    </x:row>
    <x:row r="2553" ht="18" customHeight="1">
      <x:c r="A2553" s="25" t="str">
        <x:v>EEZ_793</x:v>
      </x:c>
      <x:c r="B2553" s="25" t="str">
        <x:v>catch_reconciled</x:v>
      </x:c>
      <x:c r="C2553" s="36" t="b">
        <x:v>1</x:v>
      </x:c>
      <x:c r="D2553" s="25" t="str">
        <x:v>boolean</x:v>
      </x:c>
    </x:row>
    <x:row r="2554" ht="18" customHeight="1">
      <x:c r="A2554" s="25" t="str">
        <x:v>EEZ_793</x:v>
      </x:c>
      <x:c r="B2554" s="25" t="str">
        <x:v>matched_catch_tonnes</x:v>
      </x:c>
      <x:c r="C2554" s="25" t="n">
        <x:v>87055.4164278193</x:v>
      </x:c>
      <x:c r="D2554" s="25" t="str">
        <x:v>tonnes</x:v>
      </x:c>
    </x:row>
    <x:row r="2555" ht="18" customHeight="1">
      <x:c r="A2555" s="25" t="str">
        <x:v>EEZ_793</x:v>
      </x:c>
      <x:c r="B2555" s="25" t="str">
        <x:v>catch_coverage_fraction</x:v>
      </x:c>
      <x:c r="C2555" s="25" t="n">
        <x:v>1</x:v>
      </x:c>
      <x:c r="D2555" s="25" t="str">
        <x:v>fraction</x:v>
      </x:c>
    </x:row>
    <x:row r="2556" ht="18" customHeight="1">
      <x:c r="A2556" s="25" t="str">
        <x:v>EEZ_793</x:v>
      </x:c>
      <x:c r="B2556" s="25" t="str">
        <x:v>taxa_count</x:v>
      </x:c>
      <x:c r="C2556" s="25" t="n">
        <x:v>92</x:v>
      </x:c>
      <x:c r="D2556" s="25" t="str">
        <x:v>count</x:v>
      </x:c>
    </x:row>
    <x:row r="2557" ht="18" customHeight="1">
      <x:c r="A2557" s="25" t="str">
        <x:v>EEZ_793</x:v>
      </x:c>
      <x:c r="B2557" s="25" t="str">
        <x:v>matched_taxa_count</x:v>
      </x:c>
      <x:c r="C2557" s="25" t="n">
        <x:v>92</x:v>
      </x:c>
      <x:c r="D2557" s="25" t="str">
        <x:v>count</x:v>
      </x:c>
    </x:row>
    <x:row r="2558" ht="18" customHeight="1">
      <x:c r="A2558" s="25" t="str">
        <x:v>EEZ_793</x:v>
      </x:c>
      <x:c r="B2558" s="25" t="str">
        <x:v>unmatched_taxa_count</x:v>
      </x:c>
      <x:c r="C2558" s="25" t="n">
        <x:v>0</x:v>
      </x:c>
      <x:c r="D2558" s="25" t="str">
        <x:v>count</x:v>
      </x:c>
    </x:row>
    <x:row r="2559" ht="18" customHeight="1">
      <x:c r="A2559" s="25" t="str">
        <x:v>EEZ_793</x:v>
      </x:c>
      <x:c r="B2559" s="25" t="str">
        <x:v>species_ppr</x:v>
      </x:c>
      <x:c r="C2559" s="25" t="n">
        <x:v>37682483.74893091</x:v>
      </x:c>
      <x:c r="D2559" s="25" t="str">
        <x:v>tonnes_primary_production_equivalent</x:v>
      </x:c>
    </x:row>
    <x:row r="2560" ht="18" customHeight="1">
      <x:c r="A2560" s="25" t="str">
        <x:v>EEZ_793</x:v>
      </x:c>
      <x:c r="B2560" s="25" t="str">
        <x:v>commercial_ppr</x:v>
      </x:c>
      <x:c r="C2560" s="25" t="n">
        <x:v>26247375.507061515</x:v>
      </x:c>
      <x:c r="D2560" s="25" t="str">
        <x:v>tonnes_primary_production_equivalent</x:v>
      </x:c>
    </x:row>
    <x:row r="2561" ht="18" customHeight="1">
      <x:c r="A2561" s="25" t="str">
        <x:v>EEZ_793</x:v>
      </x:c>
      <x:c r="B2561" s="25" t="str">
        <x:v>functional_ppr</x:v>
      </x:c>
      <x:c r="C2561" s="25" t="n">
        <x:v>32325468.175251145</x:v>
      </x:c>
      <x:c r="D2561" s="25" t="str">
        <x:v>tonnes_primary_production_equivalent</x:v>
      </x:c>
    </x:row>
    <x:row r="2562" ht="18" customHeight="1">
      <x:c r="A2562" s="25" t="str">
        <x:v>EEZ_793</x:v>
      </x:c>
      <x:c r="B2562" s="25" t="str">
        <x:v>commercial_ppr_difference</x:v>
      </x:c>
      <x:c r="C2562" s="25" t="n">
        <x:v>-11435108.241869394</x:v>
      </x:c>
      <x:c r="D2562" s="25" t="str">
        <x:v>tonnes_primary_production_equivalent</x:v>
      </x:c>
    </x:row>
    <x:row r="2563" ht="18" customHeight="1">
      <x:c r="A2563" s="25" t="str">
        <x:v>EEZ_793</x:v>
      </x:c>
      <x:c r="B2563" s="25" t="str">
        <x:v>functional_ppr_difference</x:v>
      </x:c>
      <x:c r="C2563" s="25" t="n">
        <x:v>-5357015.573679764</x:v>
      </x:c>
      <x:c r="D2563" s="25" t="str">
        <x:v>tonnes_primary_production_equivalent</x:v>
      </x:c>
    </x:row>
    <x:row r="2564" ht="18" customHeight="1">
      <x:c r="A2564" s="25" t="str">
        <x:v>EEZ_794</x:v>
      </x:c>
      <x:c r="B2564" s="25" t="str">
        <x:v>raw_filtered_tonnes</x:v>
      </x:c>
      <x:c r="C2564" s="25" t="n">
        <x:v>557210.7803783924</x:v>
      </x:c>
      <x:c r="D2564" s="25" t="str">
        <x:v>tonnes</x:v>
      </x:c>
    </x:row>
    <x:row r="2565" ht="18" customHeight="1">
      <x:c r="A2565" s="25" t="str">
        <x:v>EEZ_794</x:v>
      </x:c>
      <x:c r="B2565" s="25" t="str">
        <x:v>species_catch_tonnes</x:v>
      </x:c>
      <x:c r="C2565" s="25" t="n">
        <x:v>557210.7803783925</x:v>
      </x:c>
      <x:c r="D2565" s="25" t="str">
        <x:v>tonnes</x:v>
      </x:c>
    </x:row>
    <x:row r="2566" ht="18" customHeight="1">
      <x:c r="A2566" s="25" t="str">
        <x:v>EEZ_794</x:v>
      </x:c>
      <x:c r="B2566" s="25" t="str">
        <x:v>catch_difference_tonnes</x:v>
      </x:c>
      <x:c r="C2566" s="25" t="n">
        <x:v>1.1641532182693481e-10</x:v>
      </x:c>
      <x:c r="D2566" s="25" t="str">
        <x:v>tonnes</x:v>
      </x:c>
    </x:row>
    <x:row r="2567" ht="18" customHeight="1">
      <x:c r="A2567" s="25" t="str">
        <x:v>EEZ_794</x:v>
      </x:c>
      <x:c r="B2567" s="25" t="str">
        <x:v>catch_reconciled</x:v>
      </x:c>
      <x:c r="C2567" s="36" t="b">
        <x:v>1</x:v>
      </x:c>
      <x:c r="D2567" s="25" t="str">
        <x:v>boolean</x:v>
      </x:c>
    </x:row>
    <x:row r="2568" ht="18" customHeight="1">
      <x:c r="A2568" s="25" t="str">
        <x:v>EEZ_794</x:v>
      </x:c>
      <x:c r="B2568" s="25" t="str">
        <x:v>matched_catch_tonnes</x:v>
      </x:c>
      <x:c r="C2568" s="25" t="n">
        <x:v>557210.7803783925</x:v>
      </x:c>
      <x:c r="D2568" s="25" t="str">
        <x:v>tonnes</x:v>
      </x:c>
    </x:row>
    <x:row r="2569" ht="18" customHeight="1">
      <x:c r="A2569" s="25" t="str">
        <x:v>EEZ_794</x:v>
      </x:c>
      <x:c r="B2569" s="25" t="str">
        <x:v>catch_coverage_fraction</x:v>
      </x:c>
      <x:c r="C2569" s="25" t="n">
        <x:v>1</x:v>
      </x:c>
      <x:c r="D2569" s="25" t="str">
        <x:v>fraction</x:v>
      </x:c>
    </x:row>
    <x:row r="2570" ht="18" customHeight="1">
      <x:c r="A2570" s="25" t="str">
        <x:v>EEZ_794</x:v>
      </x:c>
      <x:c r="B2570" s="25" t="str">
        <x:v>taxa_count</x:v>
      </x:c>
      <x:c r="C2570" s="25" t="n">
        <x:v>49</x:v>
      </x:c>
      <x:c r="D2570" s="25" t="str">
        <x:v>count</x:v>
      </x:c>
    </x:row>
    <x:row r="2571" ht="18" customHeight="1">
      <x:c r="A2571" s="25" t="str">
        <x:v>EEZ_794</x:v>
      </x:c>
      <x:c r="B2571" s="25" t="str">
        <x:v>matched_taxa_count</x:v>
      </x:c>
      <x:c r="C2571" s="25" t="n">
        <x:v>49</x:v>
      </x:c>
      <x:c r="D2571" s="25" t="str">
        <x:v>count</x:v>
      </x:c>
    </x:row>
    <x:row r="2572" ht="18" customHeight="1">
      <x:c r="A2572" s="25" t="str">
        <x:v>EEZ_794</x:v>
      </x:c>
      <x:c r="B2572" s="25" t="str">
        <x:v>unmatched_taxa_count</x:v>
      </x:c>
      <x:c r="C2572" s="25" t="n">
        <x:v>0</x:v>
      </x:c>
      <x:c r="D2572" s="25" t="str">
        <x:v>count</x:v>
      </x:c>
    </x:row>
    <x:row r="2573" ht="18" customHeight="1">
      <x:c r="A2573" s="25" t="str">
        <x:v>EEZ_794</x:v>
      </x:c>
      <x:c r="B2573" s="25" t="str">
        <x:v>species_ppr</x:v>
      </x:c>
      <x:c r="C2573" s="25" t="n">
        <x:v>164051844.8986375</x:v>
      </x:c>
      <x:c r="D2573" s="25" t="str">
        <x:v>tonnes_primary_production_equivalent</x:v>
      </x:c>
    </x:row>
    <x:row r="2574" ht="18" customHeight="1">
      <x:c r="A2574" s="25" t="str">
        <x:v>EEZ_794</x:v>
      </x:c>
      <x:c r="B2574" s="25" t="str">
        <x:v>commercial_ppr</x:v>
      </x:c>
      <x:c r="C2574" s="25" t="n">
        <x:v>154964279.53989428</x:v>
      </x:c>
      <x:c r="D2574" s="25" t="str">
        <x:v>tonnes_primary_production_equivalent</x:v>
      </x:c>
    </x:row>
    <x:row r="2575" ht="18" customHeight="1">
      <x:c r="A2575" s="25" t="str">
        <x:v>EEZ_794</x:v>
      </x:c>
      <x:c r="B2575" s="25" t="str">
        <x:v>functional_ppr</x:v>
      </x:c>
      <x:c r="C2575" s="25" t="n">
        <x:v>147071763.1699224</x:v>
      </x:c>
      <x:c r="D2575" s="25" t="str">
        <x:v>tonnes_primary_production_equivalent</x:v>
      </x:c>
    </x:row>
    <x:row r="2576" ht="18" customHeight="1">
      <x:c r="A2576" s="25" t="str">
        <x:v>EEZ_794</x:v>
      </x:c>
      <x:c r="B2576" s="25" t="str">
        <x:v>commercial_ppr_difference</x:v>
      </x:c>
      <x:c r="C2576" s="25" t="n">
        <x:v>-9087565.35874322</x:v>
      </x:c>
      <x:c r="D2576" s="25" t="str">
        <x:v>tonnes_primary_production_equivalent</x:v>
      </x:c>
    </x:row>
    <x:row r="2577" ht="18" customHeight="1">
      <x:c r="A2577" s="25" t="str">
        <x:v>EEZ_794</x:v>
      </x:c>
      <x:c r="B2577" s="25" t="str">
        <x:v>functional_ppr_difference</x:v>
      </x:c>
      <x:c r="C2577" s="25" t="n">
        <x:v>-16980081.728715092</x:v>
      </x:c>
      <x:c r="D2577" s="25" t="str">
        <x:v>tonnes_primary_production_equivalent</x:v>
      </x:c>
    </x:row>
    <x:row r="2578" ht="18" customHeight="1">
      <x:c r="A2578" s="25" t="str">
        <x:v>EEZ_796</x:v>
      </x:c>
      <x:c r="B2578" s="25" t="str">
        <x:v>raw_filtered_tonnes</x:v>
      </x:c>
      <x:c r="C2578" s="25" t="n">
        <x:v>7446.6790168085</x:v>
      </x:c>
      <x:c r="D2578" s="25" t="str">
        <x:v>tonnes</x:v>
      </x:c>
    </x:row>
    <x:row r="2579" ht="18" customHeight="1">
      <x:c r="A2579" s="25" t="str">
        <x:v>EEZ_796</x:v>
      </x:c>
      <x:c r="B2579" s="25" t="str">
        <x:v>species_catch_tonnes</x:v>
      </x:c>
      <x:c r="C2579" s="25" t="n">
        <x:v>7446.679016808498</x:v>
      </x:c>
      <x:c r="D2579" s="25" t="str">
        <x:v>tonnes</x:v>
      </x:c>
    </x:row>
    <x:row r="2580" ht="18" customHeight="1">
      <x:c r="A2580" s="25" t="str">
        <x:v>EEZ_796</x:v>
      </x:c>
      <x:c r="B2580" s="25" t="str">
        <x:v>catch_difference_tonnes</x:v>
      </x:c>
      <x:c r="C2580" s="25" t="n">
        <x:v>-1.8189894035458565e-12</x:v>
      </x:c>
      <x:c r="D2580" s="25" t="str">
        <x:v>tonnes</x:v>
      </x:c>
    </x:row>
    <x:row r="2581" ht="18" customHeight="1">
      <x:c r="A2581" s="25" t="str">
        <x:v>EEZ_796</x:v>
      </x:c>
      <x:c r="B2581" s="25" t="str">
        <x:v>catch_reconciled</x:v>
      </x:c>
      <x:c r="C2581" s="36" t="b">
        <x:v>1</x:v>
      </x:c>
      <x:c r="D2581" s="25" t="str">
        <x:v>boolean</x:v>
      </x:c>
    </x:row>
    <x:row r="2582" ht="18" customHeight="1">
      <x:c r="A2582" s="25" t="str">
        <x:v>EEZ_796</x:v>
      </x:c>
      <x:c r="B2582" s="25" t="str">
        <x:v>matched_catch_tonnes</x:v>
      </x:c>
      <x:c r="C2582" s="25" t="n">
        <x:v>7446.679016808498</x:v>
      </x:c>
      <x:c r="D2582" s="25" t="str">
        <x:v>tonnes</x:v>
      </x:c>
    </x:row>
    <x:row r="2583" ht="18" customHeight="1">
      <x:c r="A2583" s="25" t="str">
        <x:v>EEZ_796</x:v>
      </x:c>
      <x:c r="B2583" s="25" t="str">
        <x:v>catch_coverage_fraction</x:v>
      </x:c>
      <x:c r="C2583" s="25" t="n">
        <x:v>1</x:v>
      </x:c>
      <x:c r="D2583" s="25" t="str">
        <x:v>fraction</x:v>
      </x:c>
    </x:row>
    <x:row r="2584" ht="18" customHeight="1">
      <x:c r="A2584" s="25" t="str">
        <x:v>EEZ_796</x:v>
      </x:c>
      <x:c r="B2584" s="25" t="str">
        <x:v>taxa_count</x:v>
      </x:c>
      <x:c r="C2584" s="25" t="n">
        <x:v>21</x:v>
      </x:c>
      <x:c r="D2584" s="25" t="str">
        <x:v>count</x:v>
      </x:c>
    </x:row>
    <x:row r="2585" ht="18" customHeight="1">
      <x:c r="A2585" s="25" t="str">
        <x:v>EEZ_796</x:v>
      </x:c>
      <x:c r="B2585" s="25" t="str">
        <x:v>matched_taxa_count</x:v>
      </x:c>
      <x:c r="C2585" s="25" t="n">
        <x:v>21</x:v>
      </x:c>
      <x:c r="D2585" s="25" t="str">
        <x:v>count</x:v>
      </x:c>
    </x:row>
    <x:row r="2586" ht="18" customHeight="1">
      <x:c r="A2586" s="25" t="str">
        <x:v>EEZ_796</x:v>
      </x:c>
      <x:c r="B2586" s="25" t="str">
        <x:v>unmatched_taxa_count</x:v>
      </x:c>
      <x:c r="C2586" s="25" t="n">
        <x:v>0</x:v>
      </x:c>
      <x:c r="D2586" s="25" t="str">
        <x:v>count</x:v>
      </x:c>
    </x:row>
    <x:row r="2587" ht="18" customHeight="1">
      <x:c r="A2587" s="25" t="str">
        <x:v>EEZ_796</x:v>
      </x:c>
      <x:c r="B2587" s="25" t="str">
        <x:v>species_ppr</x:v>
      </x:c>
      <x:c r="C2587" s="25" t="n">
        <x:v>1613035.7630321903</x:v>
      </x:c>
      <x:c r="D2587" s="25" t="str">
        <x:v>tonnes_primary_production_equivalent</x:v>
      </x:c>
    </x:row>
    <x:row r="2588" ht="18" customHeight="1">
      <x:c r="A2588" s="25" t="str">
        <x:v>EEZ_796</x:v>
      </x:c>
      <x:c r="B2588" s="25" t="str">
        <x:v>commercial_ppr</x:v>
      </x:c>
      <x:c r="C2588" s="25" t="n">
        <x:v>1304793.9255695636</x:v>
      </x:c>
      <x:c r="D2588" s="25" t="str">
        <x:v>tonnes_primary_production_equivalent</x:v>
      </x:c>
    </x:row>
    <x:row r="2589" ht="18" customHeight="1">
      <x:c r="A2589" s="25" t="str">
        <x:v>EEZ_796</x:v>
      </x:c>
      <x:c r="B2589" s="25" t="str">
        <x:v>functional_ppr</x:v>
      </x:c>
      <x:c r="C2589" s="25" t="n">
        <x:v>1524077.7870978552</x:v>
      </x:c>
      <x:c r="D2589" s="25" t="str">
        <x:v>tonnes_primary_production_equivalent</x:v>
      </x:c>
    </x:row>
    <x:row r="2590" ht="18" customHeight="1">
      <x:c r="A2590" s="25" t="str">
        <x:v>EEZ_796</x:v>
      </x:c>
      <x:c r="B2590" s="25" t="str">
        <x:v>commercial_ppr_difference</x:v>
      </x:c>
      <x:c r="C2590" s="25" t="n">
        <x:v>-308241.83746262663</x:v>
      </x:c>
      <x:c r="D2590" s="25" t="str">
        <x:v>tonnes_primary_production_equivalent</x:v>
      </x:c>
    </x:row>
    <x:row r="2591" ht="18" customHeight="1">
      <x:c r="A2591" s="25" t="str">
        <x:v>EEZ_796</x:v>
      </x:c>
      <x:c r="B2591" s="25" t="str">
        <x:v>functional_ppr_difference</x:v>
      </x:c>
      <x:c r="C2591" s="25" t="n">
        <x:v>-88957.97593433503</x:v>
      </x:c>
      <x:c r="D2591" s="25" t="str">
        <x:v>tonnes_primary_production_equivalent</x:v>
      </x:c>
    </x:row>
    <x:row r="2592" ht="18" customHeight="1">
      <x:c r="A2592" s="25" t="str">
        <x:v>EEZ_798</x:v>
      </x:c>
      <x:c r="B2592" s="25" t="str">
        <x:v>raw_filtered_tonnes</x:v>
      </x:c>
      <x:c r="C2592" s="25" t="n">
        <x:v>145109.28727910868</x:v>
      </x:c>
      <x:c r="D2592" s="25" t="str">
        <x:v>tonnes</x:v>
      </x:c>
    </x:row>
    <x:row r="2593" ht="18" customHeight="1">
      <x:c r="A2593" s="25" t="str">
        <x:v>EEZ_798</x:v>
      </x:c>
      <x:c r="B2593" s="25" t="str">
        <x:v>species_catch_tonnes</x:v>
      </x:c>
      <x:c r="C2593" s="25" t="n">
        <x:v>145109.2872791087</x:v>
      </x:c>
      <x:c r="D2593" s="25" t="str">
        <x:v>tonnes</x:v>
      </x:c>
    </x:row>
    <x:row r="2594" ht="18" customHeight="1">
      <x:c r="A2594" s="25" t="str">
        <x:v>EEZ_798</x:v>
      </x:c>
      <x:c r="B2594" s="25" t="str">
        <x:v>catch_difference_tonnes</x:v>
      </x:c>
      <x:c r="C2594" s="25" t="n">
        <x:v>2.9103830456733704e-11</x:v>
      </x:c>
      <x:c r="D2594" s="25" t="str">
        <x:v>tonnes</x:v>
      </x:c>
    </x:row>
    <x:row r="2595" ht="18" customHeight="1">
      <x:c r="A2595" s="25" t="str">
        <x:v>EEZ_798</x:v>
      </x:c>
      <x:c r="B2595" s="25" t="str">
        <x:v>catch_reconciled</x:v>
      </x:c>
      <x:c r="C2595" s="36" t="b">
        <x:v>1</x:v>
      </x:c>
      <x:c r="D2595" s="25" t="str">
        <x:v>boolean</x:v>
      </x:c>
    </x:row>
    <x:row r="2596" ht="18" customHeight="1">
      <x:c r="A2596" s="25" t="str">
        <x:v>EEZ_798</x:v>
      </x:c>
      <x:c r="B2596" s="25" t="str">
        <x:v>matched_catch_tonnes</x:v>
      </x:c>
      <x:c r="C2596" s="25" t="n">
        <x:v>145109.2872791087</x:v>
      </x:c>
      <x:c r="D2596" s="25" t="str">
        <x:v>tonnes</x:v>
      </x:c>
    </x:row>
    <x:row r="2597" ht="18" customHeight="1">
      <x:c r="A2597" s="25" t="str">
        <x:v>EEZ_798</x:v>
      </x:c>
      <x:c r="B2597" s="25" t="str">
        <x:v>catch_coverage_fraction</x:v>
      </x:c>
      <x:c r="C2597" s="25" t="n">
        <x:v>1</x:v>
      </x:c>
      <x:c r="D2597" s="25" t="str">
        <x:v>fraction</x:v>
      </x:c>
    </x:row>
    <x:row r="2598" ht="18" customHeight="1">
      <x:c r="A2598" s="25" t="str">
        <x:v>EEZ_798</x:v>
      </x:c>
      <x:c r="B2598" s="25" t="str">
        <x:v>taxa_count</x:v>
      </x:c>
      <x:c r="C2598" s="25" t="n">
        <x:v>46</x:v>
      </x:c>
      <x:c r="D2598" s="25" t="str">
        <x:v>count</x:v>
      </x:c>
    </x:row>
    <x:row r="2599" ht="18" customHeight="1">
      <x:c r="A2599" s="25" t="str">
        <x:v>EEZ_798</x:v>
      </x:c>
      <x:c r="B2599" s="25" t="str">
        <x:v>matched_taxa_count</x:v>
      </x:c>
      <x:c r="C2599" s="25" t="n">
        <x:v>46</x:v>
      </x:c>
      <x:c r="D2599" s="25" t="str">
        <x:v>count</x:v>
      </x:c>
    </x:row>
    <x:row r="2600" ht="18" customHeight="1">
      <x:c r="A2600" s="25" t="str">
        <x:v>EEZ_798</x:v>
      </x:c>
      <x:c r="B2600" s="25" t="str">
        <x:v>unmatched_taxa_count</x:v>
      </x:c>
      <x:c r="C2600" s="25" t="n">
        <x:v>0</x:v>
      </x:c>
      <x:c r="D2600" s="25" t="str">
        <x:v>count</x:v>
      </x:c>
    </x:row>
    <x:row r="2601" ht="18" customHeight="1">
      <x:c r="A2601" s="25" t="str">
        <x:v>EEZ_798</x:v>
      </x:c>
      <x:c r="B2601" s="25" t="str">
        <x:v>species_ppr</x:v>
      </x:c>
      <x:c r="C2601" s="25" t="n">
        <x:v>371273439.1947608</x:v>
      </x:c>
      <x:c r="D2601" s="25" t="str">
        <x:v>tonnes_primary_production_equivalent</x:v>
      </x:c>
    </x:row>
    <x:row r="2602" ht="18" customHeight="1">
      <x:c r="A2602" s="25" t="str">
        <x:v>EEZ_798</x:v>
      </x:c>
      <x:c r="B2602" s="25" t="str">
        <x:v>commercial_ppr</x:v>
      </x:c>
      <x:c r="C2602" s="25" t="n">
        <x:v>368772891.9813164</x:v>
      </x:c>
      <x:c r="D2602" s="25" t="str">
        <x:v>tonnes_primary_production_equivalent</x:v>
      </x:c>
    </x:row>
    <x:row r="2603" ht="18" customHeight="1">
      <x:c r="A2603" s="25" t="str">
        <x:v>EEZ_798</x:v>
      </x:c>
      <x:c r="B2603" s="25" t="str">
        <x:v>functional_ppr</x:v>
      </x:c>
      <x:c r="C2603" s="25" t="n">
        <x:v>368904353.60025245</x:v>
      </x:c>
      <x:c r="D2603" s="25" t="str">
        <x:v>tonnes_primary_production_equivalent</x:v>
      </x:c>
    </x:row>
    <x:row r="2604" ht="18" customHeight="1">
      <x:c r="A2604" s="25" t="str">
        <x:v>EEZ_798</x:v>
      </x:c>
      <x:c r="B2604" s="25" t="str">
        <x:v>commercial_ppr_difference</x:v>
      </x:c>
      <x:c r="C2604" s="25" t="n">
        <x:v>-2500547.2134444118</x:v>
      </x:c>
      <x:c r="D2604" s="25" t="str">
        <x:v>tonnes_primary_production_equivalent</x:v>
      </x:c>
    </x:row>
    <x:row r="2605" ht="18" customHeight="1">
      <x:c r="A2605" s="25" t="str">
        <x:v>EEZ_798</x:v>
      </x:c>
      <x:c r="B2605" s="25" t="str">
        <x:v>functional_ppr_difference</x:v>
      </x:c>
      <x:c r="C2605" s="25" t="n">
        <x:v>-2369085.59450835</x:v>
      </x:c>
      <x:c r="D2605" s="25" t="str">
        <x:v>tonnes_primary_production_equivalent</x:v>
      </x:c>
    </x:row>
    <x:row r="2606" ht="18" customHeight="1">
      <x:c r="A2606" s="25" t="str">
        <x:v>EEZ_804</x:v>
      </x:c>
      <x:c r="B2606" s="25" t="str">
        <x:v>raw_filtered_tonnes</x:v>
      </x:c>
      <x:c r="C2606" s="25" t="n">
        <x:v>65903.7240236569</x:v>
      </x:c>
      <x:c r="D2606" s="25" t="str">
        <x:v>tonnes</x:v>
      </x:c>
    </x:row>
    <x:row r="2607" ht="18" customHeight="1">
      <x:c r="A2607" s="25" t="str">
        <x:v>EEZ_804</x:v>
      </x:c>
      <x:c r="B2607" s="25" t="str">
        <x:v>species_catch_tonnes</x:v>
      </x:c>
      <x:c r="C2607" s="25" t="n">
        <x:v>65903.72402365689</x:v>
      </x:c>
      <x:c r="D2607" s="25" t="str">
        <x:v>tonnes</x:v>
      </x:c>
    </x:row>
    <x:row r="2608" ht="18" customHeight="1">
      <x:c r="A2608" s="25" t="str">
        <x:v>EEZ_804</x:v>
      </x:c>
      <x:c r="B2608" s="25" t="str">
        <x:v>catch_difference_tonnes</x:v>
      </x:c>
      <x:c r="C2608" s="25" t="n">
        <x:v>-1.4551915228366852e-11</x:v>
      </x:c>
      <x:c r="D2608" s="25" t="str">
        <x:v>tonnes</x:v>
      </x:c>
    </x:row>
    <x:row r="2609" ht="18" customHeight="1">
      <x:c r="A2609" s="25" t="str">
        <x:v>EEZ_804</x:v>
      </x:c>
      <x:c r="B2609" s="25" t="str">
        <x:v>catch_reconciled</x:v>
      </x:c>
      <x:c r="C2609" s="36" t="b">
        <x:v>1</x:v>
      </x:c>
      <x:c r="D2609" s="25" t="str">
        <x:v>boolean</x:v>
      </x:c>
    </x:row>
    <x:row r="2610" ht="18" customHeight="1">
      <x:c r="A2610" s="25" t="str">
        <x:v>EEZ_804</x:v>
      </x:c>
      <x:c r="B2610" s="25" t="str">
        <x:v>matched_catch_tonnes</x:v>
      </x:c>
      <x:c r="C2610" s="25" t="n">
        <x:v>65903.72402365689</x:v>
      </x:c>
      <x:c r="D2610" s="25" t="str">
        <x:v>tonnes</x:v>
      </x:c>
    </x:row>
    <x:row r="2611" ht="18" customHeight="1">
      <x:c r="A2611" s="25" t="str">
        <x:v>EEZ_804</x:v>
      </x:c>
      <x:c r="B2611" s="25" t="str">
        <x:v>catch_coverage_fraction</x:v>
      </x:c>
      <x:c r="C2611" s="25" t="n">
        <x:v>1</x:v>
      </x:c>
      <x:c r="D2611" s="25" t="str">
        <x:v>fraction</x:v>
      </x:c>
    </x:row>
    <x:row r="2612" ht="18" customHeight="1">
      <x:c r="A2612" s="25" t="str">
        <x:v>EEZ_804</x:v>
      </x:c>
      <x:c r="B2612" s="25" t="str">
        <x:v>taxa_count</x:v>
      </x:c>
      <x:c r="C2612" s="25" t="n">
        <x:v>28</x:v>
      </x:c>
      <x:c r="D2612" s="25" t="str">
        <x:v>count</x:v>
      </x:c>
    </x:row>
    <x:row r="2613" ht="18" customHeight="1">
      <x:c r="A2613" s="25" t="str">
        <x:v>EEZ_804</x:v>
      </x:c>
      <x:c r="B2613" s="25" t="str">
        <x:v>matched_taxa_count</x:v>
      </x:c>
      <x:c r="C2613" s="25" t="n">
        <x:v>28</x:v>
      </x:c>
      <x:c r="D2613" s="25" t="str">
        <x:v>count</x:v>
      </x:c>
    </x:row>
    <x:row r="2614" ht="18" customHeight="1">
      <x:c r="A2614" s="25" t="str">
        <x:v>EEZ_804</x:v>
      </x:c>
      <x:c r="B2614" s="25" t="str">
        <x:v>unmatched_taxa_count</x:v>
      </x:c>
      <x:c r="C2614" s="25" t="n">
        <x:v>0</x:v>
      </x:c>
      <x:c r="D2614" s="25" t="str">
        <x:v>count</x:v>
      </x:c>
    </x:row>
    <x:row r="2615" ht="18" customHeight="1">
      <x:c r="A2615" s="25" t="str">
        <x:v>EEZ_804</x:v>
      </x:c>
      <x:c r="B2615" s="25" t="str">
        <x:v>species_ppr</x:v>
      </x:c>
      <x:c r="C2615" s="25" t="n">
        <x:v>24463611.249558166</x:v>
      </x:c>
      <x:c r="D2615" s="25" t="str">
        <x:v>tonnes_primary_production_equivalent</x:v>
      </x:c>
    </x:row>
    <x:row r="2616" ht="18" customHeight="1">
      <x:c r="A2616" s="25" t="str">
        <x:v>EEZ_804</x:v>
      </x:c>
      <x:c r="B2616" s="25" t="str">
        <x:v>commercial_ppr</x:v>
      </x:c>
      <x:c r="C2616" s="25" t="n">
        <x:v>20051518.324218698</x:v>
      </x:c>
      <x:c r="D2616" s="25" t="str">
        <x:v>tonnes_primary_production_equivalent</x:v>
      </x:c>
    </x:row>
    <x:row r="2617" ht="18" customHeight="1">
      <x:c r="A2617" s="25" t="str">
        <x:v>EEZ_804</x:v>
      </x:c>
      <x:c r="B2617" s="25" t="str">
        <x:v>functional_ppr</x:v>
      </x:c>
      <x:c r="C2617" s="25" t="n">
        <x:v>23665034.901305072</x:v>
      </x:c>
      <x:c r="D2617" s="25" t="str">
        <x:v>tonnes_primary_production_equivalent</x:v>
      </x:c>
    </x:row>
    <x:row r="2618" ht="18" customHeight="1">
      <x:c r="A2618" s="25" t="str">
        <x:v>EEZ_804</x:v>
      </x:c>
      <x:c r="B2618" s="25" t="str">
        <x:v>commercial_ppr_difference</x:v>
      </x:c>
      <x:c r="C2618" s="25" t="n">
        <x:v>-4412092.925339468</x:v>
      </x:c>
      <x:c r="D2618" s="25" t="str">
        <x:v>tonnes_primary_production_equivalent</x:v>
      </x:c>
    </x:row>
    <x:row r="2619" ht="18" customHeight="1">
      <x:c r="A2619" s="25" t="str">
        <x:v>EEZ_804</x:v>
      </x:c>
      <x:c r="B2619" s="25" t="str">
        <x:v>functional_ppr_difference</x:v>
      </x:c>
      <x:c r="C2619" s="25" t="n">
        <x:v>-798576.3482530937</x:v>
      </x:c>
      <x:c r="D2619" s="25" t="str">
        <x:v>tonnes_primary_production_equivalent</x:v>
      </x:c>
    </x:row>
    <x:row r="2620" ht="18" customHeight="1">
      <x:c r="A2620" s="25" t="str">
        <x:v>EEZ_826</x:v>
      </x:c>
      <x:c r="B2620" s="25" t="str">
        <x:v>raw_filtered_tonnes</x:v>
      </x:c>
      <x:c r="C2620" s="25" t="n">
        <x:v>1714264.7493178481</x:v>
      </x:c>
      <x:c r="D2620" s="25" t="str">
        <x:v>tonnes</x:v>
      </x:c>
    </x:row>
    <x:row r="2621" ht="18" customHeight="1">
      <x:c r="A2621" s="25" t="str">
        <x:v>EEZ_826</x:v>
      </x:c>
      <x:c r="B2621" s="25" t="str">
        <x:v>species_catch_tonnes</x:v>
      </x:c>
      <x:c r="C2621" s="25" t="n">
        <x:v>1714264.7493178481</x:v>
      </x:c>
      <x:c r="D2621" s="25" t="str">
        <x:v>tonnes</x:v>
      </x:c>
    </x:row>
    <x:row r="2622" ht="18" customHeight="1">
      <x:c r="A2622" s="25" t="str">
        <x:v>EEZ_826</x:v>
      </x:c>
      <x:c r="B2622" s="25" t="str">
        <x:v>catch_difference_tonnes</x:v>
      </x:c>
      <x:c r="C2622" s="25" t="n">
        <x:v>0</x:v>
      </x:c>
      <x:c r="D2622" s="25" t="str">
        <x:v>tonnes</x:v>
      </x:c>
    </x:row>
    <x:row r="2623" ht="18" customHeight="1">
      <x:c r="A2623" s="25" t="str">
        <x:v>EEZ_826</x:v>
      </x:c>
      <x:c r="B2623" s="25" t="str">
        <x:v>catch_reconciled</x:v>
      </x:c>
      <x:c r="C2623" s="36" t="b">
        <x:v>1</x:v>
      </x:c>
      <x:c r="D2623" s="25" t="str">
        <x:v>boolean</x:v>
      </x:c>
    </x:row>
    <x:row r="2624" ht="18" customHeight="1">
      <x:c r="A2624" s="25" t="str">
        <x:v>EEZ_826</x:v>
      </x:c>
      <x:c r="B2624" s="25" t="str">
        <x:v>matched_catch_tonnes</x:v>
      </x:c>
      <x:c r="C2624" s="25" t="n">
        <x:v>1714264.7493178481</x:v>
      </x:c>
      <x:c r="D2624" s="25" t="str">
        <x:v>tonnes</x:v>
      </x:c>
    </x:row>
    <x:row r="2625" ht="18" customHeight="1">
      <x:c r="A2625" s="25" t="str">
        <x:v>EEZ_826</x:v>
      </x:c>
      <x:c r="B2625" s="25" t="str">
        <x:v>catch_coverage_fraction</x:v>
      </x:c>
      <x:c r="C2625" s="25" t="n">
        <x:v>1</x:v>
      </x:c>
      <x:c r="D2625" s="25" t="str">
        <x:v>fraction</x:v>
      </x:c>
    </x:row>
    <x:row r="2626" ht="18" customHeight="1">
      <x:c r="A2626" s="25" t="str">
        <x:v>EEZ_826</x:v>
      </x:c>
      <x:c r="B2626" s="25" t="str">
        <x:v>taxa_count</x:v>
      </x:c>
      <x:c r="C2626" s="25" t="n">
        <x:v>346</x:v>
      </x:c>
      <x:c r="D2626" s="25" t="str">
        <x:v>count</x:v>
      </x:c>
    </x:row>
    <x:row r="2627" ht="18" customHeight="1">
      <x:c r="A2627" s="25" t="str">
        <x:v>EEZ_826</x:v>
      </x:c>
      <x:c r="B2627" s="25" t="str">
        <x:v>matched_taxa_count</x:v>
      </x:c>
      <x:c r="C2627" s="25" t="n">
        <x:v>346</x:v>
      </x:c>
      <x:c r="D2627" s="25" t="str">
        <x:v>count</x:v>
      </x:c>
    </x:row>
    <x:row r="2628" ht="18" customHeight="1">
      <x:c r="A2628" s="25" t="str">
        <x:v>EEZ_826</x:v>
      </x:c>
      <x:c r="B2628" s="25" t="str">
        <x:v>unmatched_taxa_count</x:v>
      </x:c>
      <x:c r="C2628" s="25" t="n">
        <x:v>0</x:v>
      </x:c>
      <x:c r="D2628" s="25" t="str">
        <x:v>count</x:v>
      </x:c>
    </x:row>
    <x:row r="2629" ht="18" customHeight="1">
      <x:c r="A2629" s="25" t="str">
        <x:v>EEZ_826</x:v>
      </x:c>
      <x:c r="B2629" s="25" t="str">
        <x:v>species_ppr</x:v>
      </x:c>
      <x:c r="C2629" s="25" t="n">
        <x:v>1000014407.7534399</x:v>
      </x:c>
      <x:c r="D2629" s="25" t="str">
        <x:v>tonnes_primary_production_equivalent</x:v>
      </x:c>
    </x:row>
    <x:row r="2630" ht="18" customHeight="1">
      <x:c r="A2630" s="25" t="str">
        <x:v>EEZ_826</x:v>
      </x:c>
      <x:c r="B2630" s="25" t="str">
        <x:v>commercial_ppr</x:v>
      </x:c>
      <x:c r="C2630" s="25" t="n">
        <x:v>832607270.3364908</x:v>
      </x:c>
      <x:c r="D2630" s="25" t="str">
        <x:v>tonnes_primary_production_equivalent</x:v>
      </x:c>
    </x:row>
    <x:row r="2631" ht="18" customHeight="1">
      <x:c r="A2631" s="25" t="str">
        <x:v>EEZ_826</x:v>
      </x:c>
      <x:c r="B2631" s="25" t="str">
        <x:v>functional_ppr</x:v>
      </x:c>
      <x:c r="C2631" s="25" t="n">
        <x:v>860984504.0341389</x:v>
      </x:c>
      <x:c r="D2631" s="25" t="str">
        <x:v>tonnes_primary_production_equivalent</x:v>
      </x:c>
    </x:row>
    <x:row r="2632" ht="18" customHeight="1">
      <x:c r="A2632" s="25" t="str">
        <x:v>EEZ_826</x:v>
      </x:c>
      <x:c r="B2632" s="25" t="str">
        <x:v>commercial_ppr_difference</x:v>
      </x:c>
      <x:c r="C2632" s="25" t="n">
        <x:v>-167407137.41694915</x:v>
      </x:c>
      <x:c r="D2632" s="25" t="str">
        <x:v>tonnes_primary_production_equivalent</x:v>
      </x:c>
    </x:row>
    <x:row r="2633" ht="18" customHeight="1">
      <x:c r="A2633" s="25" t="str">
        <x:v>EEZ_826</x:v>
      </x:c>
      <x:c r="B2633" s="25" t="str">
        <x:v>functional_ppr_difference</x:v>
      </x:c>
      <x:c r="C2633" s="25" t="n">
        <x:v>-139029903.719301</x:v>
      </x:c>
      <x:c r="D2633" s="25" t="str">
        <x:v>tonnes_primary_production_equivalent</x:v>
      </x:c>
    </x:row>
    <x:row r="2634" ht="18" customHeight="1">
      <x:c r="A2634" s="25" t="str">
        <x:v>EEZ_830</x:v>
      </x:c>
      <x:c r="B2634" s="25" t="str">
        <x:v>raw_filtered_tonnes</x:v>
      </x:c>
      <x:c r="C2634" s="25" t="n">
        <x:v>13336.3851663309</x:v>
      </x:c>
      <x:c r="D2634" s="25" t="str">
        <x:v>tonnes</x:v>
      </x:c>
    </x:row>
    <x:row r="2635" ht="18" customHeight="1">
      <x:c r="A2635" s="25" t="str">
        <x:v>EEZ_830</x:v>
      </x:c>
      <x:c r="B2635" s="25" t="str">
        <x:v>species_catch_tonnes</x:v>
      </x:c>
      <x:c r="C2635" s="25" t="n">
        <x:v>13336.3851663309</x:v>
      </x:c>
      <x:c r="D2635" s="25" t="str">
        <x:v>tonnes</x:v>
      </x:c>
    </x:row>
    <x:row r="2636" ht="18" customHeight="1">
      <x:c r="A2636" s="25" t="str">
        <x:v>EEZ_830</x:v>
      </x:c>
      <x:c r="B2636" s="25" t="str">
        <x:v>catch_difference_tonnes</x:v>
      </x:c>
      <x:c r="C2636" s="25" t="n">
        <x:v>0</x:v>
      </x:c>
      <x:c r="D2636" s="25" t="str">
        <x:v>tonnes</x:v>
      </x:c>
    </x:row>
    <x:row r="2637" ht="18" customHeight="1">
      <x:c r="A2637" s="25" t="str">
        <x:v>EEZ_830</x:v>
      </x:c>
      <x:c r="B2637" s="25" t="str">
        <x:v>catch_reconciled</x:v>
      </x:c>
      <x:c r="C2637" s="36" t="b">
        <x:v>1</x:v>
      </x:c>
      <x:c r="D2637" s="25" t="str">
        <x:v>boolean</x:v>
      </x:c>
    </x:row>
    <x:row r="2638" ht="18" customHeight="1">
      <x:c r="A2638" s="25" t="str">
        <x:v>EEZ_830</x:v>
      </x:c>
      <x:c r="B2638" s="25" t="str">
        <x:v>matched_catch_tonnes</x:v>
      </x:c>
      <x:c r="C2638" s="25" t="n">
        <x:v>13336.3851663309</x:v>
      </x:c>
      <x:c r="D2638" s="25" t="str">
        <x:v>tonnes</x:v>
      </x:c>
    </x:row>
    <x:row r="2639" ht="18" customHeight="1">
      <x:c r="A2639" s="25" t="str">
        <x:v>EEZ_830</x:v>
      </x:c>
      <x:c r="B2639" s="25" t="str">
        <x:v>catch_coverage_fraction</x:v>
      </x:c>
      <x:c r="C2639" s="25" t="n">
        <x:v>1</x:v>
      </x:c>
      <x:c r="D2639" s="25" t="str">
        <x:v>fraction</x:v>
      </x:c>
    </x:row>
    <x:row r="2640" ht="18" customHeight="1">
      <x:c r="A2640" s="25" t="str">
        <x:v>EEZ_830</x:v>
      </x:c>
      <x:c r="B2640" s="25" t="str">
        <x:v>taxa_count</x:v>
      </x:c>
      <x:c r="C2640" s="25" t="n">
        <x:v>263</x:v>
      </x:c>
      <x:c r="D2640" s="25" t="str">
        <x:v>count</x:v>
      </x:c>
    </x:row>
    <x:row r="2641" ht="18" customHeight="1">
      <x:c r="A2641" s="25" t="str">
        <x:v>EEZ_830</x:v>
      </x:c>
      <x:c r="B2641" s="25" t="str">
        <x:v>matched_taxa_count</x:v>
      </x:c>
      <x:c r="C2641" s="25" t="n">
        <x:v>263</x:v>
      </x:c>
      <x:c r="D2641" s="25" t="str">
        <x:v>count</x:v>
      </x:c>
    </x:row>
    <x:row r="2642" ht="18" customHeight="1">
      <x:c r="A2642" s="25" t="str">
        <x:v>EEZ_830</x:v>
      </x:c>
      <x:c r="B2642" s="25" t="str">
        <x:v>unmatched_taxa_count</x:v>
      </x:c>
      <x:c r="C2642" s="25" t="n">
        <x:v>0</x:v>
      </x:c>
      <x:c r="D2642" s="25" t="str">
        <x:v>count</x:v>
      </x:c>
    </x:row>
    <x:row r="2643" ht="18" customHeight="1">
      <x:c r="A2643" s="25" t="str">
        <x:v>EEZ_830</x:v>
      </x:c>
      <x:c r="B2643" s="25" t="str">
        <x:v>species_ppr</x:v>
      </x:c>
      <x:c r="C2643" s="25" t="n">
        <x:v>7600928.524628068</x:v>
      </x:c>
      <x:c r="D2643" s="25" t="str">
        <x:v>tonnes_primary_production_equivalent</x:v>
      </x:c>
    </x:row>
    <x:row r="2644" ht="18" customHeight="1">
      <x:c r="A2644" s="25" t="str">
        <x:v>EEZ_830</x:v>
      </x:c>
      <x:c r="B2644" s="25" t="str">
        <x:v>commercial_ppr</x:v>
      </x:c>
      <x:c r="C2644" s="25" t="n">
        <x:v>4776585.493115955</x:v>
      </x:c>
      <x:c r="D2644" s="25" t="str">
        <x:v>tonnes_primary_production_equivalent</x:v>
      </x:c>
    </x:row>
    <x:row r="2645" ht="18" customHeight="1">
      <x:c r="A2645" s="25" t="str">
        <x:v>EEZ_830</x:v>
      </x:c>
      <x:c r="B2645" s="25" t="str">
        <x:v>functional_ppr</x:v>
      </x:c>
      <x:c r="C2645" s="25" t="n">
        <x:v>5751505.527055379</x:v>
      </x:c>
      <x:c r="D2645" s="25" t="str">
        <x:v>tonnes_primary_production_equivalent</x:v>
      </x:c>
    </x:row>
    <x:row r="2646" ht="18" customHeight="1">
      <x:c r="A2646" s="25" t="str">
        <x:v>EEZ_830</x:v>
      </x:c>
      <x:c r="B2646" s="25" t="str">
        <x:v>commercial_ppr_difference</x:v>
      </x:c>
      <x:c r="C2646" s="25" t="n">
        <x:v>-2824343.0315121133</x:v>
      </x:c>
      <x:c r="D2646" s="25" t="str">
        <x:v>tonnes_primary_production_equivalent</x:v>
      </x:c>
    </x:row>
    <x:row r="2647" ht="18" customHeight="1">
      <x:c r="A2647" s="25" t="str">
        <x:v>EEZ_830</x:v>
      </x:c>
      <x:c r="B2647" s="25" t="str">
        <x:v>functional_ppr_difference</x:v>
      </x:c>
      <x:c r="C2647" s="25" t="n">
        <x:v>-1849422.9975726893</x:v>
      </x:c>
      <x:c r="D2647" s="25" t="str">
        <x:v>tonnes_primary_production_equivalent</x:v>
      </x:c>
    </x:row>
    <x:row r="2648" ht="18" customHeight="1">
      <x:c r="A2648" s="25" t="str">
        <x:v>EEZ_834</x:v>
      </x:c>
      <x:c r="B2648" s="25" t="str">
        <x:v>raw_filtered_tonnes</x:v>
      </x:c>
      <x:c r="C2648" s="25" t="n">
        <x:v>129515.2312113136</x:v>
      </x:c>
      <x:c r="D2648" s="25" t="str">
        <x:v>tonnes</x:v>
      </x:c>
    </x:row>
    <x:row r="2649" ht="18" customHeight="1">
      <x:c r="A2649" s="25" t="str">
        <x:v>EEZ_834</x:v>
      </x:c>
      <x:c r="B2649" s="25" t="str">
        <x:v>species_catch_tonnes</x:v>
      </x:c>
      <x:c r="C2649" s="25" t="n">
        <x:v>129515.23121131358</x:v>
      </x:c>
      <x:c r="D2649" s="25" t="str">
        <x:v>tonnes</x:v>
      </x:c>
    </x:row>
    <x:row r="2650" ht="18" customHeight="1">
      <x:c r="A2650" s="25" t="str">
        <x:v>EEZ_834</x:v>
      </x:c>
      <x:c r="B2650" s="25" t="str">
        <x:v>catch_difference_tonnes</x:v>
      </x:c>
      <x:c r="C2650" s="25" t="n">
        <x:v>-1.4551915228366852e-11</x:v>
      </x:c>
      <x:c r="D2650" s="25" t="str">
        <x:v>tonnes</x:v>
      </x:c>
    </x:row>
    <x:row r="2651" ht="18" customHeight="1">
      <x:c r="A2651" s="25" t="str">
        <x:v>EEZ_834</x:v>
      </x:c>
      <x:c r="B2651" s="25" t="str">
        <x:v>catch_reconciled</x:v>
      </x:c>
      <x:c r="C2651" s="36" t="b">
        <x:v>1</x:v>
      </x:c>
      <x:c r="D2651" s="25" t="str">
        <x:v>boolean</x:v>
      </x:c>
    </x:row>
    <x:row r="2652" ht="18" customHeight="1">
      <x:c r="A2652" s="25" t="str">
        <x:v>EEZ_834</x:v>
      </x:c>
      <x:c r="B2652" s="25" t="str">
        <x:v>matched_catch_tonnes</x:v>
      </x:c>
      <x:c r="C2652" s="25" t="n">
        <x:v>129515.23121131358</x:v>
      </x:c>
      <x:c r="D2652" s="25" t="str">
        <x:v>tonnes</x:v>
      </x:c>
    </x:row>
    <x:row r="2653" ht="18" customHeight="1">
      <x:c r="A2653" s="25" t="str">
        <x:v>EEZ_834</x:v>
      </x:c>
      <x:c r="B2653" s="25" t="str">
        <x:v>catch_coverage_fraction</x:v>
      </x:c>
      <x:c r="C2653" s="25" t="n">
        <x:v>1</x:v>
      </x:c>
      <x:c r="D2653" s="25" t="str">
        <x:v>fraction</x:v>
      </x:c>
    </x:row>
    <x:row r="2654" ht="18" customHeight="1">
      <x:c r="A2654" s="25" t="str">
        <x:v>EEZ_834</x:v>
      </x:c>
      <x:c r="B2654" s="25" t="str">
        <x:v>taxa_count</x:v>
      </x:c>
      <x:c r="C2654" s="25" t="n">
        <x:v>112</x:v>
      </x:c>
      <x:c r="D2654" s="25" t="str">
        <x:v>count</x:v>
      </x:c>
    </x:row>
    <x:row r="2655" ht="18" customHeight="1">
      <x:c r="A2655" s="25" t="str">
        <x:v>EEZ_834</x:v>
      </x:c>
      <x:c r="B2655" s="25" t="str">
        <x:v>matched_taxa_count</x:v>
      </x:c>
      <x:c r="C2655" s="25" t="n">
        <x:v>112</x:v>
      </x:c>
      <x:c r="D2655" s="25" t="str">
        <x:v>count</x:v>
      </x:c>
    </x:row>
    <x:row r="2656" ht="18" customHeight="1">
      <x:c r="A2656" s="25" t="str">
        <x:v>EEZ_834</x:v>
      </x:c>
      <x:c r="B2656" s="25" t="str">
        <x:v>unmatched_taxa_count</x:v>
      </x:c>
      <x:c r="C2656" s="25" t="n">
        <x:v>0</x:v>
      </x:c>
      <x:c r="D2656" s="25" t="str">
        <x:v>count</x:v>
      </x:c>
    </x:row>
    <x:row r="2657" ht="18" customHeight="1">
      <x:c r="A2657" s="25" t="str">
        <x:v>EEZ_834</x:v>
      </x:c>
      <x:c r="B2657" s="25" t="str">
        <x:v>species_ppr</x:v>
      </x:c>
      <x:c r="C2657" s="25" t="n">
        <x:v>108837946.14807098</x:v>
      </x:c>
      <x:c r="D2657" s="25" t="str">
        <x:v>tonnes_primary_production_equivalent</x:v>
      </x:c>
    </x:row>
    <x:row r="2658" ht="18" customHeight="1">
      <x:c r="A2658" s="25" t="str">
        <x:v>EEZ_834</x:v>
      </x:c>
      <x:c r="B2658" s="25" t="str">
        <x:v>commercial_ppr</x:v>
      </x:c>
      <x:c r="C2658" s="25" t="n">
        <x:v>78818215.59635648</x:v>
      </x:c>
      <x:c r="D2658" s="25" t="str">
        <x:v>tonnes_primary_production_equivalent</x:v>
      </x:c>
    </x:row>
    <x:row r="2659" ht="18" customHeight="1">
      <x:c r="A2659" s="25" t="str">
        <x:v>EEZ_834</x:v>
      </x:c>
      <x:c r="B2659" s="25" t="str">
        <x:v>functional_ppr</x:v>
      </x:c>
      <x:c r="C2659" s="25" t="n">
        <x:v>90208962.19375764</x:v>
      </x:c>
      <x:c r="D2659" s="25" t="str">
        <x:v>tonnes_primary_production_equivalent</x:v>
      </x:c>
    </x:row>
    <x:row r="2660" ht="18" customHeight="1">
      <x:c r="A2660" s="25" t="str">
        <x:v>EEZ_834</x:v>
      </x:c>
      <x:c r="B2660" s="25" t="str">
        <x:v>commercial_ppr_difference</x:v>
      </x:c>
      <x:c r="C2660" s="25" t="n">
        <x:v>-30019730.551714495</x:v>
      </x:c>
      <x:c r="D2660" s="25" t="str">
        <x:v>tonnes_primary_production_equivalent</x:v>
      </x:c>
    </x:row>
    <x:row r="2661" ht="18" customHeight="1">
      <x:c r="A2661" s="25" t="str">
        <x:v>EEZ_834</x:v>
      </x:c>
      <x:c r="B2661" s="25" t="str">
        <x:v>functional_ppr_difference</x:v>
      </x:c>
      <x:c r="C2661" s="25" t="n">
        <x:v>-18628983.954313338</x:v>
      </x:c>
      <x:c r="D2661" s="25" t="str">
        <x:v>tonnes_primary_production_equivalent</x:v>
      </x:c>
    </x:row>
    <x:row r="2662" ht="18" customHeight="1">
      <x:c r="A2662" s="25" t="str">
        <x:v>EEZ_842</x:v>
      </x:c>
      <x:c r="B2662" s="25" t="str">
        <x:v>raw_filtered_tonnes</x:v>
      </x:c>
      <x:c r="C2662" s="25" t="n">
        <x:v>22486.186575207197</x:v>
      </x:c>
      <x:c r="D2662" s="25" t="str">
        <x:v>tonnes</x:v>
      </x:c>
    </x:row>
    <x:row r="2663" ht="18" customHeight="1">
      <x:c r="A2663" s="25" t="str">
        <x:v>EEZ_842</x:v>
      </x:c>
      <x:c r="B2663" s="25" t="str">
        <x:v>species_catch_tonnes</x:v>
      </x:c>
      <x:c r="C2663" s="25" t="n">
        <x:v>22486.1865752072</x:v>
      </x:c>
      <x:c r="D2663" s="25" t="str">
        <x:v>tonnes</x:v>
      </x:c>
    </x:row>
    <x:row r="2664" ht="18" customHeight="1">
      <x:c r="A2664" s="25" t="str">
        <x:v>EEZ_842</x:v>
      </x:c>
      <x:c r="B2664" s="25" t="str">
        <x:v>catch_difference_tonnes</x:v>
      </x:c>
      <x:c r="C2664" s="25" t="n">
        <x:v>3.637978807091713e-12</x:v>
      </x:c>
      <x:c r="D2664" s="25" t="str">
        <x:v>tonnes</x:v>
      </x:c>
    </x:row>
    <x:row r="2665" ht="18" customHeight="1">
      <x:c r="A2665" s="25" t="str">
        <x:v>EEZ_842</x:v>
      </x:c>
      <x:c r="B2665" s="25" t="str">
        <x:v>catch_reconciled</x:v>
      </x:c>
      <x:c r="C2665" s="36" t="b">
        <x:v>1</x:v>
      </x:c>
      <x:c r="D2665" s="25" t="str">
        <x:v>boolean</x:v>
      </x:c>
    </x:row>
    <x:row r="2666" ht="18" customHeight="1">
      <x:c r="A2666" s="25" t="str">
        <x:v>EEZ_842</x:v>
      </x:c>
      <x:c r="B2666" s="25" t="str">
        <x:v>matched_catch_tonnes</x:v>
      </x:c>
      <x:c r="C2666" s="25" t="n">
        <x:v>22486.1865752072</x:v>
      </x:c>
      <x:c r="D2666" s="25" t="str">
        <x:v>tonnes</x:v>
      </x:c>
    </x:row>
    <x:row r="2667" ht="18" customHeight="1">
      <x:c r="A2667" s="25" t="str">
        <x:v>EEZ_842</x:v>
      </x:c>
      <x:c r="B2667" s="25" t="str">
        <x:v>catch_coverage_fraction</x:v>
      </x:c>
      <x:c r="C2667" s="25" t="n">
        <x:v>1</x:v>
      </x:c>
      <x:c r="D2667" s="25" t="str">
        <x:v>fraction</x:v>
      </x:c>
    </x:row>
    <x:row r="2668" ht="18" customHeight="1">
      <x:c r="A2668" s="25" t="str">
        <x:v>EEZ_842</x:v>
      </x:c>
      <x:c r="B2668" s="25" t="str">
        <x:v>taxa_count</x:v>
      </x:c>
      <x:c r="C2668" s="25" t="n">
        <x:v>140</x:v>
      </x:c>
      <x:c r="D2668" s="25" t="str">
        <x:v>count</x:v>
      </x:c>
    </x:row>
    <x:row r="2669" ht="18" customHeight="1">
      <x:c r="A2669" s="25" t="str">
        <x:v>EEZ_842</x:v>
      </x:c>
      <x:c r="B2669" s="25" t="str">
        <x:v>matched_taxa_count</x:v>
      </x:c>
      <x:c r="C2669" s="25" t="n">
        <x:v>140</x:v>
      </x:c>
      <x:c r="D2669" s="25" t="str">
        <x:v>count</x:v>
      </x:c>
    </x:row>
    <x:row r="2670" ht="18" customHeight="1">
      <x:c r="A2670" s="25" t="str">
        <x:v>EEZ_842</x:v>
      </x:c>
      <x:c r="B2670" s="25" t="str">
        <x:v>unmatched_taxa_count</x:v>
      </x:c>
      <x:c r="C2670" s="25" t="n">
        <x:v>0</x:v>
      </x:c>
      <x:c r="D2670" s="25" t="str">
        <x:v>count</x:v>
      </x:c>
    </x:row>
    <x:row r="2671" ht="18" customHeight="1">
      <x:c r="A2671" s="25" t="str">
        <x:v>EEZ_842</x:v>
      </x:c>
      <x:c r="B2671" s="25" t="str">
        <x:v>species_ppr</x:v>
      </x:c>
      <x:c r="C2671" s="25" t="n">
        <x:v>47556032.822993144</x:v>
      </x:c>
      <x:c r="D2671" s="25" t="str">
        <x:v>tonnes_primary_production_equivalent</x:v>
      </x:c>
    </x:row>
    <x:row r="2672" ht="18" customHeight="1">
      <x:c r="A2672" s="25" t="str">
        <x:v>EEZ_842</x:v>
      </x:c>
      <x:c r="B2672" s="25" t="str">
        <x:v>commercial_ppr</x:v>
      </x:c>
      <x:c r="C2672" s="25" t="n">
        <x:v>43053065.938609466</x:v>
      </x:c>
      <x:c r="D2672" s="25" t="str">
        <x:v>tonnes_primary_production_equivalent</x:v>
      </x:c>
    </x:row>
    <x:row r="2673" ht="18" customHeight="1">
      <x:c r="A2673" s="25" t="str">
        <x:v>EEZ_842</x:v>
      </x:c>
      <x:c r="B2673" s="25" t="str">
        <x:v>functional_ppr</x:v>
      </x:c>
      <x:c r="C2673" s="25" t="n">
        <x:v>45887678.36081641</x:v>
      </x:c>
      <x:c r="D2673" s="25" t="str">
        <x:v>tonnes_primary_production_equivalent</x:v>
      </x:c>
    </x:row>
    <x:row r="2674" ht="18" customHeight="1">
      <x:c r="A2674" s="25" t="str">
        <x:v>EEZ_842</x:v>
      </x:c>
      <x:c r="B2674" s="25" t="str">
        <x:v>commercial_ppr_difference</x:v>
      </x:c>
      <x:c r="C2674" s="25" t="n">
        <x:v>-4502966.884383678</x:v>
      </x:c>
      <x:c r="D2674" s="25" t="str">
        <x:v>tonnes_primary_production_equivalent</x:v>
      </x:c>
    </x:row>
    <x:row r="2675" ht="18" customHeight="1">
      <x:c r="A2675" s="25" t="str">
        <x:v>EEZ_842</x:v>
      </x:c>
      <x:c r="B2675" s="25" t="str">
        <x:v>functional_ppr_difference</x:v>
      </x:c>
      <x:c r="C2675" s="25" t="n">
        <x:v>-1668354.4621767327</x:v>
      </x:c>
      <x:c r="D2675" s="25" t="str">
        <x:v>tonnes_primary_production_equivalent</x:v>
      </x:c>
    </x:row>
    <x:row r="2676" ht="18" customHeight="1">
      <x:c r="A2676" s="25" t="str">
        <x:v>EEZ_844</x:v>
      </x:c>
      <x:c r="B2676" s="25" t="str">
        <x:v>raw_filtered_tonnes</x:v>
      </x:c>
      <x:c r="C2676" s="25" t="n">
        <x:v>280.5961402573001</x:v>
      </x:c>
      <x:c r="D2676" s="25" t="str">
        <x:v>tonnes</x:v>
      </x:c>
    </x:row>
    <x:row r="2677" ht="18" customHeight="1">
      <x:c r="A2677" s="25" t="str">
        <x:v>EEZ_844</x:v>
      </x:c>
      <x:c r="B2677" s="25" t="str">
        <x:v>species_catch_tonnes</x:v>
      </x:c>
      <x:c r="C2677" s="25" t="n">
        <x:v>280.5961402573</x:v>
      </x:c>
      <x:c r="D2677" s="25" t="str">
        <x:v>tonnes</x:v>
      </x:c>
    </x:row>
    <x:row r="2678" ht="18" customHeight="1">
      <x:c r="A2678" s="25" t="str">
        <x:v>EEZ_844</x:v>
      </x:c>
      <x:c r="B2678" s="25" t="str">
        <x:v>catch_difference_tonnes</x:v>
      </x:c>
      <x:c r="C2678" s="25" t="n">
        <x:v>-5.684341886080802e-14</x:v>
      </x:c>
      <x:c r="D2678" s="25" t="str">
        <x:v>tonnes</x:v>
      </x:c>
    </x:row>
    <x:row r="2679" ht="18" customHeight="1">
      <x:c r="A2679" s="25" t="str">
        <x:v>EEZ_844</x:v>
      </x:c>
      <x:c r="B2679" s="25" t="str">
        <x:v>catch_reconciled</x:v>
      </x:c>
      <x:c r="C2679" s="36" t="b">
        <x:v>1</x:v>
      </x:c>
      <x:c r="D2679" s="25" t="str">
        <x:v>boolean</x:v>
      </x:c>
    </x:row>
    <x:row r="2680" ht="18" customHeight="1">
      <x:c r="A2680" s="25" t="str">
        <x:v>EEZ_844</x:v>
      </x:c>
      <x:c r="B2680" s="25" t="str">
        <x:v>matched_catch_tonnes</x:v>
      </x:c>
      <x:c r="C2680" s="25" t="n">
        <x:v>280.5961402573</x:v>
      </x:c>
      <x:c r="D2680" s="25" t="str">
        <x:v>tonnes</x:v>
      </x:c>
    </x:row>
    <x:row r="2681" ht="18" customHeight="1">
      <x:c r="A2681" s="25" t="str">
        <x:v>EEZ_844</x:v>
      </x:c>
      <x:c r="B2681" s="25" t="str">
        <x:v>catch_coverage_fraction</x:v>
      </x:c>
      <x:c r="C2681" s="25" t="n">
        <x:v>1</x:v>
      </x:c>
      <x:c r="D2681" s="25" t="str">
        <x:v>fraction</x:v>
      </x:c>
    </x:row>
    <x:row r="2682" ht="18" customHeight="1">
      <x:c r="A2682" s="25" t="str">
        <x:v>EEZ_844</x:v>
      </x:c>
      <x:c r="B2682" s="25" t="str">
        <x:v>taxa_count</x:v>
      </x:c>
      <x:c r="C2682" s="25" t="n">
        <x:v>17</x:v>
      </x:c>
      <x:c r="D2682" s="25" t="str">
        <x:v>count</x:v>
      </x:c>
    </x:row>
    <x:row r="2683" ht="18" customHeight="1">
      <x:c r="A2683" s="25" t="str">
        <x:v>EEZ_844</x:v>
      </x:c>
      <x:c r="B2683" s="25" t="str">
        <x:v>matched_taxa_count</x:v>
      </x:c>
      <x:c r="C2683" s="25" t="n">
        <x:v>17</x:v>
      </x:c>
      <x:c r="D2683" s="25" t="str">
        <x:v>count</x:v>
      </x:c>
    </x:row>
    <x:row r="2684" ht="18" customHeight="1">
      <x:c r="A2684" s="25" t="str">
        <x:v>EEZ_844</x:v>
      </x:c>
      <x:c r="B2684" s="25" t="str">
        <x:v>unmatched_taxa_count</x:v>
      </x:c>
      <x:c r="C2684" s="25" t="n">
        <x:v>0</x:v>
      </x:c>
      <x:c r="D2684" s="25" t="str">
        <x:v>count</x:v>
      </x:c>
    </x:row>
    <x:row r="2685" ht="18" customHeight="1">
      <x:c r="A2685" s="25" t="str">
        <x:v>EEZ_844</x:v>
      </x:c>
      <x:c r="B2685" s="25" t="str">
        <x:v>species_ppr</x:v>
      </x:c>
      <x:c r="C2685" s="25" t="n">
        <x:v>628775.9881433196</x:v>
      </x:c>
      <x:c r="D2685" s="25" t="str">
        <x:v>tonnes_primary_production_equivalent</x:v>
      </x:c>
    </x:row>
    <x:row r="2686" ht="18" customHeight="1">
      <x:c r="A2686" s="25" t="str">
        <x:v>EEZ_844</x:v>
      </x:c>
      <x:c r="B2686" s="25" t="str">
        <x:v>commercial_ppr</x:v>
      </x:c>
      <x:c r="C2686" s="25" t="n">
        <x:v>625356.8693576443</x:v>
      </x:c>
      <x:c r="D2686" s="25" t="str">
        <x:v>tonnes_primary_production_equivalent</x:v>
      </x:c>
    </x:row>
    <x:row r="2687" ht="18" customHeight="1">
      <x:c r="A2687" s="25" t="str">
        <x:v>EEZ_844</x:v>
      </x:c>
      <x:c r="B2687" s="25" t="str">
        <x:v>functional_ppr</x:v>
      </x:c>
      <x:c r="C2687" s="25" t="n">
        <x:v>625610.4941218644</x:v>
      </x:c>
      <x:c r="D2687" s="25" t="str">
        <x:v>tonnes_primary_production_equivalent</x:v>
      </x:c>
    </x:row>
    <x:row r="2688" ht="18" customHeight="1">
      <x:c r="A2688" s="25" t="str">
        <x:v>EEZ_844</x:v>
      </x:c>
      <x:c r="B2688" s="25" t="str">
        <x:v>commercial_ppr_difference</x:v>
      </x:c>
      <x:c r="C2688" s="25" t="n">
        <x:v>-3419.118785675266</x:v>
      </x:c>
      <x:c r="D2688" s="25" t="str">
        <x:v>tonnes_primary_production_equivalent</x:v>
      </x:c>
    </x:row>
    <x:row r="2689" ht="18" customHeight="1">
      <x:c r="A2689" s="25" t="str">
        <x:v>EEZ_844</x:v>
      </x:c>
      <x:c r="B2689" s="25" t="str">
        <x:v>functional_ppr_difference</x:v>
      </x:c>
      <x:c r="C2689" s="25" t="n">
        <x:v>-3165.4940214551752</x:v>
      </x:c>
      <x:c r="D2689" s="25" t="str">
        <x:v>tonnes_primary_production_equivalent</x:v>
      </x:c>
    </x:row>
    <x:row r="2690" ht="18" customHeight="1">
      <x:c r="A2690" s="25" t="str">
        <x:v>EEZ_845</x:v>
      </x:c>
      <x:c r="B2690" s="25" t="str">
        <x:v>raw_filtered_tonnes</x:v>
      </x:c>
      <x:c r="C2690" s="25" t="n">
        <x:v>3423.530859589999</x:v>
      </x:c>
      <x:c r="D2690" s="25" t="str">
        <x:v>tonnes</x:v>
      </x:c>
    </x:row>
    <x:row r="2691" ht="18" customHeight="1">
      <x:c r="A2691" s="25" t="str">
        <x:v>EEZ_845</x:v>
      </x:c>
      <x:c r="B2691" s="25" t="str">
        <x:v>species_catch_tonnes</x:v>
      </x:c>
      <x:c r="C2691" s="25" t="n">
        <x:v>3423.5308595899996</x:v>
      </x:c>
      <x:c r="D2691" s="25" t="str">
        <x:v>tonnes</x:v>
      </x:c>
    </x:row>
    <x:row r="2692" ht="18" customHeight="1">
      <x:c r="A2692" s="25" t="str">
        <x:v>EEZ_845</x:v>
      </x:c>
      <x:c r="B2692" s="25" t="str">
        <x:v>catch_difference_tonnes</x:v>
      </x:c>
      <x:c r="C2692" s="25" t="n">
        <x:v>4.547473508864641e-13</x:v>
      </x:c>
      <x:c r="D2692" s="25" t="str">
        <x:v>tonnes</x:v>
      </x:c>
    </x:row>
    <x:row r="2693" ht="18" customHeight="1">
      <x:c r="A2693" s="25" t="str">
        <x:v>EEZ_845</x:v>
      </x:c>
      <x:c r="B2693" s="25" t="str">
        <x:v>catch_reconciled</x:v>
      </x:c>
      <x:c r="C2693" s="36" t="b">
        <x:v>1</x:v>
      </x:c>
      <x:c r="D2693" s="25" t="str">
        <x:v>boolean</x:v>
      </x:c>
    </x:row>
    <x:row r="2694" ht="18" customHeight="1">
      <x:c r="A2694" s="25" t="str">
        <x:v>EEZ_845</x:v>
      </x:c>
      <x:c r="B2694" s="25" t="str">
        <x:v>matched_catch_tonnes</x:v>
      </x:c>
      <x:c r="C2694" s="25" t="n">
        <x:v>3423.5308595899996</x:v>
      </x:c>
      <x:c r="D2694" s="25" t="str">
        <x:v>tonnes</x:v>
      </x:c>
    </x:row>
    <x:row r="2695" ht="18" customHeight="1">
      <x:c r="A2695" s="25" t="str">
        <x:v>EEZ_845</x:v>
      </x:c>
      <x:c r="B2695" s="25" t="str">
        <x:v>catch_coverage_fraction</x:v>
      </x:c>
      <x:c r="C2695" s="25" t="n">
        <x:v>1</x:v>
      </x:c>
      <x:c r="D2695" s="25" t="str">
        <x:v>fraction</x:v>
      </x:c>
    </x:row>
    <x:row r="2696" ht="18" customHeight="1">
      <x:c r="A2696" s="25" t="str">
        <x:v>EEZ_845</x:v>
      </x:c>
      <x:c r="B2696" s="25" t="str">
        <x:v>taxa_count</x:v>
      </x:c>
      <x:c r="C2696" s="25" t="n">
        <x:v>17</x:v>
      </x:c>
      <x:c r="D2696" s="25" t="str">
        <x:v>count</x:v>
      </x:c>
    </x:row>
    <x:row r="2697" ht="18" customHeight="1">
      <x:c r="A2697" s="25" t="str">
        <x:v>EEZ_845</x:v>
      </x:c>
      <x:c r="B2697" s="25" t="str">
        <x:v>matched_taxa_count</x:v>
      </x:c>
      <x:c r="C2697" s="25" t="n">
        <x:v>17</x:v>
      </x:c>
      <x:c r="D2697" s="25" t="str">
        <x:v>count</x:v>
      </x:c>
    </x:row>
    <x:row r="2698" ht="18" customHeight="1">
      <x:c r="A2698" s="25" t="str">
        <x:v>EEZ_845</x:v>
      </x:c>
      <x:c r="B2698" s="25" t="str">
        <x:v>unmatched_taxa_count</x:v>
      </x:c>
      <x:c r="C2698" s="25" t="n">
        <x:v>0</x:v>
      </x:c>
      <x:c r="D2698" s="25" t="str">
        <x:v>count</x:v>
      </x:c>
    </x:row>
    <x:row r="2699" ht="18" customHeight="1">
      <x:c r="A2699" s="25" t="str">
        <x:v>EEZ_845</x:v>
      </x:c>
      <x:c r="B2699" s="25" t="str">
        <x:v>species_ppr</x:v>
      </x:c>
      <x:c r="C2699" s="25" t="n">
        <x:v>7929382.82878491</x:v>
      </x:c>
      <x:c r="D2699" s="25" t="str">
        <x:v>tonnes_primary_production_equivalent</x:v>
      </x:c>
    </x:row>
    <x:row r="2700" ht="18" customHeight="1">
      <x:c r="A2700" s="25" t="str">
        <x:v>EEZ_845</x:v>
      </x:c>
      <x:c r="B2700" s="25" t="str">
        <x:v>commercial_ppr</x:v>
      </x:c>
      <x:c r="C2700" s="25" t="n">
        <x:v>7877968.920842708</x:v>
      </x:c>
      <x:c r="D2700" s="25" t="str">
        <x:v>tonnes_primary_production_equivalent</x:v>
      </x:c>
    </x:row>
    <x:row r="2701" ht="18" customHeight="1">
      <x:c r="A2701" s="25" t="str">
        <x:v>EEZ_845</x:v>
      </x:c>
      <x:c r="B2701" s="25" t="str">
        <x:v>functional_ppr</x:v>
      </x:c>
      <x:c r="C2701" s="25" t="n">
        <x:v>7884666.365376899</x:v>
      </x:c>
      <x:c r="D2701" s="25" t="str">
        <x:v>tonnes_primary_production_equivalent</x:v>
      </x:c>
    </x:row>
    <x:row r="2702" ht="18" customHeight="1">
      <x:c r="A2702" s="25" t="str">
        <x:v>EEZ_845</x:v>
      </x:c>
      <x:c r="B2702" s="25" t="str">
        <x:v>commercial_ppr_difference</x:v>
      </x:c>
      <x:c r="C2702" s="25" t="n">
        <x:v>-51413.90794220194</x:v>
      </x:c>
      <x:c r="D2702" s="25" t="str">
        <x:v>tonnes_primary_production_equivalent</x:v>
      </x:c>
    </x:row>
    <x:row r="2703" ht="18" customHeight="1">
      <x:c r="A2703" s="25" t="str">
        <x:v>EEZ_845</x:v>
      </x:c>
      <x:c r="B2703" s="25" t="str">
        <x:v>functional_ppr_difference</x:v>
      </x:c>
      <x:c r="C2703" s="25" t="n">
        <x:v>-44716.46340801101</x:v>
      </x:c>
      <x:c r="D2703" s="25" t="str">
        <x:v>tonnes_primary_production_equivalent</x:v>
      </x:c>
    </x:row>
    <x:row r="2704" ht="18" customHeight="1">
      <x:c r="A2704" s="25" t="str">
        <x:v>EEZ_846</x:v>
      </x:c>
      <x:c r="B2704" s="25" t="str">
        <x:v>raw_filtered_tonnes</x:v>
      </x:c>
      <x:c r="C2704" s="25" t="n">
        <x:v>4352.1546382121</x:v>
      </x:c>
      <x:c r="D2704" s="25" t="str">
        <x:v>tonnes</x:v>
      </x:c>
    </x:row>
    <x:row r="2705" ht="18" customHeight="1">
      <x:c r="A2705" s="25" t="str">
        <x:v>EEZ_846</x:v>
      </x:c>
      <x:c r="B2705" s="25" t="str">
        <x:v>species_catch_tonnes</x:v>
      </x:c>
      <x:c r="C2705" s="25" t="n">
        <x:v>4352.1546382121005</x:v>
      </x:c>
      <x:c r="D2705" s="25" t="str">
        <x:v>tonnes</x:v>
      </x:c>
    </x:row>
    <x:row r="2706" ht="18" customHeight="1">
      <x:c r="A2706" s="25" t="str">
        <x:v>EEZ_846</x:v>
      </x:c>
      <x:c r="B2706" s="25" t="str">
        <x:v>catch_difference_tonnes</x:v>
      </x:c>
      <x:c r="C2706" s="25" t="n">
        <x:v>9.094947017729282e-13</x:v>
      </x:c>
      <x:c r="D2706" s="25" t="str">
        <x:v>tonnes</x:v>
      </x:c>
    </x:row>
    <x:row r="2707" ht="18" customHeight="1">
      <x:c r="A2707" s="25" t="str">
        <x:v>EEZ_846</x:v>
      </x:c>
      <x:c r="B2707" s="25" t="str">
        <x:v>catch_reconciled</x:v>
      </x:c>
      <x:c r="C2707" s="36" t="b">
        <x:v>1</x:v>
      </x:c>
      <x:c r="D2707" s="25" t="str">
        <x:v>boolean</x:v>
      </x:c>
    </x:row>
    <x:row r="2708" ht="18" customHeight="1">
      <x:c r="A2708" s="25" t="str">
        <x:v>EEZ_846</x:v>
      </x:c>
      <x:c r="B2708" s="25" t="str">
        <x:v>matched_catch_tonnes</x:v>
      </x:c>
      <x:c r="C2708" s="25" t="n">
        <x:v>4352.1546382121005</x:v>
      </x:c>
      <x:c r="D2708" s="25" t="str">
        <x:v>tonnes</x:v>
      </x:c>
    </x:row>
    <x:row r="2709" ht="18" customHeight="1">
      <x:c r="A2709" s="25" t="str">
        <x:v>EEZ_846</x:v>
      </x:c>
      <x:c r="B2709" s="25" t="str">
        <x:v>catch_coverage_fraction</x:v>
      </x:c>
      <x:c r="C2709" s="25" t="n">
        <x:v>1</x:v>
      </x:c>
      <x:c r="D2709" s="25" t="str">
        <x:v>fraction</x:v>
      </x:c>
    </x:row>
    <x:row r="2710" ht="18" customHeight="1">
      <x:c r="A2710" s="25" t="str">
        <x:v>EEZ_846</x:v>
      </x:c>
      <x:c r="B2710" s="25" t="str">
        <x:v>taxa_count</x:v>
      </x:c>
      <x:c r="C2710" s="25" t="n">
        <x:v>18</x:v>
      </x:c>
      <x:c r="D2710" s="25" t="str">
        <x:v>count</x:v>
      </x:c>
    </x:row>
    <x:row r="2711" ht="18" customHeight="1">
      <x:c r="A2711" s="25" t="str">
        <x:v>EEZ_846</x:v>
      </x:c>
      <x:c r="B2711" s="25" t="str">
        <x:v>matched_taxa_count</x:v>
      </x:c>
      <x:c r="C2711" s="25" t="n">
        <x:v>18</x:v>
      </x:c>
      <x:c r="D2711" s="25" t="str">
        <x:v>count</x:v>
      </x:c>
    </x:row>
    <x:row r="2712" ht="18" customHeight="1">
      <x:c r="A2712" s="25" t="str">
        <x:v>EEZ_846</x:v>
      </x:c>
      <x:c r="B2712" s="25" t="str">
        <x:v>unmatched_taxa_count</x:v>
      </x:c>
      <x:c r="C2712" s="25" t="n">
        <x:v>0</x:v>
      </x:c>
      <x:c r="D2712" s="25" t="str">
        <x:v>count</x:v>
      </x:c>
    </x:row>
    <x:row r="2713" ht="18" customHeight="1">
      <x:c r="A2713" s="25" t="str">
        <x:v>EEZ_846</x:v>
      </x:c>
      <x:c r="B2713" s="25" t="str">
        <x:v>species_ppr</x:v>
      </x:c>
      <x:c r="C2713" s="25" t="n">
        <x:v>9583004.046822514</x:v>
      </x:c>
      <x:c r="D2713" s="25" t="str">
        <x:v>tonnes_primary_production_equivalent</x:v>
      </x:c>
    </x:row>
    <x:row r="2714" ht="18" customHeight="1">
      <x:c r="A2714" s="25" t="str">
        <x:v>EEZ_846</x:v>
      </x:c>
      <x:c r="B2714" s="25" t="str">
        <x:v>commercial_ppr</x:v>
      </x:c>
      <x:c r="C2714" s="25" t="n">
        <x:v>9506637.802266642</x:v>
      </x:c>
      <x:c r="D2714" s="25" t="str">
        <x:v>tonnes_primary_production_equivalent</x:v>
      </x:c>
    </x:row>
    <x:row r="2715" ht="18" customHeight="1">
      <x:c r="A2715" s="25" t="str">
        <x:v>EEZ_846</x:v>
      </x:c>
      <x:c r="B2715" s="25" t="str">
        <x:v>functional_ppr</x:v>
      </x:c>
      <x:c r="C2715" s="25" t="n">
        <x:v>9477228.694487184</x:v>
      </x:c>
      <x:c r="D2715" s="25" t="str">
        <x:v>tonnes_primary_production_equivalent</x:v>
      </x:c>
    </x:row>
    <x:row r="2716" ht="18" customHeight="1">
      <x:c r="A2716" s="25" t="str">
        <x:v>EEZ_846</x:v>
      </x:c>
      <x:c r="B2716" s="25" t="str">
        <x:v>commercial_ppr_difference</x:v>
      </x:c>
      <x:c r="C2716" s="25" t="n">
        <x:v>-76366.24455587193</x:v>
      </x:c>
      <x:c r="D2716" s="25" t="str">
        <x:v>tonnes_primary_production_equivalent</x:v>
      </x:c>
    </x:row>
    <x:row r="2717" ht="18" customHeight="1">
      <x:c r="A2717" s="25" t="str">
        <x:v>EEZ_846</x:v>
      </x:c>
      <x:c r="B2717" s="25" t="str">
        <x:v>functional_ppr_difference</x:v>
      </x:c>
      <x:c r="C2717" s="25" t="n">
        <x:v>-105775.3523353301</x:v>
      </x:c>
      <x:c r="D2717" s="25" t="str">
        <x:v>tonnes_primary_production_equivalent</x:v>
      </x:c>
    </x:row>
    <x:row r="2718" ht="18" customHeight="1">
      <x:c r="A2718" s="25" t="str">
        <x:v>EEZ_848</x:v>
      </x:c>
      <x:c r="B2718" s="25" t="str">
        <x:v>raw_filtered_tonnes</x:v>
      </x:c>
      <x:c r="C2718" s="25" t="n">
        <x:v>480242.05511345965</x:v>
      </x:c>
      <x:c r="D2718" s="25" t="str">
        <x:v>tonnes</x:v>
      </x:c>
    </x:row>
    <x:row r="2719" ht="18" customHeight="1">
      <x:c r="A2719" s="25" t="str">
        <x:v>EEZ_848</x:v>
      </x:c>
      <x:c r="B2719" s="25" t="str">
        <x:v>species_catch_tonnes</x:v>
      </x:c>
      <x:c r="C2719" s="25" t="n">
        <x:v>480242.05511345976</x:v>
      </x:c>
      <x:c r="D2719" s="25" t="str">
        <x:v>tonnes</x:v>
      </x:c>
    </x:row>
    <x:row r="2720" ht="18" customHeight="1">
      <x:c r="A2720" s="25" t="str">
        <x:v>EEZ_848</x:v>
      </x:c>
      <x:c r="B2720" s="25" t="str">
        <x:v>catch_difference_tonnes</x:v>
      </x:c>
      <x:c r="C2720" s="25" t="n">
        <x:v>1.1641532182693481e-10</x:v>
      </x:c>
      <x:c r="D2720" s="25" t="str">
        <x:v>tonnes</x:v>
      </x:c>
    </x:row>
    <x:row r="2721" ht="18" customHeight="1">
      <x:c r="A2721" s="25" t="str">
        <x:v>EEZ_848</x:v>
      </x:c>
      <x:c r="B2721" s="25" t="str">
        <x:v>catch_reconciled</x:v>
      </x:c>
      <x:c r="C2721" s="36" t="b">
        <x:v>1</x:v>
      </x:c>
      <x:c r="D2721" s="25" t="str">
        <x:v>boolean</x:v>
      </x:c>
    </x:row>
    <x:row r="2722" ht="18" customHeight="1">
      <x:c r="A2722" s="25" t="str">
        <x:v>EEZ_848</x:v>
      </x:c>
      <x:c r="B2722" s="25" t="str">
        <x:v>matched_catch_tonnes</x:v>
      </x:c>
      <x:c r="C2722" s="25" t="n">
        <x:v>480242.05511345976</x:v>
      </x:c>
      <x:c r="D2722" s="25" t="str">
        <x:v>tonnes</x:v>
      </x:c>
    </x:row>
    <x:row r="2723" ht="18" customHeight="1">
      <x:c r="A2723" s="25" t="str">
        <x:v>EEZ_848</x:v>
      </x:c>
      <x:c r="B2723" s="25" t="str">
        <x:v>catch_coverage_fraction</x:v>
      </x:c>
      <x:c r="C2723" s="25" t="n">
        <x:v>1</x:v>
      </x:c>
      <x:c r="D2723" s="25" t="str">
        <x:v>fraction</x:v>
      </x:c>
    </x:row>
    <x:row r="2724" ht="18" customHeight="1">
      <x:c r="A2724" s="25" t="str">
        <x:v>EEZ_848</x:v>
      </x:c>
      <x:c r="B2724" s="25" t="str">
        <x:v>taxa_count</x:v>
      </x:c>
      <x:c r="C2724" s="25" t="n">
        <x:v>185</x:v>
      </x:c>
      <x:c r="D2724" s="25" t="str">
        <x:v>count</x:v>
      </x:c>
    </x:row>
    <x:row r="2725" ht="18" customHeight="1">
      <x:c r="A2725" s="25" t="str">
        <x:v>EEZ_848</x:v>
      </x:c>
      <x:c r="B2725" s="25" t="str">
        <x:v>matched_taxa_count</x:v>
      </x:c>
      <x:c r="C2725" s="25" t="n">
        <x:v>185</x:v>
      </x:c>
      <x:c r="D2725" s="25" t="str">
        <x:v>count</x:v>
      </x:c>
    </x:row>
    <x:row r="2726" ht="18" customHeight="1">
      <x:c r="A2726" s="25" t="str">
        <x:v>EEZ_848</x:v>
      </x:c>
      <x:c r="B2726" s="25" t="str">
        <x:v>unmatched_taxa_count</x:v>
      </x:c>
      <x:c r="C2726" s="25" t="n">
        <x:v>0</x:v>
      </x:c>
      <x:c r="D2726" s="25" t="str">
        <x:v>count</x:v>
      </x:c>
    </x:row>
    <x:row r="2727" ht="18" customHeight="1">
      <x:c r="A2727" s="25" t="str">
        <x:v>EEZ_848</x:v>
      </x:c>
      <x:c r="B2727" s="25" t="str">
        <x:v>species_ppr</x:v>
      </x:c>
      <x:c r="C2727" s="25" t="n">
        <x:v>855756640.2092203</x:v>
      </x:c>
      <x:c r="D2727" s="25" t="str">
        <x:v>tonnes_primary_production_equivalent</x:v>
      </x:c>
    </x:row>
    <x:row r="2728" ht="18" customHeight="1">
      <x:c r="A2728" s="25" t="str">
        <x:v>EEZ_848</x:v>
      </x:c>
      <x:c r="B2728" s="25" t="str">
        <x:v>commercial_ppr</x:v>
      </x:c>
      <x:c r="C2728" s="25" t="n">
        <x:v>835178805.1075281</x:v>
      </x:c>
      <x:c r="D2728" s="25" t="str">
        <x:v>tonnes_primary_production_equivalent</x:v>
      </x:c>
    </x:row>
    <x:row r="2729" ht="18" customHeight="1">
      <x:c r="A2729" s="25" t="str">
        <x:v>EEZ_848</x:v>
      </x:c>
      <x:c r="B2729" s="25" t="str">
        <x:v>functional_ppr</x:v>
      </x:c>
      <x:c r="C2729" s="25" t="n">
        <x:v>846041591.1136853</x:v>
      </x:c>
      <x:c r="D2729" s="25" t="str">
        <x:v>tonnes_primary_production_equivalent</x:v>
      </x:c>
    </x:row>
    <x:row r="2730" ht="18" customHeight="1">
      <x:c r="A2730" s="25" t="str">
        <x:v>EEZ_848</x:v>
      </x:c>
      <x:c r="B2730" s="25" t="str">
        <x:v>commercial_ppr_difference</x:v>
      </x:c>
      <x:c r="C2730" s="25" t="n">
        <x:v>-20577835.1016922</x:v>
      </x:c>
      <x:c r="D2730" s="25" t="str">
        <x:v>tonnes_primary_production_equivalent</x:v>
      </x:c>
    </x:row>
    <x:row r="2731" ht="18" customHeight="1">
      <x:c r="A2731" s="25" t="str">
        <x:v>EEZ_848</x:v>
      </x:c>
      <x:c r="B2731" s="25" t="str">
        <x:v>functional_ppr_difference</x:v>
      </x:c>
      <x:c r="C2731" s="25" t="n">
        <x:v>-9715049.09553504</x:v>
      </x:c>
      <x:c r="D2731" s="25" t="str">
        <x:v>tonnes_primary_production_equivalent</x:v>
      </x:c>
    </x:row>
    <x:row r="2732" ht="18" customHeight="1">
      <x:c r="A2732" s="25" t="str">
        <x:v>EEZ_850</x:v>
      </x:c>
      <x:c r="B2732" s="25" t="str">
        <x:v>raw_filtered_tonnes</x:v>
      </x:c>
      <x:c r="C2732" s="25" t="n">
        <x:v>385.479066669</x:v>
      </x:c>
      <x:c r="D2732" s="25" t="str">
        <x:v>tonnes</x:v>
      </x:c>
    </x:row>
    <x:row r="2733" ht="18" customHeight="1">
      <x:c r="A2733" s="25" t="str">
        <x:v>EEZ_850</x:v>
      </x:c>
      <x:c r="B2733" s="25" t="str">
        <x:v>species_catch_tonnes</x:v>
      </x:c>
      <x:c r="C2733" s="25" t="n">
        <x:v>385.4790666690001</x:v>
      </x:c>
      <x:c r="D2733" s="25" t="str">
        <x:v>tonnes</x:v>
      </x:c>
    </x:row>
    <x:row r="2734" ht="18" customHeight="1">
      <x:c r="A2734" s="25" t="str">
        <x:v>EEZ_850</x:v>
      </x:c>
      <x:c r="B2734" s="25" t="str">
        <x:v>catch_difference_tonnes</x:v>
      </x:c>
      <x:c r="C2734" s="25" t="n">
        <x:v>5.684341886080802e-14</x:v>
      </x:c>
      <x:c r="D2734" s="25" t="str">
        <x:v>tonnes</x:v>
      </x:c>
    </x:row>
    <x:row r="2735" ht="18" customHeight="1">
      <x:c r="A2735" s="25" t="str">
        <x:v>EEZ_850</x:v>
      </x:c>
      <x:c r="B2735" s="25" t="str">
        <x:v>catch_reconciled</x:v>
      </x:c>
      <x:c r="C2735" s="36" t="b">
        <x:v>1</x:v>
      </x:c>
      <x:c r="D2735" s="25" t="str">
        <x:v>boolean</x:v>
      </x:c>
    </x:row>
    <x:row r="2736" ht="18" customHeight="1">
      <x:c r="A2736" s="25" t="str">
        <x:v>EEZ_850</x:v>
      </x:c>
      <x:c r="B2736" s="25" t="str">
        <x:v>matched_catch_tonnes</x:v>
      </x:c>
      <x:c r="C2736" s="25" t="n">
        <x:v>385.4790666690001</x:v>
      </x:c>
      <x:c r="D2736" s="25" t="str">
        <x:v>tonnes</x:v>
      </x:c>
    </x:row>
    <x:row r="2737" ht="18" customHeight="1">
      <x:c r="A2737" s="25" t="str">
        <x:v>EEZ_850</x:v>
      </x:c>
      <x:c r="B2737" s="25" t="str">
        <x:v>catch_coverage_fraction</x:v>
      </x:c>
      <x:c r="C2737" s="25" t="n">
        <x:v>1</x:v>
      </x:c>
      <x:c r="D2737" s="25" t="str">
        <x:v>fraction</x:v>
      </x:c>
    </x:row>
    <x:row r="2738" ht="18" customHeight="1">
      <x:c r="A2738" s="25" t="str">
        <x:v>EEZ_850</x:v>
      </x:c>
      <x:c r="B2738" s="25" t="str">
        <x:v>taxa_count</x:v>
      </x:c>
      <x:c r="C2738" s="25" t="n">
        <x:v>21</x:v>
      </x:c>
      <x:c r="D2738" s="25" t="str">
        <x:v>count</x:v>
      </x:c>
    </x:row>
    <x:row r="2739" ht="18" customHeight="1">
      <x:c r="A2739" s="25" t="str">
        <x:v>EEZ_850</x:v>
      </x:c>
      <x:c r="B2739" s="25" t="str">
        <x:v>matched_taxa_count</x:v>
      </x:c>
      <x:c r="C2739" s="25" t="n">
        <x:v>21</x:v>
      </x:c>
      <x:c r="D2739" s="25" t="str">
        <x:v>count</x:v>
      </x:c>
    </x:row>
    <x:row r="2740" ht="18" customHeight="1">
      <x:c r="A2740" s="25" t="str">
        <x:v>EEZ_850</x:v>
      </x:c>
      <x:c r="B2740" s="25" t="str">
        <x:v>unmatched_taxa_count</x:v>
      </x:c>
      <x:c r="C2740" s="25" t="n">
        <x:v>0</x:v>
      </x:c>
      <x:c r="D2740" s="25" t="str">
        <x:v>count</x:v>
      </x:c>
    </x:row>
    <x:row r="2741" ht="18" customHeight="1">
      <x:c r="A2741" s="25" t="str">
        <x:v>EEZ_850</x:v>
      </x:c>
      <x:c r="B2741" s="25" t="str">
        <x:v>species_ppr</x:v>
      </x:c>
      <x:c r="C2741" s="25" t="n">
        <x:v>359796.24203482084</x:v>
      </x:c>
      <x:c r="D2741" s="25" t="str">
        <x:v>tonnes_primary_production_equivalent</x:v>
      </x:c>
    </x:row>
    <x:row r="2742" ht="18" customHeight="1">
      <x:c r="A2742" s="25" t="str">
        <x:v>EEZ_850</x:v>
      </x:c>
      <x:c r="B2742" s="25" t="str">
        <x:v>commercial_ppr</x:v>
      </x:c>
      <x:c r="C2742" s="25" t="n">
        <x:v>294117.7068980834</x:v>
      </x:c>
      <x:c r="D2742" s="25" t="str">
        <x:v>tonnes_primary_production_equivalent</x:v>
      </x:c>
    </x:row>
    <x:row r="2743" ht="18" customHeight="1">
      <x:c r="A2743" s="25" t="str">
        <x:v>EEZ_850</x:v>
      </x:c>
      <x:c r="B2743" s="25" t="str">
        <x:v>functional_ppr</x:v>
      </x:c>
      <x:c r="C2743" s="25" t="n">
        <x:v>338872.332180039</x:v>
      </x:c>
      <x:c r="D2743" s="25" t="str">
        <x:v>tonnes_primary_production_equivalent</x:v>
      </x:c>
    </x:row>
    <x:row r="2744" ht="18" customHeight="1">
      <x:c r="A2744" s="25" t="str">
        <x:v>EEZ_850</x:v>
      </x:c>
      <x:c r="B2744" s="25" t="str">
        <x:v>commercial_ppr_difference</x:v>
      </x:c>
      <x:c r="C2744" s="25" t="n">
        <x:v>-65678.53513673745</x:v>
      </x:c>
      <x:c r="D2744" s="25" t="str">
        <x:v>tonnes_primary_production_equivalent</x:v>
      </x:c>
    </x:row>
    <x:row r="2745" ht="18" customHeight="1">
      <x:c r="A2745" s="25" t="str">
        <x:v>EEZ_850</x:v>
      </x:c>
      <x:c r="B2745" s="25" t="str">
        <x:v>functional_ppr_difference</x:v>
      </x:c>
      <x:c r="C2745" s="25" t="n">
        <x:v>-20923.909854781814</x:v>
      </x:c>
      <x:c r="D2745" s="25" t="str">
        <x:v>tonnes_primary_production_equivalent</x:v>
      </x:c>
    </x:row>
    <x:row r="2746" ht="18" customHeight="1">
      <x:c r="A2746" s="25" t="str">
        <x:v>EEZ_851</x:v>
      </x:c>
      <x:c r="B2746" s="25" t="str">
        <x:v>raw_filtered_tonnes</x:v>
      </x:c>
      <x:c r="C2746" s="25" t="n">
        <x:v>1002996.0875079746</x:v>
      </x:c>
      <x:c r="D2746" s="25" t="str">
        <x:v>tonnes</x:v>
      </x:c>
    </x:row>
    <x:row r="2747" ht="18" customHeight="1">
      <x:c r="A2747" s="25" t="str">
        <x:v>EEZ_851</x:v>
      </x:c>
      <x:c r="B2747" s="25" t="str">
        <x:v>species_catch_tonnes</x:v>
      </x:c>
      <x:c r="C2747" s="25" t="n">
        <x:v>1002996.0875079746</x:v>
      </x:c>
      <x:c r="D2747" s="25" t="str">
        <x:v>tonnes</x:v>
      </x:c>
    </x:row>
    <x:row r="2748" ht="18" customHeight="1">
      <x:c r="A2748" s="25" t="str">
        <x:v>EEZ_851</x:v>
      </x:c>
      <x:c r="B2748" s="25" t="str">
        <x:v>catch_difference_tonnes</x:v>
      </x:c>
      <x:c r="C2748" s="25" t="n">
        <x:v>0</x:v>
      </x:c>
      <x:c r="D2748" s="25" t="str">
        <x:v>tonnes</x:v>
      </x:c>
    </x:row>
    <x:row r="2749" ht="18" customHeight="1">
      <x:c r="A2749" s="25" t="str">
        <x:v>EEZ_851</x:v>
      </x:c>
      <x:c r="B2749" s="25" t="str">
        <x:v>catch_reconciled</x:v>
      </x:c>
      <x:c r="C2749" s="36" t="b">
        <x:v>1</x:v>
      </x:c>
      <x:c r="D2749" s="25" t="str">
        <x:v>boolean</x:v>
      </x:c>
    </x:row>
    <x:row r="2750" ht="18" customHeight="1">
      <x:c r="A2750" s="25" t="str">
        <x:v>EEZ_851</x:v>
      </x:c>
      <x:c r="B2750" s="25" t="str">
        <x:v>matched_catch_tonnes</x:v>
      </x:c>
      <x:c r="C2750" s="25" t="n">
        <x:v>1002996.0875079746</x:v>
      </x:c>
      <x:c r="D2750" s="25" t="str">
        <x:v>tonnes</x:v>
      </x:c>
    </x:row>
    <x:row r="2751" ht="18" customHeight="1">
      <x:c r="A2751" s="25" t="str">
        <x:v>EEZ_851</x:v>
      </x:c>
      <x:c r="B2751" s="25" t="str">
        <x:v>catch_coverage_fraction</x:v>
      </x:c>
      <x:c r="C2751" s="25" t="n">
        <x:v>1</x:v>
      </x:c>
      <x:c r="D2751" s="25" t="str">
        <x:v>fraction</x:v>
      </x:c>
    </x:row>
    <x:row r="2752" ht="18" customHeight="1">
      <x:c r="A2752" s="25" t="str">
        <x:v>EEZ_851</x:v>
      </x:c>
      <x:c r="B2752" s="25" t="str">
        <x:v>taxa_count</x:v>
      </x:c>
      <x:c r="C2752" s="25" t="n">
        <x:v>352</x:v>
      </x:c>
      <x:c r="D2752" s="25" t="str">
        <x:v>count</x:v>
      </x:c>
    </x:row>
    <x:row r="2753" ht="18" customHeight="1">
      <x:c r="A2753" s="25" t="str">
        <x:v>EEZ_851</x:v>
      </x:c>
      <x:c r="B2753" s="25" t="str">
        <x:v>matched_taxa_count</x:v>
      </x:c>
      <x:c r="C2753" s="25" t="n">
        <x:v>352</x:v>
      </x:c>
      <x:c r="D2753" s="25" t="str">
        <x:v>count</x:v>
      </x:c>
    </x:row>
    <x:row r="2754" ht="18" customHeight="1">
      <x:c r="A2754" s="25" t="str">
        <x:v>EEZ_851</x:v>
      </x:c>
      <x:c r="B2754" s="25" t="str">
        <x:v>unmatched_taxa_count</x:v>
      </x:c>
      <x:c r="C2754" s="25" t="n">
        <x:v>0</x:v>
      </x:c>
      <x:c r="D2754" s="25" t="str">
        <x:v>count</x:v>
      </x:c>
    </x:row>
    <x:row r="2755" ht="18" customHeight="1">
      <x:c r="A2755" s="25" t="str">
        <x:v>EEZ_851</x:v>
      </x:c>
      <x:c r="B2755" s="25" t="str">
        <x:v>species_ppr</x:v>
      </x:c>
      <x:c r="C2755" s="25" t="n">
        <x:v>625895294.1062337</x:v>
      </x:c>
      <x:c r="D2755" s="25" t="str">
        <x:v>tonnes_primary_production_equivalent</x:v>
      </x:c>
    </x:row>
    <x:row r="2756" ht="18" customHeight="1">
      <x:c r="A2756" s="25" t="str">
        <x:v>EEZ_851</x:v>
      </x:c>
      <x:c r="B2756" s="25" t="str">
        <x:v>commercial_ppr</x:v>
      </x:c>
      <x:c r="C2756" s="25" t="n">
        <x:v>446029289.4659738</x:v>
      </x:c>
      <x:c r="D2756" s="25" t="str">
        <x:v>tonnes_primary_production_equivalent</x:v>
      </x:c>
    </x:row>
    <x:row r="2757" ht="18" customHeight="1">
      <x:c r="A2757" s="25" t="str">
        <x:v>EEZ_851</x:v>
      </x:c>
      <x:c r="B2757" s="25" t="str">
        <x:v>functional_ppr</x:v>
      </x:c>
      <x:c r="C2757" s="25" t="n">
        <x:v>526429552.84873974</x:v>
      </x:c>
      <x:c r="D2757" s="25" t="str">
        <x:v>tonnes_primary_production_equivalent</x:v>
      </x:c>
    </x:row>
    <x:row r="2758" ht="18" customHeight="1">
      <x:c r="A2758" s="25" t="str">
        <x:v>EEZ_851</x:v>
      </x:c>
      <x:c r="B2758" s="25" t="str">
        <x:v>commercial_ppr_difference</x:v>
      </x:c>
      <x:c r="C2758" s="25" t="n">
        <x:v>-179866004.64025992</x:v>
      </x:c>
      <x:c r="D2758" s="25" t="str">
        <x:v>tonnes_primary_production_equivalent</x:v>
      </x:c>
    </x:row>
    <x:row r="2759" ht="18" customHeight="1">
      <x:c r="A2759" s="25" t="str">
        <x:v>EEZ_851</x:v>
      </x:c>
      <x:c r="B2759" s="25" t="str">
        <x:v>functional_ppr_difference</x:v>
      </x:c>
      <x:c r="C2759" s="25" t="n">
        <x:v>-99465741.25749397</x:v>
      </x:c>
      <x:c r="D2759" s="25" t="str">
        <x:v>tonnes_primary_production_equivalent</x:v>
      </x:c>
    </x:row>
    <x:row r="2760" ht="18" customHeight="1">
      <x:c r="A2760" s="25" t="str">
        <x:v>EEZ_852</x:v>
      </x:c>
      <x:c r="B2760" s="25" t="str">
        <x:v>raw_filtered_tonnes</x:v>
      </x:c>
      <x:c r="C2760" s="25" t="n">
        <x:v>1104194.026503118</x:v>
      </x:c>
      <x:c r="D2760" s="25" t="str">
        <x:v>tonnes</x:v>
      </x:c>
    </x:row>
    <x:row r="2761" ht="18" customHeight="1">
      <x:c r="A2761" s="25" t="str">
        <x:v>EEZ_852</x:v>
      </x:c>
      <x:c r="B2761" s="25" t="str">
        <x:v>species_catch_tonnes</x:v>
      </x:c>
      <x:c r="C2761" s="25" t="n">
        <x:v>1104194.026503118</x:v>
      </x:c>
      <x:c r="D2761" s="25" t="str">
        <x:v>tonnes</x:v>
      </x:c>
    </x:row>
    <x:row r="2762" ht="18" customHeight="1">
      <x:c r="A2762" s="25" t="str">
        <x:v>EEZ_852</x:v>
      </x:c>
      <x:c r="B2762" s="25" t="str">
        <x:v>catch_difference_tonnes</x:v>
      </x:c>
      <x:c r="C2762" s="25" t="n">
        <x:v>0</x:v>
      </x:c>
      <x:c r="D2762" s="25" t="str">
        <x:v>tonnes</x:v>
      </x:c>
    </x:row>
    <x:row r="2763" ht="18" customHeight="1">
      <x:c r="A2763" s="25" t="str">
        <x:v>EEZ_852</x:v>
      </x:c>
      <x:c r="B2763" s="25" t="str">
        <x:v>catch_reconciled</x:v>
      </x:c>
      <x:c r="C2763" s="36" t="b">
        <x:v>1</x:v>
      </x:c>
      <x:c r="D2763" s="25" t="str">
        <x:v>boolean</x:v>
      </x:c>
    </x:row>
    <x:row r="2764" ht="18" customHeight="1">
      <x:c r="A2764" s="25" t="str">
        <x:v>EEZ_852</x:v>
      </x:c>
      <x:c r="B2764" s="25" t="str">
        <x:v>matched_catch_tonnes</x:v>
      </x:c>
      <x:c r="C2764" s="25" t="n">
        <x:v>1104194.026503118</x:v>
      </x:c>
      <x:c r="D2764" s="25" t="str">
        <x:v>tonnes</x:v>
      </x:c>
    </x:row>
    <x:row r="2765" ht="18" customHeight="1">
      <x:c r="A2765" s="25" t="str">
        <x:v>EEZ_852</x:v>
      </x:c>
      <x:c r="B2765" s="25" t="str">
        <x:v>catch_coverage_fraction</x:v>
      </x:c>
      <x:c r="C2765" s="25" t="n">
        <x:v>1</x:v>
      </x:c>
      <x:c r="D2765" s="25" t="str">
        <x:v>fraction</x:v>
      </x:c>
    </x:row>
    <x:row r="2766" ht="18" customHeight="1">
      <x:c r="A2766" s="25" t="str">
        <x:v>EEZ_852</x:v>
      </x:c>
      <x:c r="B2766" s="25" t="str">
        <x:v>taxa_count</x:v>
      </x:c>
      <x:c r="C2766" s="25" t="n">
        <x:v>375</x:v>
      </x:c>
      <x:c r="D2766" s="25" t="str">
        <x:v>count</x:v>
      </x:c>
    </x:row>
    <x:row r="2767" ht="18" customHeight="1">
      <x:c r="A2767" s="25" t="str">
        <x:v>EEZ_852</x:v>
      </x:c>
      <x:c r="B2767" s="25" t="str">
        <x:v>matched_taxa_count</x:v>
      </x:c>
      <x:c r="C2767" s="25" t="n">
        <x:v>375</x:v>
      </x:c>
      <x:c r="D2767" s="25" t="str">
        <x:v>count</x:v>
      </x:c>
    </x:row>
    <x:row r="2768" ht="18" customHeight="1">
      <x:c r="A2768" s="25" t="str">
        <x:v>EEZ_852</x:v>
      </x:c>
      <x:c r="B2768" s="25" t="str">
        <x:v>unmatched_taxa_count</x:v>
      </x:c>
      <x:c r="C2768" s="25" t="n">
        <x:v>0</x:v>
      </x:c>
      <x:c r="D2768" s="25" t="str">
        <x:v>count</x:v>
      </x:c>
    </x:row>
    <x:row r="2769" ht="18" customHeight="1">
      <x:c r="A2769" s="25" t="str">
        <x:v>EEZ_852</x:v>
      </x:c>
      <x:c r="B2769" s="25" t="str">
        <x:v>species_ppr</x:v>
      </x:c>
      <x:c r="C2769" s="25" t="n">
        <x:v>288829700.6693002</x:v>
      </x:c>
      <x:c r="D2769" s="25" t="str">
        <x:v>tonnes_primary_production_equivalent</x:v>
      </x:c>
    </x:row>
    <x:row r="2770" ht="18" customHeight="1">
      <x:c r="A2770" s="25" t="str">
        <x:v>EEZ_852</x:v>
      </x:c>
      <x:c r="B2770" s="25" t="str">
        <x:v>commercial_ppr</x:v>
      </x:c>
      <x:c r="C2770" s="25" t="n">
        <x:v>184927147.1340163</x:v>
      </x:c>
      <x:c r="D2770" s="25" t="str">
        <x:v>tonnes_primary_production_equivalent</x:v>
      </x:c>
    </x:row>
    <x:row r="2771" ht="18" customHeight="1">
      <x:c r="A2771" s="25" t="str">
        <x:v>EEZ_852</x:v>
      </x:c>
      <x:c r="B2771" s="25" t="str">
        <x:v>functional_ppr</x:v>
      </x:c>
      <x:c r="C2771" s="25" t="n">
        <x:v>242453427.13459975</x:v>
      </x:c>
      <x:c r="D2771" s="25" t="str">
        <x:v>tonnes_primary_production_equivalent</x:v>
      </x:c>
    </x:row>
    <x:row r="2772" ht="18" customHeight="1">
      <x:c r="A2772" s="25" t="str">
        <x:v>EEZ_852</x:v>
      </x:c>
      <x:c r="B2772" s="25" t="str">
        <x:v>commercial_ppr_difference</x:v>
      </x:c>
      <x:c r="C2772" s="25" t="n">
        <x:v>-103902553.5352839</x:v>
      </x:c>
      <x:c r="D2772" s="25" t="str">
        <x:v>tonnes_primary_production_equivalent</x:v>
      </x:c>
    </x:row>
    <x:row r="2773" ht="18" customHeight="1">
      <x:c r="A2773" s="25" t="str">
        <x:v>EEZ_852</x:v>
      </x:c>
      <x:c r="B2773" s="25" t="str">
        <x:v>functional_ppr_difference</x:v>
      </x:c>
      <x:c r="C2773" s="25" t="n">
        <x:v>-46376273.53470045</x:v>
      </x:c>
      <x:c r="D2773" s="25" t="str">
        <x:v>tonnes_primary_production_equivalent</x:v>
      </x:c>
    </x:row>
    <x:row r="2774" ht="18" customHeight="1">
      <x:c r="A2774" s="25" t="str">
        <x:v>EEZ_855</x:v>
      </x:c>
      <x:c r="B2774" s="25" t="str">
        <x:v>raw_filtered_tonnes</x:v>
      </x:c>
      <x:c r="C2774" s="25" t="n">
        <x:v>32.764000003999996</x:v>
      </x:c>
      <x:c r="D2774" s="25" t="str">
        <x:v>tonnes</x:v>
      </x:c>
    </x:row>
    <x:row r="2775" ht="18" customHeight="1">
      <x:c r="A2775" s="25" t="str">
        <x:v>EEZ_855</x:v>
      </x:c>
      <x:c r="B2775" s="25" t="str">
        <x:v>species_catch_tonnes</x:v>
      </x:c>
      <x:c r="C2775" s="25" t="n">
        <x:v>32.764000004</x:v>
      </x:c>
      <x:c r="D2775" s="25" t="str">
        <x:v>tonnes</x:v>
      </x:c>
    </x:row>
    <x:row r="2776" ht="18" customHeight="1">
      <x:c r="A2776" s="25" t="str">
        <x:v>EEZ_855</x:v>
      </x:c>
      <x:c r="B2776" s="25" t="str">
        <x:v>catch_difference_tonnes</x:v>
      </x:c>
      <x:c r="C2776" s="25" t="n">
        <x:v>7.105427357601002e-15</x:v>
      </x:c>
      <x:c r="D2776" s="25" t="str">
        <x:v>tonnes</x:v>
      </x:c>
    </x:row>
    <x:row r="2777" ht="18" customHeight="1">
      <x:c r="A2777" s="25" t="str">
        <x:v>EEZ_855</x:v>
      </x:c>
      <x:c r="B2777" s="25" t="str">
        <x:v>catch_reconciled</x:v>
      </x:c>
      <x:c r="C2777" s="36" t="b">
        <x:v>1</x:v>
      </x:c>
      <x:c r="D2777" s="25" t="str">
        <x:v>boolean</x:v>
      </x:c>
    </x:row>
    <x:row r="2778" ht="18" customHeight="1">
      <x:c r="A2778" s="25" t="str">
        <x:v>EEZ_855</x:v>
      </x:c>
      <x:c r="B2778" s="25" t="str">
        <x:v>matched_catch_tonnes</x:v>
      </x:c>
      <x:c r="C2778" s="25" t="n">
        <x:v>32.764000004</x:v>
      </x:c>
      <x:c r="D2778" s="25" t="str">
        <x:v>tonnes</x:v>
      </x:c>
    </x:row>
    <x:row r="2779" ht="18" customHeight="1">
      <x:c r="A2779" s="25" t="str">
        <x:v>EEZ_855</x:v>
      </x:c>
      <x:c r="B2779" s="25" t="str">
        <x:v>catch_coverage_fraction</x:v>
      </x:c>
      <x:c r="C2779" s="25" t="n">
        <x:v>1</x:v>
      </x:c>
      <x:c r="D2779" s="25" t="str">
        <x:v>fraction</x:v>
      </x:c>
    </x:row>
    <x:row r="2780" ht="18" customHeight="1">
      <x:c r="A2780" s="25" t="str">
        <x:v>EEZ_855</x:v>
      </x:c>
      <x:c r="B2780" s="25" t="str">
        <x:v>taxa_count</x:v>
      </x:c>
      <x:c r="C2780" s="25" t="n">
        <x:v>10</x:v>
      </x:c>
      <x:c r="D2780" s="25" t="str">
        <x:v>count</x:v>
      </x:c>
    </x:row>
    <x:row r="2781" ht="18" customHeight="1">
      <x:c r="A2781" s="25" t="str">
        <x:v>EEZ_855</x:v>
      </x:c>
      <x:c r="B2781" s="25" t="str">
        <x:v>matched_taxa_count</x:v>
      </x:c>
      <x:c r="C2781" s="25" t="n">
        <x:v>10</x:v>
      </x:c>
      <x:c r="D2781" s="25" t="str">
        <x:v>count</x:v>
      </x:c>
    </x:row>
    <x:row r="2782" ht="18" customHeight="1">
      <x:c r="A2782" s="25" t="str">
        <x:v>EEZ_855</x:v>
      </x:c>
      <x:c r="B2782" s="25" t="str">
        <x:v>unmatched_taxa_count</x:v>
      </x:c>
      <x:c r="C2782" s="25" t="n">
        <x:v>0</x:v>
      </x:c>
      <x:c r="D2782" s="25" t="str">
        <x:v>count</x:v>
      </x:c>
    </x:row>
    <x:row r="2783" ht="18" customHeight="1">
      <x:c r="A2783" s="25" t="str">
        <x:v>EEZ_855</x:v>
      </x:c>
      <x:c r="B2783" s="25" t="str">
        <x:v>species_ppr</x:v>
      </x:c>
      <x:c r="C2783" s="25" t="n">
        <x:v>46972.74183264927</x:v>
      </x:c>
      <x:c r="D2783" s="25" t="str">
        <x:v>tonnes_primary_production_equivalent</x:v>
      </x:c>
    </x:row>
    <x:row r="2784" ht="18" customHeight="1">
      <x:c r="A2784" s="25" t="str">
        <x:v>EEZ_855</x:v>
      </x:c>
      <x:c r="B2784" s="25" t="str">
        <x:v>commercial_ppr</x:v>
      </x:c>
      <x:c r="C2784" s="25" t="n">
        <x:v>42193.08993420277</x:v>
      </x:c>
      <x:c r="D2784" s="25" t="str">
        <x:v>tonnes_primary_production_equivalent</x:v>
      </x:c>
    </x:row>
    <x:row r="2785" ht="18" customHeight="1">
      <x:c r="A2785" s="25" t="str">
        <x:v>EEZ_855</x:v>
      </x:c>
      <x:c r="B2785" s="25" t="str">
        <x:v>functional_ppr</x:v>
      </x:c>
      <x:c r="C2785" s="25" t="n">
        <x:v>46811.80789808783</x:v>
      </x:c>
      <x:c r="D2785" s="25" t="str">
        <x:v>tonnes_primary_production_equivalent</x:v>
      </x:c>
    </x:row>
    <x:row r="2786" ht="18" customHeight="1">
      <x:c r="A2786" s="25" t="str">
        <x:v>EEZ_855</x:v>
      </x:c>
      <x:c r="B2786" s="25" t="str">
        <x:v>commercial_ppr_difference</x:v>
      </x:c>
      <x:c r="C2786" s="25" t="n">
        <x:v>-4779.6518984465</x:v>
      </x:c>
      <x:c r="D2786" s="25" t="str">
        <x:v>tonnes_primary_production_equivalent</x:v>
      </x:c>
    </x:row>
    <x:row r="2787" ht="18" customHeight="1">
      <x:c r="A2787" s="25" t="str">
        <x:v>EEZ_855</x:v>
      </x:c>
      <x:c r="B2787" s="25" t="str">
        <x:v>functional_ppr_difference</x:v>
      </x:c>
      <x:c r="C2787" s="25" t="n">
        <x:v>-160.93393456144258</x:v>
      </x:c>
      <x:c r="D2787" s="25" t="str">
        <x:v>tonnes_primary_production_equivalent</x:v>
      </x:c>
    </x:row>
    <x:row r="2788" ht="18" customHeight="1">
      <x:c r="A2788" s="25" t="str">
        <x:v>EEZ_856</x:v>
      </x:c>
      <x:c r="B2788" s="25" t="str">
        <x:v>raw_filtered_tonnes</x:v>
      </x:c>
      <x:c r="C2788" s="25" t="n">
        <x:v>733.0059081888</x:v>
      </x:c>
      <x:c r="D2788" s="25" t="str">
        <x:v>tonnes</x:v>
      </x:c>
    </x:row>
    <x:row r="2789" ht="18" customHeight="1">
      <x:c r="A2789" s="25" t="str">
        <x:v>EEZ_856</x:v>
      </x:c>
      <x:c r="B2789" s="25" t="str">
        <x:v>species_catch_tonnes</x:v>
      </x:c>
      <x:c r="C2789" s="25" t="n">
        <x:v>733.0059081887999</x:v>
      </x:c>
      <x:c r="D2789" s="25" t="str">
        <x:v>tonnes</x:v>
      </x:c>
    </x:row>
    <x:row r="2790" ht="18" customHeight="1">
      <x:c r="A2790" s="25" t="str">
        <x:v>EEZ_856</x:v>
      </x:c>
      <x:c r="B2790" s="25" t="str">
        <x:v>catch_difference_tonnes</x:v>
      </x:c>
      <x:c r="C2790" s="25" t="n">
        <x:v>-1.1368683772161603e-13</x:v>
      </x:c>
      <x:c r="D2790" s="25" t="str">
        <x:v>tonnes</x:v>
      </x:c>
    </x:row>
    <x:row r="2791" ht="18" customHeight="1">
      <x:c r="A2791" s="25" t="str">
        <x:v>EEZ_856</x:v>
      </x:c>
      <x:c r="B2791" s="25" t="str">
        <x:v>catch_reconciled</x:v>
      </x:c>
      <x:c r="C2791" s="36" t="b">
        <x:v>1</x:v>
      </x:c>
      <x:c r="D2791" s="25" t="str">
        <x:v>boolean</x:v>
      </x:c>
    </x:row>
    <x:row r="2792" ht="18" customHeight="1">
      <x:c r="A2792" s="25" t="str">
        <x:v>EEZ_856</x:v>
      </x:c>
      <x:c r="B2792" s="25" t="str">
        <x:v>matched_catch_tonnes</x:v>
      </x:c>
      <x:c r="C2792" s="25" t="n">
        <x:v>733.0059081887999</x:v>
      </x:c>
      <x:c r="D2792" s="25" t="str">
        <x:v>tonnes</x:v>
      </x:c>
    </x:row>
    <x:row r="2793" ht="18" customHeight="1">
      <x:c r="A2793" s="25" t="str">
        <x:v>EEZ_856</x:v>
      </x:c>
      <x:c r="B2793" s="25" t="str">
        <x:v>catch_coverage_fraction</x:v>
      </x:c>
      <x:c r="C2793" s="25" t="n">
        <x:v>1</x:v>
      </x:c>
      <x:c r="D2793" s="25" t="str">
        <x:v>fraction</x:v>
      </x:c>
    </x:row>
    <x:row r="2794" ht="18" customHeight="1">
      <x:c r="A2794" s="25" t="str">
        <x:v>EEZ_856</x:v>
      </x:c>
      <x:c r="B2794" s="25" t="str">
        <x:v>taxa_count</x:v>
      </x:c>
      <x:c r="C2794" s="25" t="n">
        <x:v>9</x:v>
      </x:c>
      <x:c r="D2794" s="25" t="str">
        <x:v>count</x:v>
      </x:c>
    </x:row>
    <x:row r="2795" ht="18" customHeight="1">
      <x:c r="A2795" s="25" t="str">
        <x:v>EEZ_856</x:v>
      </x:c>
      <x:c r="B2795" s="25" t="str">
        <x:v>matched_taxa_count</x:v>
      </x:c>
      <x:c r="C2795" s="25" t="n">
        <x:v>9</x:v>
      </x:c>
      <x:c r="D2795" s="25" t="str">
        <x:v>count</x:v>
      </x:c>
    </x:row>
    <x:row r="2796" ht="18" customHeight="1">
      <x:c r="A2796" s="25" t="str">
        <x:v>EEZ_856</x:v>
      </x:c>
      <x:c r="B2796" s="25" t="str">
        <x:v>unmatched_taxa_count</x:v>
      </x:c>
      <x:c r="C2796" s="25" t="n">
        <x:v>0</x:v>
      </x:c>
      <x:c r="D2796" s="25" t="str">
        <x:v>count</x:v>
      </x:c>
    </x:row>
    <x:row r="2797" ht="18" customHeight="1">
      <x:c r="A2797" s="25" t="str">
        <x:v>EEZ_856</x:v>
      </x:c>
      <x:c r="B2797" s="25" t="str">
        <x:v>species_ppr</x:v>
      </x:c>
      <x:c r="C2797" s="25" t="n">
        <x:v>117455.8801231217</x:v>
      </x:c>
      <x:c r="D2797" s="25" t="str">
        <x:v>tonnes_primary_production_equivalent</x:v>
      </x:c>
    </x:row>
    <x:row r="2798" ht="18" customHeight="1">
      <x:c r="A2798" s="25" t="str">
        <x:v>EEZ_856</x:v>
      </x:c>
      <x:c r="B2798" s="25" t="str">
        <x:v>commercial_ppr</x:v>
      </x:c>
      <x:c r="C2798" s="25" t="n">
        <x:v>109505.83745715352</x:v>
      </x:c>
      <x:c r="D2798" s="25" t="str">
        <x:v>tonnes_primary_production_equivalent</x:v>
      </x:c>
    </x:row>
    <x:row r="2799" ht="18" customHeight="1">
      <x:c r="A2799" s="25" t="str">
        <x:v>EEZ_856</x:v>
      </x:c>
      <x:c r="B2799" s="25" t="str">
        <x:v>functional_ppr</x:v>
      </x:c>
      <x:c r="C2799" s="25" t="n">
        <x:v>112169.43428010574</x:v>
      </x:c>
      <x:c r="D2799" s="25" t="str">
        <x:v>tonnes_primary_production_equivalent</x:v>
      </x:c>
    </x:row>
    <x:row r="2800" ht="18" customHeight="1">
      <x:c r="A2800" s="25" t="str">
        <x:v>EEZ_856</x:v>
      </x:c>
      <x:c r="B2800" s="25" t="str">
        <x:v>commercial_ppr_difference</x:v>
      </x:c>
      <x:c r="C2800" s="25" t="n">
        <x:v>-7950.042665968169</x:v>
      </x:c>
      <x:c r="D2800" s="25" t="str">
        <x:v>tonnes_primary_production_equivalent</x:v>
      </x:c>
    </x:row>
    <x:row r="2801" ht="18" customHeight="1">
      <x:c r="A2801" s="25" t="str">
        <x:v>EEZ_856</x:v>
      </x:c>
      <x:c r="B2801" s="25" t="str">
        <x:v>functional_ppr_difference</x:v>
      </x:c>
      <x:c r="C2801" s="25" t="n">
        <x:v>-5286.4458430159575</x:v>
      </x:c>
      <x:c r="D2801" s="25" t="str">
        <x:v>tonnes_primary_production_equivalent</x:v>
      </x:c>
    </x:row>
    <x:row r="2802" ht="18" customHeight="1">
      <x:c r="A2802" s="25" t="str">
        <x:v>EEZ_858</x:v>
      </x:c>
      <x:c r="B2802" s="25" t="str">
        <x:v>raw_filtered_tonnes</x:v>
      </x:c>
      <x:c r="C2802" s="25" t="n">
        <x:v>107838.99386809541</x:v>
      </x:c>
      <x:c r="D2802" s="25" t="str">
        <x:v>tonnes</x:v>
      </x:c>
    </x:row>
    <x:row r="2803" ht="18" customHeight="1">
      <x:c r="A2803" s="25" t="str">
        <x:v>EEZ_858</x:v>
      </x:c>
      <x:c r="B2803" s="25" t="str">
        <x:v>species_catch_tonnes</x:v>
      </x:c>
      <x:c r="C2803" s="25" t="n">
        <x:v>107838.9938680954</x:v>
      </x:c>
      <x:c r="D2803" s="25" t="str">
        <x:v>tonnes</x:v>
      </x:c>
    </x:row>
    <x:row r="2804" ht="18" customHeight="1">
      <x:c r="A2804" s="25" t="str">
        <x:v>EEZ_858</x:v>
      </x:c>
      <x:c r="B2804" s="25" t="str">
        <x:v>catch_difference_tonnes</x:v>
      </x:c>
      <x:c r="C2804" s="25" t="n">
        <x:v>-1.4551915228366852e-11</x:v>
      </x:c>
      <x:c r="D2804" s="25" t="str">
        <x:v>tonnes</x:v>
      </x:c>
    </x:row>
    <x:row r="2805" ht="18" customHeight="1">
      <x:c r="A2805" s="25" t="str">
        <x:v>EEZ_858</x:v>
      </x:c>
      <x:c r="B2805" s="25" t="str">
        <x:v>catch_reconciled</x:v>
      </x:c>
      <x:c r="C2805" s="36" t="b">
        <x:v>1</x:v>
      </x:c>
      <x:c r="D2805" s="25" t="str">
        <x:v>boolean</x:v>
      </x:c>
    </x:row>
    <x:row r="2806" ht="18" customHeight="1">
      <x:c r="A2806" s="25" t="str">
        <x:v>EEZ_858</x:v>
      </x:c>
      <x:c r="B2806" s="25" t="str">
        <x:v>matched_catch_tonnes</x:v>
      </x:c>
      <x:c r="C2806" s="25" t="n">
        <x:v>107838.9938680954</x:v>
      </x:c>
      <x:c r="D2806" s="25" t="str">
        <x:v>tonnes</x:v>
      </x:c>
    </x:row>
    <x:row r="2807" ht="18" customHeight="1">
      <x:c r="A2807" s="25" t="str">
        <x:v>EEZ_858</x:v>
      </x:c>
      <x:c r="B2807" s="25" t="str">
        <x:v>catch_coverage_fraction</x:v>
      </x:c>
      <x:c r="C2807" s="25" t="n">
        <x:v>1</x:v>
      </x:c>
      <x:c r="D2807" s="25" t="str">
        <x:v>fraction</x:v>
      </x:c>
    </x:row>
    <x:row r="2808" ht="18" customHeight="1">
      <x:c r="A2808" s="25" t="str">
        <x:v>EEZ_858</x:v>
      </x:c>
      <x:c r="B2808" s="25" t="str">
        <x:v>taxa_count</x:v>
      </x:c>
      <x:c r="C2808" s="25" t="n">
        <x:v>60</x:v>
      </x:c>
      <x:c r="D2808" s="25" t="str">
        <x:v>count</x:v>
      </x:c>
    </x:row>
    <x:row r="2809" ht="18" customHeight="1">
      <x:c r="A2809" s="25" t="str">
        <x:v>EEZ_858</x:v>
      </x:c>
      <x:c r="B2809" s="25" t="str">
        <x:v>matched_taxa_count</x:v>
      </x:c>
      <x:c r="C2809" s="25" t="n">
        <x:v>60</x:v>
      </x:c>
      <x:c r="D2809" s="25" t="str">
        <x:v>count</x:v>
      </x:c>
    </x:row>
    <x:row r="2810" ht="18" customHeight="1">
      <x:c r="A2810" s="25" t="str">
        <x:v>EEZ_858</x:v>
      </x:c>
      <x:c r="B2810" s="25" t="str">
        <x:v>unmatched_taxa_count</x:v>
      </x:c>
      <x:c r="C2810" s="25" t="n">
        <x:v>0</x:v>
      </x:c>
      <x:c r="D2810" s="25" t="str">
        <x:v>count</x:v>
      </x:c>
    </x:row>
    <x:row r="2811" ht="18" customHeight="1">
      <x:c r="A2811" s="25" t="str">
        <x:v>EEZ_858</x:v>
      </x:c>
      <x:c r="B2811" s="25" t="str">
        <x:v>species_ppr</x:v>
      </x:c>
      <x:c r="C2811" s="25" t="n">
        <x:v>66273884.30512683</x:v>
      </x:c>
      <x:c r="D2811" s="25" t="str">
        <x:v>tonnes_primary_production_equivalent</x:v>
      </x:c>
    </x:row>
    <x:row r="2812" ht="18" customHeight="1">
      <x:c r="A2812" s="25" t="str">
        <x:v>EEZ_858</x:v>
      </x:c>
      <x:c r="B2812" s="25" t="str">
        <x:v>commercial_ppr</x:v>
      </x:c>
      <x:c r="C2812" s="25" t="n">
        <x:v>58304573.990053095</x:v>
      </x:c>
      <x:c r="D2812" s="25" t="str">
        <x:v>tonnes_primary_production_equivalent</x:v>
      </x:c>
    </x:row>
    <x:row r="2813" ht="18" customHeight="1">
      <x:c r="A2813" s="25" t="str">
        <x:v>EEZ_858</x:v>
      </x:c>
      <x:c r="B2813" s="25" t="str">
        <x:v>functional_ppr</x:v>
      </x:c>
      <x:c r="C2813" s="25" t="n">
        <x:v>61954568.46990002</x:v>
      </x:c>
      <x:c r="D2813" s="25" t="str">
        <x:v>tonnes_primary_production_equivalent</x:v>
      </x:c>
    </x:row>
    <x:row r="2814" ht="18" customHeight="1">
      <x:c r="A2814" s="25" t="str">
        <x:v>EEZ_858</x:v>
      </x:c>
      <x:c r="B2814" s="25" t="str">
        <x:v>commercial_ppr_difference</x:v>
      </x:c>
      <x:c r="C2814" s="25" t="n">
        <x:v>-7969310.315073736</x:v>
      </x:c>
      <x:c r="D2814" s="25" t="str">
        <x:v>tonnes_primary_production_equivalent</x:v>
      </x:c>
    </x:row>
    <x:row r="2815" ht="18" customHeight="1">
      <x:c r="A2815" s="25" t="str">
        <x:v>EEZ_858</x:v>
      </x:c>
      <x:c r="B2815" s="25" t="str">
        <x:v>functional_ppr_difference</x:v>
      </x:c>
      <x:c r="C2815" s="25" t="n">
        <x:v>-4319315.8352268115</x:v>
      </x:c>
      <x:c r="D2815" s="25" t="str">
        <x:v>tonnes_primary_production_equivalent</x:v>
      </x:c>
    </x:row>
    <x:row r="2816" ht="18" customHeight="1">
      <x:c r="A2816" s="25" t="str">
        <x:v>EEZ_862</x:v>
      </x:c>
      <x:c r="B2816" s="25" t="str">
        <x:v>raw_filtered_tonnes</x:v>
      </x:c>
      <x:c r="C2816" s="25" t="n">
        <x:v>306380.438267835</x:v>
      </x:c>
      <x:c r="D2816" s="25" t="str">
        <x:v>tonnes</x:v>
      </x:c>
    </x:row>
    <x:row r="2817" ht="18" customHeight="1">
      <x:c r="A2817" s="25" t="str">
        <x:v>EEZ_862</x:v>
      </x:c>
      <x:c r="B2817" s="25" t="str">
        <x:v>species_catch_tonnes</x:v>
      </x:c>
      <x:c r="C2817" s="25" t="n">
        <x:v>306380.438267835</x:v>
      </x:c>
      <x:c r="D2817" s="25" t="str">
        <x:v>tonnes</x:v>
      </x:c>
    </x:row>
    <x:row r="2818" ht="18" customHeight="1">
      <x:c r="A2818" s="25" t="str">
        <x:v>EEZ_862</x:v>
      </x:c>
      <x:c r="B2818" s="25" t="str">
        <x:v>catch_difference_tonnes</x:v>
      </x:c>
      <x:c r="C2818" s="25" t="n">
        <x:v>0</x:v>
      </x:c>
      <x:c r="D2818" s="25" t="str">
        <x:v>tonnes</x:v>
      </x:c>
    </x:row>
    <x:row r="2819" ht="18" customHeight="1">
      <x:c r="A2819" s="25" t="str">
        <x:v>EEZ_862</x:v>
      </x:c>
      <x:c r="B2819" s="25" t="str">
        <x:v>catch_reconciled</x:v>
      </x:c>
      <x:c r="C2819" s="36" t="b">
        <x:v>1</x:v>
      </x:c>
      <x:c r="D2819" s="25" t="str">
        <x:v>boolean</x:v>
      </x:c>
    </x:row>
    <x:row r="2820" ht="18" customHeight="1">
      <x:c r="A2820" s="25" t="str">
        <x:v>EEZ_862</x:v>
      </x:c>
      <x:c r="B2820" s="25" t="str">
        <x:v>matched_catch_tonnes</x:v>
      </x:c>
      <x:c r="C2820" s="25" t="n">
        <x:v>306380.438267835</x:v>
      </x:c>
      <x:c r="D2820" s="25" t="str">
        <x:v>tonnes</x:v>
      </x:c>
    </x:row>
    <x:row r="2821" ht="18" customHeight="1">
      <x:c r="A2821" s="25" t="str">
        <x:v>EEZ_862</x:v>
      </x:c>
      <x:c r="B2821" s="25" t="str">
        <x:v>catch_coverage_fraction</x:v>
      </x:c>
      <x:c r="C2821" s="25" t="n">
        <x:v>1</x:v>
      </x:c>
      <x:c r="D2821" s="25" t="str">
        <x:v>fraction</x:v>
      </x:c>
    </x:row>
    <x:row r="2822" ht="18" customHeight="1">
      <x:c r="A2822" s="25" t="str">
        <x:v>EEZ_862</x:v>
      </x:c>
      <x:c r="B2822" s="25" t="str">
        <x:v>taxa_count</x:v>
      </x:c>
      <x:c r="C2822" s="25" t="n">
        <x:v>153</x:v>
      </x:c>
      <x:c r="D2822" s="25" t="str">
        <x:v>count</x:v>
      </x:c>
    </x:row>
    <x:row r="2823" ht="18" customHeight="1">
      <x:c r="A2823" s="25" t="str">
        <x:v>EEZ_862</x:v>
      </x:c>
      <x:c r="B2823" s="25" t="str">
        <x:v>matched_taxa_count</x:v>
      </x:c>
      <x:c r="C2823" s="25" t="n">
        <x:v>153</x:v>
      </x:c>
      <x:c r="D2823" s="25" t="str">
        <x:v>count</x:v>
      </x:c>
    </x:row>
    <x:row r="2824" ht="18" customHeight="1">
      <x:c r="A2824" s="25" t="str">
        <x:v>EEZ_862</x:v>
      </x:c>
      <x:c r="B2824" s="25" t="str">
        <x:v>unmatched_taxa_count</x:v>
      </x:c>
      <x:c r="C2824" s="25" t="n">
        <x:v>0</x:v>
      </x:c>
      <x:c r="D2824" s="25" t="str">
        <x:v>count</x:v>
      </x:c>
    </x:row>
    <x:row r="2825" ht="18" customHeight="1">
      <x:c r="A2825" s="25" t="str">
        <x:v>EEZ_862</x:v>
      </x:c>
      <x:c r="B2825" s="25" t="str">
        <x:v>species_ppr</x:v>
      </x:c>
      <x:c r="C2825" s="25" t="n">
        <x:v>172576491.72799766</x:v>
      </x:c>
      <x:c r="D2825" s="25" t="str">
        <x:v>tonnes_primary_production_equivalent</x:v>
      </x:c>
    </x:row>
    <x:row r="2826" ht="18" customHeight="1">
      <x:c r="A2826" s="25" t="str">
        <x:v>EEZ_862</x:v>
      </x:c>
      <x:c r="B2826" s="25" t="str">
        <x:v>commercial_ppr</x:v>
      </x:c>
      <x:c r="C2826" s="25" t="n">
        <x:v>109361956.20020832</x:v>
      </x:c>
      <x:c r="D2826" s="25" t="str">
        <x:v>tonnes_primary_production_equivalent</x:v>
      </x:c>
    </x:row>
    <x:row r="2827" ht="18" customHeight="1">
      <x:c r="A2827" s="25" t="str">
        <x:v>EEZ_862</x:v>
      </x:c>
      <x:c r="B2827" s="25" t="str">
        <x:v>functional_ppr</x:v>
      </x:c>
      <x:c r="C2827" s="25" t="n">
        <x:v>152625911.82444447</x:v>
      </x:c>
      <x:c r="D2827" s="25" t="str">
        <x:v>tonnes_primary_production_equivalent</x:v>
      </x:c>
    </x:row>
    <x:row r="2828" ht="18" customHeight="1">
      <x:c r="A2828" s="25" t="str">
        <x:v>EEZ_862</x:v>
      </x:c>
      <x:c r="B2828" s="25" t="str">
        <x:v>commercial_ppr_difference</x:v>
      </x:c>
      <x:c r="C2828" s="25" t="n">
        <x:v>-63214535.52778934</x:v>
      </x:c>
      <x:c r="D2828" s="25" t="str">
        <x:v>tonnes_primary_production_equivalent</x:v>
      </x:c>
    </x:row>
    <x:row r="2829" ht="18" customHeight="1">
      <x:c r="A2829" s="25" t="str">
        <x:v>EEZ_862</x:v>
      </x:c>
      <x:c r="B2829" s="25" t="str">
        <x:v>functional_ppr_difference</x:v>
      </x:c>
      <x:c r="C2829" s="25" t="n">
        <x:v>-19950579.903553188</x:v>
      </x:c>
      <x:c r="D2829" s="25" t="str">
        <x:v>tonnes_primary_production_equivalent</x:v>
      </x:c>
    </x:row>
    <x:row r="2830" ht="18" customHeight="1">
      <x:c r="A2830" s="25" t="str">
        <x:v>EEZ_872</x:v>
      </x:c>
      <x:c r="B2830" s="25" t="str">
        <x:v>raw_filtered_tonnes</x:v>
      </x:c>
      <x:c r="C2830" s="25" t="n">
        <x:v>34.633787389199995</x:v>
      </x:c>
      <x:c r="D2830" s="25" t="str">
        <x:v>tonnes</x:v>
      </x:c>
    </x:row>
    <x:row r="2831" ht="18" customHeight="1">
      <x:c r="A2831" s="25" t="str">
        <x:v>EEZ_872</x:v>
      </x:c>
      <x:c r="B2831" s="25" t="str">
        <x:v>species_catch_tonnes</x:v>
      </x:c>
      <x:c r="C2831" s="25" t="n">
        <x:v>34.633787389199995</x:v>
      </x:c>
      <x:c r="D2831" s="25" t="str">
        <x:v>tonnes</x:v>
      </x:c>
    </x:row>
    <x:row r="2832" ht="18" customHeight="1">
      <x:c r="A2832" s="25" t="str">
        <x:v>EEZ_872</x:v>
      </x:c>
      <x:c r="B2832" s="25" t="str">
        <x:v>catch_difference_tonnes</x:v>
      </x:c>
      <x:c r="C2832" s="25" t="n">
        <x:v>0</x:v>
      </x:c>
      <x:c r="D2832" s="25" t="str">
        <x:v>tonnes</x:v>
      </x:c>
    </x:row>
    <x:row r="2833" ht="18" customHeight="1">
      <x:c r="A2833" s="25" t="str">
        <x:v>EEZ_872</x:v>
      </x:c>
      <x:c r="B2833" s="25" t="str">
        <x:v>catch_reconciled</x:v>
      </x:c>
      <x:c r="C2833" s="36" t="b">
        <x:v>1</x:v>
      </x:c>
      <x:c r="D2833" s="25" t="str">
        <x:v>boolean</x:v>
      </x:c>
    </x:row>
    <x:row r="2834" ht="18" customHeight="1">
      <x:c r="A2834" s="25" t="str">
        <x:v>EEZ_872</x:v>
      </x:c>
      <x:c r="B2834" s="25" t="str">
        <x:v>matched_catch_tonnes</x:v>
      </x:c>
      <x:c r="C2834" s="25" t="n">
        <x:v>34.633787389199995</x:v>
      </x:c>
      <x:c r="D2834" s="25" t="str">
        <x:v>tonnes</x:v>
      </x:c>
    </x:row>
    <x:row r="2835" ht="18" customHeight="1">
      <x:c r="A2835" s="25" t="str">
        <x:v>EEZ_872</x:v>
      </x:c>
      <x:c r="B2835" s="25" t="str">
        <x:v>catch_coverage_fraction</x:v>
      </x:c>
      <x:c r="C2835" s="25" t="n">
        <x:v>1</x:v>
      </x:c>
      <x:c r="D2835" s="25" t="str">
        <x:v>fraction</x:v>
      </x:c>
    </x:row>
    <x:row r="2836" ht="18" customHeight="1">
      <x:c r="A2836" s="25" t="str">
        <x:v>EEZ_872</x:v>
      </x:c>
      <x:c r="B2836" s="25" t="str">
        <x:v>taxa_count</x:v>
      </x:c>
      <x:c r="C2836" s="25" t="n">
        <x:v>13</x:v>
      </x:c>
      <x:c r="D2836" s="25" t="str">
        <x:v>count</x:v>
      </x:c>
    </x:row>
    <x:row r="2837" ht="18" customHeight="1">
      <x:c r="A2837" s="25" t="str">
        <x:v>EEZ_872</x:v>
      </x:c>
      <x:c r="B2837" s="25" t="str">
        <x:v>matched_taxa_count</x:v>
      </x:c>
      <x:c r="C2837" s="25" t="n">
        <x:v>13</x:v>
      </x:c>
      <x:c r="D2837" s="25" t="str">
        <x:v>count</x:v>
      </x:c>
    </x:row>
    <x:row r="2838" ht="18" customHeight="1">
      <x:c r="A2838" s="25" t="str">
        <x:v>EEZ_872</x:v>
      </x:c>
      <x:c r="B2838" s="25" t="str">
        <x:v>unmatched_taxa_count</x:v>
      </x:c>
      <x:c r="C2838" s="25" t="n">
        <x:v>0</x:v>
      </x:c>
      <x:c r="D2838" s="25" t="str">
        <x:v>count</x:v>
      </x:c>
    </x:row>
    <x:row r="2839" ht="18" customHeight="1">
      <x:c r="A2839" s="25" t="str">
        <x:v>EEZ_872</x:v>
      </x:c>
      <x:c r="B2839" s="25" t="str">
        <x:v>species_ppr</x:v>
      </x:c>
      <x:c r="C2839" s="25" t="n">
        <x:v>68115.70486681667</x:v>
      </x:c>
      <x:c r="D2839" s="25" t="str">
        <x:v>tonnes_primary_production_equivalent</x:v>
      </x:c>
    </x:row>
    <x:row r="2840" ht="18" customHeight="1">
      <x:c r="A2840" s="25" t="str">
        <x:v>EEZ_872</x:v>
      </x:c>
      <x:c r="B2840" s="25" t="str">
        <x:v>commercial_ppr</x:v>
      </x:c>
      <x:c r="C2840" s="25" t="n">
        <x:v>66421.52675498716</x:v>
      </x:c>
      <x:c r="D2840" s="25" t="str">
        <x:v>tonnes_primary_production_equivalent</x:v>
      </x:c>
    </x:row>
    <x:row r="2841" ht="18" customHeight="1">
      <x:c r="A2841" s="25" t="str">
        <x:v>EEZ_872</x:v>
      </x:c>
      <x:c r="B2841" s="25" t="str">
        <x:v>functional_ppr</x:v>
      </x:c>
      <x:c r="C2841" s="25" t="n">
        <x:v>66179.49666981628</x:v>
      </x:c>
      <x:c r="D2841" s="25" t="str">
        <x:v>tonnes_primary_production_equivalent</x:v>
      </x:c>
    </x:row>
    <x:row r="2842" ht="18" customHeight="1">
      <x:c r="A2842" s="25" t="str">
        <x:v>EEZ_872</x:v>
      </x:c>
      <x:c r="B2842" s="25" t="str">
        <x:v>commercial_ppr_difference</x:v>
      </x:c>
      <x:c r="C2842" s="25" t="n">
        <x:v>-1694.178111829504</x:v>
      </x:c>
      <x:c r="D2842" s="25" t="str">
        <x:v>tonnes_primary_production_equivalent</x:v>
      </x:c>
    </x:row>
    <x:row r="2843" ht="18" customHeight="1">
      <x:c r="A2843" s="25" t="str">
        <x:v>EEZ_872</x:v>
      </x:c>
      <x:c r="B2843" s="25" t="str">
        <x:v>functional_ppr_difference</x:v>
      </x:c>
      <x:c r="C2843" s="25" t="n">
        <x:v>-1936.2081970003928</x:v>
      </x:c>
      <x:c r="D2843" s="25" t="str">
        <x:v>tonnes_primary_production_equivalent</x:v>
      </x:c>
    </x:row>
    <x:row r="2844" ht="18" customHeight="1">
      <x:c r="A2844" s="25" t="str">
        <x:v>EEZ_876</x:v>
      </x:c>
      <x:c r="B2844" s="25" t="str">
        <x:v>raw_filtered_tonnes</x:v>
      </x:c>
      <x:c r="C2844" s="25" t="n">
        <x:v>971.0058082377</x:v>
      </x:c>
      <x:c r="D2844" s="25" t="str">
        <x:v>tonnes</x:v>
      </x:c>
    </x:row>
    <x:row r="2845" ht="18" customHeight="1">
      <x:c r="A2845" s="25" t="str">
        <x:v>EEZ_876</x:v>
      </x:c>
      <x:c r="B2845" s="25" t="str">
        <x:v>species_catch_tonnes</x:v>
      </x:c>
      <x:c r="C2845" s="25" t="n">
        <x:v>971.0058082377002</x:v>
      </x:c>
      <x:c r="D2845" s="25" t="str">
        <x:v>tonnes</x:v>
      </x:c>
    </x:row>
    <x:row r="2846" ht="18" customHeight="1">
      <x:c r="A2846" s="25" t="str">
        <x:v>EEZ_876</x:v>
      </x:c>
      <x:c r="B2846" s="25" t="str">
        <x:v>catch_difference_tonnes</x:v>
      </x:c>
      <x:c r="C2846" s="25" t="n">
        <x:v>2.2737367544323206e-13</x:v>
      </x:c>
      <x:c r="D2846" s="25" t="str">
        <x:v>tonnes</x:v>
      </x:c>
    </x:row>
    <x:row r="2847" ht="18" customHeight="1">
      <x:c r="A2847" s="25" t="str">
        <x:v>EEZ_876</x:v>
      </x:c>
      <x:c r="B2847" s="25" t="str">
        <x:v>catch_reconciled</x:v>
      </x:c>
      <x:c r="C2847" s="36" t="b">
        <x:v>1</x:v>
      </x:c>
      <x:c r="D2847" s="25" t="str">
        <x:v>boolean</x:v>
      </x:c>
    </x:row>
    <x:row r="2848" ht="18" customHeight="1">
      <x:c r="A2848" s="25" t="str">
        <x:v>EEZ_876</x:v>
      </x:c>
      <x:c r="B2848" s="25" t="str">
        <x:v>matched_catch_tonnes</x:v>
      </x:c>
      <x:c r="C2848" s="25" t="n">
        <x:v>971.0058082377002</x:v>
      </x:c>
      <x:c r="D2848" s="25" t="str">
        <x:v>tonnes</x:v>
      </x:c>
    </x:row>
    <x:row r="2849" ht="18" customHeight="1">
      <x:c r="A2849" s="25" t="str">
        <x:v>EEZ_876</x:v>
      </x:c>
      <x:c r="B2849" s="25" t="str">
        <x:v>catch_coverage_fraction</x:v>
      </x:c>
      <x:c r="C2849" s="25" t="n">
        <x:v>1</x:v>
      </x:c>
      <x:c r="D2849" s="25" t="str">
        <x:v>fraction</x:v>
      </x:c>
    </x:row>
    <x:row r="2850" ht="18" customHeight="1">
      <x:c r="A2850" s="25" t="str">
        <x:v>EEZ_876</x:v>
      </x:c>
      <x:c r="B2850" s="25" t="str">
        <x:v>taxa_count</x:v>
      </x:c>
      <x:c r="C2850" s="25" t="n">
        <x:v>71</x:v>
      </x:c>
      <x:c r="D2850" s="25" t="str">
        <x:v>count</x:v>
      </x:c>
    </x:row>
    <x:row r="2851" ht="18" customHeight="1">
      <x:c r="A2851" s="25" t="str">
        <x:v>EEZ_876</x:v>
      </x:c>
      <x:c r="B2851" s="25" t="str">
        <x:v>matched_taxa_count</x:v>
      </x:c>
      <x:c r="C2851" s="25" t="n">
        <x:v>71</x:v>
      </x:c>
      <x:c r="D2851" s="25" t="str">
        <x:v>count</x:v>
      </x:c>
    </x:row>
    <x:row r="2852" ht="18" customHeight="1">
      <x:c r="A2852" s="25" t="str">
        <x:v>EEZ_876</x:v>
      </x:c>
      <x:c r="B2852" s="25" t="str">
        <x:v>unmatched_taxa_count</x:v>
      </x:c>
      <x:c r="C2852" s="25" t="n">
        <x:v>0</x:v>
      </x:c>
      <x:c r="D2852" s="25" t="str">
        <x:v>count</x:v>
      </x:c>
    </x:row>
    <x:row r="2853" ht="18" customHeight="1">
      <x:c r="A2853" s="25" t="str">
        <x:v>EEZ_876</x:v>
      </x:c>
      <x:c r="B2853" s="25" t="str">
        <x:v>species_ppr</x:v>
      </x:c>
      <x:c r="C2853" s="25" t="n">
        <x:v>1119183.1426833072</x:v>
      </x:c>
      <x:c r="D2853" s="25" t="str">
        <x:v>tonnes_primary_production_equivalent</x:v>
      </x:c>
    </x:row>
    <x:row r="2854" ht="18" customHeight="1">
      <x:c r="A2854" s="25" t="str">
        <x:v>EEZ_876</x:v>
      </x:c>
      <x:c r="B2854" s="25" t="str">
        <x:v>commercial_ppr</x:v>
      </x:c>
      <x:c r="C2854" s="25" t="n">
        <x:v>813598.6194393582</x:v>
      </x:c>
      <x:c r="D2854" s="25" t="str">
        <x:v>tonnes_primary_production_equivalent</x:v>
      </x:c>
    </x:row>
    <x:row r="2855" ht="18" customHeight="1">
      <x:c r="A2855" s="25" t="str">
        <x:v>EEZ_876</x:v>
      </x:c>
      <x:c r="B2855" s="25" t="str">
        <x:v>functional_ppr</x:v>
      </x:c>
      <x:c r="C2855" s="25" t="n">
        <x:v>947449.3641487672</x:v>
      </x:c>
      <x:c r="D2855" s="25" t="str">
        <x:v>tonnes_primary_production_equivalent</x:v>
      </x:c>
    </x:row>
    <x:row r="2856" ht="18" customHeight="1">
      <x:c r="A2856" s="25" t="str">
        <x:v>EEZ_876</x:v>
      </x:c>
      <x:c r="B2856" s="25" t="str">
        <x:v>commercial_ppr_difference</x:v>
      </x:c>
      <x:c r="C2856" s="25" t="n">
        <x:v>-305584.52324394893</x:v>
      </x:c>
      <x:c r="D2856" s="25" t="str">
        <x:v>tonnes_primary_production_equivalent</x:v>
      </x:c>
    </x:row>
    <x:row r="2857" ht="18" customHeight="1">
      <x:c r="A2857" s="25" t="str">
        <x:v>EEZ_876</x:v>
      </x:c>
      <x:c r="B2857" s="25" t="str">
        <x:v>functional_ppr_difference</x:v>
      </x:c>
      <x:c r="C2857" s="25" t="n">
        <x:v>-171733.77853453998</x:v>
      </x:c>
      <x:c r="D2857" s="25" t="str">
        <x:v>tonnes_primary_production_equivalent</x:v>
      </x:c>
    </x:row>
    <x:row r="2858" ht="18" customHeight="1">
      <x:c r="A2858" s="25" t="str">
        <x:v>EEZ_882</x:v>
      </x:c>
      <x:c r="B2858" s="25" t="str">
        <x:v>raw_filtered_tonnes</x:v>
      </x:c>
      <x:c r="C2858" s="25" t="n">
        <x:v>13979.020508821599</x:v>
      </x:c>
      <x:c r="D2858" s="25" t="str">
        <x:v>tonnes</x:v>
      </x:c>
    </x:row>
    <x:row r="2859" ht="18" customHeight="1">
      <x:c r="A2859" s="25" t="str">
        <x:v>EEZ_882</x:v>
      </x:c>
      <x:c r="B2859" s="25" t="str">
        <x:v>species_catch_tonnes</x:v>
      </x:c>
      <x:c r="C2859" s="25" t="n">
        <x:v>13979.020508821603</x:v>
      </x:c>
      <x:c r="D2859" s="25" t="str">
        <x:v>tonnes</x:v>
      </x:c>
    </x:row>
    <x:row r="2860" ht="18" customHeight="1">
      <x:c r="A2860" s="25" t="str">
        <x:v>EEZ_882</x:v>
      </x:c>
      <x:c r="B2860" s="25" t="str">
        <x:v>catch_difference_tonnes</x:v>
      </x:c>
      <x:c r="C2860" s="25" t="n">
        <x:v>3.637978807091713e-12</x:v>
      </x:c>
      <x:c r="D2860" s="25" t="str">
        <x:v>tonnes</x:v>
      </x:c>
    </x:row>
    <x:row r="2861" ht="18" customHeight="1">
      <x:c r="A2861" s="25" t="str">
        <x:v>EEZ_882</x:v>
      </x:c>
      <x:c r="B2861" s="25" t="str">
        <x:v>catch_reconciled</x:v>
      </x:c>
      <x:c r="C2861" s="36" t="b">
        <x:v>1</x:v>
      </x:c>
      <x:c r="D2861" s="25" t="str">
        <x:v>boolean</x:v>
      </x:c>
    </x:row>
    <x:row r="2862" ht="18" customHeight="1">
      <x:c r="A2862" s="25" t="str">
        <x:v>EEZ_882</x:v>
      </x:c>
      <x:c r="B2862" s="25" t="str">
        <x:v>matched_catch_tonnes</x:v>
      </x:c>
      <x:c r="C2862" s="25" t="n">
        <x:v>13979.020508821603</x:v>
      </x:c>
      <x:c r="D2862" s="25" t="str">
        <x:v>tonnes</x:v>
      </x:c>
    </x:row>
    <x:row r="2863" ht="18" customHeight="1">
      <x:c r="A2863" s="25" t="str">
        <x:v>EEZ_882</x:v>
      </x:c>
      <x:c r="B2863" s="25" t="str">
        <x:v>catch_coverage_fraction</x:v>
      </x:c>
      <x:c r="C2863" s="25" t="n">
        <x:v>1</x:v>
      </x:c>
      <x:c r="D2863" s="25" t="str">
        <x:v>fraction</x:v>
      </x:c>
    </x:row>
    <x:row r="2864" ht="18" customHeight="1">
      <x:c r="A2864" s="25" t="str">
        <x:v>EEZ_882</x:v>
      </x:c>
      <x:c r="B2864" s="25" t="str">
        <x:v>taxa_count</x:v>
      </x:c>
      <x:c r="C2864" s="25" t="n">
        <x:v>72</x:v>
      </x:c>
      <x:c r="D2864" s="25" t="str">
        <x:v>count</x:v>
      </x:c>
    </x:row>
    <x:row r="2865" ht="18" customHeight="1">
      <x:c r="A2865" s="25" t="str">
        <x:v>EEZ_882</x:v>
      </x:c>
      <x:c r="B2865" s="25" t="str">
        <x:v>matched_taxa_count</x:v>
      </x:c>
      <x:c r="C2865" s="25" t="n">
        <x:v>72</x:v>
      </x:c>
      <x:c r="D2865" s="25" t="str">
        <x:v>count</x:v>
      </x:c>
    </x:row>
    <x:row r="2866" ht="18" customHeight="1">
      <x:c r="A2866" s="25" t="str">
        <x:v>EEZ_882</x:v>
      </x:c>
      <x:c r="B2866" s="25" t="str">
        <x:v>unmatched_taxa_count</x:v>
      </x:c>
      <x:c r="C2866" s="25" t="n">
        <x:v>0</x:v>
      </x:c>
      <x:c r="D2866" s="25" t="str">
        <x:v>count</x:v>
      </x:c>
    </x:row>
    <x:row r="2867" ht="18" customHeight="1">
      <x:c r="A2867" s="25" t="str">
        <x:v>EEZ_882</x:v>
      </x:c>
      <x:c r="B2867" s="25" t="str">
        <x:v>species_ppr</x:v>
      </x:c>
      <x:c r="C2867" s="25" t="n">
        <x:v>18932962.27433015</x:v>
      </x:c>
      <x:c r="D2867" s="25" t="str">
        <x:v>tonnes_primary_production_equivalent</x:v>
      </x:c>
    </x:row>
    <x:row r="2868" ht="18" customHeight="1">
      <x:c r="A2868" s="25" t="str">
        <x:v>EEZ_882</x:v>
      </x:c>
      <x:c r="B2868" s="25" t="str">
        <x:v>commercial_ppr</x:v>
      </x:c>
      <x:c r="C2868" s="25" t="n">
        <x:v>16126140.922584653</x:v>
      </x:c>
      <x:c r="D2868" s="25" t="str">
        <x:v>tonnes_primary_production_equivalent</x:v>
      </x:c>
    </x:row>
    <x:row r="2869" ht="18" customHeight="1">
      <x:c r="A2869" s="25" t="str">
        <x:v>EEZ_882</x:v>
      </x:c>
      <x:c r="B2869" s="25" t="str">
        <x:v>functional_ppr</x:v>
      </x:c>
      <x:c r="C2869" s="25" t="n">
        <x:v>17497593.51827132</x:v>
      </x:c>
      <x:c r="D2869" s="25" t="str">
        <x:v>tonnes_primary_production_equivalent</x:v>
      </x:c>
    </x:row>
    <x:row r="2870" ht="18" customHeight="1">
      <x:c r="A2870" s="25" t="str">
        <x:v>EEZ_882</x:v>
      </x:c>
      <x:c r="B2870" s="25" t="str">
        <x:v>commercial_ppr_difference</x:v>
      </x:c>
      <x:c r="C2870" s="25" t="n">
        <x:v>-2806821.3517454974</x:v>
      </x:c>
      <x:c r="D2870" s="25" t="str">
        <x:v>tonnes_primary_production_equivalent</x:v>
      </x:c>
    </x:row>
    <x:row r="2871" ht="18" customHeight="1">
      <x:c r="A2871" s="25" t="str">
        <x:v>EEZ_882</x:v>
      </x:c>
      <x:c r="B2871" s="25" t="str">
        <x:v>functional_ppr_difference</x:v>
      </x:c>
      <x:c r="C2871" s="25" t="n">
        <x:v>-1435368.7560588308</x:v>
      </x:c>
      <x:c r="D2871" s="25" t="str">
        <x:v>tonnes_primary_production_equivalent</x:v>
      </x:c>
    </x:row>
    <x:row r="2872" ht="18" customHeight="1">
      <x:c r="A2872" s="25" t="str">
        <x:v>EEZ_891</x:v>
      </x:c>
      <x:c r="B2872" s="25" t="str">
        <x:v>raw_filtered_tonnes</x:v>
      </x:c>
      <x:c r="C2872" s="25" t="n">
        <x:v>1698.0118630171</x:v>
      </x:c>
      <x:c r="D2872" s="25" t="str">
        <x:v>tonnes</x:v>
      </x:c>
    </x:row>
    <x:row r="2873" ht="18" customHeight="1">
      <x:c r="A2873" s="25" t="str">
        <x:v>EEZ_891</x:v>
      </x:c>
      <x:c r="B2873" s="25" t="str">
        <x:v>species_catch_tonnes</x:v>
      </x:c>
      <x:c r="C2873" s="25" t="n">
        <x:v>1698.0118630171</x:v>
      </x:c>
      <x:c r="D2873" s="25" t="str">
        <x:v>tonnes</x:v>
      </x:c>
    </x:row>
    <x:row r="2874" ht="18" customHeight="1">
      <x:c r="A2874" s="25" t="str">
        <x:v>EEZ_891</x:v>
      </x:c>
      <x:c r="B2874" s="25" t="str">
        <x:v>catch_difference_tonnes</x:v>
      </x:c>
      <x:c r="C2874" s="25" t="n">
        <x:v>0</x:v>
      </x:c>
      <x:c r="D2874" s="25" t="str">
        <x:v>tonnes</x:v>
      </x:c>
    </x:row>
    <x:row r="2875" ht="18" customHeight="1">
      <x:c r="A2875" s="25" t="str">
        <x:v>EEZ_891</x:v>
      </x:c>
      <x:c r="B2875" s="25" t="str">
        <x:v>catch_reconciled</x:v>
      </x:c>
      <x:c r="C2875" s="36" t="b">
        <x:v>1</x:v>
      </x:c>
      <x:c r="D2875" s="25" t="str">
        <x:v>boolean</x:v>
      </x:c>
    </x:row>
    <x:row r="2876" ht="18" customHeight="1">
      <x:c r="A2876" s="25" t="str">
        <x:v>EEZ_891</x:v>
      </x:c>
      <x:c r="B2876" s="25" t="str">
        <x:v>matched_catch_tonnes</x:v>
      </x:c>
      <x:c r="C2876" s="25" t="n">
        <x:v>1698.0118630171</x:v>
      </x:c>
      <x:c r="D2876" s="25" t="str">
        <x:v>tonnes</x:v>
      </x:c>
    </x:row>
    <x:row r="2877" ht="18" customHeight="1">
      <x:c r="A2877" s="25" t="str">
        <x:v>EEZ_891</x:v>
      </x:c>
      <x:c r="B2877" s="25" t="str">
        <x:v>catch_coverage_fraction</x:v>
      </x:c>
      <x:c r="C2877" s="25" t="n">
        <x:v>1</x:v>
      </x:c>
      <x:c r="D2877" s="25" t="str">
        <x:v>fraction</x:v>
      </x:c>
    </x:row>
    <x:row r="2878" ht="18" customHeight="1">
      <x:c r="A2878" s="25" t="str">
        <x:v>EEZ_891</x:v>
      </x:c>
      <x:c r="B2878" s="25" t="str">
        <x:v>taxa_count</x:v>
      </x:c>
      <x:c r="C2878" s="25" t="n">
        <x:v>70</x:v>
      </x:c>
      <x:c r="D2878" s="25" t="str">
        <x:v>count</x:v>
      </x:c>
    </x:row>
    <x:row r="2879" ht="18" customHeight="1">
      <x:c r="A2879" s="25" t="str">
        <x:v>EEZ_891</x:v>
      </x:c>
      <x:c r="B2879" s="25" t="str">
        <x:v>matched_taxa_count</x:v>
      </x:c>
      <x:c r="C2879" s="25" t="n">
        <x:v>70</x:v>
      </x:c>
      <x:c r="D2879" s="25" t="str">
        <x:v>count</x:v>
      </x:c>
    </x:row>
    <x:row r="2880" ht="18" customHeight="1">
      <x:c r="A2880" s="25" t="str">
        <x:v>EEZ_891</x:v>
      </x:c>
      <x:c r="B2880" s="25" t="str">
        <x:v>unmatched_taxa_count</x:v>
      </x:c>
      <x:c r="C2880" s="25" t="n">
        <x:v>0</x:v>
      </x:c>
      <x:c r="D2880" s="25" t="str">
        <x:v>count</x:v>
      </x:c>
    </x:row>
    <x:row r="2881" ht="18" customHeight="1">
      <x:c r="A2881" s="25" t="str">
        <x:v>EEZ_891</x:v>
      </x:c>
      <x:c r="B2881" s="25" t="str">
        <x:v>species_ppr</x:v>
      </x:c>
      <x:c r="C2881" s="25" t="n">
        <x:v>575664.3429432232</x:v>
      </x:c>
      <x:c r="D2881" s="25" t="str">
        <x:v>tonnes_primary_production_equivalent</x:v>
      </x:c>
    </x:row>
    <x:row r="2882" ht="18" customHeight="1">
      <x:c r="A2882" s="25" t="str">
        <x:v>EEZ_891</x:v>
      </x:c>
      <x:c r="B2882" s="25" t="str">
        <x:v>commercial_ppr</x:v>
      </x:c>
      <x:c r="C2882" s="25" t="n">
        <x:v>413329.1264975754</x:v>
      </x:c>
      <x:c r="D2882" s="25" t="str">
        <x:v>tonnes_primary_production_equivalent</x:v>
      </x:c>
    </x:row>
    <x:row r="2883" ht="18" customHeight="1">
      <x:c r="A2883" s="25" t="str">
        <x:v>EEZ_891</x:v>
      </x:c>
      <x:c r="B2883" s="25" t="str">
        <x:v>functional_ppr</x:v>
      </x:c>
      <x:c r="C2883" s="25" t="n">
        <x:v>477113.8574983947</x:v>
      </x:c>
      <x:c r="D2883" s="25" t="str">
        <x:v>tonnes_primary_production_equivalent</x:v>
      </x:c>
    </x:row>
    <x:row r="2884" ht="18" customHeight="1">
      <x:c r="A2884" s="25" t="str">
        <x:v>EEZ_891</x:v>
      </x:c>
      <x:c r="B2884" s="25" t="str">
        <x:v>commercial_ppr_difference</x:v>
      </x:c>
      <x:c r="C2884" s="25" t="n">
        <x:v>-162335.21644564782</x:v>
      </x:c>
      <x:c r="D2884" s="25" t="str">
        <x:v>tonnes_primary_production_equivalent</x:v>
      </x:c>
    </x:row>
    <x:row r="2885" ht="18" customHeight="1">
      <x:c r="A2885" s="25" t="str">
        <x:v>EEZ_891</x:v>
      </x:c>
      <x:c r="B2885" s="25" t="str">
        <x:v>functional_ppr_difference</x:v>
      </x:c>
      <x:c r="C2885" s="25" t="n">
        <x:v>-98550.48544482852</x:v>
      </x:c>
      <x:c r="D2885" s="25" t="str">
        <x:v>tonnes_primary_production_equivalent</x:v>
      </x:c>
    </x:row>
    <x:row r="2886" ht="18" customHeight="1">
      <x:c r="A2886" s="25" t="str">
        <x:v>EEZ_895</x:v>
      </x:c>
      <x:c r="B2886" s="25" t="str">
        <x:v>raw_filtered_tonnes</x:v>
      </x:c>
      <x:c r="C2886" s="25" t="n">
        <x:v>497.3573467841</x:v>
      </x:c>
      <x:c r="D2886" s="25" t="str">
        <x:v>tonnes</x:v>
      </x:c>
    </x:row>
    <x:row r="2887" ht="18" customHeight="1">
      <x:c r="A2887" s="25" t="str">
        <x:v>EEZ_895</x:v>
      </x:c>
      <x:c r="B2887" s="25" t="str">
        <x:v>species_catch_tonnes</x:v>
      </x:c>
      <x:c r="C2887" s="25" t="n">
        <x:v>497.3573467841</x:v>
      </x:c>
      <x:c r="D2887" s="25" t="str">
        <x:v>tonnes</x:v>
      </x:c>
    </x:row>
    <x:row r="2888" ht="18" customHeight="1">
      <x:c r="A2888" s="25" t="str">
        <x:v>EEZ_895</x:v>
      </x:c>
      <x:c r="B2888" s="25" t="str">
        <x:v>catch_difference_tonnes</x:v>
      </x:c>
      <x:c r="C2888" s="25" t="n">
        <x:v>0</x:v>
      </x:c>
      <x:c r="D2888" s="25" t="str">
        <x:v>tonnes</x:v>
      </x:c>
    </x:row>
    <x:row r="2889" ht="18" customHeight="1">
      <x:c r="A2889" s="25" t="str">
        <x:v>EEZ_895</x:v>
      </x:c>
      <x:c r="B2889" s="25" t="str">
        <x:v>catch_reconciled</x:v>
      </x:c>
      <x:c r="C2889" s="36" t="b">
        <x:v>1</x:v>
      </x:c>
      <x:c r="D2889" s="25" t="str">
        <x:v>boolean</x:v>
      </x:c>
    </x:row>
    <x:row r="2890" ht="18" customHeight="1">
      <x:c r="A2890" s="25" t="str">
        <x:v>EEZ_895</x:v>
      </x:c>
      <x:c r="B2890" s="25" t="str">
        <x:v>matched_catch_tonnes</x:v>
      </x:c>
      <x:c r="C2890" s="25" t="n">
        <x:v>497.3573467841</x:v>
      </x:c>
      <x:c r="D2890" s="25" t="str">
        <x:v>tonnes</x:v>
      </x:c>
    </x:row>
    <x:row r="2891" ht="18" customHeight="1">
      <x:c r="A2891" s="25" t="str">
        <x:v>EEZ_895</x:v>
      </x:c>
      <x:c r="B2891" s="25" t="str">
        <x:v>catch_coverage_fraction</x:v>
      </x:c>
      <x:c r="C2891" s="25" t="n">
        <x:v>1</x:v>
      </x:c>
      <x:c r="D2891" s="25" t="str">
        <x:v>fraction</x:v>
      </x:c>
    </x:row>
    <x:row r="2892" ht="18" customHeight="1">
      <x:c r="A2892" s="25" t="str">
        <x:v>EEZ_895</x:v>
      </x:c>
      <x:c r="B2892" s="25" t="str">
        <x:v>taxa_count</x:v>
      </x:c>
      <x:c r="C2892" s="25" t="n">
        <x:v>3</x:v>
      </x:c>
      <x:c r="D2892" s="25" t="str">
        <x:v>count</x:v>
      </x:c>
    </x:row>
    <x:row r="2893" ht="18" customHeight="1">
      <x:c r="A2893" s="25" t="str">
        <x:v>EEZ_895</x:v>
      </x:c>
      <x:c r="B2893" s="25" t="str">
        <x:v>matched_taxa_count</x:v>
      </x:c>
      <x:c r="C2893" s="25" t="n">
        <x:v>3</x:v>
      </x:c>
      <x:c r="D2893" s="25" t="str">
        <x:v>count</x:v>
      </x:c>
    </x:row>
    <x:row r="2894" ht="18" customHeight="1">
      <x:c r="A2894" s="25" t="str">
        <x:v>EEZ_895</x:v>
      </x:c>
      <x:c r="B2894" s="25" t="str">
        <x:v>unmatched_taxa_count</x:v>
      </x:c>
      <x:c r="C2894" s="25" t="n">
        <x:v>0</x:v>
      </x:c>
      <x:c r="D2894" s="25" t="str">
        <x:v>count</x:v>
      </x:c>
    </x:row>
    <x:row r="2895" ht="18" customHeight="1">
      <x:c r="A2895" s="25" t="str">
        <x:v>EEZ_895</x:v>
      </x:c>
      <x:c r="B2895" s="25" t="str">
        <x:v>species_ppr</x:v>
      </x:c>
      <x:c r="C2895" s="25" t="n">
        <x:v>97675.0183717673</x:v>
      </x:c>
      <x:c r="D2895" s="25" t="str">
        <x:v>tonnes_primary_production_equivalent</x:v>
      </x:c>
    </x:row>
    <x:row r="2896" ht="18" customHeight="1">
      <x:c r="A2896" s="25" t="str">
        <x:v>EEZ_895</x:v>
      </x:c>
      <x:c r="B2896" s="25" t="str">
        <x:v>commercial_ppr</x:v>
      </x:c>
      <x:c r="C2896" s="25" t="n">
        <x:v>97606.74330792503</x:v>
      </x:c>
      <x:c r="D2896" s="25" t="str">
        <x:v>tonnes_primary_production_equivalent</x:v>
      </x:c>
    </x:row>
    <x:row r="2897" ht="18" customHeight="1">
      <x:c r="A2897" s="25" t="str">
        <x:v>EEZ_895</x:v>
      </x:c>
      <x:c r="B2897" s="25" t="str">
        <x:v>functional_ppr</x:v>
      </x:c>
      <x:c r="C2897" s="25" t="n">
        <x:v>97606.74330792503</x:v>
      </x:c>
      <x:c r="D2897" s="25" t="str">
        <x:v>tonnes_primary_production_equivalent</x:v>
      </x:c>
    </x:row>
    <x:row r="2898" ht="18" customHeight="1">
      <x:c r="A2898" s="25" t="str">
        <x:v>EEZ_895</x:v>
      </x:c>
      <x:c r="B2898" s="25" t="str">
        <x:v>commercial_ppr_difference</x:v>
      </x:c>
      <x:c r="C2898" s="25" t="n">
        <x:v>-68.27506384227308</x:v>
      </x:c>
      <x:c r="D2898" s="25" t="str">
        <x:v>tonnes_primary_production_equivalent</x:v>
      </x:c>
    </x:row>
    <x:row r="2899" ht="18" customHeight="1">
      <x:c r="A2899" s="25" t="str">
        <x:v>EEZ_895</x:v>
      </x:c>
      <x:c r="B2899" s="25" t="str">
        <x:v>functional_ppr_difference</x:v>
      </x:c>
      <x:c r="C2899" s="25" t="n">
        <x:v>-68.27506384227308</x:v>
      </x:c>
      <x:c r="D2899" s="25" t="str">
        <x:v>tonnes_primary_production_equivalent</x:v>
      </x:c>
    </x:row>
    <x:row r="2900" ht="18" customHeight="1">
      <x:c r="A2900" s="25" t="str">
        <x:v>EEZ_896</x:v>
      </x:c>
      <x:c r="B2900" s="25" t="str">
        <x:v>raw_filtered_tonnes</x:v>
      </x:c>
      <x:c r="C2900" s="25" t="n">
        <x:v>962.1183434891</x:v>
      </x:c>
      <x:c r="D2900" s="25" t="str">
        <x:v>tonnes</x:v>
      </x:c>
    </x:row>
    <x:row r="2901" ht="18" customHeight="1">
      <x:c r="A2901" s="25" t="str">
        <x:v>EEZ_896</x:v>
      </x:c>
      <x:c r="B2901" s="25" t="str">
        <x:v>species_catch_tonnes</x:v>
      </x:c>
      <x:c r="C2901" s="25" t="n">
        <x:v>962.1183434891</x:v>
      </x:c>
      <x:c r="D2901" s="25" t="str">
        <x:v>tonnes</x:v>
      </x:c>
    </x:row>
    <x:row r="2902" ht="18" customHeight="1">
      <x:c r="A2902" s="25" t="str">
        <x:v>EEZ_896</x:v>
      </x:c>
      <x:c r="B2902" s="25" t="str">
        <x:v>catch_difference_tonnes</x:v>
      </x:c>
      <x:c r="C2902" s="25" t="n">
        <x:v>0</x:v>
      </x:c>
      <x:c r="D2902" s="25" t="str">
        <x:v>tonnes</x:v>
      </x:c>
    </x:row>
    <x:row r="2903" ht="18" customHeight="1">
      <x:c r="A2903" s="25" t="str">
        <x:v>EEZ_896</x:v>
      </x:c>
      <x:c r="B2903" s="25" t="str">
        <x:v>catch_reconciled</x:v>
      </x:c>
      <x:c r="C2903" s="36" t="b">
        <x:v>1</x:v>
      </x:c>
      <x:c r="D2903" s="25" t="str">
        <x:v>boolean</x:v>
      </x:c>
    </x:row>
    <x:row r="2904" ht="18" customHeight="1">
      <x:c r="A2904" s="25" t="str">
        <x:v>EEZ_896</x:v>
      </x:c>
      <x:c r="B2904" s="25" t="str">
        <x:v>matched_catch_tonnes</x:v>
      </x:c>
      <x:c r="C2904" s="25" t="n">
        <x:v>962.1183434891</x:v>
      </x:c>
      <x:c r="D2904" s="25" t="str">
        <x:v>tonnes</x:v>
      </x:c>
    </x:row>
    <x:row r="2905" ht="18" customHeight="1">
      <x:c r="A2905" s="25" t="str">
        <x:v>EEZ_896</x:v>
      </x:c>
      <x:c r="B2905" s="25" t="str">
        <x:v>catch_coverage_fraction</x:v>
      </x:c>
      <x:c r="C2905" s="25" t="n">
        <x:v>1</x:v>
      </x:c>
      <x:c r="D2905" s="25" t="str">
        <x:v>fraction</x:v>
      </x:c>
    </x:row>
    <x:row r="2906" ht="18" customHeight="1">
      <x:c r="A2906" s="25" t="str">
        <x:v>EEZ_896</x:v>
      </x:c>
      <x:c r="B2906" s="25" t="str">
        <x:v>taxa_count</x:v>
      </x:c>
      <x:c r="C2906" s="25" t="n">
        <x:v>7</x:v>
      </x:c>
      <x:c r="D2906" s="25" t="str">
        <x:v>count</x:v>
      </x:c>
    </x:row>
    <x:row r="2907" ht="18" customHeight="1">
      <x:c r="A2907" s="25" t="str">
        <x:v>EEZ_896</x:v>
      </x:c>
      <x:c r="B2907" s="25" t="str">
        <x:v>matched_taxa_count</x:v>
      </x:c>
      <x:c r="C2907" s="25" t="n">
        <x:v>7</x:v>
      </x:c>
      <x:c r="D2907" s="25" t="str">
        <x:v>count</x:v>
      </x:c>
    </x:row>
    <x:row r="2908" ht="18" customHeight="1">
      <x:c r="A2908" s="25" t="str">
        <x:v>EEZ_896</x:v>
      </x:c>
      <x:c r="B2908" s="25" t="str">
        <x:v>unmatched_taxa_count</x:v>
      </x:c>
      <x:c r="C2908" s="25" t="n">
        <x:v>0</x:v>
      </x:c>
      <x:c r="D2908" s="25" t="str">
        <x:v>count</x:v>
      </x:c>
    </x:row>
    <x:row r="2909" ht="18" customHeight="1">
      <x:c r="A2909" s="25" t="str">
        <x:v>EEZ_896</x:v>
      </x:c>
      <x:c r="B2909" s="25" t="str">
        <x:v>species_ppr</x:v>
      </x:c>
      <x:c r="C2909" s="25" t="n">
        <x:v>829294.7328154038</x:v>
      </x:c>
      <x:c r="D2909" s="25" t="str">
        <x:v>tonnes_primary_production_equivalent</x:v>
      </x:c>
    </x:row>
    <x:row r="2910" ht="18" customHeight="1">
      <x:c r="A2910" s="25" t="str">
        <x:v>EEZ_896</x:v>
      </x:c>
      <x:c r="B2910" s="25" t="str">
        <x:v>commercial_ppr</x:v>
      </x:c>
      <x:c r="C2910" s="25" t="n">
        <x:v>826966.3924129192</x:v>
      </x:c>
      <x:c r="D2910" s="25" t="str">
        <x:v>tonnes_primary_production_equivalent</x:v>
      </x:c>
    </x:row>
    <x:row r="2911" ht="18" customHeight="1">
      <x:c r="A2911" s="25" t="str">
        <x:v>EEZ_896</x:v>
      </x:c>
      <x:c r="B2911" s="25" t="str">
        <x:v>functional_ppr</x:v>
      </x:c>
      <x:c r="C2911" s="25" t="n">
        <x:v>829294.7328154031</x:v>
      </x:c>
      <x:c r="D2911" s="25" t="str">
        <x:v>tonnes_primary_production_equivalent</x:v>
      </x:c>
    </x:row>
    <x:row r="2912" ht="18" customHeight="1">
      <x:c r="A2912" s="25" t="str">
        <x:v>EEZ_896</x:v>
      </x:c>
      <x:c r="B2912" s="25" t="str">
        <x:v>commercial_ppr_difference</x:v>
      </x:c>
      <x:c r="C2912" s="25" t="n">
        <x:v>-2328.3404024846386</x:v>
      </x:c>
      <x:c r="D2912" s="25" t="str">
        <x:v>tonnes_primary_production_equivalent</x:v>
      </x:c>
    </x:row>
    <x:row r="2913" ht="18" customHeight="1">
      <x:c r="A2913" s="25" t="str">
        <x:v>EEZ_896</x:v>
      </x:c>
      <x:c r="B2913" s="25" t="str">
        <x:v>functional_ppr_difference</x:v>
      </x:c>
      <x:c r="C2913" s="25" t="n">
        <x:v>-6.984919309616089e-10</x:v>
      </x:c>
      <x:c r="D2913" s="25" t="str">
        <x:v>tonnes_primary_production_equivalent</x:v>
      </x:c>
    </x:row>
    <x:row r="2914" ht="18" customHeight="1">
      <x:c r="A2914" s="25" t="str">
        <x:v>EEZ_897</x:v>
      </x:c>
      <x:c r="B2914" s="25" t="str">
        <x:v>raw_filtered_tonnes</x:v>
      </x:c>
      <x:c r="C2914" s="25" t="n">
        <x:v>5596.068903</x:v>
      </x:c>
      <x:c r="D2914" s="25" t="str">
        <x:v>tonnes</x:v>
      </x:c>
    </x:row>
    <x:row r="2915" ht="18" customHeight="1">
      <x:c r="A2915" s="25" t="str">
        <x:v>EEZ_897</x:v>
      </x:c>
      <x:c r="B2915" s="25" t="str">
        <x:v>species_catch_tonnes</x:v>
      </x:c>
      <x:c r="C2915" s="25" t="n">
        <x:v>5596.068903000001</x:v>
      </x:c>
      <x:c r="D2915" s="25" t="str">
        <x:v>tonnes</x:v>
      </x:c>
    </x:row>
    <x:row r="2916" ht="18" customHeight="1">
      <x:c r="A2916" s="25" t="str">
        <x:v>EEZ_897</x:v>
      </x:c>
      <x:c r="B2916" s="25" t="str">
        <x:v>catch_difference_tonnes</x:v>
      </x:c>
      <x:c r="C2916" s="25" t="n">
        <x:v>9.094947017729282e-13</x:v>
      </x:c>
      <x:c r="D2916" s="25" t="str">
        <x:v>tonnes</x:v>
      </x:c>
    </x:row>
    <x:row r="2917" ht="18" customHeight="1">
      <x:c r="A2917" s="25" t="str">
        <x:v>EEZ_897</x:v>
      </x:c>
      <x:c r="B2917" s="25" t="str">
        <x:v>catch_reconciled</x:v>
      </x:c>
      <x:c r="C2917" s="36" t="b">
        <x:v>1</x:v>
      </x:c>
      <x:c r="D2917" s="25" t="str">
        <x:v>boolean</x:v>
      </x:c>
    </x:row>
    <x:row r="2918" ht="18" customHeight="1">
      <x:c r="A2918" s="25" t="str">
        <x:v>EEZ_897</x:v>
      </x:c>
      <x:c r="B2918" s="25" t="str">
        <x:v>matched_catch_tonnes</x:v>
      </x:c>
      <x:c r="C2918" s="25" t="n">
        <x:v>5596.068903000001</x:v>
      </x:c>
      <x:c r="D2918" s="25" t="str">
        <x:v>tonnes</x:v>
      </x:c>
    </x:row>
    <x:row r="2919" ht="18" customHeight="1">
      <x:c r="A2919" s="25" t="str">
        <x:v>EEZ_897</x:v>
      </x:c>
      <x:c r="B2919" s="25" t="str">
        <x:v>catch_coverage_fraction</x:v>
      </x:c>
      <x:c r="C2919" s="25" t="n">
        <x:v>1</x:v>
      </x:c>
      <x:c r="D2919" s="25" t="str">
        <x:v>fraction</x:v>
      </x:c>
    </x:row>
    <x:row r="2920" ht="18" customHeight="1">
      <x:c r="A2920" s="25" t="str">
        <x:v>EEZ_897</x:v>
      </x:c>
      <x:c r="B2920" s="25" t="str">
        <x:v>taxa_count</x:v>
      </x:c>
      <x:c r="C2920" s="25" t="n">
        <x:v>6</x:v>
      </x:c>
      <x:c r="D2920" s="25" t="str">
        <x:v>count</x:v>
      </x:c>
    </x:row>
    <x:row r="2921" ht="18" customHeight="1">
      <x:c r="A2921" s="25" t="str">
        <x:v>EEZ_897</x:v>
      </x:c>
      <x:c r="B2921" s="25" t="str">
        <x:v>matched_taxa_count</x:v>
      </x:c>
      <x:c r="C2921" s="25" t="n">
        <x:v>6</x:v>
      </x:c>
      <x:c r="D2921" s="25" t="str">
        <x:v>count</x:v>
      </x:c>
    </x:row>
    <x:row r="2922" ht="18" customHeight="1">
      <x:c r="A2922" s="25" t="str">
        <x:v>EEZ_897</x:v>
      </x:c>
      <x:c r="B2922" s="25" t="str">
        <x:v>unmatched_taxa_count</x:v>
      </x:c>
      <x:c r="C2922" s="25" t="n">
        <x:v>0</x:v>
      </x:c>
      <x:c r="D2922" s="25" t="str">
        <x:v>count</x:v>
      </x:c>
    </x:row>
    <x:row r="2923" ht="18" customHeight="1">
      <x:c r="A2923" s="25" t="str">
        <x:v>EEZ_897</x:v>
      </x:c>
      <x:c r="B2923" s="25" t="str">
        <x:v>species_ppr</x:v>
      </x:c>
      <x:c r="C2923" s="25" t="n">
        <x:v>4822911.269595499</x:v>
      </x:c>
      <x:c r="D2923" s="25" t="str">
        <x:v>tonnes_primary_production_equivalent</x:v>
      </x:c>
    </x:row>
    <x:row r="2924" ht="18" customHeight="1">
      <x:c r="A2924" s="25" t="str">
        <x:v>EEZ_897</x:v>
      </x:c>
      <x:c r="B2924" s="25" t="str">
        <x:v>commercial_ppr</x:v>
      </x:c>
      <x:c r="C2924" s="25" t="n">
        <x:v>4822317.842140515</x:v>
      </x:c>
      <x:c r="D2924" s="25" t="str">
        <x:v>tonnes_primary_production_equivalent</x:v>
      </x:c>
    </x:row>
    <x:row r="2925" ht="18" customHeight="1">
      <x:c r="A2925" s="25" t="str">
        <x:v>EEZ_897</x:v>
      </x:c>
      <x:c r="B2925" s="25" t="str">
        <x:v>functional_ppr</x:v>
      </x:c>
      <x:c r="C2925" s="25" t="n">
        <x:v>4822911.269595504</x:v>
      </x:c>
      <x:c r="D2925" s="25" t="str">
        <x:v>tonnes_primary_production_equivalent</x:v>
      </x:c>
    </x:row>
    <x:row r="2926" ht="18" customHeight="1">
      <x:c r="A2926" s="25" t="str">
        <x:v>EEZ_897</x:v>
      </x:c>
      <x:c r="B2926" s="25" t="str">
        <x:v>commercial_ppr_difference</x:v>
      </x:c>
      <x:c r="C2926" s="25" t="n">
        <x:v>-593.4274549838156</x:v>
      </x:c>
      <x:c r="D2926" s="25" t="str">
        <x:v>tonnes_primary_production_equivalent</x:v>
      </x:c>
    </x:row>
    <x:row r="2927" ht="18" customHeight="1">
      <x:c r="A2927" s="25" t="str">
        <x:v>EEZ_897</x:v>
      </x:c>
      <x:c r="B2927" s="25" t="str">
        <x:v>functional_ppr_difference</x:v>
      </x:c>
      <x:c r="C2927" s="25" t="n">
        <x:v>4.6566128730773926e-9</x:v>
      </x:c>
      <x:c r="D2927" s="25" t="str">
        <x:v>tonnes_primary_production_equivalent</x:v>
      </x:c>
    </x:row>
    <x:row r="2928" ht="18" customHeight="1">
      <x:c r="A2928" s="25" t="str">
        <x:v>EEZ_898</x:v>
      </x:c>
      <x:c r="B2928" s="25" t="str">
        <x:v>raw_filtered_tonnes</x:v>
      </x:c>
      <x:c r="C2928" s="25" t="n">
        <x:v>5821.5688911778</x:v>
      </x:c>
      <x:c r="D2928" s="25" t="str">
        <x:v>tonnes</x:v>
      </x:c>
    </x:row>
    <x:row r="2929" ht="18" customHeight="1">
      <x:c r="A2929" s="25" t="str">
        <x:v>EEZ_898</x:v>
      </x:c>
      <x:c r="B2929" s="25" t="str">
        <x:v>species_catch_tonnes</x:v>
      </x:c>
      <x:c r="C2929" s="25" t="n">
        <x:v>5821.5688911778</x:v>
      </x:c>
      <x:c r="D2929" s="25" t="str">
        <x:v>tonnes</x:v>
      </x:c>
    </x:row>
    <x:row r="2930" ht="18" customHeight="1">
      <x:c r="A2930" s="25" t="str">
        <x:v>EEZ_898</x:v>
      </x:c>
      <x:c r="B2930" s="25" t="str">
        <x:v>catch_difference_tonnes</x:v>
      </x:c>
      <x:c r="C2930" s="25" t="n">
        <x:v>0</x:v>
      </x:c>
      <x:c r="D2930" s="25" t="str">
        <x:v>tonnes</x:v>
      </x:c>
    </x:row>
    <x:row r="2931" ht="18" customHeight="1">
      <x:c r="A2931" s="25" t="str">
        <x:v>EEZ_898</x:v>
      </x:c>
      <x:c r="B2931" s="25" t="str">
        <x:v>catch_reconciled</x:v>
      </x:c>
      <x:c r="C2931" s="36" t="b">
        <x:v>1</x:v>
      </x:c>
      <x:c r="D2931" s="25" t="str">
        <x:v>boolean</x:v>
      </x:c>
    </x:row>
    <x:row r="2932" ht="18" customHeight="1">
      <x:c r="A2932" s="25" t="str">
        <x:v>EEZ_898</x:v>
      </x:c>
      <x:c r="B2932" s="25" t="str">
        <x:v>matched_catch_tonnes</x:v>
      </x:c>
      <x:c r="C2932" s="25" t="n">
        <x:v>5821.5688911778</x:v>
      </x:c>
      <x:c r="D2932" s="25" t="str">
        <x:v>tonnes</x:v>
      </x:c>
    </x:row>
    <x:row r="2933" ht="18" customHeight="1">
      <x:c r="A2933" s="25" t="str">
        <x:v>EEZ_898</x:v>
      </x:c>
      <x:c r="B2933" s="25" t="str">
        <x:v>catch_coverage_fraction</x:v>
      </x:c>
      <x:c r="C2933" s="25" t="n">
        <x:v>1</x:v>
      </x:c>
      <x:c r="D2933" s="25" t="str">
        <x:v>fraction</x:v>
      </x:c>
    </x:row>
    <x:row r="2934" ht="18" customHeight="1">
      <x:c r="A2934" s="25" t="str">
        <x:v>EEZ_898</x:v>
      </x:c>
      <x:c r="B2934" s="25" t="str">
        <x:v>taxa_count</x:v>
      </x:c>
      <x:c r="C2934" s="25" t="n">
        <x:v>17</x:v>
      </x:c>
      <x:c r="D2934" s="25" t="str">
        <x:v>count</x:v>
      </x:c>
    </x:row>
    <x:row r="2935" ht="18" customHeight="1">
      <x:c r="A2935" s="25" t="str">
        <x:v>EEZ_898</x:v>
      </x:c>
      <x:c r="B2935" s="25" t="str">
        <x:v>matched_taxa_count</x:v>
      </x:c>
      <x:c r="C2935" s="25" t="n">
        <x:v>17</x:v>
      </x:c>
      <x:c r="D2935" s="25" t="str">
        <x:v>count</x:v>
      </x:c>
    </x:row>
    <x:row r="2936" ht="18" customHeight="1">
      <x:c r="A2936" s="25" t="str">
        <x:v>EEZ_898</x:v>
      </x:c>
      <x:c r="B2936" s="25" t="str">
        <x:v>unmatched_taxa_count</x:v>
      </x:c>
      <x:c r="C2936" s="25" t="n">
        <x:v>0</x:v>
      </x:c>
      <x:c r="D2936" s="25" t="str">
        <x:v>count</x:v>
      </x:c>
    </x:row>
    <x:row r="2937" ht="18" customHeight="1">
      <x:c r="A2937" s="25" t="str">
        <x:v>EEZ_898</x:v>
      </x:c>
      <x:c r="B2937" s="25" t="str">
        <x:v>species_ppr</x:v>
      </x:c>
      <x:c r="C2937" s="25" t="n">
        <x:v>14841352.716606868</x:v>
      </x:c>
      <x:c r="D2937" s="25" t="str">
        <x:v>tonnes_primary_production_equivalent</x:v>
      </x:c>
    </x:row>
    <x:row r="2938" ht="18" customHeight="1">
      <x:c r="A2938" s="25" t="str">
        <x:v>EEZ_898</x:v>
      </x:c>
      <x:c r="B2938" s="25" t="str">
        <x:v>commercial_ppr</x:v>
      </x:c>
      <x:c r="C2938" s="25" t="n">
        <x:v>14828974.37312331</x:v>
      </x:c>
      <x:c r="D2938" s="25" t="str">
        <x:v>tonnes_primary_production_equivalent</x:v>
      </x:c>
    </x:row>
    <x:row r="2939" ht="18" customHeight="1">
      <x:c r="A2939" s="25" t="str">
        <x:v>EEZ_898</x:v>
      </x:c>
      <x:c r="B2939" s="25" t="str">
        <x:v>functional_ppr</x:v>
      </x:c>
      <x:c r="C2939" s="25" t="n">
        <x:v>14827387.856212014</x:v>
      </x:c>
      <x:c r="D2939" s="25" t="str">
        <x:v>tonnes_primary_production_equivalent</x:v>
      </x:c>
    </x:row>
    <x:row r="2940" ht="18" customHeight="1">
      <x:c r="A2940" s="25" t="str">
        <x:v>EEZ_898</x:v>
      </x:c>
      <x:c r="B2940" s="25" t="str">
        <x:v>commercial_ppr_difference</x:v>
      </x:c>
      <x:c r="C2940" s="25" t="n">
        <x:v>-12378.343483557925</x:v>
      </x:c>
      <x:c r="D2940" s="25" t="str">
        <x:v>tonnes_primary_production_equivalent</x:v>
      </x:c>
    </x:row>
    <x:row r="2941" ht="18" customHeight="1">
      <x:c r="A2941" s="25" t="str">
        <x:v>EEZ_898</x:v>
      </x:c>
      <x:c r="B2941" s="25" t="str">
        <x:v>functional_ppr_difference</x:v>
      </x:c>
      <x:c r="C2941" s="25" t="n">
        <x:v>-13964.860394854099</x:v>
      </x:c>
      <x:c r="D2941" s="25" t="str">
        <x:v>tonnes_primary_production_equivalent</x:v>
      </x:c>
    </x:row>
    <x:row r="2942" ht="18" customHeight="1">
      <x:c r="A2942" s="25" t="str">
        <x:v>EEZ_899</x:v>
      </x:c>
      <x:c r="B2942" s="25" t="str">
        <x:v>raw_filtered_tonnes</x:v>
      </x:c>
      <x:c r="C2942" s="25" t="n">
        <x:v>1565.0256591656998</x:v>
      </x:c>
      <x:c r="D2942" s="25" t="str">
        <x:v>tonnes</x:v>
      </x:c>
    </x:row>
    <x:row r="2943" ht="18" customHeight="1">
      <x:c r="A2943" s="25" t="str">
        <x:v>EEZ_899</x:v>
      </x:c>
      <x:c r="B2943" s="25" t="str">
        <x:v>species_catch_tonnes</x:v>
      </x:c>
      <x:c r="C2943" s="25" t="n">
        <x:v>1565.0256591657</x:v>
      </x:c>
      <x:c r="D2943" s="25" t="str">
        <x:v>tonnes</x:v>
      </x:c>
    </x:row>
    <x:row r="2944" ht="18" customHeight="1">
      <x:c r="A2944" s="25" t="str">
        <x:v>EEZ_899</x:v>
      </x:c>
      <x:c r="B2944" s="25" t="str">
        <x:v>catch_difference_tonnes</x:v>
      </x:c>
      <x:c r="C2944" s="25" t="n">
        <x:v>2.2737367544323206e-13</x:v>
      </x:c>
      <x:c r="D2944" s="25" t="str">
        <x:v>tonnes</x:v>
      </x:c>
    </x:row>
    <x:row r="2945" ht="18" customHeight="1">
      <x:c r="A2945" s="25" t="str">
        <x:v>EEZ_899</x:v>
      </x:c>
      <x:c r="B2945" s="25" t="str">
        <x:v>catch_reconciled</x:v>
      </x:c>
      <x:c r="C2945" s="36" t="b">
        <x:v>1</x:v>
      </x:c>
      <x:c r="D2945" s="25" t="str">
        <x:v>boolean</x:v>
      </x:c>
    </x:row>
    <x:row r="2946" ht="18" customHeight="1">
      <x:c r="A2946" s="25" t="str">
        <x:v>EEZ_899</x:v>
      </x:c>
      <x:c r="B2946" s="25" t="str">
        <x:v>matched_catch_tonnes</x:v>
      </x:c>
      <x:c r="C2946" s="25" t="n">
        <x:v>1565.0256591657</x:v>
      </x:c>
      <x:c r="D2946" s="25" t="str">
        <x:v>tonnes</x:v>
      </x:c>
    </x:row>
    <x:row r="2947" ht="18" customHeight="1">
      <x:c r="A2947" s="25" t="str">
        <x:v>EEZ_899</x:v>
      </x:c>
      <x:c r="B2947" s="25" t="str">
        <x:v>catch_coverage_fraction</x:v>
      </x:c>
      <x:c r="C2947" s="25" t="n">
        <x:v>1</x:v>
      </x:c>
      <x:c r="D2947" s="25" t="str">
        <x:v>fraction</x:v>
      </x:c>
    </x:row>
    <x:row r="2948" ht="18" customHeight="1">
      <x:c r="A2948" s="25" t="str">
        <x:v>EEZ_899</x:v>
      </x:c>
      <x:c r="B2948" s="25" t="str">
        <x:v>taxa_count</x:v>
      </x:c>
      <x:c r="C2948" s="25" t="n">
        <x:v>114</x:v>
      </x:c>
      <x:c r="D2948" s="25" t="str">
        <x:v>count</x:v>
      </x:c>
    </x:row>
    <x:row r="2949" ht="18" customHeight="1">
      <x:c r="A2949" s="25" t="str">
        <x:v>EEZ_899</x:v>
      </x:c>
      <x:c r="B2949" s="25" t="str">
        <x:v>matched_taxa_count</x:v>
      </x:c>
      <x:c r="C2949" s="25" t="n">
        <x:v>114</x:v>
      </x:c>
      <x:c r="D2949" s="25" t="str">
        <x:v>count</x:v>
      </x:c>
    </x:row>
    <x:row r="2950" ht="18" customHeight="1">
      <x:c r="A2950" s="25" t="str">
        <x:v>EEZ_899</x:v>
      </x:c>
      <x:c r="B2950" s="25" t="str">
        <x:v>unmatched_taxa_count</x:v>
      </x:c>
      <x:c r="C2950" s="25" t="n">
        <x:v>0</x:v>
      </x:c>
      <x:c r="D2950" s="25" t="str">
        <x:v>count</x:v>
      </x:c>
    </x:row>
    <x:row r="2951" ht="18" customHeight="1">
      <x:c r="A2951" s="25" t="str">
        <x:v>EEZ_899</x:v>
      </x:c>
      <x:c r="B2951" s="25" t="str">
        <x:v>species_ppr</x:v>
      </x:c>
      <x:c r="C2951" s="25" t="n">
        <x:v>1161094.7737815653</x:v>
      </x:c>
      <x:c r="D2951" s="25" t="str">
        <x:v>tonnes_primary_production_equivalent</x:v>
      </x:c>
    </x:row>
    <x:row r="2952" ht="18" customHeight="1">
      <x:c r="A2952" s="25" t="str">
        <x:v>EEZ_899</x:v>
      </x:c>
      <x:c r="B2952" s="25" t="str">
        <x:v>commercial_ppr</x:v>
      </x:c>
      <x:c r="C2952" s="25" t="n">
        <x:v>672221.425033969</x:v>
      </x:c>
      <x:c r="D2952" s="25" t="str">
        <x:v>tonnes_primary_production_equivalent</x:v>
      </x:c>
    </x:row>
    <x:row r="2953" ht="18" customHeight="1">
      <x:c r="A2953" s="25" t="str">
        <x:v>EEZ_899</x:v>
      </x:c>
      <x:c r="B2953" s="25" t="str">
        <x:v>functional_ppr</x:v>
      </x:c>
      <x:c r="C2953" s="25" t="n">
        <x:v>890598.3747902303</x:v>
      </x:c>
      <x:c r="D2953" s="25" t="str">
        <x:v>tonnes_primary_production_equivalent</x:v>
      </x:c>
    </x:row>
    <x:row r="2954" ht="18" customHeight="1">
      <x:c r="A2954" s="25" t="str">
        <x:v>EEZ_899</x:v>
      </x:c>
      <x:c r="B2954" s="25" t="str">
        <x:v>commercial_ppr_difference</x:v>
      </x:c>
      <x:c r="C2954" s="25" t="n">
        <x:v>-488873.34874759626</x:v>
      </x:c>
      <x:c r="D2954" s="25" t="str">
        <x:v>tonnes_primary_production_equivalent</x:v>
      </x:c>
    </x:row>
    <x:row r="2955" ht="18" customHeight="1">
      <x:c r="A2955" s="25" t="str">
        <x:v>EEZ_899</x:v>
      </x:c>
      <x:c r="B2955" s="25" t="str">
        <x:v>functional_ppr_difference</x:v>
      </x:c>
      <x:c r="C2955" s="25" t="n">
        <x:v>-270496.39899133495</x:v>
      </x:c>
      <x:c r="D2955" s="25" t="str">
        <x:v>tonnes_primary_production_equivalent</x:v>
      </x:c>
    </x:row>
    <x:row r="2956" ht="18" customHeight="1">
      <x:c r="A2956" s="25" t="str">
        <x:v>EEZ_900</x:v>
      </x:c>
      <x:c r="B2956" s="25" t="str">
        <x:v>raw_filtered_tonnes</x:v>
      </x:c>
      <x:c r="C2956" s="25" t="n">
        <x:v>3619.1201016588</x:v>
      </x:c>
      <x:c r="D2956" s="25" t="str">
        <x:v>tonnes</x:v>
      </x:c>
    </x:row>
    <x:row r="2957" ht="18" customHeight="1">
      <x:c r="A2957" s="25" t="str">
        <x:v>EEZ_900</x:v>
      </x:c>
      <x:c r="B2957" s="25" t="str">
        <x:v>species_catch_tonnes</x:v>
      </x:c>
      <x:c r="C2957" s="25" t="n">
        <x:v>3619.1201016587997</x:v>
      </x:c>
      <x:c r="D2957" s="25" t="str">
        <x:v>tonnes</x:v>
      </x:c>
    </x:row>
    <x:row r="2958" ht="18" customHeight="1">
      <x:c r="A2958" s="25" t="str">
        <x:v>EEZ_900</x:v>
      </x:c>
      <x:c r="B2958" s="25" t="str">
        <x:v>catch_difference_tonnes</x:v>
      </x:c>
      <x:c r="C2958" s="25" t="n">
        <x:v>-4.547473508864641e-13</x:v>
      </x:c>
      <x:c r="D2958" s="25" t="str">
        <x:v>tonnes</x:v>
      </x:c>
    </x:row>
    <x:row r="2959" ht="18" customHeight="1">
      <x:c r="A2959" s="25" t="str">
        <x:v>EEZ_900</x:v>
      </x:c>
      <x:c r="B2959" s="25" t="str">
        <x:v>catch_reconciled</x:v>
      </x:c>
      <x:c r="C2959" s="36" t="b">
        <x:v>1</x:v>
      </x:c>
      <x:c r="D2959" s="25" t="str">
        <x:v>boolean</x:v>
      </x:c>
    </x:row>
    <x:row r="2960" ht="18" customHeight="1">
      <x:c r="A2960" s="25" t="str">
        <x:v>EEZ_900</x:v>
      </x:c>
      <x:c r="B2960" s="25" t="str">
        <x:v>matched_catch_tonnes</x:v>
      </x:c>
      <x:c r="C2960" s="25" t="n">
        <x:v>3619.1201016587997</x:v>
      </x:c>
      <x:c r="D2960" s="25" t="str">
        <x:v>tonnes</x:v>
      </x:c>
    </x:row>
    <x:row r="2961" ht="18" customHeight="1">
      <x:c r="A2961" s="25" t="str">
        <x:v>EEZ_900</x:v>
      </x:c>
      <x:c r="B2961" s="25" t="str">
        <x:v>catch_coverage_fraction</x:v>
      </x:c>
      <x:c r="C2961" s="25" t="n">
        <x:v>1</x:v>
      </x:c>
      <x:c r="D2961" s="25" t="str">
        <x:v>fraction</x:v>
      </x:c>
    </x:row>
    <x:row r="2962" ht="18" customHeight="1">
      <x:c r="A2962" s="25" t="str">
        <x:v>EEZ_900</x:v>
      </x:c>
      <x:c r="B2962" s="25" t="str">
        <x:v>taxa_count</x:v>
      </x:c>
      <x:c r="C2962" s="25" t="n">
        <x:v>73</x:v>
      </x:c>
      <x:c r="D2962" s="25" t="str">
        <x:v>count</x:v>
      </x:c>
    </x:row>
    <x:row r="2963" ht="18" customHeight="1">
      <x:c r="A2963" s="25" t="str">
        <x:v>EEZ_900</x:v>
      </x:c>
      <x:c r="B2963" s="25" t="str">
        <x:v>matched_taxa_count</x:v>
      </x:c>
      <x:c r="C2963" s="25" t="n">
        <x:v>73</x:v>
      </x:c>
      <x:c r="D2963" s="25" t="str">
        <x:v>count</x:v>
      </x:c>
    </x:row>
    <x:row r="2964" ht="18" customHeight="1">
      <x:c r="A2964" s="25" t="str">
        <x:v>EEZ_900</x:v>
      </x:c>
      <x:c r="B2964" s="25" t="str">
        <x:v>unmatched_taxa_count</x:v>
      </x:c>
      <x:c r="C2964" s="25" t="n">
        <x:v>0</x:v>
      </x:c>
      <x:c r="D2964" s="25" t="str">
        <x:v>count</x:v>
      </x:c>
    </x:row>
    <x:row r="2965" ht="18" customHeight="1">
      <x:c r="A2965" s="25" t="str">
        <x:v>EEZ_900</x:v>
      </x:c>
      <x:c r="B2965" s="25" t="str">
        <x:v>species_ppr</x:v>
      </x:c>
      <x:c r="C2965" s="25" t="n">
        <x:v>2926602.3167501483</x:v>
      </x:c>
      <x:c r="D2965" s="25" t="str">
        <x:v>tonnes_primary_production_equivalent</x:v>
      </x:c>
    </x:row>
    <x:row r="2966" ht="18" customHeight="1">
      <x:c r="A2966" s="25" t="str">
        <x:v>EEZ_900</x:v>
      </x:c>
      <x:c r="B2966" s="25" t="str">
        <x:v>commercial_ppr</x:v>
      </x:c>
      <x:c r="C2966" s="25" t="n">
        <x:v>2082504.0435939096</x:v>
      </x:c>
      <x:c r="D2966" s="25" t="str">
        <x:v>tonnes_primary_production_equivalent</x:v>
      </x:c>
    </x:row>
    <x:row r="2967" ht="18" customHeight="1">
      <x:c r="A2967" s="25" t="str">
        <x:v>EEZ_900</x:v>
      </x:c>
      <x:c r="B2967" s="25" t="str">
        <x:v>functional_ppr</x:v>
      </x:c>
      <x:c r="C2967" s="25" t="n">
        <x:v>2597538.3403803934</x:v>
      </x:c>
      <x:c r="D2967" s="25" t="str">
        <x:v>tonnes_primary_production_equivalent</x:v>
      </x:c>
    </x:row>
    <x:row r="2968" ht="18" customHeight="1">
      <x:c r="A2968" s="25" t="str">
        <x:v>EEZ_900</x:v>
      </x:c>
      <x:c r="B2968" s="25" t="str">
        <x:v>commercial_ppr_difference</x:v>
      </x:c>
      <x:c r="C2968" s="25" t="n">
        <x:v>-844098.2731562387</x:v>
      </x:c>
      <x:c r="D2968" s="25" t="str">
        <x:v>tonnes_primary_production_equivalent</x:v>
      </x:c>
    </x:row>
    <x:row r="2969" ht="18" customHeight="1">
      <x:c r="A2969" s="25" t="str">
        <x:v>EEZ_900</x:v>
      </x:c>
      <x:c r="B2969" s="25" t="str">
        <x:v>functional_ppr_difference</x:v>
      </x:c>
      <x:c r="C2969" s="25" t="n">
        <x:v>-329063.9763697549</x:v>
      </x:c>
      <x:c r="D2969" s="25" t="str">
        <x:v>tonnes_primary_production_equivalent</x:v>
      </x:c>
    </x:row>
    <x:row r="2970" ht="18" customHeight="1">
      <x:c r="A2970" s="25" t="str">
        <x:v>EEZ_901</x:v>
      </x:c>
      <x:c r="B2970" s="25" t="str">
        <x:v>raw_filtered_tonnes</x:v>
      </x:c>
      <x:c r="C2970" s="25" t="n">
        <x:v>39568.555548646895</x:v>
      </x:c>
      <x:c r="D2970" s="25" t="str">
        <x:v>tonnes</x:v>
      </x:c>
    </x:row>
    <x:row r="2971" ht="18" customHeight="1">
      <x:c r="A2971" s="25" t="str">
        <x:v>EEZ_901</x:v>
      </x:c>
      <x:c r="B2971" s="25" t="str">
        <x:v>species_catch_tonnes</x:v>
      </x:c>
      <x:c r="C2971" s="25" t="n">
        <x:v>39568.555548646895</x:v>
      </x:c>
      <x:c r="D2971" s="25" t="str">
        <x:v>tonnes</x:v>
      </x:c>
    </x:row>
    <x:row r="2972" ht="18" customHeight="1">
      <x:c r="A2972" s="25" t="str">
        <x:v>EEZ_901</x:v>
      </x:c>
      <x:c r="B2972" s="25" t="str">
        <x:v>catch_difference_tonnes</x:v>
      </x:c>
      <x:c r="C2972" s="25" t="n">
        <x:v>0</x:v>
      </x:c>
      <x:c r="D2972" s="25" t="str">
        <x:v>tonnes</x:v>
      </x:c>
    </x:row>
    <x:row r="2973" ht="18" customHeight="1">
      <x:c r="A2973" s="25" t="str">
        <x:v>EEZ_901</x:v>
      </x:c>
      <x:c r="B2973" s="25" t="str">
        <x:v>catch_reconciled</x:v>
      </x:c>
      <x:c r="C2973" s="36" t="b">
        <x:v>1</x:v>
      </x:c>
      <x:c r="D2973" s="25" t="str">
        <x:v>boolean</x:v>
      </x:c>
    </x:row>
    <x:row r="2974" ht="18" customHeight="1">
      <x:c r="A2974" s="25" t="str">
        <x:v>EEZ_901</x:v>
      </x:c>
      <x:c r="B2974" s="25" t="str">
        <x:v>matched_catch_tonnes</x:v>
      </x:c>
      <x:c r="C2974" s="25" t="n">
        <x:v>39568.555548646895</x:v>
      </x:c>
      <x:c r="D2974" s="25" t="str">
        <x:v>tonnes</x:v>
      </x:c>
    </x:row>
    <x:row r="2975" ht="18" customHeight="1">
      <x:c r="A2975" s="25" t="str">
        <x:v>EEZ_901</x:v>
      </x:c>
      <x:c r="B2975" s="25" t="str">
        <x:v>catch_coverage_fraction</x:v>
      </x:c>
      <x:c r="C2975" s="25" t="n">
        <x:v>1</x:v>
      </x:c>
      <x:c r="D2975" s="25" t="str">
        <x:v>fraction</x:v>
      </x:c>
    </x:row>
    <x:row r="2976" ht="18" customHeight="1">
      <x:c r="A2976" s="25" t="str">
        <x:v>EEZ_901</x:v>
      </x:c>
      <x:c r="B2976" s="25" t="str">
        <x:v>taxa_count</x:v>
      </x:c>
      <x:c r="C2976" s="25" t="n">
        <x:v>152</x:v>
      </x:c>
      <x:c r="D2976" s="25" t="str">
        <x:v>count</x:v>
      </x:c>
    </x:row>
    <x:row r="2977" ht="18" customHeight="1">
      <x:c r="A2977" s="25" t="str">
        <x:v>EEZ_901</x:v>
      </x:c>
      <x:c r="B2977" s="25" t="str">
        <x:v>matched_taxa_count</x:v>
      </x:c>
      <x:c r="C2977" s="25" t="n">
        <x:v>152</x:v>
      </x:c>
      <x:c r="D2977" s="25" t="str">
        <x:v>count</x:v>
      </x:c>
    </x:row>
    <x:row r="2978" ht="18" customHeight="1">
      <x:c r="A2978" s="25" t="str">
        <x:v>EEZ_901</x:v>
      </x:c>
      <x:c r="B2978" s="25" t="str">
        <x:v>unmatched_taxa_count</x:v>
      </x:c>
      <x:c r="C2978" s="25" t="n">
        <x:v>0</x:v>
      </x:c>
      <x:c r="D2978" s="25" t="str">
        <x:v>count</x:v>
      </x:c>
    </x:row>
    <x:row r="2979" ht="18" customHeight="1">
      <x:c r="A2979" s="25" t="str">
        <x:v>EEZ_901</x:v>
      </x:c>
      <x:c r="B2979" s="25" t="str">
        <x:v>species_ppr</x:v>
      </x:c>
      <x:c r="C2979" s="25" t="n">
        <x:v>27016327.359729037</x:v>
      </x:c>
      <x:c r="D2979" s="25" t="str">
        <x:v>tonnes_primary_production_equivalent</x:v>
      </x:c>
    </x:row>
    <x:row r="2980" ht="18" customHeight="1">
      <x:c r="A2980" s="25" t="str">
        <x:v>EEZ_901</x:v>
      </x:c>
      <x:c r="B2980" s="25" t="str">
        <x:v>commercial_ppr</x:v>
      </x:c>
      <x:c r="C2980" s="25" t="n">
        <x:v>21399990.68593382</x:v>
      </x:c>
      <x:c r="D2980" s="25" t="str">
        <x:v>tonnes_primary_production_equivalent</x:v>
      </x:c>
    </x:row>
    <x:row r="2981" ht="18" customHeight="1">
      <x:c r="A2981" s="25" t="str">
        <x:v>EEZ_901</x:v>
      </x:c>
      <x:c r="B2981" s="25" t="str">
        <x:v>functional_ppr</x:v>
      </x:c>
      <x:c r="C2981" s="25" t="n">
        <x:v>22897615.638034843</x:v>
      </x:c>
      <x:c r="D2981" s="25" t="str">
        <x:v>tonnes_primary_production_equivalent</x:v>
      </x:c>
    </x:row>
    <x:row r="2982" ht="18" customHeight="1">
      <x:c r="A2982" s="25" t="str">
        <x:v>EEZ_901</x:v>
      </x:c>
      <x:c r="B2982" s="25" t="str">
        <x:v>commercial_ppr_difference</x:v>
      </x:c>
      <x:c r="C2982" s="25" t="n">
        <x:v>-5616336.673795216</x:v>
      </x:c>
      <x:c r="D2982" s="25" t="str">
        <x:v>tonnes_primary_production_equivalent</x:v>
      </x:c>
    </x:row>
    <x:row r="2983" ht="18" customHeight="1">
      <x:c r="A2983" s="25" t="str">
        <x:v>EEZ_901</x:v>
      </x:c>
      <x:c r="B2983" s="25" t="str">
        <x:v>functional_ppr_difference</x:v>
      </x:c>
      <x:c r="C2983" s="25" t="n">
        <x:v>-4118711.721694194</x:v>
      </x:c>
      <x:c r="D2983" s="25" t="str">
        <x:v>tonnes_primary_production_equivalent</x:v>
      </x:c>
    </x:row>
    <x:row r="2984" ht="18" customHeight="1">
      <x:c r="A2984" s="25" t="str">
        <x:v>EEZ_902</x:v>
      </x:c>
      <x:c r="B2984" s="25" t="str">
        <x:v>raw_filtered_tonnes</x:v>
      </x:c>
      <x:c r="C2984" s="25" t="n">
        <x:v>15737.0913019012</x:v>
      </x:c>
      <x:c r="D2984" s="25" t="str">
        <x:v>tonnes</x:v>
      </x:c>
    </x:row>
    <x:row r="2985" ht="18" customHeight="1">
      <x:c r="A2985" s="25" t="str">
        <x:v>EEZ_902</x:v>
      </x:c>
      <x:c r="B2985" s="25" t="str">
        <x:v>species_catch_tonnes</x:v>
      </x:c>
      <x:c r="C2985" s="25" t="n">
        <x:v>15737.091301901197</x:v>
      </x:c>
      <x:c r="D2985" s="25" t="str">
        <x:v>tonnes</x:v>
      </x:c>
    </x:row>
    <x:row r="2986" ht="18" customHeight="1">
      <x:c r="A2986" s="25" t="str">
        <x:v>EEZ_902</x:v>
      </x:c>
      <x:c r="B2986" s="25" t="str">
        <x:v>catch_difference_tonnes</x:v>
      </x:c>
      <x:c r="C2986" s="25" t="n">
        <x:v>-3.637978807091713e-12</x:v>
      </x:c>
      <x:c r="D2986" s="25" t="str">
        <x:v>tonnes</x:v>
      </x:c>
    </x:row>
    <x:row r="2987" ht="18" customHeight="1">
      <x:c r="A2987" s="25" t="str">
        <x:v>EEZ_902</x:v>
      </x:c>
      <x:c r="B2987" s="25" t="str">
        <x:v>catch_reconciled</x:v>
      </x:c>
      <x:c r="C2987" s="36" t="b">
        <x:v>1</x:v>
      </x:c>
      <x:c r="D2987" s="25" t="str">
        <x:v>boolean</x:v>
      </x:c>
    </x:row>
    <x:row r="2988" ht="18" customHeight="1">
      <x:c r="A2988" s="25" t="str">
        <x:v>EEZ_902</x:v>
      </x:c>
      <x:c r="B2988" s="25" t="str">
        <x:v>matched_catch_tonnes</x:v>
      </x:c>
      <x:c r="C2988" s="25" t="n">
        <x:v>15737.091301901197</x:v>
      </x:c>
      <x:c r="D2988" s="25" t="str">
        <x:v>tonnes</x:v>
      </x:c>
    </x:row>
    <x:row r="2989" ht="18" customHeight="1">
      <x:c r="A2989" s="25" t="str">
        <x:v>EEZ_902</x:v>
      </x:c>
      <x:c r="B2989" s="25" t="str">
        <x:v>catch_coverage_fraction</x:v>
      </x:c>
      <x:c r="C2989" s="25" t="n">
        <x:v>1</x:v>
      </x:c>
      <x:c r="D2989" s="25" t="str">
        <x:v>fraction</x:v>
      </x:c>
    </x:row>
    <x:row r="2990" ht="18" customHeight="1">
      <x:c r="A2990" s="25" t="str">
        <x:v>EEZ_902</x:v>
      </x:c>
      <x:c r="B2990" s="25" t="str">
        <x:v>taxa_count</x:v>
      </x:c>
      <x:c r="C2990" s="25" t="n">
        <x:v>145</x:v>
      </x:c>
      <x:c r="D2990" s="25" t="str">
        <x:v>count</x:v>
      </x:c>
    </x:row>
    <x:row r="2991" ht="18" customHeight="1">
      <x:c r="A2991" s="25" t="str">
        <x:v>EEZ_902</x:v>
      </x:c>
      <x:c r="B2991" s="25" t="str">
        <x:v>matched_taxa_count</x:v>
      </x:c>
      <x:c r="C2991" s="25" t="n">
        <x:v>145</x:v>
      </x:c>
      <x:c r="D2991" s="25" t="str">
        <x:v>count</x:v>
      </x:c>
    </x:row>
    <x:row r="2992" ht="18" customHeight="1">
      <x:c r="A2992" s="25" t="str">
        <x:v>EEZ_902</x:v>
      </x:c>
      <x:c r="B2992" s="25" t="str">
        <x:v>unmatched_taxa_count</x:v>
      </x:c>
      <x:c r="C2992" s="25" t="n">
        <x:v>0</x:v>
      </x:c>
      <x:c r="D2992" s="25" t="str">
        <x:v>count</x:v>
      </x:c>
    </x:row>
    <x:row r="2993" ht="18" customHeight="1">
      <x:c r="A2993" s="25" t="str">
        <x:v>EEZ_902</x:v>
      </x:c>
      <x:c r="B2993" s="25" t="str">
        <x:v>species_ppr</x:v>
      </x:c>
      <x:c r="C2993" s="25" t="n">
        <x:v>13470007.001124758</x:v>
      </x:c>
      <x:c r="D2993" s="25" t="str">
        <x:v>tonnes_primary_production_equivalent</x:v>
      </x:c>
    </x:row>
    <x:row r="2994" ht="18" customHeight="1">
      <x:c r="A2994" s="25" t="str">
        <x:v>EEZ_902</x:v>
      </x:c>
      <x:c r="B2994" s="25" t="str">
        <x:v>commercial_ppr</x:v>
      </x:c>
      <x:c r="C2994" s="25" t="n">
        <x:v>9902046.85245751</x:v>
      </x:c>
      <x:c r="D2994" s="25" t="str">
        <x:v>tonnes_primary_production_equivalent</x:v>
      </x:c>
    </x:row>
    <x:row r="2995" ht="18" customHeight="1">
      <x:c r="A2995" s="25" t="str">
        <x:v>EEZ_902</x:v>
      </x:c>
      <x:c r="B2995" s="25" t="str">
        <x:v>functional_ppr</x:v>
      </x:c>
      <x:c r="C2995" s="25" t="n">
        <x:v>10683465.39783505</x:v>
      </x:c>
      <x:c r="D2995" s="25" t="str">
        <x:v>tonnes_primary_production_equivalent</x:v>
      </x:c>
    </x:row>
    <x:row r="2996" ht="18" customHeight="1">
      <x:c r="A2996" s="25" t="str">
        <x:v>EEZ_902</x:v>
      </x:c>
      <x:c r="B2996" s="25" t="str">
        <x:v>commercial_ppr_difference</x:v>
      </x:c>
      <x:c r="C2996" s="25" t="n">
        <x:v>-3567960.148667248</x:v>
      </x:c>
      <x:c r="D2996" s="25" t="str">
        <x:v>tonnes_primary_production_equivalent</x:v>
      </x:c>
    </x:row>
    <x:row r="2997" ht="18" customHeight="1">
      <x:c r="A2997" s="25" t="str">
        <x:v>EEZ_902</x:v>
      </x:c>
      <x:c r="B2997" s="25" t="str">
        <x:v>functional_ppr_difference</x:v>
      </x:c>
      <x:c r="C2997" s="25" t="n">
        <x:v>-2786541.6032897085</x:v>
      </x:c>
      <x:c r="D2997" s="25" t="str">
        <x:v>tonnes_primary_production_equivalent</x:v>
      </x:c>
    </x:row>
    <x:row r="2998" ht="18" customHeight="1">
      <x:c r="A2998" s="25" t="str">
        <x:v>EEZ_903</x:v>
      </x:c>
      <x:c r="B2998" s="25" t="str">
        <x:v>raw_filtered_tonnes</x:v>
      </x:c>
      <x:c r="C2998" s="25" t="n">
        <x:v>15335.986237662899</x:v>
      </x:c>
      <x:c r="D2998" s="25" t="str">
        <x:v>tonnes</x:v>
      </x:c>
    </x:row>
    <x:row r="2999" ht="18" customHeight="1">
      <x:c r="A2999" s="25" t="str">
        <x:v>EEZ_903</x:v>
      </x:c>
      <x:c r="B2999" s="25" t="str">
        <x:v>species_catch_tonnes</x:v>
      </x:c>
      <x:c r="C2999" s="25" t="n">
        <x:v>15335.9862376629</x:v>
      </x:c>
      <x:c r="D2999" s="25" t="str">
        <x:v>tonnes</x:v>
      </x:c>
    </x:row>
    <x:row r="3000" ht="18" customHeight="1">
      <x:c r="A3000" s="25" t="str">
        <x:v>EEZ_903</x:v>
      </x:c>
      <x:c r="B3000" s="25" t="str">
        <x:v>catch_difference_tonnes</x:v>
      </x:c>
      <x:c r="C3000" s="25" t="n">
        <x:v>1.8189894035458565e-12</x:v>
      </x:c>
      <x:c r="D3000" s="25" t="str">
        <x:v>tonnes</x:v>
      </x:c>
    </x:row>
    <x:row r="3001" ht="18" customHeight="1">
      <x:c r="A3001" s="25" t="str">
        <x:v>EEZ_903</x:v>
      </x:c>
      <x:c r="B3001" s="25" t="str">
        <x:v>catch_reconciled</x:v>
      </x:c>
      <x:c r="C3001" s="36" t="b">
        <x:v>1</x:v>
      </x:c>
      <x:c r="D3001" s="25" t="str">
        <x:v>boolean</x:v>
      </x:c>
    </x:row>
    <x:row r="3002" ht="18" customHeight="1">
      <x:c r="A3002" s="25" t="str">
        <x:v>EEZ_903</x:v>
      </x:c>
      <x:c r="B3002" s="25" t="str">
        <x:v>matched_catch_tonnes</x:v>
      </x:c>
      <x:c r="C3002" s="25" t="n">
        <x:v>15335.9862376629</x:v>
      </x:c>
      <x:c r="D3002" s="25" t="str">
        <x:v>tonnes</x:v>
      </x:c>
    </x:row>
    <x:row r="3003" ht="18" customHeight="1">
      <x:c r="A3003" s="25" t="str">
        <x:v>EEZ_903</x:v>
      </x:c>
      <x:c r="B3003" s="25" t="str">
        <x:v>catch_coverage_fraction</x:v>
      </x:c>
      <x:c r="C3003" s="25" t="n">
        <x:v>1</x:v>
      </x:c>
      <x:c r="D3003" s="25" t="str">
        <x:v>fraction</x:v>
      </x:c>
    </x:row>
    <x:row r="3004" ht="18" customHeight="1">
      <x:c r="A3004" s="25" t="str">
        <x:v>EEZ_903</x:v>
      </x:c>
      <x:c r="B3004" s="25" t="str">
        <x:v>taxa_count</x:v>
      </x:c>
      <x:c r="C3004" s="25" t="n">
        <x:v>187</x:v>
      </x:c>
      <x:c r="D3004" s="25" t="str">
        <x:v>count</x:v>
      </x:c>
    </x:row>
    <x:row r="3005" ht="18" customHeight="1">
      <x:c r="A3005" s="25" t="str">
        <x:v>EEZ_903</x:v>
      </x:c>
      <x:c r="B3005" s="25" t="str">
        <x:v>matched_taxa_count</x:v>
      </x:c>
      <x:c r="C3005" s="25" t="n">
        <x:v>187</x:v>
      </x:c>
      <x:c r="D3005" s="25" t="str">
        <x:v>count</x:v>
      </x:c>
    </x:row>
    <x:row r="3006" ht="18" customHeight="1">
      <x:c r="A3006" s="25" t="str">
        <x:v>EEZ_903</x:v>
      </x:c>
      <x:c r="B3006" s="25" t="str">
        <x:v>unmatched_taxa_count</x:v>
      </x:c>
      <x:c r="C3006" s="25" t="n">
        <x:v>0</x:v>
      </x:c>
      <x:c r="D3006" s="25" t="str">
        <x:v>count</x:v>
      </x:c>
    </x:row>
    <x:row r="3007" ht="18" customHeight="1">
      <x:c r="A3007" s="25" t="str">
        <x:v>EEZ_903</x:v>
      </x:c>
      <x:c r="B3007" s="25" t="str">
        <x:v>species_ppr</x:v>
      </x:c>
      <x:c r="C3007" s="25" t="n">
        <x:v>28287148.88364155</x:v>
      </x:c>
      <x:c r="D3007" s="25" t="str">
        <x:v>tonnes_primary_production_equivalent</x:v>
      </x:c>
    </x:row>
    <x:row r="3008" ht="18" customHeight="1">
      <x:c r="A3008" s="25" t="str">
        <x:v>EEZ_903</x:v>
      </x:c>
      <x:c r="B3008" s="25" t="str">
        <x:v>commercial_ppr</x:v>
      </x:c>
      <x:c r="C3008" s="25" t="n">
        <x:v>26410037.30568266</x:v>
      </x:c>
      <x:c r="D3008" s="25" t="str">
        <x:v>tonnes_primary_production_equivalent</x:v>
      </x:c>
    </x:row>
    <x:row r="3009" ht="18" customHeight="1">
      <x:c r="A3009" s="25" t="str">
        <x:v>EEZ_903</x:v>
      </x:c>
      <x:c r="B3009" s="25" t="str">
        <x:v>functional_ppr</x:v>
      </x:c>
      <x:c r="C3009" s="25" t="n">
        <x:v>27236813.42580577</x:v>
      </x:c>
      <x:c r="D3009" s="25" t="str">
        <x:v>tonnes_primary_production_equivalent</x:v>
      </x:c>
    </x:row>
    <x:row r="3010" ht="18" customHeight="1">
      <x:c r="A3010" s="25" t="str">
        <x:v>EEZ_903</x:v>
      </x:c>
      <x:c r="B3010" s="25" t="str">
        <x:v>commercial_ppr_difference</x:v>
      </x:c>
      <x:c r="C3010" s="25" t="n">
        <x:v>-1877111.5779588893</x:v>
      </x:c>
      <x:c r="D3010" s="25" t="str">
        <x:v>tonnes_primary_production_equivalent</x:v>
      </x:c>
    </x:row>
    <x:row r="3011" ht="18" customHeight="1">
      <x:c r="A3011" s="25" t="str">
        <x:v>EEZ_903</x:v>
      </x:c>
      <x:c r="B3011" s="25" t="str">
        <x:v>functional_ppr_difference</x:v>
      </x:c>
      <x:c r="C3011" s="25" t="n">
        <x:v>-1050335.4578357786</x:v>
      </x:c>
      <x:c r="D3011" s="25" t="str">
        <x:v>tonnes_primary_production_equivalent</x:v>
      </x:c>
    </x:row>
    <x:row r="3012" ht="18" customHeight="1">
      <x:c r="A3012" s="25" t="str">
        <x:v>EEZ_904</x:v>
      </x:c>
      <x:c r="B3012" s="25" t="str">
        <x:v>raw_filtered_tonnes</x:v>
      </x:c>
      <x:c r="C3012" s="25" t="n">
        <x:v>526.035917713</x:v>
      </x:c>
      <x:c r="D3012" s="25" t="str">
        <x:v>tonnes</x:v>
      </x:c>
    </x:row>
    <x:row r="3013" ht="18" customHeight="1">
      <x:c r="A3013" s="25" t="str">
        <x:v>EEZ_904</x:v>
      </x:c>
      <x:c r="B3013" s="25" t="str">
        <x:v>species_catch_tonnes</x:v>
      </x:c>
      <x:c r="C3013" s="25" t="n">
        <x:v>526.0359177130001</x:v>
      </x:c>
      <x:c r="D3013" s="25" t="str">
        <x:v>tonnes</x:v>
      </x:c>
    </x:row>
    <x:row r="3014" ht="18" customHeight="1">
      <x:c r="A3014" s="25" t="str">
        <x:v>EEZ_904</x:v>
      </x:c>
      <x:c r="B3014" s="25" t="str">
        <x:v>catch_difference_tonnes</x:v>
      </x:c>
      <x:c r="C3014" s="25" t="n">
        <x:v>1.1368683772161603e-13</x:v>
      </x:c>
      <x:c r="D3014" s="25" t="str">
        <x:v>tonnes</x:v>
      </x:c>
    </x:row>
    <x:row r="3015" ht="18" customHeight="1">
      <x:c r="A3015" s="25" t="str">
        <x:v>EEZ_904</x:v>
      </x:c>
      <x:c r="B3015" s="25" t="str">
        <x:v>catch_reconciled</x:v>
      </x:c>
      <x:c r="C3015" s="36" t="b">
        <x:v>1</x:v>
      </x:c>
      <x:c r="D3015" s="25" t="str">
        <x:v>boolean</x:v>
      </x:c>
    </x:row>
    <x:row r="3016" ht="18" customHeight="1">
      <x:c r="A3016" s="25" t="str">
        <x:v>EEZ_904</x:v>
      </x:c>
      <x:c r="B3016" s="25" t="str">
        <x:v>matched_catch_tonnes</x:v>
      </x:c>
      <x:c r="C3016" s="25" t="n">
        <x:v>526.0359177130001</x:v>
      </x:c>
      <x:c r="D3016" s="25" t="str">
        <x:v>tonnes</x:v>
      </x:c>
    </x:row>
    <x:row r="3017" ht="18" customHeight="1">
      <x:c r="A3017" s="25" t="str">
        <x:v>EEZ_904</x:v>
      </x:c>
      <x:c r="B3017" s="25" t="str">
        <x:v>catch_coverage_fraction</x:v>
      </x:c>
      <x:c r="C3017" s="25" t="n">
        <x:v>1</x:v>
      </x:c>
      <x:c r="D3017" s="25" t="str">
        <x:v>fraction</x:v>
      </x:c>
    </x:row>
    <x:row r="3018" ht="18" customHeight="1">
      <x:c r="A3018" s="25" t="str">
        <x:v>EEZ_904</x:v>
      </x:c>
      <x:c r="B3018" s="25" t="str">
        <x:v>taxa_count</x:v>
      </x:c>
      <x:c r="C3018" s="25" t="n">
        <x:v>29</x:v>
      </x:c>
      <x:c r="D3018" s="25" t="str">
        <x:v>count</x:v>
      </x:c>
    </x:row>
    <x:row r="3019" ht="18" customHeight="1">
      <x:c r="A3019" s="25" t="str">
        <x:v>EEZ_904</x:v>
      </x:c>
      <x:c r="B3019" s="25" t="str">
        <x:v>matched_taxa_count</x:v>
      </x:c>
      <x:c r="C3019" s="25" t="n">
        <x:v>29</x:v>
      </x:c>
      <x:c r="D3019" s="25" t="str">
        <x:v>count</x:v>
      </x:c>
    </x:row>
    <x:row r="3020" ht="18" customHeight="1">
      <x:c r="A3020" s="25" t="str">
        <x:v>EEZ_904</x:v>
      </x:c>
      <x:c r="B3020" s="25" t="str">
        <x:v>unmatched_taxa_count</x:v>
      </x:c>
      <x:c r="C3020" s="25" t="n">
        <x:v>0</x:v>
      </x:c>
      <x:c r="D3020" s="25" t="str">
        <x:v>count</x:v>
      </x:c>
    </x:row>
    <x:row r="3021" ht="18" customHeight="1">
      <x:c r="A3021" s="25" t="str">
        <x:v>EEZ_904</x:v>
      </x:c>
      <x:c r="B3021" s="25" t="str">
        <x:v>species_ppr</x:v>
      </x:c>
      <x:c r="C3021" s="25" t="n">
        <x:v>405068.1217651294</x:v>
      </x:c>
      <x:c r="D3021" s="25" t="str">
        <x:v>tonnes_primary_production_equivalent</x:v>
      </x:c>
    </x:row>
    <x:row r="3022" ht="18" customHeight="1">
      <x:c r="A3022" s="25" t="str">
        <x:v>EEZ_904</x:v>
      </x:c>
      <x:c r="B3022" s="25" t="str">
        <x:v>commercial_ppr</x:v>
      </x:c>
      <x:c r="C3022" s="25" t="n">
        <x:v>327867.426132599</x:v>
      </x:c>
      <x:c r="D3022" s="25" t="str">
        <x:v>tonnes_primary_production_equivalent</x:v>
      </x:c>
    </x:row>
    <x:row r="3023" ht="18" customHeight="1">
      <x:c r="A3023" s="25" t="str">
        <x:v>EEZ_904</x:v>
      </x:c>
      <x:c r="B3023" s="25" t="str">
        <x:v>functional_ppr</x:v>
      </x:c>
      <x:c r="C3023" s="25" t="n">
        <x:v>354580.58677155705</x:v>
      </x:c>
      <x:c r="D3023" s="25" t="str">
        <x:v>tonnes_primary_production_equivalent</x:v>
      </x:c>
    </x:row>
    <x:row r="3024" ht="18" customHeight="1">
      <x:c r="A3024" s="25" t="str">
        <x:v>EEZ_904</x:v>
      </x:c>
      <x:c r="B3024" s="25" t="str">
        <x:v>commercial_ppr_difference</x:v>
      </x:c>
      <x:c r="C3024" s="25" t="n">
        <x:v>-77200.69563253038</x:v>
      </x:c>
      <x:c r="D3024" s="25" t="str">
        <x:v>tonnes_primary_production_equivalent</x:v>
      </x:c>
    </x:row>
    <x:row r="3025" ht="18" customHeight="1">
      <x:c r="A3025" s="25" t="str">
        <x:v>EEZ_904</x:v>
      </x:c>
      <x:c r="B3025" s="25" t="str">
        <x:v>functional_ppr_difference</x:v>
      </x:c>
      <x:c r="C3025" s="25" t="n">
        <x:v>-50487.534993572335</x:v>
      </x:c>
      <x:c r="D3025" s="25" t="str">
        <x:v>tonnes_primary_production_equivalent</x:v>
      </x:c>
    </x:row>
    <x:row r="3026" ht="18" customHeight="1">
      <x:c r="A3026" s="25" t="str">
        <x:v>EEZ_905</x:v>
      </x:c>
      <x:c r="B3026" s="25" t="str">
        <x:v>raw_filtered_tonnes</x:v>
      </x:c>
      <x:c r="C3026" s="25" t="n">
        <x:v>547.916166265</x:v>
      </x:c>
      <x:c r="D3026" s="25" t="str">
        <x:v>tonnes</x:v>
      </x:c>
    </x:row>
    <x:row r="3027" ht="18" customHeight="1">
      <x:c r="A3027" s="25" t="str">
        <x:v>EEZ_905</x:v>
      </x:c>
      <x:c r="B3027" s="25" t="str">
        <x:v>species_catch_tonnes</x:v>
      </x:c>
      <x:c r="C3027" s="25" t="n">
        <x:v>547.9161662649999</x:v>
      </x:c>
      <x:c r="D3027" s="25" t="str">
        <x:v>tonnes</x:v>
      </x:c>
    </x:row>
    <x:row r="3028" ht="18" customHeight="1">
      <x:c r="A3028" s="25" t="str">
        <x:v>EEZ_905</x:v>
      </x:c>
      <x:c r="B3028" s="25" t="str">
        <x:v>catch_difference_tonnes</x:v>
      </x:c>
      <x:c r="C3028" s="25" t="n">
        <x:v>-1.1368683772161603e-13</x:v>
      </x:c>
      <x:c r="D3028" s="25" t="str">
        <x:v>tonnes</x:v>
      </x:c>
    </x:row>
    <x:row r="3029" ht="18" customHeight="1">
      <x:c r="A3029" s="25" t="str">
        <x:v>EEZ_905</x:v>
      </x:c>
      <x:c r="B3029" s="25" t="str">
        <x:v>catch_reconciled</x:v>
      </x:c>
      <x:c r="C3029" s="36" t="b">
        <x:v>1</x:v>
      </x:c>
      <x:c r="D3029" s="25" t="str">
        <x:v>boolean</x:v>
      </x:c>
    </x:row>
    <x:row r="3030" ht="18" customHeight="1">
      <x:c r="A3030" s="25" t="str">
        <x:v>EEZ_905</x:v>
      </x:c>
      <x:c r="B3030" s="25" t="str">
        <x:v>matched_catch_tonnes</x:v>
      </x:c>
      <x:c r="C3030" s="25" t="n">
        <x:v>547.9161662649999</x:v>
      </x:c>
      <x:c r="D3030" s="25" t="str">
        <x:v>tonnes</x:v>
      </x:c>
    </x:row>
    <x:row r="3031" ht="18" customHeight="1">
      <x:c r="A3031" s="25" t="str">
        <x:v>EEZ_905</x:v>
      </x:c>
      <x:c r="B3031" s="25" t="str">
        <x:v>catch_coverage_fraction</x:v>
      </x:c>
      <x:c r="C3031" s="25" t="n">
        <x:v>1</x:v>
      </x:c>
      <x:c r="D3031" s="25" t="str">
        <x:v>fraction</x:v>
      </x:c>
    </x:row>
    <x:row r="3032" ht="18" customHeight="1">
      <x:c r="A3032" s="25" t="str">
        <x:v>EEZ_905</x:v>
      </x:c>
      <x:c r="B3032" s="25" t="str">
        <x:v>taxa_count</x:v>
      </x:c>
      <x:c r="C3032" s="25" t="n">
        <x:v>29</x:v>
      </x:c>
      <x:c r="D3032" s="25" t="str">
        <x:v>count</x:v>
      </x:c>
    </x:row>
    <x:row r="3033" ht="18" customHeight="1">
      <x:c r="A3033" s="25" t="str">
        <x:v>EEZ_905</x:v>
      </x:c>
      <x:c r="B3033" s="25" t="str">
        <x:v>matched_taxa_count</x:v>
      </x:c>
      <x:c r="C3033" s="25" t="n">
        <x:v>29</x:v>
      </x:c>
      <x:c r="D3033" s="25" t="str">
        <x:v>count</x:v>
      </x:c>
    </x:row>
    <x:row r="3034" ht="18" customHeight="1">
      <x:c r="A3034" s="25" t="str">
        <x:v>EEZ_905</x:v>
      </x:c>
      <x:c r="B3034" s="25" t="str">
        <x:v>unmatched_taxa_count</x:v>
      </x:c>
      <x:c r="C3034" s="25" t="n">
        <x:v>0</x:v>
      </x:c>
      <x:c r="D3034" s="25" t="str">
        <x:v>count</x:v>
      </x:c>
    </x:row>
    <x:row r="3035" ht="18" customHeight="1">
      <x:c r="A3035" s="25" t="str">
        <x:v>EEZ_905</x:v>
      </x:c>
      <x:c r="B3035" s="25" t="str">
        <x:v>species_ppr</x:v>
      </x:c>
      <x:c r="C3035" s="25" t="n">
        <x:v>499593.895973369</x:v>
      </x:c>
      <x:c r="D3035" s="25" t="str">
        <x:v>tonnes_primary_production_equivalent</x:v>
      </x:c>
    </x:row>
    <x:row r="3036" ht="18" customHeight="1">
      <x:c r="A3036" s="25" t="str">
        <x:v>EEZ_905</x:v>
      </x:c>
      <x:c r="B3036" s="25" t="str">
        <x:v>commercial_ppr</x:v>
      </x:c>
      <x:c r="C3036" s="25" t="n">
        <x:v>403687.3066362591</x:v>
      </x:c>
      <x:c r="D3036" s="25" t="str">
        <x:v>tonnes_primary_production_equivalent</x:v>
      </x:c>
    </x:row>
    <x:row r="3037" ht="18" customHeight="1">
      <x:c r="A3037" s="25" t="str">
        <x:v>EEZ_905</x:v>
      </x:c>
      <x:c r="B3037" s="25" t="str">
        <x:v>functional_ppr</x:v>
      </x:c>
      <x:c r="C3037" s="25" t="n">
        <x:v>447140.9327517793</x:v>
      </x:c>
      <x:c r="D3037" s="25" t="str">
        <x:v>tonnes_primary_production_equivalent</x:v>
      </x:c>
    </x:row>
    <x:row r="3038" ht="18" customHeight="1">
      <x:c r="A3038" s="25" t="str">
        <x:v>EEZ_905</x:v>
      </x:c>
      <x:c r="B3038" s="25" t="str">
        <x:v>commercial_ppr_difference</x:v>
      </x:c>
      <x:c r="C3038" s="25" t="n">
        <x:v>-95906.58933710994</x:v>
      </x:c>
      <x:c r="D3038" s="25" t="str">
        <x:v>tonnes_primary_production_equivalent</x:v>
      </x:c>
    </x:row>
    <x:row r="3039" ht="18" customHeight="1">
      <x:c r="A3039" s="25" t="str">
        <x:v>EEZ_905</x:v>
      </x:c>
      <x:c r="B3039" s="25" t="str">
        <x:v>functional_ppr_difference</x:v>
      </x:c>
      <x:c r="C3039" s="25" t="n">
        <x:v>-52452.963221589685</x:v>
      </x:c>
      <x:c r="D3039" s="25" t="str">
        <x:v>tonnes_primary_production_equivalent</x:v>
      </x:c>
    </x:row>
    <x:row r="3040" ht="18" customHeight="1">
      <x:c r="A3040" s="25" t="str">
        <x:v>EEZ_906</x:v>
      </x:c>
      <x:c r="B3040" s="25" t="str">
        <x:v>raw_filtered_tonnes</x:v>
      </x:c>
      <x:c r="C3040" s="25" t="n">
        <x:v>4837.7877946069</x:v>
      </x:c>
      <x:c r="D3040" s="25" t="str">
        <x:v>tonnes</x:v>
      </x:c>
    </x:row>
    <x:row r="3041" ht="18" customHeight="1">
      <x:c r="A3041" s="25" t="str">
        <x:v>EEZ_906</x:v>
      </x:c>
      <x:c r="B3041" s="25" t="str">
        <x:v>species_catch_tonnes</x:v>
      </x:c>
      <x:c r="C3041" s="25" t="n">
        <x:v>4837.787794606899</x:v>
      </x:c>
      <x:c r="D3041" s="25" t="str">
        <x:v>tonnes</x:v>
      </x:c>
    </x:row>
    <x:row r="3042" ht="18" customHeight="1">
      <x:c r="A3042" s="25" t="str">
        <x:v>EEZ_906</x:v>
      </x:c>
      <x:c r="B3042" s="25" t="str">
        <x:v>catch_difference_tonnes</x:v>
      </x:c>
      <x:c r="C3042" s="25" t="n">
        <x:v>-9.094947017729282e-13</x:v>
      </x:c>
      <x:c r="D3042" s="25" t="str">
        <x:v>tonnes</x:v>
      </x:c>
    </x:row>
    <x:row r="3043" ht="18" customHeight="1">
      <x:c r="A3043" s="25" t="str">
        <x:v>EEZ_906</x:v>
      </x:c>
      <x:c r="B3043" s="25" t="str">
        <x:v>catch_reconciled</x:v>
      </x:c>
      <x:c r="C3043" s="36" t="b">
        <x:v>1</x:v>
      </x:c>
      <x:c r="D3043" s="25" t="str">
        <x:v>boolean</x:v>
      </x:c>
    </x:row>
    <x:row r="3044" ht="18" customHeight="1">
      <x:c r="A3044" s="25" t="str">
        <x:v>EEZ_906</x:v>
      </x:c>
      <x:c r="B3044" s="25" t="str">
        <x:v>matched_catch_tonnes</x:v>
      </x:c>
      <x:c r="C3044" s="25" t="n">
        <x:v>4837.787794606899</x:v>
      </x:c>
      <x:c r="D3044" s="25" t="str">
        <x:v>tonnes</x:v>
      </x:c>
    </x:row>
    <x:row r="3045" ht="18" customHeight="1">
      <x:c r="A3045" s="25" t="str">
        <x:v>EEZ_906</x:v>
      </x:c>
      <x:c r="B3045" s="25" t="str">
        <x:v>catch_coverage_fraction</x:v>
      </x:c>
      <x:c r="C3045" s="25" t="n">
        <x:v>1</x:v>
      </x:c>
      <x:c r="D3045" s="25" t="str">
        <x:v>fraction</x:v>
      </x:c>
    </x:row>
    <x:row r="3046" ht="18" customHeight="1">
      <x:c r="A3046" s="25" t="str">
        <x:v>EEZ_906</x:v>
      </x:c>
      <x:c r="B3046" s="25" t="str">
        <x:v>taxa_count</x:v>
      </x:c>
      <x:c r="C3046" s="25" t="n">
        <x:v>37</x:v>
      </x:c>
      <x:c r="D3046" s="25" t="str">
        <x:v>count</x:v>
      </x:c>
    </x:row>
    <x:row r="3047" ht="18" customHeight="1">
      <x:c r="A3047" s="25" t="str">
        <x:v>EEZ_906</x:v>
      </x:c>
      <x:c r="B3047" s="25" t="str">
        <x:v>matched_taxa_count</x:v>
      </x:c>
      <x:c r="C3047" s="25" t="n">
        <x:v>37</x:v>
      </x:c>
      <x:c r="D3047" s="25" t="str">
        <x:v>count</x:v>
      </x:c>
    </x:row>
    <x:row r="3048" ht="18" customHeight="1">
      <x:c r="A3048" s="25" t="str">
        <x:v>EEZ_906</x:v>
      </x:c>
      <x:c r="B3048" s="25" t="str">
        <x:v>unmatched_taxa_count</x:v>
      </x:c>
      <x:c r="C3048" s="25" t="n">
        <x:v>0</x:v>
      </x:c>
      <x:c r="D3048" s="25" t="str">
        <x:v>count</x:v>
      </x:c>
    </x:row>
    <x:row r="3049" ht="18" customHeight="1">
      <x:c r="A3049" s="25" t="str">
        <x:v>EEZ_906</x:v>
      </x:c>
      <x:c r="B3049" s="25" t="str">
        <x:v>species_ppr</x:v>
      </x:c>
      <x:c r="C3049" s="25" t="n">
        <x:v>7826249.292403802</x:v>
      </x:c>
      <x:c r="D3049" s="25" t="str">
        <x:v>tonnes_primary_production_equivalent</x:v>
      </x:c>
    </x:row>
    <x:row r="3050" ht="18" customHeight="1">
      <x:c r="A3050" s="25" t="str">
        <x:v>EEZ_906</x:v>
      </x:c>
      <x:c r="B3050" s="25" t="str">
        <x:v>commercial_ppr</x:v>
      </x:c>
      <x:c r="C3050" s="25" t="n">
        <x:v>7745679.6449990645</x:v>
      </x:c>
      <x:c r="D3050" s="25" t="str">
        <x:v>tonnes_primary_production_equivalent</x:v>
      </x:c>
    </x:row>
    <x:row r="3051" ht="18" customHeight="1">
      <x:c r="A3051" s="25" t="str">
        <x:v>EEZ_906</x:v>
      </x:c>
      <x:c r="B3051" s="25" t="str">
        <x:v>functional_ppr</x:v>
      </x:c>
      <x:c r="C3051" s="25" t="n">
        <x:v>7707048.136192446</x:v>
      </x:c>
      <x:c r="D3051" s="25" t="str">
        <x:v>tonnes_primary_production_equivalent</x:v>
      </x:c>
    </x:row>
    <x:row r="3052" ht="18" customHeight="1">
      <x:c r="A3052" s="25" t="str">
        <x:v>EEZ_906</x:v>
      </x:c>
      <x:c r="B3052" s="25" t="str">
        <x:v>commercial_ppr_difference</x:v>
      </x:c>
      <x:c r="C3052" s="25" t="n">
        <x:v>-80569.64740473777</x:v>
      </x:c>
      <x:c r="D3052" s="25" t="str">
        <x:v>tonnes_primary_production_equivalent</x:v>
      </x:c>
    </x:row>
    <x:row r="3053" ht="18" customHeight="1">
      <x:c r="A3053" s="25" t="str">
        <x:v>EEZ_906</x:v>
      </x:c>
      <x:c r="B3053" s="25" t="str">
        <x:v>functional_ppr_difference</x:v>
      </x:c>
      <x:c r="C3053" s="25" t="n">
        <x:v>-119201.15621135663</x:v>
      </x:c>
      <x:c r="D3053" s="25" t="str">
        <x:v>tonnes_primary_production_equivalent</x:v>
      </x:c>
    </x:row>
    <x:row r="3054" ht="18" customHeight="1">
      <x:c r="A3054" s="25" t="str">
        <x:v>EEZ_907</x:v>
      </x:c>
      <x:c r="B3054" s="25" t="str">
        <x:v>raw_filtered_tonnes</x:v>
      </x:c>
      <x:c r="C3054" s="25" t="n">
        <x:v>400.2133530319</x:v>
      </x:c>
      <x:c r="D3054" s="25" t="str">
        <x:v>tonnes</x:v>
      </x:c>
    </x:row>
    <x:row r="3055" ht="18" customHeight="1">
      <x:c r="A3055" s="25" t="str">
        <x:v>EEZ_907</x:v>
      </x:c>
      <x:c r="B3055" s="25" t="str">
        <x:v>species_catch_tonnes</x:v>
      </x:c>
      <x:c r="C3055" s="25" t="n">
        <x:v>400.2133530319</x:v>
      </x:c>
      <x:c r="D3055" s="25" t="str">
        <x:v>tonnes</x:v>
      </x:c>
    </x:row>
    <x:row r="3056" ht="18" customHeight="1">
      <x:c r="A3056" s="25" t="str">
        <x:v>EEZ_907</x:v>
      </x:c>
      <x:c r="B3056" s="25" t="str">
        <x:v>catch_difference_tonnes</x:v>
      </x:c>
      <x:c r="C3056" s="25" t="n">
        <x:v>0</x:v>
      </x:c>
      <x:c r="D3056" s="25" t="str">
        <x:v>tonnes</x:v>
      </x:c>
    </x:row>
    <x:row r="3057" ht="18" customHeight="1">
      <x:c r="A3057" s="25" t="str">
        <x:v>EEZ_907</x:v>
      </x:c>
      <x:c r="B3057" s="25" t="str">
        <x:v>catch_reconciled</x:v>
      </x:c>
      <x:c r="C3057" s="36" t="b">
        <x:v>1</x:v>
      </x:c>
      <x:c r="D3057" s="25" t="str">
        <x:v>boolean</x:v>
      </x:c>
    </x:row>
    <x:row r="3058" ht="18" customHeight="1">
      <x:c r="A3058" s="25" t="str">
        <x:v>EEZ_907</x:v>
      </x:c>
      <x:c r="B3058" s="25" t="str">
        <x:v>matched_catch_tonnes</x:v>
      </x:c>
      <x:c r="C3058" s="25" t="n">
        <x:v>400.2133530319</x:v>
      </x:c>
      <x:c r="D3058" s="25" t="str">
        <x:v>tonnes</x:v>
      </x:c>
    </x:row>
    <x:row r="3059" ht="18" customHeight="1">
      <x:c r="A3059" s="25" t="str">
        <x:v>EEZ_907</x:v>
      </x:c>
      <x:c r="B3059" s="25" t="str">
        <x:v>catch_coverage_fraction</x:v>
      </x:c>
      <x:c r="C3059" s="25" t="n">
        <x:v>1</x:v>
      </x:c>
      <x:c r="D3059" s="25" t="str">
        <x:v>fraction</x:v>
      </x:c>
    </x:row>
    <x:row r="3060" ht="18" customHeight="1">
      <x:c r="A3060" s="25" t="str">
        <x:v>EEZ_907</x:v>
      </x:c>
      <x:c r="B3060" s="25" t="str">
        <x:v>taxa_count</x:v>
      </x:c>
      <x:c r="C3060" s="25" t="n">
        <x:v>39</x:v>
      </x:c>
      <x:c r="D3060" s="25" t="str">
        <x:v>count</x:v>
      </x:c>
    </x:row>
    <x:row r="3061" ht="18" customHeight="1">
      <x:c r="A3061" s="25" t="str">
        <x:v>EEZ_907</x:v>
      </x:c>
      <x:c r="B3061" s="25" t="str">
        <x:v>matched_taxa_count</x:v>
      </x:c>
      <x:c r="C3061" s="25" t="n">
        <x:v>39</x:v>
      </x:c>
      <x:c r="D3061" s="25" t="str">
        <x:v>count</x:v>
      </x:c>
    </x:row>
    <x:row r="3062" ht="18" customHeight="1">
      <x:c r="A3062" s="25" t="str">
        <x:v>EEZ_907</x:v>
      </x:c>
      <x:c r="B3062" s="25" t="str">
        <x:v>unmatched_taxa_count</x:v>
      </x:c>
      <x:c r="C3062" s="25" t="n">
        <x:v>0</x:v>
      </x:c>
      <x:c r="D3062" s="25" t="str">
        <x:v>count</x:v>
      </x:c>
    </x:row>
    <x:row r="3063" ht="18" customHeight="1">
      <x:c r="A3063" s="25" t="str">
        <x:v>EEZ_907</x:v>
      </x:c>
      <x:c r="B3063" s="25" t="str">
        <x:v>species_ppr</x:v>
      </x:c>
      <x:c r="C3063" s="25" t="n">
        <x:v>677238.29384602</x:v>
      </x:c>
      <x:c r="D3063" s="25" t="str">
        <x:v>tonnes_primary_production_equivalent</x:v>
      </x:c>
    </x:row>
    <x:row r="3064" ht="18" customHeight="1">
      <x:c r="A3064" s="25" t="str">
        <x:v>EEZ_907</x:v>
      </x:c>
      <x:c r="B3064" s="25" t="str">
        <x:v>commercial_ppr</x:v>
      </x:c>
      <x:c r="C3064" s="25" t="n">
        <x:v>655588.4639698595</x:v>
      </x:c>
      <x:c r="D3064" s="25" t="str">
        <x:v>tonnes_primary_production_equivalent</x:v>
      </x:c>
    </x:row>
    <x:row r="3065" ht="18" customHeight="1">
      <x:c r="A3065" s="25" t="str">
        <x:v>EEZ_907</x:v>
      </x:c>
      <x:c r="B3065" s="25" t="str">
        <x:v>functional_ppr</x:v>
      </x:c>
      <x:c r="C3065" s="25" t="n">
        <x:v>657496.3418869387</x:v>
      </x:c>
      <x:c r="D3065" s="25" t="str">
        <x:v>tonnes_primary_production_equivalent</x:v>
      </x:c>
    </x:row>
    <x:row r="3066" ht="18" customHeight="1">
      <x:c r="A3066" s="25" t="str">
        <x:v>EEZ_907</x:v>
      </x:c>
      <x:c r="B3066" s="25" t="str">
        <x:v>commercial_ppr_difference</x:v>
      </x:c>
      <x:c r="C3066" s="25" t="n">
        <x:v>-21649.829876160482</x:v>
      </x:c>
      <x:c r="D3066" s="25" t="str">
        <x:v>tonnes_primary_production_equivalent</x:v>
      </x:c>
    </x:row>
    <x:row r="3067" ht="18" customHeight="1">
      <x:c r="A3067" s="25" t="str">
        <x:v>EEZ_907</x:v>
      </x:c>
      <x:c r="B3067" s="25" t="str">
        <x:v>functional_ppr_difference</x:v>
      </x:c>
      <x:c r="C3067" s="25" t="n">
        <x:v>-19741.951959081343</x:v>
      </x:c>
      <x:c r="D3067" s="25" t="str">
        <x:v>tonnes_primary_production_equivalent</x:v>
      </x:c>
    </x:row>
    <x:row r="3068" ht="18" customHeight="1">
      <x:c r="A3068" s="25" t="str">
        <x:v>EEZ_908</x:v>
      </x:c>
      <x:c r="B3068" s="25" t="str">
        <x:v>raw_filtered_tonnes</x:v>
      </x:c>
      <x:c r="C3068" s="25" t="n">
        <x:v>496.3226371928</x:v>
      </x:c>
      <x:c r="D3068" s="25" t="str">
        <x:v>tonnes</x:v>
      </x:c>
    </x:row>
    <x:row r="3069" ht="18" customHeight="1">
      <x:c r="A3069" s="25" t="str">
        <x:v>EEZ_908</x:v>
      </x:c>
      <x:c r="B3069" s="25" t="str">
        <x:v>species_catch_tonnes</x:v>
      </x:c>
      <x:c r="C3069" s="25" t="n">
        <x:v>496.3226371927999</x:v>
      </x:c>
      <x:c r="D3069" s="25" t="str">
        <x:v>tonnes</x:v>
      </x:c>
    </x:row>
    <x:row r="3070" ht="18" customHeight="1">
      <x:c r="A3070" s="25" t="str">
        <x:v>EEZ_908</x:v>
      </x:c>
      <x:c r="B3070" s="25" t="str">
        <x:v>catch_difference_tonnes</x:v>
      </x:c>
      <x:c r="C3070" s="25" t="n">
        <x:v>-1.1368683772161603e-13</x:v>
      </x:c>
      <x:c r="D3070" s="25" t="str">
        <x:v>tonnes</x:v>
      </x:c>
    </x:row>
    <x:row r="3071" ht="18" customHeight="1">
      <x:c r="A3071" s="25" t="str">
        <x:v>EEZ_908</x:v>
      </x:c>
      <x:c r="B3071" s="25" t="str">
        <x:v>catch_reconciled</x:v>
      </x:c>
      <x:c r="C3071" s="36" t="b">
        <x:v>1</x:v>
      </x:c>
      <x:c r="D3071" s="25" t="str">
        <x:v>boolean</x:v>
      </x:c>
    </x:row>
    <x:row r="3072" ht="18" customHeight="1">
      <x:c r="A3072" s="25" t="str">
        <x:v>EEZ_908</x:v>
      </x:c>
      <x:c r="B3072" s="25" t="str">
        <x:v>matched_catch_tonnes</x:v>
      </x:c>
      <x:c r="C3072" s="25" t="n">
        <x:v>496.3226371927999</x:v>
      </x:c>
      <x:c r="D3072" s="25" t="str">
        <x:v>tonnes</x:v>
      </x:c>
    </x:row>
    <x:row r="3073" ht="18" customHeight="1">
      <x:c r="A3073" s="25" t="str">
        <x:v>EEZ_908</x:v>
      </x:c>
      <x:c r="B3073" s="25" t="str">
        <x:v>catch_coverage_fraction</x:v>
      </x:c>
      <x:c r="C3073" s="25" t="n">
        <x:v>1</x:v>
      </x:c>
      <x:c r="D3073" s="25" t="str">
        <x:v>fraction</x:v>
      </x:c>
    </x:row>
    <x:row r="3074" ht="18" customHeight="1">
      <x:c r="A3074" s="25" t="str">
        <x:v>EEZ_908</x:v>
      </x:c>
      <x:c r="B3074" s="25" t="str">
        <x:v>taxa_count</x:v>
      </x:c>
      <x:c r="C3074" s="25" t="n">
        <x:v>21</x:v>
      </x:c>
      <x:c r="D3074" s="25" t="str">
        <x:v>count</x:v>
      </x:c>
    </x:row>
    <x:row r="3075" ht="18" customHeight="1">
      <x:c r="A3075" s="25" t="str">
        <x:v>EEZ_908</x:v>
      </x:c>
      <x:c r="B3075" s="25" t="str">
        <x:v>matched_taxa_count</x:v>
      </x:c>
      <x:c r="C3075" s="25" t="n">
        <x:v>21</x:v>
      </x:c>
      <x:c r="D3075" s="25" t="str">
        <x:v>count</x:v>
      </x:c>
    </x:row>
    <x:row r="3076" ht="18" customHeight="1">
      <x:c r="A3076" s="25" t="str">
        <x:v>EEZ_908</x:v>
      </x:c>
      <x:c r="B3076" s="25" t="str">
        <x:v>unmatched_taxa_count</x:v>
      </x:c>
      <x:c r="C3076" s="25" t="n">
        <x:v>0</x:v>
      </x:c>
      <x:c r="D3076" s="25" t="str">
        <x:v>count</x:v>
      </x:c>
    </x:row>
    <x:row r="3077" ht="18" customHeight="1">
      <x:c r="A3077" s="25" t="str">
        <x:v>EEZ_908</x:v>
      </x:c>
      <x:c r="B3077" s="25" t="str">
        <x:v>species_ppr</x:v>
      </x:c>
      <x:c r="C3077" s="25" t="n">
        <x:v>123182.09188878365</x:v>
      </x:c>
      <x:c r="D3077" s="25" t="str">
        <x:v>tonnes_primary_production_equivalent</x:v>
      </x:c>
    </x:row>
    <x:row r="3078" ht="18" customHeight="1">
      <x:c r="A3078" s="25" t="str">
        <x:v>EEZ_908</x:v>
      </x:c>
      <x:c r="B3078" s="25" t="str">
        <x:v>commercial_ppr</x:v>
      </x:c>
      <x:c r="C3078" s="25" t="n">
        <x:v>104853.90355870302</x:v>
      </x:c>
      <x:c r="D3078" s="25" t="str">
        <x:v>tonnes_primary_production_equivalent</x:v>
      </x:c>
    </x:row>
    <x:row r="3079" ht="18" customHeight="1">
      <x:c r="A3079" s="25" t="str">
        <x:v>EEZ_908</x:v>
      </x:c>
      <x:c r="B3079" s="25" t="str">
        <x:v>functional_ppr</x:v>
      </x:c>
      <x:c r="C3079" s="25" t="n">
        <x:v>118608.18836075625</x:v>
      </x:c>
      <x:c r="D3079" s="25" t="str">
        <x:v>tonnes_primary_production_equivalent</x:v>
      </x:c>
    </x:row>
    <x:row r="3080" ht="18" customHeight="1">
      <x:c r="A3080" s="25" t="str">
        <x:v>EEZ_908</x:v>
      </x:c>
      <x:c r="B3080" s="25" t="str">
        <x:v>commercial_ppr_difference</x:v>
      </x:c>
      <x:c r="C3080" s="25" t="n">
        <x:v>-18328.188330080622</x:v>
      </x:c>
      <x:c r="D3080" s="25" t="str">
        <x:v>tonnes_primary_production_equivalent</x:v>
      </x:c>
    </x:row>
    <x:row r="3081" ht="18" customHeight="1">
      <x:c r="A3081" s="25" t="str">
        <x:v>EEZ_908</x:v>
      </x:c>
      <x:c r="B3081" s="25" t="str">
        <x:v>functional_ppr_difference</x:v>
      </x:c>
      <x:c r="C3081" s="25" t="n">
        <x:v>-4573.9035280273965</x:v>
      </x:c>
      <x:c r="D3081" s="25" t="str">
        <x:v>tonnes_primary_production_equivalent</x:v>
      </x:c>
    </x:row>
    <x:row r="3082" ht="18" customHeight="1">
      <x:c r="A3082" s="25" t="str">
        <x:v>EEZ_909</x:v>
      </x:c>
      <x:c r="B3082" s="25" t="str">
        <x:v>raw_filtered_tonnes</x:v>
      </x:c>
      <x:c r="C3082" s="25" t="n">
        <x:v>83.07335077539997</x:v>
      </x:c>
      <x:c r="D3082" s="25" t="str">
        <x:v>tonnes</x:v>
      </x:c>
    </x:row>
    <x:row r="3083" ht="18" customHeight="1">
      <x:c r="A3083" s="25" t="str">
        <x:v>EEZ_909</x:v>
      </x:c>
      <x:c r="B3083" s="25" t="str">
        <x:v>species_catch_tonnes</x:v>
      </x:c>
      <x:c r="C3083" s="25" t="n">
        <x:v>83.0733507754</x:v>
      </x:c>
      <x:c r="D3083" s="25" t="str">
        <x:v>tonnes</x:v>
      </x:c>
    </x:row>
    <x:row r="3084" ht="18" customHeight="1">
      <x:c r="A3084" s="25" t="str">
        <x:v>EEZ_909</x:v>
      </x:c>
      <x:c r="B3084" s="25" t="str">
        <x:v>catch_difference_tonnes</x:v>
      </x:c>
      <x:c r="C3084" s="25" t="n">
        <x:v>2.842170943040401e-14</x:v>
      </x:c>
      <x:c r="D3084" s="25" t="str">
        <x:v>tonnes</x:v>
      </x:c>
    </x:row>
    <x:row r="3085" ht="18" customHeight="1">
      <x:c r="A3085" s="25" t="str">
        <x:v>EEZ_909</x:v>
      </x:c>
      <x:c r="B3085" s="25" t="str">
        <x:v>catch_reconciled</x:v>
      </x:c>
      <x:c r="C3085" s="36" t="b">
        <x:v>1</x:v>
      </x:c>
      <x:c r="D3085" s="25" t="str">
        <x:v>boolean</x:v>
      </x:c>
    </x:row>
    <x:row r="3086" ht="18" customHeight="1">
      <x:c r="A3086" s="25" t="str">
        <x:v>EEZ_909</x:v>
      </x:c>
      <x:c r="B3086" s="25" t="str">
        <x:v>matched_catch_tonnes</x:v>
      </x:c>
      <x:c r="C3086" s="25" t="n">
        <x:v>83.0733507754</x:v>
      </x:c>
      <x:c r="D3086" s="25" t="str">
        <x:v>tonnes</x:v>
      </x:c>
    </x:row>
    <x:row r="3087" ht="18" customHeight="1">
      <x:c r="A3087" s="25" t="str">
        <x:v>EEZ_909</x:v>
      </x:c>
      <x:c r="B3087" s="25" t="str">
        <x:v>catch_coverage_fraction</x:v>
      </x:c>
      <x:c r="C3087" s="25" t="n">
        <x:v>1</x:v>
      </x:c>
      <x:c r="D3087" s="25" t="str">
        <x:v>fraction</x:v>
      </x:c>
    </x:row>
    <x:row r="3088" ht="18" customHeight="1">
      <x:c r="A3088" s="25" t="str">
        <x:v>EEZ_909</x:v>
      </x:c>
      <x:c r="B3088" s="25" t="str">
        <x:v>taxa_count</x:v>
      </x:c>
      <x:c r="C3088" s="25" t="n">
        <x:v>33</x:v>
      </x:c>
      <x:c r="D3088" s="25" t="str">
        <x:v>count</x:v>
      </x:c>
    </x:row>
    <x:row r="3089" ht="18" customHeight="1">
      <x:c r="A3089" s="25" t="str">
        <x:v>EEZ_909</x:v>
      </x:c>
      <x:c r="B3089" s="25" t="str">
        <x:v>matched_taxa_count</x:v>
      </x:c>
      <x:c r="C3089" s="25" t="n">
        <x:v>33</x:v>
      </x:c>
      <x:c r="D3089" s="25" t="str">
        <x:v>count</x:v>
      </x:c>
    </x:row>
    <x:row r="3090" ht="18" customHeight="1">
      <x:c r="A3090" s="25" t="str">
        <x:v>EEZ_909</x:v>
      </x:c>
      <x:c r="B3090" s="25" t="str">
        <x:v>unmatched_taxa_count</x:v>
      </x:c>
      <x:c r="C3090" s="25" t="n">
        <x:v>0</x:v>
      </x:c>
      <x:c r="D3090" s="25" t="str">
        <x:v>count</x:v>
      </x:c>
    </x:row>
    <x:row r="3091" ht="18" customHeight="1">
      <x:c r="A3091" s="25" t="str">
        <x:v>EEZ_909</x:v>
      </x:c>
      <x:c r="B3091" s="25" t="str">
        <x:v>species_ppr</x:v>
      </x:c>
      <x:c r="C3091" s="25" t="n">
        <x:v>85688.12663919516</x:v>
      </x:c>
      <x:c r="D3091" s="25" t="str">
        <x:v>tonnes_primary_production_equivalent</x:v>
      </x:c>
    </x:row>
    <x:row r="3092" ht="18" customHeight="1">
      <x:c r="A3092" s="25" t="str">
        <x:v>EEZ_909</x:v>
      </x:c>
      <x:c r="B3092" s="25" t="str">
        <x:v>commercial_ppr</x:v>
      </x:c>
      <x:c r="C3092" s="25" t="n">
        <x:v>66484.84336629405</x:v>
      </x:c>
      <x:c r="D3092" s="25" t="str">
        <x:v>tonnes_primary_production_equivalent</x:v>
      </x:c>
    </x:row>
    <x:row r="3093" ht="18" customHeight="1">
      <x:c r="A3093" s="25" t="str">
        <x:v>EEZ_909</x:v>
      </x:c>
      <x:c r="B3093" s="25" t="str">
        <x:v>functional_ppr</x:v>
      </x:c>
      <x:c r="C3093" s="25" t="n">
        <x:v>81786.52075625946</x:v>
      </x:c>
      <x:c r="D3093" s="25" t="str">
        <x:v>tonnes_primary_production_equivalent</x:v>
      </x:c>
    </x:row>
    <x:row r="3094" ht="18" customHeight="1">
      <x:c r="A3094" s="25" t="str">
        <x:v>EEZ_909</x:v>
      </x:c>
      <x:c r="B3094" s="25" t="str">
        <x:v>commercial_ppr_difference</x:v>
      </x:c>
      <x:c r="C3094" s="25" t="n">
        <x:v>-19203.283272901113</x:v>
      </x:c>
      <x:c r="D3094" s="25" t="str">
        <x:v>tonnes_primary_production_equivalent</x:v>
      </x:c>
    </x:row>
    <x:row r="3095" ht="18" customHeight="1">
      <x:c r="A3095" s="25" t="str">
        <x:v>EEZ_909</x:v>
      </x:c>
      <x:c r="B3095" s="25" t="str">
        <x:v>functional_ppr_difference</x:v>
      </x:c>
      <x:c r="C3095" s="25" t="n">
        <x:v>-3901.605882935706</x:v>
      </x:c>
      <x:c r="D3095" s="25" t="str">
        <x:v>tonnes_primary_production_equivalent</x:v>
      </x:c>
    </x:row>
    <x:row r="3096" ht="18" customHeight="1">
      <x:c r="A3096" s="25" t="str">
        <x:v>EEZ_910</x:v>
      </x:c>
      <x:c r="B3096" s="25" t="str">
        <x:v>raw_filtered_tonnes</x:v>
      </x:c>
      <x:c r="C3096" s="25" t="n">
        <x:v>267149.7089344195</x:v>
      </x:c>
      <x:c r="D3096" s="25" t="str">
        <x:v>tonnes</x:v>
      </x:c>
    </x:row>
    <x:row r="3097" ht="18" customHeight="1">
      <x:c r="A3097" s="25" t="str">
        <x:v>EEZ_910</x:v>
      </x:c>
      <x:c r="B3097" s="25" t="str">
        <x:v>species_catch_tonnes</x:v>
      </x:c>
      <x:c r="C3097" s="25" t="n">
        <x:v>267149.7089344195</x:v>
      </x:c>
      <x:c r="D3097" s="25" t="str">
        <x:v>tonnes</x:v>
      </x:c>
    </x:row>
    <x:row r="3098" ht="18" customHeight="1">
      <x:c r="A3098" s="25" t="str">
        <x:v>EEZ_910</x:v>
      </x:c>
      <x:c r="B3098" s="25" t="str">
        <x:v>catch_difference_tonnes</x:v>
      </x:c>
      <x:c r="C3098" s="25" t="n">
        <x:v>0</x:v>
      </x:c>
      <x:c r="D3098" s="25" t="str">
        <x:v>tonnes</x:v>
      </x:c>
    </x:row>
    <x:row r="3099" ht="18" customHeight="1">
      <x:c r="A3099" s="25" t="str">
        <x:v>EEZ_910</x:v>
      </x:c>
      <x:c r="B3099" s="25" t="str">
        <x:v>catch_reconciled</x:v>
      </x:c>
      <x:c r="C3099" s="36" t="b">
        <x:v>1</x:v>
      </x:c>
      <x:c r="D3099" s="25" t="str">
        <x:v>boolean</x:v>
      </x:c>
    </x:row>
    <x:row r="3100" ht="18" customHeight="1">
      <x:c r="A3100" s="25" t="str">
        <x:v>EEZ_910</x:v>
      </x:c>
      <x:c r="B3100" s="25" t="str">
        <x:v>matched_catch_tonnes</x:v>
      </x:c>
      <x:c r="C3100" s="25" t="n">
        <x:v>267149.7089344195</x:v>
      </x:c>
      <x:c r="D3100" s="25" t="str">
        <x:v>tonnes</x:v>
      </x:c>
    </x:row>
    <x:row r="3101" ht="18" customHeight="1">
      <x:c r="A3101" s="25" t="str">
        <x:v>EEZ_910</x:v>
      </x:c>
      <x:c r="B3101" s="25" t="str">
        <x:v>catch_coverage_fraction</x:v>
      </x:c>
      <x:c r="C3101" s="25" t="n">
        <x:v>1</x:v>
      </x:c>
      <x:c r="D3101" s="25" t="str">
        <x:v>fraction</x:v>
      </x:c>
    </x:row>
    <x:row r="3102" ht="18" customHeight="1">
      <x:c r="A3102" s="25" t="str">
        <x:v>EEZ_910</x:v>
      </x:c>
      <x:c r="B3102" s="25" t="str">
        <x:v>taxa_count</x:v>
      </x:c>
      <x:c r="C3102" s="25" t="n">
        <x:v>30</x:v>
      </x:c>
      <x:c r="D3102" s="25" t="str">
        <x:v>count</x:v>
      </x:c>
    </x:row>
    <x:row r="3103" ht="18" customHeight="1">
      <x:c r="A3103" s="25" t="str">
        <x:v>EEZ_910</x:v>
      </x:c>
      <x:c r="B3103" s="25" t="str">
        <x:v>matched_taxa_count</x:v>
      </x:c>
      <x:c r="C3103" s="25" t="n">
        <x:v>30</x:v>
      </x:c>
      <x:c r="D3103" s="25" t="str">
        <x:v>count</x:v>
      </x:c>
    </x:row>
    <x:row r="3104" ht="18" customHeight="1">
      <x:c r="A3104" s="25" t="str">
        <x:v>EEZ_910</x:v>
      </x:c>
      <x:c r="B3104" s="25" t="str">
        <x:v>unmatched_taxa_count</x:v>
      </x:c>
      <x:c r="C3104" s="25" t="n">
        <x:v>0</x:v>
      </x:c>
      <x:c r="D3104" s="25" t="str">
        <x:v>count</x:v>
      </x:c>
    </x:row>
    <x:row r="3105" ht="18" customHeight="1">
      <x:c r="A3105" s="25" t="str">
        <x:v>EEZ_910</x:v>
      </x:c>
      <x:c r="B3105" s="25" t="str">
        <x:v>species_ppr</x:v>
      </x:c>
      <x:c r="C3105" s="25" t="n">
        <x:v>4841842.867915373</x:v>
      </x:c>
      <x:c r="D3105" s="25" t="str">
        <x:v>tonnes_primary_production_equivalent</x:v>
      </x:c>
    </x:row>
    <x:row r="3106" ht="18" customHeight="1">
      <x:c r="A3106" s="25" t="str">
        <x:v>EEZ_910</x:v>
      </x:c>
      <x:c r="B3106" s="25" t="str">
        <x:v>commercial_ppr</x:v>
      </x:c>
      <x:c r="C3106" s="25" t="n">
        <x:v>4829985.802878814</x:v>
      </x:c>
      <x:c r="D3106" s="25" t="str">
        <x:v>tonnes_primary_production_equivalent</x:v>
      </x:c>
    </x:row>
    <x:row r="3107" ht="18" customHeight="1">
      <x:c r="A3107" s="25" t="str">
        <x:v>EEZ_910</x:v>
      </x:c>
      <x:c r="B3107" s="25" t="str">
        <x:v>functional_ppr</x:v>
      </x:c>
      <x:c r="C3107" s="25" t="n">
        <x:v>4841801.612785952</x:v>
      </x:c>
      <x:c r="D3107" s="25" t="str">
        <x:v>tonnes_primary_production_equivalent</x:v>
      </x:c>
    </x:row>
    <x:row r="3108" ht="18" customHeight="1">
      <x:c r="A3108" s="25" t="str">
        <x:v>EEZ_910</x:v>
      </x:c>
      <x:c r="B3108" s="25" t="str">
        <x:v>commercial_ppr_difference</x:v>
      </x:c>
      <x:c r="C3108" s="25" t="n">
        <x:v>-11857.065036559477</x:v>
      </x:c>
      <x:c r="D3108" s="25" t="str">
        <x:v>tonnes_primary_production_equivalent</x:v>
      </x:c>
    </x:row>
    <x:row r="3109" ht="18" customHeight="1">
      <x:c r="A3109" s="25" t="str">
        <x:v>EEZ_910</x:v>
      </x:c>
      <x:c r="B3109" s="25" t="str">
        <x:v>functional_ppr_difference</x:v>
      </x:c>
      <x:c r="C3109" s="25" t="n">
        <x:v>-41.25512942112982</x:v>
      </x:c>
      <x:c r="D3109" s="25" t="str">
        <x:v>tonnes_primary_production_equivalent</x:v>
      </x:c>
    </x:row>
    <x:row r="3110" ht="18" customHeight="1">
      <x:c r="A3110" s="25" t="str">
        <x:v>EEZ_911</x:v>
      </x:c>
      <x:c r="B3110" s="25" t="str">
        <x:v>raw_filtered_tonnes</x:v>
      </x:c>
      <x:c r="C3110" s="25" t="n">
        <x:v>22403.7445093578</x:v>
      </x:c>
      <x:c r="D3110" s="25" t="str">
        <x:v>tonnes</x:v>
      </x:c>
    </x:row>
    <x:row r="3111" ht="18" customHeight="1">
      <x:c r="A3111" s="25" t="str">
        <x:v>EEZ_911</x:v>
      </x:c>
      <x:c r="B3111" s="25" t="str">
        <x:v>species_catch_tonnes</x:v>
      </x:c>
      <x:c r="C3111" s="25" t="n">
        <x:v>22403.744509357803</x:v>
      </x:c>
      <x:c r="D3111" s="25" t="str">
        <x:v>tonnes</x:v>
      </x:c>
    </x:row>
    <x:row r="3112" ht="18" customHeight="1">
      <x:c r="A3112" s="25" t="str">
        <x:v>EEZ_911</x:v>
      </x:c>
      <x:c r="B3112" s="25" t="str">
        <x:v>catch_difference_tonnes</x:v>
      </x:c>
      <x:c r="C3112" s="25" t="n">
        <x:v>3.637978807091713e-12</x:v>
      </x:c>
      <x:c r="D3112" s="25" t="str">
        <x:v>tonnes</x:v>
      </x:c>
    </x:row>
    <x:row r="3113" ht="18" customHeight="1">
      <x:c r="A3113" s="25" t="str">
        <x:v>EEZ_911</x:v>
      </x:c>
      <x:c r="B3113" s="25" t="str">
        <x:v>catch_reconciled</x:v>
      </x:c>
      <x:c r="C3113" s="36" t="b">
        <x:v>1</x:v>
      </x:c>
      <x:c r="D3113" s="25" t="str">
        <x:v>boolean</x:v>
      </x:c>
    </x:row>
    <x:row r="3114" ht="18" customHeight="1">
      <x:c r="A3114" s="25" t="str">
        <x:v>EEZ_911</x:v>
      </x:c>
      <x:c r="B3114" s="25" t="str">
        <x:v>matched_catch_tonnes</x:v>
      </x:c>
      <x:c r="C3114" s="25" t="n">
        <x:v>22403.744509357803</x:v>
      </x:c>
      <x:c r="D3114" s="25" t="str">
        <x:v>tonnes</x:v>
      </x:c>
    </x:row>
    <x:row r="3115" ht="18" customHeight="1">
      <x:c r="A3115" s="25" t="str">
        <x:v>EEZ_911</x:v>
      </x:c>
      <x:c r="B3115" s="25" t="str">
        <x:v>catch_coverage_fraction</x:v>
      </x:c>
      <x:c r="C3115" s="25" t="n">
        <x:v>1</x:v>
      </x:c>
      <x:c r="D3115" s="25" t="str">
        <x:v>fraction</x:v>
      </x:c>
    </x:row>
    <x:row r="3116" ht="18" customHeight="1">
      <x:c r="A3116" s="25" t="str">
        <x:v>EEZ_911</x:v>
      </x:c>
      <x:c r="B3116" s="25" t="str">
        <x:v>taxa_count</x:v>
      </x:c>
      <x:c r="C3116" s="25" t="n">
        <x:v>40</x:v>
      </x:c>
      <x:c r="D3116" s="25" t="str">
        <x:v>count</x:v>
      </x:c>
    </x:row>
    <x:row r="3117" ht="18" customHeight="1">
      <x:c r="A3117" s="25" t="str">
        <x:v>EEZ_911</x:v>
      </x:c>
      <x:c r="B3117" s="25" t="str">
        <x:v>matched_taxa_count</x:v>
      </x:c>
      <x:c r="C3117" s="25" t="n">
        <x:v>40</x:v>
      </x:c>
      <x:c r="D3117" s="25" t="str">
        <x:v>count</x:v>
      </x:c>
    </x:row>
    <x:row r="3118" ht="18" customHeight="1">
      <x:c r="A3118" s="25" t="str">
        <x:v>EEZ_911</x:v>
      </x:c>
      <x:c r="B3118" s="25" t="str">
        <x:v>unmatched_taxa_count</x:v>
      </x:c>
      <x:c r="C3118" s="25" t="n">
        <x:v>0</x:v>
      </x:c>
      <x:c r="D3118" s="25" t="str">
        <x:v>count</x:v>
      </x:c>
    </x:row>
    <x:row r="3119" ht="18" customHeight="1">
      <x:c r="A3119" s="25" t="str">
        <x:v>EEZ_911</x:v>
      </x:c>
      <x:c r="B3119" s="25" t="str">
        <x:v>species_ppr</x:v>
      </x:c>
      <x:c r="C3119" s="25" t="n">
        <x:v>20905875.58165651</x:v>
      </x:c>
      <x:c r="D3119" s="25" t="str">
        <x:v>tonnes_primary_production_equivalent</x:v>
      </x:c>
    </x:row>
    <x:row r="3120" ht="18" customHeight="1">
      <x:c r="A3120" s="25" t="str">
        <x:v>EEZ_911</x:v>
      </x:c>
      <x:c r="B3120" s="25" t="str">
        <x:v>commercial_ppr</x:v>
      </x:c>
      <x:c r="C3120" s="25" t="n">
        <x:v>14640018.664670475</x:v>
      </x:c>
      <x:c r="D3120" s="25" t="str">
        <x:v>tonnes_primary_production_equivalent</x:v>
      </x:c>
    </x:row>
    <x:row r="3121" ht="18" customHeight="1">
      <x:c r="A3121" s="25" t="str">
        <x:v>EEZ_911</x:v>
      </x:c>
      <x:c r="B3121" s="25" t="str">
        <x:v>functional_ppr</x:v>
      </x:c>
      <x:c r="C3121" s="25" t="n">
        <x:v>16683601.962322408</x:v>
      </x:c>
      <x:c r="D3121" s="25" t="str">
        <x:v>tonnes_primary_production_equivalent</x:v>
      </x:c>
    </x:row>
    <x:row r="3122" ht="18" customHeight="1">
      <x:c r="A3122" s="25" t="str">
        <x:v>EEZ_911</x:v>
      </x:c>
      <x:c r="B3122" s="25" t="str">
        <x:v>commercial_ppr_difference</x:v>
      </x:c>
      <x:c r="C3122" s="25" t="n">
        <x:v>-6265856.916986033</x:v>
      </x:c>
      <x:c r="D3122" s="25" t="str">
        <x:v>tonnes_primary_production_equivalent</x:v>
      </x:c>
    </x:row>
    <x:row r="3123" ht="18" customHeight="1">
      <x:c r="A3123" s="25" t="str">
        <x:v>EEZ_911</x:v>
      </x:c>
      <x:c r="B3123" s="25" t="str">
        <x:v>functional_ppr_difference</x:v>
      </x:c>
      <x:c r="C3123" s="25" t="n">
        <x:v>-4222273.6193341</x:v>
      </x:c>
      <x:c r="D3123" s="25" t="str">
        <x:v>tonnes_primary_production_equivalent</x:v>
      </x:c>
    </x:row>
    <x:row r="3124" ht="18" customHeight="1">
      <x:c r="A3124" s="25" t="str">
        <x:v>EEZ_912</x:v>
      </x:c>
      <x:c r="B3124" s="25" t="str">
        <x:v>raw_filtered_tonnes</x:v>
      </x:c>
      <x:c r="C3124" s="25" t="n">
        <x:v>747.53431635</x:v>
      </x:c>
      <x:c r="D3124" s="25" t="str">
        <x:v>tonnes</x:v>
      </x:c>
    </x:row>
    <x:row r="3125" ht="18" customHeight="1">
      <x:c r="A3125" s="25" t="str">
        <x:v>EEZ_912</x:v>
      </x:c>
      <x:c r="B3125" s="25" t="str">
        <x:v>species_catch_tonnes</x:v>
      </x:c>
      <x:c r="C3125" s="25" t="n">
        <x:v>747.53431635</x:v>
      </x:c>
      <x:c r="D3125" s="25" t="str">
        <x:v>tonnes</x:v>
      </x:c>
    </x:row>
    <x:row r="3126" ht="18" customHeight="1">
      <x:c r="A3126" s="25" t="str">
        <x:v>EEZ_912</x:v>
      </x:c>
      <x:c r="B3126" s="25" t="str">
        <x:v>catch_difference_tonnes</x:v>
      </x:c>
      <x:c r="C3126" s="25" t="n">
        <x:v>0</x:v>
      </x:c>
      <x:c r="D3126" s="25" t="str">
        <x:v>tonnes</x:v>
      </x:c>
    </x:row>
    <x:row r="3127" ht="18" customHeight="1">
      <x:c r="A3127" s="25" t="str">
        <x:v>EEZ_912</x:v>
      </x:c>
      <x:c r="B3127" s="25" t="str">
        <x:v>catch_reconciled</x:v>
      </x:c>
      <x:c r="C3127" s="36" t="b">
        <x:v>1</x:v>
      </x:c>
      <x:c r="D3127" s="25" t="str">
        <x:v>boolean</x:v>
      </x:c>
    </x:row>
    <x:row r="3128" ht="18" customHeight="1">
      <x:c r="A3128" s="25" t="str">
        <x:v>EEZ_912</x:v>
      </x:c>
      <x:c r="B3128" s="25" t="str">
        <x:v>matched_catch_tonnes</x:v>
      </x:c>
      <x:c r="C3128" s="25" t="n">
        <x:v>747.53431635</x:v>
      </x:c>
      <x:c r="D3128" s="25" t="str">
        <x:v>tonnes</x:v>
      </x:c>
    </x:row>
    <x:row r="3129" ht="18" customHeight="1">
      <x:c r="A3129" s="25" t="str">
        <x:v>EEZ_912</x:v>
      </x:c>
      <x:c r="B3129" s="25" t="str">
        <x:v>catch_coverage_fraction</x:v>
      </x:c>
      <x:c r="C3129" s="25" t="n">
        <x:v>1</x:v>
      </x:c>
      <x:c r="D3129" s="25" t="str">
        <x:v>fraction</x:v>
      </x:c>
    </x:row>
    <x:row r="3130" ht="18" customHeight="1">
      <x:c r="A3130" s="25" t="str">
        <x:v>EEZ_912</x:v>
      </x:c>
      <x:c r="B3130" s="25" t="str">
        <x:v>taxa_count</x:v>
      </x:c>
      <x:c r="C3130" s="25" t="n">
        <x:v>5</x:v>
      </x:c>
      <x:c r="D3130" s="25" t="str">
        <x:v>count</x:v>
      </x:c>
    </x:row>
    <x:row r="3131" ht="18" customHeight="1">
      <x:c r="A3131" s="25" t="str">
        <x:v>EEZ_912</x:v>
      </x:c>
      <x:c r="B3131" s="25" t="str">
        <x:v>matched_taxa_count</x:v>
      </x:c>
      <x:c r="C3131" s="25" t="n">
        <x:v>5</x:v>
      </x:c>
      <x:c r="D3131" s="25" t="str">
        <x:v>count</x:v>
      </x:c>
    </x:row>
    <x:row r="3132" ht="18" customHeight="1">
      <x:c r="A3132" s="25" t="str">
        <x:v>EEZ_912</x:v>
      </x:c>
      <x:c r="B3132" s="25" t="str">
        <x:v>unmatched_taxa_count</x:v>
      </x:c>
      <x:c r="C3132" s="25" t="n">
        <x:v>0</x:v>
      </x:c>
      <x:c r="D3132" s="25" t="str">
        <x:v>count</x:v>
      </x:c>
    </x:row>
    <x:row r="3133" ht="18" customHeight="1">
      <x:c r="A3133" s="25" t="str">
        <x:v>EEZ_912</x:v>
      </x:c>
      <x:c r="B3133" s="25" t="str">
        <x:v>species_ppr</x:v>
      </x:c>
      <x:c r="C3133" s="25" t="n">
        <x:v>142441.20996613824</x:v>
      </x:c>
      <x:c r="D3133" s="25" t="str">
        <x:v>tonnes_primary_production_equivalent</x:v>
      </x:c>
    </x:row>
    <x:row r="3134" ht="18" customHeight="1">
      <x:c r="A3134" s="25" t="str">
        <x:v>EEZ_912</x:v>
      </x:c>
      <x:c r="B3134" s="25" t="str">
        <x:v>commercial_ppr</x:v>
      </x:c>
      <x:c r="C3134" s="25" t="n">
        <x:v>140909.15387773627</x:v>
      </x:c>
      <x:c r="D3134" s="25" t="str">
        <x:v>tonnes_primary_production_equivalent</x:v>
      </x:c>
    </x:row>
    <x:row r="3135" ht="18" customHeight="1">
      <x:c r="A3135" s="25" t="str">
        <x:v>EEZ_912</x:v>
      </x:c>
      <x:c r="B3135" s="25" t="str">
        <x:v>functional_ppr</x:v>
      </x:c>
      <x:c r="C3135" s="25" t="n">
        <x:v>140910.01929509558</x:v>
      </x:c>
      <x:c r="D3135" s="25" t="str">
        <x:v>tonnes_primary_production_equivalent</x:v>
      </x:c>
    </x:row>
    <x:row r="3136" ht="18" customHeight="1">
      <x:c r="A3136" s="25" t="str">
        <x:v>EEZ_912</x:v>
      </x:c>
      <x:c r="B3136" s="25" t="str">
        <x:v>commercial_ppr_difference</x:v>
      </x:c>
      <x:c r="C3136" s="25" t="n">
        <x:v>-1532.056088401965</x:v>
      </x:c>
      <x:c r="D3136" s="25" t="str">
        <x:v>tonnes_primary_production_equivalent</x:v>
      </x:c>
    </x:row>
    <x:row r="3137" ht="18" customHeight="1">
      <x:c r="A3137" s="25" t="str">
        <x:v>EEZ_912</x:v>
      </x:c>
      <x:c r="B3137" s="25" t="str">
        <x:v>functional_ppr_difference</x:v>
      </x:c>
      <x:c r="C3137" s="25" t="n">
        <x:v>-1531.1906710426556</x:v>
      </x:c>
      <x:c r="D3137" s="25" t="str">
        <x:v>tonnes_primary_production_equivalent</x:v>
      </x:c>
    </x:row>
    <x:row r="3138" ht="18" customHeight="1">
      <x:c r="A3138" s="25" t="str">
        <x:v>EEZ_913</x:v>
      </x:c>
      <x:c r="B3138" s="25" t="str">
        <x:v>raw_filtered_tonnes</x:v>
      </x:c>
      <x:c r="C3138" s="25" t="n">
        <x:v>6727.8088462000005</x:v>
      </x:c>
      <x:c r="D3138" s="25" t="str">
        <x:v>tonnes</x:v>
      </x:c>
    </x:row>
    <x:row r="3139" ht="18" customHeight="1">
      <x:c r="A3139" s="25" t="str">
        <x:v>EEZ_913</x:v>
      </x:c>
      <x:c r="B3139" s="25" t="str">
        <x:v>species_catch_tonnes</x:v>
      </x:c>
      <x:c r="C3139" s="25" t="n">
        <x:v>6727.8088462</x:v>
      </x:c>
      <x:c r="D3139" s="25" t="str">
        <x:v>tonnes</x:v>
      </x:c>
    </x:row>
    <x:row r="3140" ht="18" customHeight="1">
      <x:c r="A3140" s="25" t="str">
        <x:v>EEZ_913</x:v>
      </x:c>
      <x:c r="B3140" s="25" t="str">
        <x:v>catch_difference_tonnes</x:v>
      </x:c>
      <x:c r="C3140" s="25" t="n">
        <x:v>-9.094947017729282e-13</x:v>
      </x:c>
      <x:c r="D3140" s="25" t="str">
        <x:v>tonnes</x:v>
      </x:c>
    </x:row>
    <x:row r="3141" ht="18" customHeight="1">
      <x:c r="A3141" s="25" t="str">
        <x:v>EEZ_913</x:v>
      </x:c>
      <x:c r="B3141" s="25" t="str">
        <x:v>catch_reconciled</x:v>
      </x:c>
      <x:c r="C3141" s="36" t="b">
        <x:v>1</x:v>
      </x:c>
      <x:c r="D3141" s="25" t="str">
        <x:v>boolean</x:v>
      </x:c>
    </x:row>
    <x:row r="3142" ht="18" customHeight="1">
      <x:c r="A3142" s="25" t="str">
        <x:v>EEZ_913</x:v>
      </x:c>
      <x:c r="B3142" s="25" t="str">
        <x:v>matched_catch_tonnes</x:v>
      </x:c>
      <x:c r="C3142" s="25" t="n">
        <x:v>6727.8088462</x:v>
      </x:c>
      <x:c r="D3142" s="25" t="str">
        <x:v>tonnes</x:v>
      </x:c>
    </x:row>
    <x:row r="3143" ht="18" customHeight="1">
      <x:c r="A3143" s="25" t="str">
        <x:v>EEZ_913</x:v>
      </x:c>
      <x:c r="B3143" s="25" t="str">
        <x:v>catch_coverage_fraction</x:v>
      </x:c>
      <x:c r="C3143" s="25" t="n">
        <x:v>1</x:v>
      </x:c>
      <x:c r="D3143" s="25" t="str">
        <x:v>fraction</x:v>
      </x:c>
    </x:row>
    <x:row r="3144" ht="18" customHeight="1">
      <x:c r="A3144" s="25" t="str">
        <x:v>EEZ_913</x:v>
      </x:c>
      <x:c r="B3144" s="25" t="str">
        <x:v>taxa_count</x:v>
      </x:c>
      <x:c r="C3144" s="25" t="n">
        <x:v>5</x:v>
      </x:c>
      <x:c r="D3144" s="25" t="str">
        <x:v>count</x:v>
      </x:c>
    </x:row>
    <x:row r="3145" ht="18" customHeight="1">
      <x:c r="A3145" s="25" t="str">
        <x:v>EEZ_913</x:v>
      </x:c>
      <x:c r="B3145" s="25" t="str">
        <x:v>matched_taxa_count</x:v>
      </x:c>
      <x:c r="C3145" s="25" t="n">
        <x:v>5</x:v>
      </x:c>
      <x:c r="D3145" s="25" t="str">
        <x:v>count</x:v>
      </x:c>
    </x:row>
    <x:row r="3146" ht="18" customHeight="1">
      <x:c r="A3146" s="25" t="str">
        <x:v>EEZ_913</x:v>
      </x:c>
      <x:c r="B3146" s="25" t="str">
        <x:v>unmatched_taxa_count</x:v>
      </x:c>
      <x:c r="C3146" s="25" t="n">
        <x:v>0</x:v>
      </x:c>
      <x:c r="D3146" s="25" t="str">
        <x:v>count</x:v>
      </x:c>
    </x:row>
    <x:row r="3147" ht="18" customHeight="1">
      <x:c r="A3147" s="25" t="str">
        <x:v>EEZ_913</x:v>
      </x:c>
      <x:c r="B3147" s="25" t="str">
        <x:v>species_ppr</x:v>
      </x:c>
      <x:c r="C3147" s="25" t="n">
        <x:v>1455106.3058478127</x:v>
      </x:c>
      <x:c r="D3147" s="25" t="str">
        <x:v>tonnes_primary_production_equivalent</x:v>
      </x:c>
    </x:row>
    <x:row r="3148" ht="18" customHeight="1">
      <x:c r="A3148" s="25" t="str">
        <x:v>EEZ_913</x:v>
      </x:c>
      <x:c r="B3148" s="25" t="str">
        <x:v>commercial_ppr</x:v>
      </x:c>
      <x:c r="C3148" s="25" t="n">
        <x:v>1359973.6795253814</x:v>
      </x:c>
      <x:c r="D3148" s="25" t="str">
        <x:v>tonnes_primary_production_equivalent</x:v>
      </x:c>
    </x:row>
    <x:row r="3149" ht="18" customHeight="1">
      <x:c r="A3149" s="25" t="str">
        <x:v>EEZ_913</x:v>
      </x:c>
      <x:c r="B3149" s="25" t="str">
        <x:v>functional_ppr</x:v>
      </x:c>
      <x:c r="C3149" s="25" t="n">
        <x:v>1360702.4574267645</x:v>
      </x:c>
      <x:c r="D3149" s="25" t="str">
        <x:v>tonnes_primary_production_equivalent</x:v>
      </x:c>
    </x:row>
    <x:row r="3150" ht="18" customHeight="1">
      <x:c r="A3150" s="25" t="str">
        <x:v>EEZ_913</x:v>
      </x:c>
      <x:c r="B3150" s="25" t="str">
        <x:v>commercial_ppr_difference</x:v>
      </x:c>
      <x:c r="C3150" s="25" t="n">
        <x:v>-95132.62632243126</x:v>
      </x:c>
      <x:c r="D3150" s="25" t="str">
        <x:v>tonnes_primary_production_equivalent</x:v>
      </x:c>
    </x:row>
    <x:row r="3151" ht="18" customHeight="1">
      <x:c r="A3151" s="25" t="str">
        <x:v>EEZ_913</x:v>
      </x:c>
      <x:c r="B3151" s="25" t="str">
        <x:v>functional_ppr_difference</x:v>
      </x:c>
      <x:c r="C3151" s="25" t="n">
        <x:v>-94403.84842104814</x:v>
      </x:c>
      <x:c r="D3151" s="25" t="str">
        <x:v>tonnes_primary_production_equivalent</x:v>
      </x:c>
    </x:row>
    <x:row r="3152" ht="18" customHeight="1">
      <x:c r="A3152" s="25" t="str">
        <x:v>EEZ_914</x:v>
      </x:c>
      <x:c r="B3152" s="25" t="str">
        <x:v>raw_filtered_tonnes</x:v>
      </x:c>
      <x:c r="C3152" s="25" t="n">
        <x:v>258009.4224445994</x:v>
      </x:c>
      <x:c r="D3152" s="25" t="str">
        <x:v>tonnes</x:v>
      </x:c>
    </x:row>
    <x:row r="3153" ht="18" customHeight="1">
      <x:c r="A3153" s="25" t="str">
        <x:v>EEZ_914</x:v>
      </x:c>
      <x:c r="B3153" s="25" t="str">
        <x:v>species_catch_tonnes</x:v>
      </x:c>
      <x:c r="C3153" s="25" t="n">
        <x:v>258009.42244459942</x:v>
      </x:c>
      <x:c r="D3153" s="25" t="str">
        <x:v>tonnes</x:v>
      </x:c>
    </x:row>
    <x:row r="3154" ht="18" customHeight="1">
      <x:c r="A3154" s="25" t="str">
        <x:v>EEZ_914</x:v>
      </x:c>
      <x:c r="B3154" s="25" t="str">
        <x:v>catch_difference_tonnes</x:v>
      </x:c>
      <x:c r="C3154" s="25" t="n">
        <x:v>2.9103830456733704e-11</x:v>
      </x:c>
      <x:c r="D3154" s="25" t="str">
        <x:v>tonnes</x:v>
      </x:c>
    </x:row>
    <x:row r="3155" ht="18" customHeight="1">
      <x:c r="A3155" s="25" t="str">
        <x:v>EEZ_914</x:v>
      </x:c>
      <x:c r="B3155" s="25" t="str">
        <x:v>catch_reconciled</x:v>
      </x:c>
      <x:c r="C3155" s="36" t="b">
        <x:v>1</x:v>
      </x:c>
      <x:c r="D3155" s="25" t="str">
        <x:v>boolean</x:v>
      </x:c>
    </x:row>
    <x:row r="3156" ht="18" customHeight="1">
      <x:c r="A3156" s="25" t="str">
        <x:v>EEZ_914</x:v>
      </x:c>
      <x:c r="B3156" s="25" t="str">
        <x:v>matched_catch_tonnes</x:v>
      </x:c>
      <x:c r="C3156" s="25" t="n">
        <x:v>258009.42244459942</x:v>
      </x:c>
      <x:c r="D3156" s="25" t="str">
        <x:v>tonnes</x:v>
      </x:c>
    </x:row>
    <x:row r="3157" ht="18" customHeight="1">
      <x:c r="A3157" s="25" t="str">
        <x:v>EEZ_914</x:v>
      </x:c>
      <x:c r="B3157" s="25" t="str">
        <x:v>catch_coverage_fraction</x:v>
      </x:c>
      <x:c r="C3157" s="25" t="n">
        <x:v>1</x:v>
      </x:c>
      <x:c r="D3157" s="25" t="str">
        <x:v>fraction</x:v>
      </x:c>
    </x:row>
    <x:row r="3158" ht="18" customHeight="1">
      <x:c r="A3158" s="25" t="str">
        <x:v>EEZ_914</x:v>
      </x:c>
      <x:c r="B3158" s="25" t="str">
        <x:v>taxa_count</x:v>
      </x:c>
      <x:c r="C3158" s="25" t="n">
        <x:v>63</x:v>
      </x:c>
      <x:c r="D3158" s="25" t="str">
        <x:v>count</x:v>
      </x:c>
    </x:row>
    <x:row r="3159" ht="18" customHeight="1">
      <x:c r="A3159" s="25" t="str">
        <x:v>EEZ_914</x:v>
      </x:c>
      <x:c r="B3159" s="25" t="str">
        <x:v>matched_taxa_count</x:v>
      </x:c>
      <x:c r="C3159" s="25" t="n">
        <x:v>63</x:v>
      </x:c>
      <x:c r="D3159" s="25" t="str">
        <x:v>count</x:v>
      </x:c>
    </x:row>
    <x:row r="3160" ht="18" customHeight="1">
      <x:c r="A3160" s="25" t="str">
        <x:v>EEZ_914</x:v>
      </x:c>
      <x:c r="B3160" s="25" t="str">
        <x:v>unmatched_taxa_count</x:v>
      </x:c>
      <x:c r="C3160" s="25" t="n">
        <x:v>0</x:v>
      </x:c>
      <x:c r="D3160" s="25" t="str">
        <x:v>count</x:v>
      </x:c>
    </x:row>
    <x:row r="3161" ht="18" customHeight="1">
      <x:c r="A3161" s="25" t="str">
        <x:v>EEZ_914</x:v>
      </x:c>
      <x:c r="B3161" s="25" t="str">
        <x:v>species_ppr</x:v>
      </x:c>
      <x:c r="C3161" s="25" t="n">
        <x:v>65614786.95071074</x:v>
      </x:c>
      <x:c r="D3161" s="25" t="str">
        <x:v>tonnes_primary_production_equivalent</x:v>
      </x:c>
    </x:row>
    <x:row r="3162" ht="18" customHeight="1">
      <x:c r="A3162" s="25" t="str">
        <x:v>EEZ_914</x:v>
      </x:c>
      <x:c r="B3162" s="25" t="str">
        <x:v>commercial_ppr</x:v>
      </x:c>
      <x:c r="C3162" s="25" t="n">
        <x:v>58930501.54015318</x:v>
      </x:c>
      <x:c r="D3162" s="25" t="str">
        <x:v>tonnes_primary_production_equivalent</x:v>
      </x:c>
    </x:row>
    <x:row r="3163" ht="18" customHeight="1">
      <x:c r="A3163" s="25" t="str">
        <x:v>EEZ_914</x:v>
      </x:c>
      <x:c r="B3163" s="25" t="str">
        <x:v>functional_ppr</x:v>
      </x:c>
      <x:c r="C3163" s="25" t="n">
        <x:v>62120902.913858816</x:v>
      </x:c>
      <x:c r="D3163" s="25" t="str">
        <x:v>tonnes_primary_production_equivalent</x:v>
      </x:c>
    </x:row>
    <x:row r="3164" ht="18" customHeight="1">
      <x:c r="A3164" s="25" t="str">
        <x:v>EEZ_914</x:v>
      </x:c>
      <x:c r="B3164" s="25" t="str">
        <x:v>commercial_ppr_difference</x:v>
      </x:c>
      <x:c r="C3164" s="25" t="n">
        <x:v>-6684285.410557561</x:v>
      </x:c>
      <x:c r="D3164" s="25" t="str">
        <x:v>tonnes_primary_production_equivalent</x:v>
      </x:c>
    </x:row>
    <x:row r="3165" ht="18" customHeight="1">
      <x:c r="A3165" s="25" t="str">
        <x:v>EEZ_914</x:v>
      </x:c>
      <x:c r="B3165" s="25" t="str">
        <x:v>functional_ppr_difference</x:v>
      </x:c>
      <x:c r="C3165" s="25" t="n">
        <x:v>-3493884.0368519276</x:v>
      </x:c>
      <x:c r="D3165" s="25" t="str">
        <x:v>tonnes_primary_production_equivalent</x:v>
      </x:c>
    </x:row>
    <x:row r="3166" ht="18" customHeight="1">
      <x:c r="A3166" s="25" t="str">
        <x:v>EEZ_915</x:v>
      </x:c>
      <x:c r="B3166" s="25" t="str">
        <x:v>raw_filtered_tonnes</x:v>
      </x:c>
      <x:c r="C3166" s="25" t="n">
        <x:v>14482.0419879626</x:v>
      </x:c>
      <x:c r="D3166" s="25" t="str">
        <x:v>tonnes</x:v>
      </x:c>
    </x:row>
    <x:row r="3167" ht="18" customHeight="1">
      <x:c r="A3167" s="25" t="str">
        <x:v>EEZ_915</x:v>
      </x:c>
      <x:c r="B3167" s="25" t="str">
        <x:v>species_catch_tonnes</x:v>
      </x:c>
      <x:c r="C3167" s="25" t="n">
        <x:v>14482.041987962604</x:v>
      </x:c>
      <x:c r="D3167" s="25" t="str">
        <x:v>tonnes</x:v>
      </x:c>
    </x:row>
    <x:row r="3168" ht="18" customHeight="1">
      <x:c r="A3168" s="25" t="str">
        <x:v>EEZ_915</x:v>
      </x:c>
      <x:c r="B3168" s="25" t="str">
        <x:v>catch_difference_tonnes</x:v>
      </x:c>
      <x:c r="C3168" s="25" t="n">
        <x:v>3.637978807091713e-12</x:v>
      </x:c>
      <x:c r="D3168" s="25" t="str">
        <x:v>tonnes</x:v>
      </x:c>
    </x:row>
    <x:row r="3169" ht="18" customHeight="1">
      <x:c r="A3169" s="25" t="str">
        <x:v>EEZ_915</x:v>
      </x:c>
      <x:c r="B3169" s="25" t="str">
        <x:v>catch_reconciled</x:v>
      </x:c>
      <x:c r="C3169" s="36" t="b">
        <x:v>1</x:v>
      </x:c>
      <x:c r="D3169" s="25" t="str">
        <x:v>boolean</x:v>
      </x:c>
    </x:row>
    <x:row r="3170" ht="18" customHeight="1">
      <x:c r="A3170" s="25" t="str">
        <x:v>EEZ_915</x:v>
      </x:c>
      <x:c r="B3170" s="25" t="str">
        <x:v>matched_catch_tonnes</x:v>
      </x:c>
      <x:c r="C3170" s="25" t="n">
        <x:v>14482.041987962604</x:v>
      </x:c>
      <x:c r="D3170" s="25" t="str">
        <x:v>tonnes</x:v>
      </x:c>
    </x:row>
    <x:row r="3171" ht="18" customHeight="1">
      <x:c r="A3171" s="25" t="str">
        <x:v>EEZ_915</x:v>
      </x:c>
      <x:c r="B3171" s="25" t="str">
        <x:v>catch_coverage_fraction</x:v>
      </x:c>
      <x:c r="C3171" s="25" t="n">
        <x:v>1</x:v>
      </x:c>
      <x:c r="D3171" s="25" t="str">
        <x:v>fraction</x:v>
      </x:c>
    </x:row>
    <x:row r="3172" ht="18" customHeight="1">
      <x:c r="A3172" s="25" t="str">
        <x:v>EEZ_915</x:v>
      </x:c>
      <x:c r="B3172" s="25" t="str">
        <x:v>taxa_count</x:v>
      </x:c>
      <x:c r="C3172" s="25" t="n">
        <x:v>117</x:v>
      </x:c>
      <x:c r="D3172" s="25" t="str">
        <x:v>count</x:v>
      </x:c>
    </x:row>
    <x:row r="3173" ht="18" customHeight="1">
      <x:c r="A3173" s="25" t="str">
        <x:v>EEZ_915</x:v>
      </x:c>
      <x:c r="B3173" s="25" t="str">
        <x:v>matched_taxa_count</x:v>
      </x:c>
      <x:c r="C3173" s="25" t="n">
        <x:v>117</x:v>
      </x:c>
      <x:c r="D3173" s="25" t="str">
        <x:v>count</x:v>
      </x:c>
    </x:row>
    <x:row r="3174" ht="18" customHeight="1">
      <x:c r="A3174" s="25" t="str">
        <x:v>EEZ_915</x:v>
      </x:c>
      <x:c r="B3174" s="25" t="str">
        <x:v>unmatched_taxa_count</x:v>
      </x:c>
      <x:c r="C3174" s="25" t="n">
        <x:v>0</x:v>
      </x:c>
      <x:c r="D3174" s="25" t="str">
        <x:v>count</x:v>
      </x:c>
    </x:row>
    <x:row r="3175" ht="18" customHeight="1">
      <x:c r="A3175" s="25" t="str">
        <x:v>EEZ_915</x:v>
      </x:c>
      <x:c r="B3175" s="25" t="str">
        <x:v>species_ppr</x:v>
      </x:c>
      <x:c r="C3175" s="25" t="n">
        <x:v>7256163.265204381</x:v>
      </x:c>
      <x:c r="D3175" s="25" t="str">
        <x:v>tonnes_primary_production_equivalent</x:v>
      </x:c>
    </x:row>
    <x:row r="3176" ht="18" customHeight="1">
      <x:c r="A3176" s="25" t="str">
        <x:v>EEZ_915</x:v>
      </x:c>
      <x:c r="B3176" s="25" t="str">
        <x:v>commercial_ppr</x:v>
      </x:c>
      <x:c r="C3176" s="25" t="n">
        <x:v>6314670.509263973</x:v>
      </x:c>
      <x:c r="D3176" s="25" t="str">
        <x:v>tonnes_primary_production_equivalent</x:v>
      </x:c>
    </x:row>
    <x:row r="3177" ht="18" customHeight="1">
      <x:c r="A3177" s="25" t="str">
        <x:v>EEZ_915</x:v>
      </x:c>
      <x:c r="B3177" s="25" t="str">
        <x:v>functional_ppr</x:v>
      </x:c>
      <x:c r="C3177" s="25" t="n">
        <x:v>6783703.22676787</x:v>
      </x:c>
      <x:c r="D3177" s="25" t="str">
        <x:v>tonnes_primary_production_equivalent</x:v>
      </x:c>
    </x:row>
    <x:row r="3178" ht="18" customHeight="1">
      <x:c r="A3178" s="25" t="str">
        <x:v>EEZ_915</x:v>
      </x:c>
      <x:c r="B3178" s="25" t="str">
        <x:v>commercial_ppr_difference</x:v>
      </x:c>
      <x:c r="C3178" s="25" t="n">
        <x:v>-941492.7559404084</x:v>
      </x:c>
      <x:c r="D3178" s="25" t="str">
        <x:v>tonnes_primary_production_equivalent</x:v>
      </x:c>
    </x:row>
    <x:row r="3179" ht="18" customHeight="1">
      <x:c r="A3179" s="25" t="str">
        <x:v>EEZ_915</x:v>
      </x:c>
      <x:c r="B3179" s="25" t="str">
        <x:v>functional_ppr_difference</x:v>
      </x:c>
      <x:c r="C3179" s="25" t="n">
        <x:v>-472460.03843651153</x:v>
      </x:c>
      <x:c r="D3179" s="25" t="str">
        <x:v>tonnes_primary_production_equivalent</x:v>
      </x:c>
    </x:row>
    <x:row r="3180" ht="18" customHeight="1">
      <x:c r="A3180" s="25" t="str">
        <x:v>EEZ_916</x:v>
      </x:c>
      <x:c r="B3180" s="25" t="str">
        <x:v>raw_filtered_tonnes</x:v>
      </x:c>
      <x:c r="C3180" s="25" t="n">
        <x:v>27521.2468767345</x:v>
      </x:c>
      <x:c r="D3180" s="25" t="str">
        <x:v>tonnes</x:v>
      </x:c>
    </x:row>
    <x:row r="3181" ht="18" customHeight="1">
      <x:c r="A3181" s="25" t="str">
        <x:v>EEZ_916</x:v>
      </x:c>
      <x:c r="B3181" s="25" t="str">
        <x:v>species_catch_tonnes</x:v>
      </x:c>
      <x:c r="C3181" s="25" t="n">
        <x:v>27521.2468767345</x:v>
      </x:c>
      <x:c r="D3181" s="25" t="str">
        <x:v>tonnes</x:v>
      </x:c>
    </x:row>
    <x:row r="3182" ht="18" customHeight="1">
      <x:c r="A3182" s="25" t="str">
        <x:v>EEZ_916</x:v>
      </x:c>
      <x:c r="B3182" s="25" t="str">
        <x:v>catch_difference_tonnes</x:v>
      </x:c>
      <x:c r="C3182" s="25" t="n">
        <x:v>0</x:v>
      </x:c>
      <x:c r="D3182" s="25" t="str">
        <x:v>tonnes</x:v>
      </x:c>
    </x:row>
    <x:row r="3183" ht="18" customHeight="1">
      <x:c r="A3183" s="25" t="str">
        <x:v>EEZ_916</x:v>
      </x:c>
      <x:c r="B3183" s="25" t="str">
        <x:v>catch_reconciled</x:v>
      </x:c>
      <x:c r="C3183" s="36" t="b">
        <x:v>1</x:v>
      </x:c>
      <x:c r="D3183" s="25" t="str">
        <x:v>boolean</x:v>
      </x:c>
    </x:row>
    <x:row r="3184" ht="18" customHeight="1">
      <x:c r="A3184" s="25" t="str">
        <x:v>EEZ_916</x:v>
      </x:c>
      <x:c r="B3184" s="25" t="str">
        <x:v>matched_catch_tonnes</x:v>
      </x:c>
      <x:c r="C3184" s="25" t="n">
        <x:v>27521.2468767345</x:v>
      </x:c>
      <x:c r="D3184" s="25" t="str">
        <x:v>tonnes</x:v>
      </x:c>
    </x:row>
    <x:row r="3185" ht="18" customHeight="1">
      <x:c r="A3185" s="25" t="str">
        <x:v>EEZ_916</x:v>
      </x:c>
      <x:c r="B3185" s="25" t="str">
        <x:v>catch_coverage_fraction</x:v>
      </x:c>
      <x:c r="C3185" s="25" t="n">
        <x:v>1</x:v>
      </x:c>
      <x:c r="D3185" s="25" t="str">
        <x:v>fraction</x:v>
      </x:c>
    </x:row>
    <x:row r="3186" ht="18" customHeight="1">
      <x:c r="A3186" s="25" t="str">
        <x:v>EEZ_916</x:v>
      </x:c>
      <x:c r="B3186" s="25" t="str">
        <x:v>taxa_count</x:v>
      </x:c>
      <x:c r="C3186" s="25" t="n">
        <x:v>41</x:v>
      </x:c>
      <x:c r="D3186" s="25" t="str">
        <x:v>count</x:v>
      </x:c>
    </x:row>
    <x:row r="3187" ht="18" customHeight="1">
      <x:c r="A3187" s="25" t="str">
        <x:v>EEZ_916</x:v>
      </x:c>
      <x:c r="B3187" s="25" t="str">
        <x:v>matched_taxa_count</x:v>
      </x:c>
      <x:c r="C3187" s="25" t="n">
        <x:v>41</x:v>
      </x:c>
      <x:c r="D3187" s="25" t="str">
        <x:v>count</x:v>
      </x:c>
    </x:row>
    <x:row r="3188" ht="18" customHeight="1">
      <x:c r="A3188" s="25" t="str">
        <x:v>EEZ_916</x:v>
      </x:c>
      <x:c r="B3188" s="25" t="str">
        <x:v>unmatched_taxa_count</x:v>
      </x:c>
      <x:c r="C3188" s="25" t="n">
        <x:v>0</x:v>
      </x:c>
      <x:c r="D3188" s="25" t="str">
        <x:v>count</x:v>
      </x:c>
    </x:row>
    <x:row r="3189" ht="18" customHeight="1">
      <x:c r="A3189" s="25" t="str">
        <x:v>EEZ_916</x:v>
      </x:c>
      <x:c r="B3189" s="25" t="str">
        <x:v>species_ppr</x:v>
      </x:c>
      <x:c r="C3189" s="25" t="n">
        <x:v>24990523.481711373</x:v>
      </x:c>
      <x:c r="D3189" s="25" t="str">
        <x:v>tonnes_primary_production_equivalent</x:v>
      </x:c>
    </x:row>
    <x:row r="3190" ht="18" customHeight="1">
      <x:c r="A3190" s="25" t="str">
        <x:v>EEZ_916</x:v>
      </x:c>
      <x:c r="B3190" s="25" t="str">
        <x:v>commercial_ppr</x:v>
      </x:c>
      <x:c r="C3190" s="25" t="n">
        <x:v>21806466.79740134</x:v>
      </x:c>
      <x:c r="D3190" s="25" t="str">
        <x:v>tonnes_primary_production_equivalent</x:v>
      </x:c>
    </x:row>
    <x:row r="3191" ht="18" customHeight="1">
      <x:c r="A3191" s="25" t="str">
        <x:v>EEZ_916</x:v>
      </x:c>
      <x:c r="B3191" s="25" t="str">
        <x:v>functional_ppr</x:v>
      </x:c>
      <x:c r="C3191" s="25" t="n">
        <x:v>22964829.02371655</x:v>
      </x:c>
      <x:c r="D3191" s="25" t="str">
        <x:v>tonnes_primary_production_equivalent</x:v>
      </x:c>
    </x:row>
    <x:row r="3192" ht="18" customHeight="1">
      <x:c r="A3192" s="25" t="str">
        <x:v>EEZ_916</x:v>
      </x:c>
      <x:c r="B3192" s="25" t="str">
        <x:v>commercial_ppr_difference</x:v>
      </x:c>
      <x:c r="C3192" s="25" t="n">
        <x:v>-3184056.684310034</x:v>
      </x:c>
      <x:c r="D3192" s="25" t="str">
        <x:v>tonnes_primary_production_equivalent</x:v>
      </x:c>
    </x:row>
    <x:row r="3193" ht="18" customHeight="1">
      <x:c r="A3193" s="25" t="str">
        <x:v>EEZ_916</x:v>
      </x:c>
      <x:c r="B3193" s="25" t="str">
        <x:v>functional_ppr_difference</x:v>
      </x:c>
      <x:c r="C3193" s="25" t="n">
        <x:v>-2025694.4579948224</x:v>
      </x:c>
      <x:c r="D3193" s="25" t="str">
        <x:v>tonnes_primary_production_equivalent</x:v>
      </x:c>
    </x:row>
    <x:row r="3194" ht="18" customHeight="1">
      <x:c r="A3194" s="25" t="str">
        <x:v>EEZ_917</x:v>
      </x:c>
      <x:c r="B3194" s="25" t="str">
        <x:v>raw_filtered_tonnes</x:v>
      </x:c>
      <x:c r="C3194" s="25" t="n">
        <x:v>324367.1527000878</x:v>
      </x:c>
      <x:c r="D3194" s="25" t="str">
        <x:v>tonnes</x:v>
      </x:c>
    </x:row>
    <x:row r="3195" ht="18" customHeight="1">
      <x:c r="A3195" s="25" t="str">
        <x:v>EEZ_917</x:v>
      </x:c>
      <x:c r="B3195" s="25" t="str">
        <x:v>species_catch_tonnes</x:v>
      </x:c>
      <x:c r="C3195" s="25" t="n">
        <x:v>324367.1527000878</x:v>
      </x:c>
      <x:c r="D3195" s="25" t="str">
        <x:v>tonnes</x:v>
      </x:c>
    </x:row>
    <x:row r="3196" ht="18" customHeight="1">
      <x:c r="A3196" s="25" t="str">
        <x:v>EEZ_917</x:v>
      </x:c>
      <x:c r="B3196" s="25" t="str">
        <x:v>catch_difference_tonnes</x:v>
      </x:c>
      <x:c r="C3196" s="25" t="n">
        <x:v>0</x:v>
      </x:c>
      <x:c r="D3196" s="25" t="str">
        <x:v>tonnes</x:v>
      </x:c>
    </x:row>
    <x:row r="3197" ht="18" customHeight="1">
      <x:c r="A3197" s="25" t="str">
        <x:v>EEZ_917</x:v>
      </x:c>
      <x:c r="B3197" s="25" t="str">
        <x:v>catch_reconciled</x:v>
      </x:c>
      <x:c r="C3197" s="36" t="b">
        <x:v>1</x:v>
      </x:c>
      <x:c r="D3197" s="25" t="str">
        <x:v>boolean</x:v>
      </x:c>
    </x:row>
    <x:row r="3198" ht="18" customHeight="1">
      <x:c r="A3198" s="25" t="str">
        <x:v>EEZ_917</x:v>
      </x:c>
      <x:c r="B3198" s="25" t="str">
        <x:v>matched_catch_tonnes</x:v>
      </x:c>
      <x:c r="C3198" s="25" t="n">
        <x:v>324367.1527000878</x:v>
      </x:c>
      <x:c r="D3198" s="25" t="str">
        <x:v>tonnes</x:v>
      </x:c>
    </x:row>
    <x:row r="3199" ht="18" customHeight="1">
      <x:c r="A3199" s="25" t="str">
        <x:v>EEZ_917</x:v>
      </x:c>
      <x:c r="B3199" s="25" t="str">
        <x:v>catch_coverage_fraction</x:v>
      </x:c>
      <x:c r="C3199" s="25" t="n">
        <x:v>1</x:v>
      </x:c>
      <x:c r="D3199" s="25" t="str">
        <x:v>fraction</x:v>
      </x:c>
    </x:row>
    <x:row r="3200" ht="18" customHeight="1">
      <x:c r="A3200" s="25" t="str">
        <x:v>EEZ_917</x:v>
      </x:c>
      <x:c r="B3200" s="25" t="str">
        <x:v>taxa_count</x:v>
      </x:c>
      <x:c r="C3200" s="25" t="n">
        <x:v>49</x:v>
      </x:c>
      <x:c r="D3200" s="25" t="str">
        <x:v>count</x:v>
      </x:c>
    </x:row>
    <x:row r="3201" ht="18" customHeight="1">
      <x:c r="A3201" s="25" t="str">
        <x:v>EEZ_917</x:v>
      </x:c>
      <x:c r="B3201" s="25" t="str">
        <x:v>matched_taxa_count</x:v>
      </x:c>
      <x:c r="C3201" s="25" t="n">
        <x:v>49</x:v>
      </x:c>
      <x:c r="D3201" s="25" t="str">
        <x:v>count</x:v>
      </x:c>
    </x:row>
    <x:row r="3202" ht="18" customHeight="1">
      <x:c r="A3202" s="25" t="str">
        <x:v>EEZ_917</x:v>
      </x:c>
      <x:c r="B3202" s="25" t="str">
        <x:v>unmatched_taxa_count</x:v>
      </x:c>
      <x:c r="C3202" s="25" t="n">
        <x:v>0</x:v>
      </x:c>
      <x:c r="D3202" s="25" t="str">
        <x:v>count</x:v>
      </x:c>
    </x:row>
    <x:row r="3203" ht="18" customHeight="1">
      <x:c r="A3203" s="25" t="str">
        <x:v>EEZ_917</x:v>
      </x:c>
      <x:c r="B3203" s="25" t="str">
        <x:v>species_ppr</x:v>
      </x:c>
      <x:c r="C3203" s="25" t="n">
        <x:v>331675839.9836948</x:v>
      </x:c>
      <x:c r="D3203" s="25" t="str">
        <x:v>tonnes_primary_production_equivalent</x:v>
      </x:c>
    </x:row>
    <x:row r="3204" ht="18" customHeight="1">
      <x:c r="A3204" s="25" t="str">
        <x:v>EEZ_917</x:v>
      </x:c>
      <x:c r="B3204" s="25" t="str">
        <x:v>commercial_ppr</x:v>
      </x:c>
      <x:c r="C3204" s="25" t="n">
        <x:v>309304483.70174855</x:v>
      </x:c>
      <x:c r="D3204" s="25" t="str">
        <x:v>tonnes_primary_production_equivalent</x:v>
      </x:c>
    </x:row>
    <x:row r="3205" ht="18" customHeight="1">
      <x:c r="A3205" s="25" t="str">
        <x:v>EEZ_917</x:v>
      </x:c>
      <x:c r="B3205" s="25" t="str">
        <x:v>functional_ppr</x:v>
      </x:c>
      <x:c r="C3205" s="25" t="n">
        <x:v>320546355.1211275</x:v>
      </x:c>
      <x:c r="D3205" s="25" t="str">
        <x:v>tonnes_primary_production_equivalent</x:v>
      </x:c>
    </x:row>
    <x:row r="3206" ht="18" customHeight="1">
      <x:c r="A3206" s="25" t="str">
        <x:v>EEZ_917</x:v>
      </x:c>
      <x:c r="B3206" s="25" t="str">
        <x:v>commercial_ppr_difference</x:v>
      </x:c>
      <x:c r="C3206" s="25" t="n">
        <x:v>-22371356.28194624</x:v>
      </x:c>
      <x:c r="D3206" s="25" t="str">
        <x:v>tonnes_primary_production_equivalent</x:v>
      </x:c>
    </x:row>
    <x:row r="3207" ht="18" customHeight="1">
      <x:c r="A3207" s="25" t="str">
        <x:v>EEZ_917</x:v>
      </x:c>
      <x:c r="B3207" s="25" t="str">
        <x:v>functional_ppr_difference</x:v>
      </x:c>
      <x:c r="C3207" s="25" t="n">
        <x:v>-11129484.862567306</x:v>
      </x:c>
      <x:c r="D3207" s="25" t="str">
        <x:v>tonnes_primary_production_equivalent</x:v>
      </x:c>
    </x:row>
    <x:row r="3208" ht="18" customHeight="1">
      <x:c r="A3208" s="25" t="str">
        <x:v>EEZ_918</x:v>
      </x:c>
      <x:c r="B3208" s="25" t="str">
        <x:v>raw_filtered_tonnes</x:v>
      </x:c>
      <x:c r="C3208" s="25" t="n">
        <x:v>49423.405775673295</x:v>
      </x:c>
      <x:c r="D3208" s="25" t="str">
        <x:v>tonnes</x:v>
      </x:c>
    </x:row>
    <x:row r="3209" ht="18" customHeight="1">
      <x:c r="A3209" s="25" t="str">
        <x:v>EEZ_918</x:v>
      </x:c>
      <x:c r="B3209" s="25" t="str">
        <x:v>species_catch_tonnes</x:v>
      </x:c>
      <x:c r="C3209" s="25" t="n">
        <x:v>49423.4057756733</x:v>
      </x:c>
      <x:c r="D3209" s="25" t="str">
        <x:v>tonnes</x:v>
      </x:c>
    </x:row>
    <x:row r="3210" ht="18" customHeight="1">
      <x:c r="A3210" s="25" t="str">
        <x:v>EEZ_918</x:v>
      </x:c>
      <x:c r="B3210" s="25" t="str">
        <x:v>catch_difference_tonnes</x:v>
      </x:c>
      <x:c r="C3210" s="25" t="n">
        <x:v>7.275957614183426e-12</x:v>
      </x:c>
      <x:c r="D3210" s="25" t="str">
        <x:v>tonnes</x:v>
      </x:c>
    </x:row>
    <x:row r="3211" ht="18" customHeight="1">
      <x:c r="A3211" s="25" t="str">
        <x:v>EEZ_918</x:v>
      </x:c>
      <x:c r="B3211" s="25" t="str">
        <x:v>catch_reconciled</x:v>
      </x:c>
      <x:c r="C3211" s="36" t="b">
        <x:v>1</x:v>
      </x:c>
      <x:c r="D3211" s="25" t="str">
        <x:v>boolean</x:v>
      </x:c>
    </x:row>
    <x:row r="3212" ht="18" customHeight="1">
      <x:c r="A3212" s="25" t="str">
        <x:v>EEZ_918</x:v>
      </x:c>
      <x:c r="B3212" s="25" t="str">
        <x:v>matched_catch_tonnes</x:v>
      </x:c>
      <x:c r="C3212" s="25" t="n">
        <x:v>49423.4057756733</x:v>
      </x:c>
      <x:c r="D3212" s="25" t="str">
        <x:v>tonnes</x:v>
      </x:c>
    </x:row>
    <x:row r="3213" ht="18" customHeight="1">
      <x:c r="A3213" s="25" t="str">
        <x:v>EEZ_918</x:v>
      </x:c>
      <x:c r="B3213" s="25" t="str">
        <x:v>catch_coverage_fraction</x:v>
      </x:c>
      <x:c r="C3213" s="25" t="n">
        <x:v>1</x:v>
      </x:c>
      <x:c r="D3213" s="25" t="str">
        <x:v>fraction</x:v>
      </x:c>
    </x:row>
    <x:row r="3214" ht="18" customHeight="1">
      <x:c r="A3214" s="25" t="str">
        <x:v>EEZ_918</x:v>
      </x:c>
      <x:c r="B3214" s="25" t="str">
        <x:v>taxa_count</x:v>
      </x:c>
      <x:c r="C3214" s="25" t="n">
        <x:v>159</x:v>
      </x:c>
      <x:c r="D3214" s="25" t="str">
        <x:v>count</x:v>
      </x:c>
    </x:row>
    <x:row r="3215" ht="18" customHeight="1">
      <x:c r="A3215" s="25" t="str">
        <x:v>EEZ_918</x:v>
      </x:c>
      <x:c r="B3215" s="25" t="str">
        <x:v>matched_taxa_count</x:v>
      </x:c>
      <x:c r="C3215" s="25" t="n">
        <x:v>159</x:v>
      </x:c>
      <x:c r="D3215" s="25" t="str">
        <x:v>count</x:v>
      </x:c>
    </x:row>
    <x:row r="3216" ht="18" customHeight="1">
      <x:c r="A3216" s="25" t="str">
        <x:v>EEZ_918</x:v>
      </x:c>
      <x:c r="B3216" s="25" t="str">
        <x:v>unmatched_taxa_count</x:v>
      </x:c>
      <x:c r="C3216" s="25" t="n">
        <x:v>0</x:v>
      </x:c>
      <x:c r="D3216" s="25" t="str">
        <x:v>count</x:v>
      </x:c>
    </x:row>
    <x:row r="3217" ht="18" customHeight="1">
      <x:c r="A3217" s="25" t="str">
        <x:v>EEZ_918</x:v>
      </x:c>
      <x:c r="B3217" s="25" t="str">
        <x:v>species_ppr</x:v>
      </x:c>
      <x:c r="C3217" s="25" t="n">
        <x:v>38061004.150797874</x:v>
      </x:c>
      <x:c r="D3217" s="25" t="str">
        <x:v>tonnes_primary_production_equivalent</x:v>
      </x:c>
    </x:row>
    <x:row r="3218" ht="18" customHeight="1">
      <x:c r="A3218" s="25" t="str">
        <x:v>EEZ_918</x:v>
      </x:c>
      <x:c r="B3218" s="25" t="str">
        <x:v>commercial_ppr</x:v>
      </x:c>
      <x:c r="C3218" s="25" t="n">
        <x:v>27105688.547792196</x:v>
      </x:c>
      <x:c r="D3218" s="25" t="str">
        <x:v>tonnes_primary_production_equivalent</x:v>
      </x:c>
    </x:row>
    <x:row r="3219" ht="18" customHeight="1">
      <x:c r="A3219" s="25" t="str">
        <x:v>EEZ_918</x:v>
      </x:c>
      <x:c r="B3219" s="25" t="str">
        <x:v>functional_ppr</x:v>
      </x:c>
      <x:c r="C3219" s="25" t="n">
        <x:v>31381596.30210026</x:v>
      </x:c>
      <x:c r="D3219" s="25" t="str">
        <x:v>tonnes_primary_production_equivalent</x:v>
      </x:c>
    </x:row>
    <x:row r="3220" ht="18" customHeight="1">
      <x:c r="A3220" s="25" t="str">
        <x:v>EEZ_918</x:v>
      </x:c>
      <x:c r="B3220" s="25" t="str">
        <x:v>commercial_ppr_difference</x:v>
      </x:c>
      <x:c r="C3220" s="25" t="n">
        <x:v>-10955315.603005677</x:v>
      </x:c>
      <x:c r="D3220" s="25" t="str">
        <x:v>tonnes_primary_production_equivalent</x:v>
      </x:c>
    </x:row>
    <x:row r="3221" ht="18" customHeight="1">
      <x:c r="A3221" s="25" t="str">
        <x:v>EEZ_918</x:v>
      </x:c>
      <x:c r="B3221" s="25" t="str">
        <x:v>functional_ppr_difference</x:v>
      </x:c>
      <x:c r="C3221" s="25" t="n">
        <x:v>-6679407.848697614</x:v>
      </x:c>
      <x:c r="D3221" s="25" t="str">
        <x:v>tonnes_primary_production_equivalent</x:v>
      </x:c>
    </x:row>
    <x:row r="3222" ht="18" customHeight="1">
      <x:c r="A3222" s="25" t="str">
        <x:v>EEZ_919</x:v>
      </x:c>
      <x:c r="B3222" s="25" t="str">
        <x:v>raw_filtered_tonnes</x:v>
      </x:c>
      <x:c r="C3222" s="25" t="n">
        <x:v>270826.2519812341</x:v>
      </x:c>
      <x:c r="D3222" s="25" t="str">
        <x:v>tonnes</x:v>
      </x:c>
    </x:row>
    <x:row r="3223" ht="18" customHeight="1">
      <x:c r="A3223" s="25" t="str">
        <x:v>EEZ_919</x:v>
      </x:c>
      <x:c r="B3223" s="25" t="str">
        <x:v>species_catch_tonnes</x:v>
      </x:c>
      <x:c r="C3223" s="25" t="n">
        <x:v>270826.2519812341</x:v>
      </x:c>
      <x:c r="D3223" s="25" t="str">
        <x:v>tonnes</x:v>
      </x:c>
    </x:row>
    <x:row r="3224" ht="18" customHeight="1">
      <x:c r="A3224" s="25" t="str">
        <x:v>EEZ_919</x:v>
      </x:c>
      <x:c r="B3224" s="25" t="str">
        <x:v>catch_difference_tonnes</x:v>
      </x:c>
      <x:c r="C3224" s="25" t="n">
        <x:v>0</x:v>
      </x:c>
      <x:c r="D3224" s="25" t="str">
        <x:v>tonnes</x:v>
      </x:c>
    </x:row>
    <x:row r="3225" ht="18" customHeight="1">
      <x:c r="A3225" s="25" t="str">
        <x:v>EEZ_919</x:v>
      </x:c>
      <x:c r="B3225" s="25" t="str">
        <x:v>catch_reconciled</x:v>
      </x:c>
      <x:c r="C3225" s="36" t="b">
        <x:v>1</x:v>
      </x:c>
      <x:c r="D3225" s="25" t="str">
        <x:v>boolean</x:v>
      </x:c>
    </x:row>
    <x:row r="3226" ht="18" customHeight="1">
      <x:c r="A3226" s="25" t="str">
        <x:v>EEZ_919</x:v>
      </x:c>
      <x:c r="B3226" s="25" t="str">
        <x:v>matched_catch_tonnes</x:v>
      </x:c>
      <x:c r="C3226" s="25" t="n">
        <x:v>270826.2519812341</x:v>
      </x:c>
      <x:c r="D3226" s="25" t="str">
        <x:v>tonnes</x:v>
      </x:c>
    </x:row>
    <x:row r="3227" ht="18" customHeight="1">
      <x:c r="A3227" s="25" t="str">
        <x:v>EEZ_919</x:v>
      </x:c>
      <x:c r="B3227" s="25" t="str">
        <x:v>catch_coverage_fraction</x:v>
      </x:c>
      <x:c r="C3227" s="25" t="n">
        <x:v>1</x:v>
      </x:c>
      <x:c r="D3227" s="25" t="str">
        <x:v>fraction</x:v>
      </x:c>
    </x:row>
    <x:row r="3228" ht="18" customHeight="1">
      <x:c r="A3228" s="25" t="str">
        <x:v>EEZ_919</x:v>
      </x:c>
      <x:c r="B3228" s="25" t="str">
        <x:v>taxa_count</x:v>
      </x:c>
      <x:c r="C3228" s="25" t="n">
        <x:v>348</x:v>
      </x:c>
      <x:c r="D3228" s="25" t="str">
        <x:v>count</x:v>
      </x:c>
    </x:row>
    <x:row r="3229" ht="18" customHeight="1">
      <x:c r="A3229" s="25" t="str">
        <x:v>EEZ_919</x:v>
      </x:c>
      <x:c r="B3229" s="25" t="str">
        <x:v>matched_taxa_count</x:v>
      </x:c>
      <x:c r="C3229" s="25" t="n">
        <x:v>348</x:v>
      </x:c>
      <x:c r="D3229" s="25" t="str">
        <x:v>count</x:v>
      </x:c>
    </x:row>
    <x:row r="3230" ht="18" customHeight="1">
      <x:c r="A3230" s="25" t="str">
        <x:v>EEZ_919</x:v>
      </x:c>
      <x:c r="B3230" s="25" t="str">
        <x:v>unmatched_taxa_count</x:v>
      </x:c>
      <x:c r="C3230" s="25" t="n">
        <x:v>0</x:v>
      </x:c>
      <x:c r="D3230" s="25" t="str">
        <x:v>count</x:v>
      </x:c>
    </x:row>
    <x:row r="3231" ht="18" customHeight="1">
      <x:c r="A3231" s="25" t="str">
        <x:v>EEZ_919</x:v>
      </x:c>
      <x:c r="B3231" s="25" t="str">
        <x:v>species_ppr</x:v>
      </x:c>
      <x:c r="C3231" s="25" t="n">
        <x:v>220204619.0813137</x:v>
      </x:c>
      <x:c r="D3231" s="25" t="str">
        <x:v>tonnes_primary_production_equivalent</x:v>
      </x:c>
    </x:row>
    <x:row r="3232" ht="18" customHeight="1">
      <x:c r="A3232" s="25" t="str">
        <x:v>EEZ_919</x:v>
      </x:c>
      <x:c r="B3232" s="25" t="str">
        <x:v>commercial_ppr</x:v>
      </x:c>
      <x:c r="C3232" s="25" t="n">
        <x:v>169005621.09511688</x:v>
      </x:c>
      <x:c r="D3232" s="25" t="str">
        <x:v>tonnes_primary_production_equivalent</x:v>
      </x:c>
    </x:row>
    <x:row r="3233" ht="18" customHeight="1">
      <x:c r="A3233" s="25" t="str">
        <x:v>EEZ_919</x:v>
      </x:c>
      <x:c r="B3233" s="25" t="str">
        <x:v>functional_ppr</x:v>
      </x:c>
      <x:c r="C3233" s="25" t="n">
        <x:v>189192339.3498306</x:v>
      </x:c>
      <x:c r="D3233" s="25" t="str">
        <x:v>tonnes_primary_production_equivalent</x:v>
      </x:c>
    </x:row>
    <x:row r="3234" ht="18" customHeight="1">
      <x:c r="A3234" s="25" t="str">
        <x:v>EEZ_919</x:v>
      </x:c>
      <x:c r="B3234" s="25" t="str">
        <x:v>commercial_ppr_difference</x:v>
      </x:c>
      <x:c r="C3234" s="25" t="n">
        <x:v>-51198997.986196816</x:v>
      </x:c>
      <x:c r="D3234" s="25" t="str">
        <x:v>tonnes_primary_production_equivalent</x:v>
      </x:c>
    </x:row>
    <x:row r="3235" ht="18" customHeight="1">
      <x:c r="A3235" s="25" t="str">
        <x:v>EEZ_919</x:v>
      </x:c>
      <x:c r="B3235" s="25" t="str">
        <x:v>functional_ppr_difference</x:v>
      </x:c>
      <x:c r="C3235" s="25" t="n">
        <x:v>-31012279.7314831</x:v>
      </x:c>
      <x:c r="D3235" s="25" t="str">
        <x:v>tonnes_primary_production_equivalent</x:v>
      </x:c>
    </x:row>
    <x:row r="3236" ht="18" customHeight="1">
      <x:c r="A3236" s="25" t="str">
        <x:v>EEZ_920</x:v>
      </x:c>
      <x:c r="B3236" s="25" t="str">
        <x:v>raw_filtered_tonnes</x:v>
      </x:c>
      <x:c r="C3236" s="25" t="n">
        <x:v>6195.8538133156</x:v>
      </x:c>
      <x:c r="D3236" s="25" t="str">
        <x:v>tonnes</x:v>
      </x:c>
    </x:row>
    <x:row r="3237" ht="18" customHeight="1">
      <x:c r="A3237" s="25" t="str">
        <x:v>EEZ_920</x:v>
      </x:c>
      <x:c r="B3237" s="25" t="str">
        <x:v>species_catch_tonnes</x:v>
      </x:c>
      <x:c r="C3237" s="25" t="n">
        <x:v>6195.853813315599</x:v>
      </x:c>
      <x:c r="D3237" s="25" t="str">
        <x:v>tonnes</x:v>
      </x:c>
    </x:row>
    <x:row r="3238" ht="18" customHeight="1">
      <x:c r="A3238" s="25" t="str">
        <x:v>EEZ_920</x:v>
      </x:c>
      <x:c r="B3238" s="25" t="str">
        <x:v>catch_difference_tonnes</x:v>
      </x:c>
      <x:c r="C3238" s="25" t="n">
        <x:v>-9.094947017729282e-13</x:v>
      </x:c>
      <x:c r="D3238" s="25" t="str">
        <x:v>tonnes</x:v>
      </x:c>
    </x:row>
    <x:row r="3239" ht="18" customHeight="1">
      <x:c r="A3239" s="25" t="str">
        <x:v>EEZ_920</x:v>
      </x:c>
      <x:c r="B3239" s="25" t="str">
        <x:v>catch_reconciled</x:v>
      </x:c>
      <x:c r="C3239" s="36" t="b">
        <x:v>1</x:v>
      </x:c>
      <x:c r="D3239" s="25" t="str">
        <x:v>boolean</x:v>
      </x:c>
    </x:row>
    <x:row r="3240" ht="18" customHeight="1">
      <x:c r="A3240" s="25" t="str">
        <x:v>EEZ_920</x:v>
      </x:c>
      <x:c r="B3240" s="25" t="str">
        <x:v>matched_catch_tonnes</x:v>
      </x:c>
      <x:c r="C3240" s="25" t="n">
        <x:v>6195.853813315599</x:v>
      </x:c>
      <x:c r="D3240" s="25" t="str">
        <x:v>tonnes</x:v>
      </x:c>
    </x:row>
    <x:row r="3241" ht="18" customHeight="1">
      <x:c r="A3241" s="25" t="str">
        <x:v>EEZ_920</x:v>
      </x:c>
      <x:c r="B3241" s="25" t="str">
        <x:v>catch_coverage_fraction</x:v>
      </x:c>
      <x:c r="C3241" s="25" t="n">
        <x:v>1</x:v>
      </x:c>
      <x:c r="D3241" s="25" t="str">
        <x:v>fraction</x:v>
      </x:c>
    </x:row>
    <x:row r="3242" ht="18" customHeight="1">
      <x:c r="A3242" s="25" t="str">
        <x:v>EEZ_920</x:v>
      </x:c>
      <x:c r="B3242" s="25" t="str">
        <x:v>taxa_count</x:v>
      </x:c>
      <x:c r="C3242" s="25" t="n">
        <x:v>25</x:v>
      </x:c>
      <x:c r="D3242" s="25" t="str">
        <x:v>count</x:v>
      </x:c>
    </x:row>
    <x:row r="3243" ht="18" customHeight="1">
      <x:c r="A3243" s="25" t="str">
        <x:v>EEZ_920</x:v>
      </x:c>
      <x:c r="B3243" s="25" t="str">
        <x:v>matched_taxa_count</x:v>
      </x:c>
      <x:c r="C3243" s="25" t="n">
        <x:v>25</x:v>
      </x:c>
      <x:c r="D3243" s="25" t="str">
        <x:v>count</x:v>
      </x:c>
    </x:row>
    <x:row r="3244" ht="18" customHeight="1">
      <x:c r="A3244" s="25" t="str">
        <x:v>EEZ_920</x:v>
      </x:c>
      <x:c r="B3244" s="25" t="str">
        <x:v>unmatched_taxa_count</x:v>
      </x:c>
      <x:c r="C3244" s="25" t="n">
        <x:v>0</x:v>
      </x:c>
      <x:c r="D3244" s="25" t="str">
        <x:v>count</x:v>
      </x:c>
    </x:row>
    <x:row r="3245" ht="18" customHeight="1">
      <x:c r="A3245" s="25" t="str">
        <x:v>EEZ_920</x:v>
      </x:c>
      <x:c r="B3245" s="25" t="str">
        <x:v>species_ppr</x:v>
      </x:c>
      <x:c r="C3245" s="25" t="n">
        <x:v>4673613.720149462</x:v>
      </x:c>
      <x:c r="D3245" s="25" t="str">
        <x:v>tonnes_primary_production_equivalent</x:v>
      </x:c>
    </x:row>
    <x:row r="3246" ht="18" customHeight="1">
      <x:c r="A3246" s="25" t="str">
        <x:v>EEZ_920</x:v>
      </x:c>
      <x:c r="B3246" s="25" t="str">
        <x:v>commercial_ppr</x:v>
      </x:c>
      <x:c r="C3246" s="25" t="n">
        <x:v>2891752.9802262196</x:v>
      </x:c>
      <x:c r="D3246" s="25" t="str">
        <x:v>tonnes_primary_production_equivalent</x:v>
      </x:c>
    </x:row>
    <x:row r="3247" ht="18" customHeight="1">
      <x:c r="A3247" s="25" t="str">
        <x:v>EEZ_920</x:v>
      </x:c>
      <x:c r="B3247" s="25" t="str">
        <x:v>functional_ppr</x:v>
      </x:c>
      <x:c r="C3247" s="25" t="n">
        <x:v>3502192.278722067</x:v>
      </x:c>
      <x:c r="D3247" s="25" t="str">
        <x:v>tonnes_primary_production_equivalent</x:v>
      </x:c>
    </x:row>
    <x:row r="3248" ht="18" customHeight="1">
      <x:c r="A3248" s="25" t="str">
        <x:v>EEZ_920</x:v>
      </x:c>
      <x:c r="B3248" s="25" t="str">
        <x:v>commercial_ppr_difference</x:v>
      </x:c>
      <x:c r="C3248" s="25" t="n">
        <x:v>-1781860.7399232425</x:v>
      </x:c>
      <x:c r="D3248" s="25" t="str">
        <x:v>tonnes_primary_production_equivalent</x:v>
      </x:c>
    </x:row>
    <x:row r="3249" ht="18" customHeight="1">
      <x:c r="A3249" s="25" t="str">
        <x:v>EEZ_920</x:v>
      </x:c>
      <x:c r="B3249" s="25" t="str">
        <x:v>functional_ppr_difference</x:v>
      </x:c>
      <x:c r="C3249" s="25" t="n">
        <x:v>-1171421.4414273952</x:v>
      </x:c>
      <x:c r="D3249" s="25" t="str">
        <x:v>tonnes_primary_production_equivalent</x:v>
      </x:c>
    </x:row>
    <x:row r="3250" ht="18" customHeight="1">
      <x:c r="A3250" s="25" t="str">
        <x:v>EEZ_921</x:v>
      </x:c>
      <x:c r="B3250" s="25" t="str">
        <x:v>raw_filtered_tonnes</x:v>
      </x:c>
      <x:c r="C3250" s="25" t="n">
        <x:v>21241.895209552</x:v>
      </x:c>
      <x:c r="D3250" s="25" t="str">
        <x:v>tonnes</x:v>
      </x:c>
    </x:row>
    <x:row r="3251" ht="18" customHeight="1">
      <x:c r="A3251" s="25" t="str">
        <x:v>EEZ_921</x:v>
      </x:c>
      <x:c r="B3251" s="25" t="str">
        <x:v>species_catch_tonnes</x:v>
      </x:c>
      <x:c r="C3251" s="25" t="n">
        <x:v>21241.895209552</x:v>
      </x:c>
      <x:c r="D3251" s="25" t="str">
        <x:v>tonnes</x:v>
      </x:c>
    </x:row>
    <x:row r="3252" ht="18" customHeight="1">
      <x:c r="A3252" s="25" t="str">
        <x:v>EEZ_921</x:v>
      </x:c>
      <x:c r="B3252" s="25" t="str">
        <x:v>catch_difference_tonnes</x:v>
      </x:c>
      <x:c r="C3252" s="25" t="n">
        <x:v>0</x:v>
      </x:c>
      <x:c r="D3252" s="25" t="str">
        <x:v>tonnes</x:v>
      </x:c>
    </x:row>
    <x:row r="3253" ht="18" customHeight="1">
      <x:c r="A3253" s="25" t="str">
        <x:v>EEZ_921</x:v>
      </x:c>
      <x:c r="B3253" s="25" t="str">
        <x:v>catch_reconciled</x:v>
      </x:c>
      <x:c r="C3253" s="36" t="b">
        <x:v>1</x:v>
      </x:c>
      <x:c r="D3253" s="25" t="str">
        <x:v>boolean</x:v>
      </x:c>
    </x:row>
    <x:row r="3254" ht="18" customHeight="1">
      <x:c r="A3254" s="25" t="str">
        <x:v>EEZ_921</x:v>
      </x:c>
      <x:c r="B3254" s="25" t="str">
        <x:v>matched_catch_tonnes</x:v>
      </x:c>
      <x:c r="C3254" s="25" t="n">
        <x:v>21241.895209552</x:v>
      </x:c>
      <x:c r="D3254" s="25" t="str">
        <x:v>tonnes</x:v>
      </x:c>
    </x:row>
    <x:row r="3255" ht="18" customHeight="1">
      <x:c r="A3255" s="25" t="str">
        <x:v>EEZ_921</x:v>
      </x:c>
      <x:c r="B3255" s="25" t="str">
        <x:v>catch_coverage_fraction</x:v>
      </x:c>
      <x:c r="C3255" s="25" t="n">
        <x:v>1</x:v>
      </x:c>
      <x:c r="D3255" s="25" t="str">
        <x:v>fraction</x:v>
      </x:c>
    </x:row>
    <x:row r="3256" ht="18" customHeight="1">
      <x:c r="A3256" s="25" t="str">
        <x:v>EEZ_921</x:v>
      </x:c>
      <x:c r="B3256" s="25" t="str">
        <x:v>taxa_count</x:v>
      </x:c>
      <x:c r="C3256" s="25" t="n">
        <x:v>88</x:v>
      </x:c>
      <x:c r="D3256" s="25" t="str">
        <x:v>count</x:v>
      </x:c>
    </x:row>
    <x:row r="3257" ht="18" customHeight="1">
      <x:c r="A3257" s="25" t="str">
        <x:v>EEZ_921</x:v>
      </x:c>
      <x:c r="B3257" s="25" t="str">
        <x:v>matched_taxa_count</x:v>
      </x:c>
      <x:c r="C3257" s="25" t="n">
        <x:v>88</x:v>
      </x:c>
      <x:c r="D3257" s="25" t="str">
        <x:v>count</x:v>
      </x:c>
    </x:row>
    <x:row r="3258" ht="18" customHeight="1">
      <x:c r="A3258" s="25" t="str">
        <x:v>EEZ_921</x:v>
      </x:c>
      <x:c r="B3258" s="25" t="str">
        <x:v>unmatched_taxa_count</x:v>
      </x:c>
      <x:c r="C3258" s="25" t="n">
        <x:v>0</x:v>
      </x:c>
      <x:c r="D3258" s="25" t="str">
        <x:v>count</x:v>
      </x:c>
    </x:row>
    <x:row r="3259" ht="18" customHeight="1">
      <x:c r="A3259" s="25" t="str">
        <x:v>EEZ_921</x:v>
      </x:c>
      <x:c r="B3259" s="25" t="str">
        <x:v>species_ppr</x:v>
      </x:c>
      <x:c r="C3259" s="25" t="n">
        <x:v>7201096.133289953</x:v>
      </x:c>
      <x:c r="D3259" s="25" t="str">
        <x:v>tonnes_primary_production_equivalent</x:v>
      </x:c>
    </x:row>
    <x:row r="3260" ht="18" customHeight="1">
      <x:c r="A3260" s="25" t="str">
        <x:v>EEZ_921</x:v>
      </x:c>
      <x:c r="B3260" s="25" t="str">
        <x:v>commercial_ppr</x:v>
      </x:c>
      <x:c r="C3260" s="25" t="n">
        <x:v>5339937.558466862</x:v>
      </x:c>
      <x:c r="D3260" s="25" t="str">
        <x:v>tonnes_primary_production_equivalent</x:v>
      </x:c>
    </x:row>
    <x:row r="3261" ht="18" customHeight="1">
      <x:c r="A3261" s="25" t="str">
        <x:v>EEZ_921</x:v>
      </x:c>
      <x:c r="B3261" s="25" t="str">
        <x:v>functional_ppr</x:v>
      </x:c>
      <x:c r="C3261" s="25" t="n">
        <x:v>5975624.65757964</x:v>
      </x:c>
      <x:c r="D3261" s="25" t="str">
        <x:v>tonnes_primary_production_equivalent</x:v>
      </x:c>
    </x:row>
    <x:row r="3262" ht="18" customHeight="1">
      <x:c r="A3262" s="25" t="str">
        <x:v>EEZ_921</x:v>
      </x:c>
      <x:c r="B3262" s="25" t="str">
        <x:v>commercial_ppr_difference</x:v>
      </x:c>
      <x:c r="C3262" s="25" t="n">
        <x:v>-1861158.5748230908</x:v>
      </x:c>
      <x:c r="D3262" s="25" t="str">
        <x:v>tonnes_primary_production_equivalent</x:v>
      </x:c>
    </x:row>
    <x:row r="3263" ht="18" customHeight="1">
      <x:c r="A3263" s="25" t="str">
        <x:v>EEZ_921</x:v>
      </x:c>
      <x:c r="B3263" s="25" t="str">
        <x:v>functional_ppr_difference</x:v>
      </x:c>
      <x:c r="C3263" s="25" t="n">
        <x:v>-1225471.4757103128</x:v>
      </x:c>
      <x:c r="D3263" s="25" t="str">
        <x:v>tonnes_primary_production_equivalent</x:v>
      </x:c>
    </x:row>
    <x:row r="3264" ht="18" customHeight="1">
      <x:c r="A3264" s="25" t="str">
        <x:v>EEZ_922</x:v>
      </x:c>
      <x:c r="B3264" s="25" t="str">
        <x:v>raw_filtered_tonnes</x:v>
      </x:c>
      <x:c r="C3264" s="25" t="n">
        <x:v>441683.3346972359</x:v>
      </x:c>
      <x:c r="D3264" s="25" t="str">
        <x:v>tonnes</x:v>
      </x:c>
    </x:row>
    <x:row r="3265" ht="18" customHeight="1">
      <x:c r="A3265" s="25" t="str">
        <x:v>EEZ_922</x:v>
      </x:c>
      <x:c r="B3265" s="25" t="str">
        <x:v>species_catch_tonnes</x:v>
      </x:c>
      <x:c r="C3265" s="25" t="n">
        <x:v>441683.33469723596</x:v>
      </x:c>
      <x:c r="D3265" s="25" t="str">
        <x:v>tonnes</x:v>
      </x:c>
    </x:row>
    <x:row r="3266" ht="18" customHeight="1">
      <x:c r="A3266" s="25" t="str">
        <x:v>EEZ_922</x:v>
      </x:c>
      <x:c r="B3266" s="25" t="str">
        <x:v>catch_difference_tonnes</x:v>
      </x:c>
      <x:c r="C3266" s="25" t="n">
        <x:v>5.820766091346741e-11</x:v>
      </x:c>
      <x:c r="D3266" s="25" t="str">
        <x:v>tonnes</x:v>
      </x:c>
    </x:row>
    <x:row r="3267" ht="18" customHeight="1">
      <x:c r="A3267" s="25" t="str">
        <x:v>EEZ_922</x:v>
      </x:c>
      <x:c r="B3267" s="25" t="str">
        <x:v>catch_reconciled</x:v>
      </x:c>
      <x:c r="C3267" s="36" t="b">
        <x:v>1</x:v>
      </x:c>
      <x:c r="D3267" s="25" t="str">
        <x:v>boolean</x:v>
      </x:c>
    </x:row>
    <x:row r="3268" ht="18" customHeight="1">
      <x:c r="A3268" s="25" t="str">
        <x:v>EEZ_922</x:v>
      </x:c>
      <x:c r="B3268" s="25" t="str">
        <x:v>matched_catch_tonnes</x:v>
      </x:c>
      <x:c r="C3268" s="25" t="n">
        <x:v>441683.33469723596</x:v>
      </x:c>
      <x:c r="D3268" s="25" t="str">
        <x:v>tonnes</x:v>
      </x:c>
    </x:row>
    <x:row r="3269" ht="18" customHeight="1">
      <x:c r="A3269" s="25" t="str">
        <x:v>EEZ_922</x:v>
      </x:c>
      <x:c r="B3269" s="25" t="str">
        <x:v>catch_coverage_fraction</x:v>
      </x:c>
      <x:c r="C3269" s="25" t="n">
        <x:v>1</x:v>
      </x:c>
      <x:c r="D3269" s="25" t="str">
        <x:v>fraction</x:v>
      </x:c>
    </x:row>
    <x:row r="3270" ht="18" customHeight="1">
      <x:c r="A3270" s="25" t="str">
        <x:v>EEZ_922</x:v>
      </x:c>
      <x:c r="B3270" s="25" t="str">
        <x:v>taxa_count</x:v>
      </x:c>
      <x:c r="C3270" s="25" t="n">
        <x:v>165</x:v>
      </x:c>
      <x:c r="D3270" s="25" t="str">
        <x:v>count</x:v>
      </x:c>
    </x:row>
    <x:row r="3271" ht="18" customHeight="1">
      <x:c r="A3271" s="25" t="str">
        <x:v>EEZ_922</x:v>
      </x:c>
      <x:c r="B3271" s="25" t="str">
        <x:v>matched_taxa_count</x:v>
      </x:c>
      <x:c r="C3271" s="25" t="n">
        <x:v>165</x:v>
      </x:c>
      <x:c r="D3271" s="25" t="str">
        <x:v>count</x:v>
      </x:c>
    </x:row>
    <x:row r="3272" ht="18" customHeight="1">
      <x:c r="A3272" s="25" t="str">
        <x:v>EEZ_922</x:v>
      </x:c>
      <x:c r="B3272" s="25" t="str">
        <x:v>unmatched_taxa_count</x:v>
      </x:c>
      <x:c r="C3272" s="25" t="n">
        <x:v>0</x:v>
      </x:c>
      <x:c r="D3272" s="25" t="str">
        <x:v>count</x:v>
      </x:c>
    </x:row>
    <x:row r="3273" ht="18" customHeight="1">
      <x:c r="A3273" s="25" t="str">
        <x:v>EEZ_922</x:v>
      </x:c>
      <x:c r="B3273" s="25" t="str">
        <x:v>species_ppr</x:v>
      </x:c>
      <x:c r="C3273" s="25" t="n">
        <x:v>497624044.3117129</x:v>
      </x:c>
      <x:c r="D3273" s="25" t="str">
        <x:v>tonnes_primary_production_equivalent</x:v>
      </x:c>
    </x:row>
    <x:row r="3274" ht="18" customHeight="1">
      <x:c r="A3274" s="25" t="str">
        <x:v>EEZ_922</x:v>
      </x:c>
      <x:c r="B3274" s="25" t="str">
        <x:v>commercial_ppr</x:v>
      </x:c>
      <x:c r="C3274" s="25" t="n">
        <x:v>340296999.4360813</x:v>
      </x:c>
      <x:c r="D3274" s="25" t="str">
        <x:v>tonnes_primary_production_equivalent</x:v>
      </x:c>
    </x:row>
    <x:row r="3275" ht="18" customHeight="1">
      <x:c r="A3275" s="25" t="str">
        <x:v>EEZ_922</x:v>
      </x:c>
      <x:c r="B3275" s="25" t="str">
        <x:v>functional_ppr</x:v>
      </x:c>
      <x:c r="C3275" s="25" t="n">
        <x:v>415369783.1834287</x:v>
      </x:c>
      <x:c r="D3275" s="25" t="str">
        <x:v>tonnes_primary_production_equivalent</x:v>
      </x:c>
    </x:row>
    <x:row r="3276" ht="18" customHeight="1">
      <x:c r="A3276" s="25" t="str">
        <x:v>EEZ_922</x:v>
      </x:c>
      <x:c r="B3276" s="25" t="str">
        <x:v>commercial_ppr_difference</x:v>
      </x:c>
      <x:c r="C3276" s="25" t="n">
        <x:v>-157327044.87563163</x:v>
      </x:c>
      <x:c r="D3276" s="25" t="str">
        <x:v>tonnes_primary_production_equivalent</x:v>
      </x:c>
    </x:row>
    <x:row r="3277" ht="18" customHeight="1">
      <x:c r="A3277" s="25" t="str">
        <x:v>EEZ_922</x:v>
      </x:c>
      <x:c r="B3277" s="25" t="str">
        <x:v>functional_ppr_difference</x:v>
      </x:c>
      <x:c r="C3277" s="25" t="n">
        <x:v>-82254261.12828422</x:v>
      </x:c>
      <x:c r="D3277" s="25" t="str">
        <x:v>tonnes_primary_production_equivalent</x:v>
      </x:c>
    </x:row>
    <x:row r="3278" ht="18" customHeight="1">
      <x:c r="A3278" s="25" t="str">
        <x:v>EEZ_923</x:v>
      </x:c>
      <x:c r="B3278" s="25" t="str">
        <x:v>raw_filtered_tonnes</x:v>
      </x:c>
      <x:c r="C3278" s="25" t="n">
        <x:v>367466.8570909228</x:v>
      </x:c>
      <x:c r="D3278" s="25" t="str">
        <x:v>tonnes</x:v>
      </x:c>
    </x:row>
    <x:row r="3279" ht="18" customHeight="1">
      <x:c r="A3279" s="25" t="str">
        <x:v>EEZ_923</x:v>
      </x:c>
      <x:c r="B3279" s="25" t="str">
        <x:v>species_catch_tonnes</x:v>
      </x:c>
      <x:c r="C3279" s="25" t="n">
        <x:v>367466.85709092283</x:v>
      </x:c>
      <x:c r="D3279" s="25" t="str">
        <x:v>tonnes</x:v>
      </x:c>
    </x:row>
    <x:row r="3280" ht="18" customHeight="1">
      <x:c r="A3280" s="25" t="str">
        <x:v>EEZ_923</x:v>
      </x:c>
      <x:c r="B3280" s="25" t="str">
        <x:v>catch_difference_tonnes</x:v>
      </x:c>
      <x:c r="C3280" s="25" t="n">
        <x:v>5.820766091346741e-11</x:v>
      </x:c>
      <x:c r="D3280" s="25" t="str">
        <x:v>tonnes</x:v>
      </x:c>
    </x:row>
    <x:row r="3281" ht="18" customHeight="1">
      <x:c r="A3281" s="25" t="str">
        <x:v>EEZ_923</x:v>
      </x:c>
      <x:c r="B3281" s="25" t="str">
        <x:v>catch_reconciled</x:v>
      </x:c>
      <x:c r="C3281" s="36" t="b">
        <x:v>1</x:v>
      </x:c>
      <x:c r="D3281" s="25" t="str">
        <x:v>boolean</x:v>
      </x:c>
    </x:row>
    <x:row r="3282" ht="18" customHeight="1">
      <x:c r="A3282" s="25" t="str">
        <x:v>EEZ_923</x:v>
      </x:c>
      <x:c r="B3282" s="25" t="str">
        <x:v>matched_catch_tonnes</x:v>
      </x:c>
      <x:c r="C3282" s="25" t="n">
        <x:v>367466.85709092283</x:v>
      </x:c>
      <x:c r="D3282" s="25" t="str">
        <x:v>tonnes</x:v>
      </x:c>
    </x:row>
    <x:row r="3283" ht="18" customHeight="1">
      <x:c r="A3283" s="25" t="str">
        <x:v>EEZ_923</x:v>
      </x:c>
      <x:c r="B3283" s="25" t="str">
        <x:v>catch_coverage_fraction</x:v>
      </x:c>
      <x:c r="C3283" s="25" t="n">
        <x:v>1</x:v>
      </x:c>
      <x:c r="D3283" s="25" t="str">
        <x:v>fraction</x:v>
      </x:c>
    </x:row>
    <x:row r="3284" ht="18" customHeight="1">
      <x:c r="A3284" s="25" t="str">
        <x:v>EEZ_923</x:v>
      </x:c>
      <x:c r="B3284" s="25" t="str">
        <x:v>taxa_count</x:v>
      </x:c>
      <x:c r="C3284" s="25" t="n">
        <x:v>152</x:v>
      </x:c>
      <x:c r="D3284" s="25" t="str">
        <x:v>count</x:v>
      </x:c>
    </x:row>
    <x:row r="3285" ht="18" customHeight="1">
      <x:c r="A3285" s="25" t="str">
        <x:v>EEZ_923</x:v>
      </x:c>
      <x:c r="B3285" s="25" t="str">
        <x:v>matched_taxa_count</x:v>
      </x:c>
      <x:c r="C3285" s="25" t="n">
        <x:v>152</x:v>
      </x:c>
      <x:c r="D3285" s="25" t="str">
        <x:v>count</x:v>
      </x:c>
    </x:row>
    <x:row r="3286" ht="18" customHeight="1">
      <x:c r="A3286" s="25" t="str">
        <x:v>EEZ_923</x:v>
      </x:c>
      <x:c r="B3286" s="25" t="str">
        <x:v>unmatched_taxa_count</x:v>
      </x:c>
      <x:c r="C3286" s="25" t="n">
        <x:v>0</x:v>
      </x:c>
      <x:c r="D3286" s="25" t="str">
        <x:v>count</x:v>
      </x:c>
    </x:row>
    <x:row r="3287" ht="18" customHeight="1">
      <x:c r="A3287" s="25" t="str">
        <x:v>EEZ_923</x:v>
      </x:c>
      <x:c r="B3287" s="25" t="str">
        <x:v>species_ppr</x:v>
      </x:c>
      <x:c r="C3287" s="25" t="n">
        <x:v>498970402.0793729</x:v>
      </x:c>
      <x:c r="D3287" s="25" t="str">
        <x:v>tonnes_primary_production_equivalent</x:v>
      </x:c>
    </x:row>
    <x:row r="3288" ht="18" customHeight="1">
      <x:c r="A3288" s="25" t="str">
        <x:v>EEZ_923</x:v>
      </x:c>
      <x:c r="B3288" s="25" t="str">
        <x:v>commercial_ppr</x:v>
      </x:c>
      <x:c r="C3288" s="25" t="n">
        <x:v>413435716.0336292</x:v>
      </x:c>
      <x:c r="D3288" s="25" t="str">
        <x:v>tonnes_primary_production_equivalent</x:v>
      </x:c>
    </x:row>
    <x:row r="3289" ht="18" customHeight="1">
      <x:c r="A3289" s="25" t="str">
        <x:v>EEZ_923</x:v>
      </x:c>
      <x:c r="B3289" s="25" t="str">
        <x:v>functional_ppr</x:v>
      </x:c>
      <x:c r="C3289" s="25" t="n">
        <x:v>456002816.85696054</x:v>
      </x:c>
      <x:c r="D3289" s="25" t="str">
        <x:v>tonnes_primary_production_equivalent</x:v>
      </x:c>
    </x:row>
    <x:row r="3290" ht="18" customHeight="1">
      <x:c r="A3290" s="25" t="str">
        <x:v>EEZ_923</x:v>
      </x:c>
      <x:c r="B3290" s="25" t="str">
        <x:v>commercial_ppr_difference</x:v>
      </x:c>
      <x:c r="C3290" s="25" t="n">
        <x:v>-85534686.0457437</x:v>
      </x:c>
      <x:c r="D3290" s="25" t="str">
        <x:v>tonnes_primary_production_equivalent</x:v>
      </x:c>
    </x:row>
    <x:row r="3291" ht="18" customHeight="1">
      <x:c r="A3291" s="25" t="str">
        <x:v>EEZ_923</x:v>
      </x:c>
      <x:c r="B3291" s="25" t="str">
        <x:v>functional_ppr_difference</x:v>
      </x:c>
      <x:c r="C3291" s="25" t="n">
        <x:v>-42967585.22241235</x:v>
      </x:c>
      <x:c r="D3291" s="25" t="str">
        <x:v>tonnes_primary_production_equivalent</x:v>
      </x:c>
    </x:row>
    <x:row r="3292" ht="18" customHeight="1">
      <x:c r="A3292" s="25" t="str">
        <x:v>EEZ_924</x:v>
      </x:c>
      <x:c r="B3292" s="25" t="str">
        <x:v>raw_filtered_tonnes</x:v>
      </x:c>
      <x:c r="C3292" s="25" t="n">
        <x:v>1114.2683023097002</x:v>
      </x:c>
      <x:c r="D3292" s="25" t="str">
        <x:v>tonnes</x:v>
      </x:c>
    </x:row>
    <x:row r="3293" ht="18" customHeight="1">
      <x:c r="A3293" s="25" t="str">
        <x:v>EEZ_924</x:v>
      </x:c>
      <x:c r="B3293" s="25" t="str">
        <x:v>species_catch_tonnes</x:v>
      </x:c>
      <x:c r="C3293" s="25" t="n">
        <x:v>1114.2683023097</x:v>
      </x:c>
      <x:c r="D3293" s="25" t="str">
        <x:v>tonnes</x:v>
      </x:c>
    </x:row>
    <x:row r="3294" ht="18" customHeight="1">
      <x:c r="A3294" s="25" t="str">
        <x:v>EEZ_924</x:v>
      </x:c>
      <x:c r="B3294" s="25" t="str">
        <x:v>catch_difference_tonnes</x:v>
      </x:c>
      <x:c r="C3294" s="25" t="n">
        <x:v>-2.2737367544323206e-13</x:v>
      </x:c>
      <x:c r="D3294" s="25" t="str">
        <x:v>tonnes</x:v>
      </x:c>
    </x:row>
    <x:row r="3295" ht="18" customHeight="1">
      <x:c r="A3295" s="25" t="str">
        <x:v>EEZ_924</x:v>
      </x:c>
      <x:c r="B3295" s="25" t="str">
        <x:v>catch_reconciled</x:v>
      </x:c>
      <x:c r="C3295" s="36" t="b">
        <x:v>1</x:v>
      </x:c>
      <x:c r="D3295" s="25" t="str">
        <x:v>boolean</x:v>
      </x:c>
    </x:row>
    <x:row r="3296" ht="18" customHeight="1">
      <x:c r="A3296" s="25" t="str">
        <x:v>EEZ_924</x:v>
      </x:c>
      <x:c r="B3296" s="25" t="str">
        <x:v>matched_catch_tonnes</x:v>
      </x:c>
      <x:c r="C3296" s="25" t="n">
        <x:v>1114.2683023097</x:v>
      </x:c>
      <x:c r="D3296" s="25" t="str">
        <x:v>tonnes</x:v>
      </x:c>
    </x:row>
    <x:row r="3297" ht="18" customHeight="1">
      <x:c r="A3297" s="25" t="str">
        <x:v>EEZ_924</x:v>
      </x:c>
      <x:c r="B3297" s="25" t="str">
        <x:v>catch_coverage_fraction</x:v>
      </x:c>
      <x:c r="C3297" s="25" t="n">
        <x:v>1</x:v>
      </x:c>
      <x:c r="D3297" s="25" t="str">
        <x:v>fraction</x:v>
      </x:c>
    </x:row>
    <x:row r="3298" ht="18" customHeight="1">
      <x:c r="A3298" s="25" t="str">
        <x:v>EEZ_924</x:v>
      </x:c>
      <x:c r="B3298" s="25" t="str">
        <x:v>taxa_count</x:v>
      </x:c>
      <x:c r="C3298" s="25" t="n">
        <x:v>16</x:v>
      </x:c>
      <x:c r="D3298" s="25" t="str">
        <x:v>count</x:v>
      </x:c>
    </x:row>
    <x:row r="3299" ht="18" customHeight="1">
      <x:c r="A3299" s="25" t="str">
        <x:v>EEZ_924</x:v>
      </x:c>
      <x:c r="B3299" s="25" t="str">
        <x:v>matched_taxa_count</x:v>
      </x:c>
      <x:c r="C3299" s="25" t="n">
        <x:v>16</x:v>
      </x:c>
      <x:c r="D3299" s="25" t="str">
        <x:v>count</x:v>
      </x:c>
    </x:row>
    <x:row r="3300" ht="18" customHeight="1">
      <x:c r="A3300" s="25" t="str">
        <x:v>EEZ_924</x:v>
      </x:c>
      <x:c r="B3300" s="25" t="str">
        <x:v>unmatched_taxa_count</x:v>
      </x:c>
      <x:c r="C3300" s="25" t="n">
        <x:v>0</x:v>
      </x:c>
      <x:c r="D3300" s="25" t="str">
        <x:v>count</x:v>
      </x:c>
    </x:row>
    <x:row r="3301" ht="18" customHeight="1">
      <x:c r="A3301" s="25" t="str">
        <x:v>EEZ_924</x:v>
      </x:c>
      <x:c r="B3301" s="25" t="str">
        <x:v>species_ppr</x:v>
      </x:c>
      <x:c r="C3301" s="25" t="n">
        <x:v>2536391.012531463</x:v>
      </x:c>
      <x:c r="D3301" s="25" t="str">
        <x:v>tonnes_primary_production_equivalent</x:v>
      </x:c>
    </x:row>
    <x:row r="3302" ht="18" customHeight="1">
      <x:c r="A3302" s="25" t="str">
        <x:v>EEZ_924</x:v>
      </x:c>
      <x:c r="B3302" s="25" t="str">
        <x:v>commercial_ppr</x:v>
      </x:c>
      <x:c r="C3302" s="25" t="n">
        <x:v>2345669.8422986367</x:v>
      </x:c>
      <x:c r="D3302" s="25" t="str">
        <x:v>tonnes_primary_production_equivalent</x:v>
      </x:c>
    </x:row>
    <x:row r="3303" ht="18" customHeight="1">
      <x:c r="A3303" s="25" t="str">
        <x:v>EEZ_924</x:v>
      </x:c>
      <x:c r="B3303" s="25" t="str">
        <x:v>functional_ppr</x:v>
      </x:c>
      <x:c r="C3303" s="25" t="n">
        <x:v>2532325.7705398905</x:v>
      </x:c>
      <x:c r="D3303" s="25" t="str">
        <x:v>tonnes_primary_production_equivalent</x:v>
      </x:c>
    </x:row>
    <x:row r="3304" ht="18" customHeight="1">
      <x:c r="A3304" s="25" t="str">
        <x:v>EEZ_924</x:v>
      </x:c>
      <x:c r="B3304" s="25" t="str">
        <x:v>commercial_ppr_difference</x:v>
      </x:c>
      <x:c r="C3304" s="25" t="n">
        <x:v>-190721.17023282638</x:v>
      </x:c>
      <x:c r="D3304" s="25" t="str">
        <x:v>tonnes_primary_production_equivalent</x:v>
      </x:c>
    </x:row>
    <x:row r="3305" ht="18" customHeight="1">
      <x:c r="A3305" s="25" t="str">
        <x:v>EEZ_924</x:v>
      </x:c>
      <x:c r="B3305" s="25" t="str">
        <x:v>functional_ppr_difference</x:v>
      </x:c>
      <x:c r="C3305" s="25" t="n">
        <x:v>-4065.2419915725477</x:v>
      </x:c>
      <x:c r="D3305" s="25" t="str">
        <x:v>tonnes_primary_production_equivalent</x:v>
      </x:c>
    </x:row>
    <x:row r="3306" ht="18" customHeight="1">
      <x:c r="A3306" s="25" t="str">
        <x:v>EEZ_925</x:v>
      </x:c>
      <x:c r="B3306" s="25" t="str">
        <x:v>raw_filtered_tonnes</x:v>
      </x:c>
      <x:c r="C3306" s="25" t="n">
        <x:v>198174.6028298108</x:v>
      </x:c>
      <x:c r="D3306" s="25" t="str">
        <x:v>tonnes</x:v>
      </x:c>
    </x:row>
    <x:row r="3307" ht="18" customHeight="1">
      <x:c r="A3307" s="25" t="str">
        <x:v>EEZ_925</x:v>
      </x:c>
      <x:c r="B3307" s="25" t="str">
        <x:v>species_catch_tonnes</x:v>
      </x:c>
      <x:c r="C3307" s="25" t="n">
        <x:v>198174.6028298108</x:v>
      </x:c>
      <x:c r="D3307" s="25" t="str">
        <x:v>tonnes</x:v>
      </x:c>
    </x:row>
    <x:row r="3308" ht="18" customHeight="1">
      <x:c r="A3308" s="25" t="str">
        <x:v>EEZ_925</x:v>
      </x:c>
      <x:c r="B3308" s="25" t="str">
        <x:v>catch_difference_tonnes</x:v>
      </x:c>
      <x:c r="C3308" s="25" t="n">
        <x:v>0</x:v>
      </x:c>
      <x:c r="D3308" s="25" t="str">
        <x:v>tonnes</x:v>
      </x:c>
    </x:row>
    <x:row r="3309" ht="18" customHeight="1">
      <x:c r="A3309" s="25" t="str">
        <x:v>EEZ_925</x:v>
      </x:c>
      <x:c r="B3309" s="25" t="str">
        <x:v>catch_reconciled</x:v>
      </x:c>
      <x:c r="C3309" s="36" t="b">
        <x:v>1</x:v>
      </x:c>
      <x:c r="D3309" s="25" t="str">
        <x:v>boolean</x:v>
      </x:c>
    </x:row>
    <x:row r="3310" ht="18" customHeight="1">
      <x:c r="A3310" s="25" t="str">
        <x:v>EEZ_925</x:v>
      </x:c>
      <x:c r="B3310" s="25" t="str">
        <x:v>matched_catch_tonnes</x:v>
      </x:c>
      <x:c r="C3310" s="25" t="n">
        <x:v>198174.6028298108</x:v>
      </x:c>
      <x:c r="D3310" s="25" t="str">
        <x:v>tonnes</x:v>
      </x:c>
    </x:row>
    <x:row r="3311" ht="18" customHeight="1">
      <x:c r="A3311" s="25" t="str">
        <x:v>EEZ_925</x:v>
      </x:c>
      <x:c r="B3311" s="25" t="str">
        <x:v>catch_coverage_fraction</x:v>
      </x:c>
      <x:c r="C3311" s="25" t="n">
        <x:v>1</x:v>
      </x:c>
      <x:c r="D3311" s="25" t="str">
        <x:v>fraction</x:v>
      </x:c>
    </x:row>
    <x:row r="3312" ht="18" customHeight="1">
      <x:c r="A3312" s="25" t="str">
        <x:v>EEZ_925</x:v>
      </x:c>
      <x:c r="B3312" s="25" t="str">
        <x:v>taxa_count</x:v>
      </x:c>
      <x:c r="C3312" s="25" t="n">
        <x:v>26</x:v>
      </x:c>
      <x:c r="D3312" s="25" t="str">
        <x:v>count</x:v>
      </x:c>
    </x:row>
    <x:row r="3313" ht="18" customHeight="1">
      <x:c r="A3313" s="25" t="str">
        <x:v>EEZ_925</x:v>
      </x:c>
      <x:c r="B3313" s="25" t="str">
        <x:v>matched_taxa_count</x:v>
      </x:c>
      <x:c r="C3313" s="25" t="n">
        <x:v>26</x:v>
      </x:c>
      <x:c r="D3313" s="25" t="str">
        <x:v>count</x:v>
      </x:c>
    </x:row>
    <x:row r="3314" ht="18" customHeight="1">
      <x:c r="A3314" s="25" t="str">
        <x:v>EEZ_925</x:v>
      </x:c>
      <x:c r="B3314" s="25" t="str">
        <x:v>unmatched_taxa_count</x:v>
      </x:c>
      <x:c r="C3314" s="25" t="n">
        <x:v>0</x:v>
      </x:c>
      <x:c r="D3314" s="25" t="str">
        <x:v>count</x:v>
      </x:c>
    </x:row>
    <x:row r="3315" ht="18" customHeight="1">
      <x:c r="A3315" s="25" t="str">
        <x:v>EEZ_925</x:v>
      </x:c>
      <x:c r="B3315" s="25" t="str">
        <x:v>species_ppr</x:v>
      </x:c>
      <x:c r="C3315" s="25" t="n">
        <x:v>276796938.98617065</x:v>
      </x:c>
      <x:c r="D3315" s="25" t="str">
        <x:v>tonnes_primary_production_equivalent</x:v>
      </x:c>
    </x:row>
    <x:row r="3316" ht="18" customHeight="1">
      <x:c r="A3316" s="25" t="str">
        <x:v>EEZ_925</x:v>
      </x:c>
      <x:c r="B3316" s="25" t="str">
        <x:v>commercial_ppr</x:v>
      </x:c>
      <x:c r="C3316" s="25" t="n">
        <x:v>259836362.681948</x:v>
      </x:c>
      <x:c r="D3316" s="25" t="str">
        <x:v>tonnes_primary_production_equivalent</x:v>
      </x:c>
    </x:row>
    <x:row r="3317" ht="18" customHeight="1">
      <x:c r="A3317" s="25" t="str">
        <x:v>EEZ_925</x:v>
      </x:c>
      <x:c r="B3317" s="25" t="str">
        <x:v>functional_ppr</x:v>
      </x:c>
      <x:c r="C3317" s="25" t="n">
        <x:v>260822475.22653812</x:v>
      </x:c>
      <x:c r="D3317" s="25" t="str">
        <x:v>tonnes_primary_production_equivalent</x:v>
      </x:c>
    </x:row>
    <x:row r="3318" ht="18" customHeight="1">
      <x:c r="A3318" s="25" t="str">
        <x:v>EEZ_925</x:v>
      </x:c>
      <x:c r="B3318" s="25" t="str">
        <x:v>commercial_ppr_difference</x:v>
      </x:c>
      <x:c r="C3318" s="25" t="n">
        <x:v>-16960576.304222643</x:v>
      </x:c>
      <x:c r="D3318" s="25" t="str">
        <x:v>tonnes_primary_production_equivalent</x:v>
      </x:c>
    </x:row>
    <x:row r="3319" ht="18" customHeight="1">
      <x:c r="A3319" s="25" t="str">
        <x:v>EEZ_925</x:v>
      </x:c>
      <x:c r="B3319" s="25" t="str">
        <x:v>functional_ppr_difference</x:v>
      </x:c>
      <x:c r="C3319" s="25" t="n">
        <x:v>-15974463.759632528</x:v>
      </x:c>
      <x:c r="D3319" s="25" t="str">
        <x:v>tonnes_primary_production_equivalent</x:v>
      </x:c>
    </x:row>
    <x:row r="3320" ht="18" customHeight="1">
      <x:c r="A3320" s="25" t="str">
        <x:v>EEZ_926</x:v>
      </x:c>
      <x:c r="B3320" s="25" t="str">
        <x:v>raw_filtered_tonnes</x:v>
      </x:c>
      <x:c r="C3320" s="25" t="n">
        <x:v>694924.7188260404</x:v>
      </x:c>
      <x:c r="D3320" s="25" t="str">
        <x:v>tonnes</x:v>
      </x:c>
    </x:row>
    <x:row r="3321" ht="18" customHeight="1">
      <x:c r="A3321" s="25" t="str">
        <x:v>EEZ_926</x:v>
      </x:c>
      <x:c r="B3321" s="25" t="str">
        <x:v>species_catch_tonnes</x:v>
      </x:c>
      <x:c r="C3321" s="25" t="n">
        <x:v>694924.7188260402</x:v>
      </x:c>
      <x:c r="D3321" s="25" t="str">
        <x:v>tonnes</x:v>
      </x:c>
    </x:row>
    <x:row r="3322" ht="18" customHeight="1">
      <x:c r="A3322" s="25" t="str">
        <x:v>EEZ_926</x:v>
      </x:c>
      <x:c r="B3322" s="25" t="str">
        <x:v>catch_difference_tonnes</x:v>
      </x:c>
      <x:c r="C3322" s="25" t="n">
        <x:v>-2.3283064365386963e-10</x:v>
      </x:c>
      <x:c r="D3322" s="25" t="str">
        <x:v>tonnes</x:v>
      </x:c>
    </x:row>
    <x:row r="3323" ht="18" customHeight="1">
      <x:c r="A3323" s="25" t="str">
        <x:v>EEZ_926</x:v>
      </x:c>
      <x:c r="B3323" s="25" t="str">
        <x:v>catch_reconciled</x:v>
      </x:c>
      <x:c r="C3323" s="36" t="b">
        <x:v>1</x:v>
      </x:c>
      <x:c r="D3323" s="25" t="str">
        <x:v>boolean</x:v>
      </x:c>
    </x:row>
    <x:row r="3324" ht="18" customHeight="1">
      <x:c r="A3324" s="25" t="str">
        <x:v>EEZ_926</x:v>
      </x:c>
      <x:c r="B3324" s="25" t="str">
        <x:v>matched_catch_tonnes</x:v>
      </x:c>
      <x:c r="C3324" s="25" t="n">
        <x:v>694924.7188260402</x:v>
      </x:c>
      <x:c r="D3324" s="25" t="str">
        <x:v>tonnes</x:v>
      </x:c>
    </x:row>
    <x:row r="3325" ht="18" customHeight="1">
      <x:c r="A3325" s="25" t="str">
        <x:v>EEZ_926</x:v>
      </x:c>
      <x:c r="B3325" s="25" t="str">
        <x:v>catch_coverage_fraction</x:v>
      </x:c>
      <x:c r="C3325" s="25" t="n">
        <x:v>1</x:v>
      </x:c>
      <x:c r="D3325" s="25" t="str">
        <x:v>fraction</x:v>
      </x:c>
    </x:row>
    <x:row r="3326" ht="18" customHeight="1">
      <x:c r="A3326" s="25" t="str">
        <x:v>EEZ_926</x:v>
      </x:c>
      <x:c r="B3326" s="25" t="str">
        <x:v>taxa_count</x:v>
      </x:c>
      <x:c r="C3326" s="25" t="n">
        <x:v>112</x:v>
      </x:c>
      <x:c r="D3326" s="25" t="str">
        <x:v>count</x:v>
      </x:c>
    </x:row>
    <x:row r="3327" ht="18" customHeight="1">
      <x:c r="A3327" s="25" t="str">
        <x:v>EEZ_926</x:v>
      </x:c>
      <x:c r="B3327" s="25" t="str">
        <x:v>matched_taxa_count</x:v>
      </x:c>
      <x:c r="C3327" s="25" t="n">
        <x:v>112</x:v>
      </x:c>
      <x:c r="D3327" s="25" t="str">
        <x:v>count</x:v>
      </x:c>
    </x:row>
    <x:row r="3328" ht="18" customHeight="1">
      <x:c r="A3328" s="25" t="str">
        <x:v>EEZ_926</x:v>
      </x:c>
      <x:c r="B3328" s="25" t="str">
        <x:v>unmatched_taxa_count</x:v>
      </x:c>
      <x:c r="C3328" s="25" t="n">
        <x:v>0</x:v>
      </x:c>
      <x:c r="D3328" s="25" t="str">
        <x:v>count</x:v>
      </x:c>
    </x:row>
    <x:row r="3329" ht="18" customHeight="1">
      <x:c r="A3329" s="25" t="str">
        <x:v>EEZ_926</x:v>
      </x:c>
      <x:c r="B3329" s="25" t="str">
        <x:v>species_ppr</x:v>
      </x:c>
      <x:c r="C3329" s="25" t="n">
        <x:v>358887702.9263927</x:v>
      </x:c>
      <x:c r="D3329" s="25" t="str">
        <x:v>tonnes_primary_production_equivalent</x:v>
      </x:c>
    </x:row>
    <x:row r="3330" ht="18" customHeight="1">
      <x:c r="A3330" s="25" t="str">
        <x:v>EEZ_926</x:v>
      </x:c>
      <x:c r="B3330" s="25" t="str">
        <x:v>commercial_ppr</x:v>
      </x:c>
      <x:c r="C3330" s="25" t="n">
        <x:v>290071601.88415486</x:v>
      </x:c>
      <x:c r="D3330" s="25" t="str">
        <x:v>tonnes_primary_production_equivalent</x:v>
      </x:c>
    </x:row>
    <x:row r="3331" ht="18" customHeight="1">
      <x:c r="A3331" s="25" t="str">
        <x:v>EEZ_926</x:v>
      </x:c>
      <x:c r="B3331" s="25" t="str">
        <x:v>functional_ppr</x:v>
      </x:c>
      <x:c r="C3331" s="25" t="n">
        <x:v>309167083.59283483</x:v>
      </x:c>
      <x:c r="D3331" s="25" t="str">
        <x:v>tonnes_primary_production_equivalent</x:v>
      </x:c>
    </x:row>
    <x:row r="3332" ht="18" customHeight="1">
      <x:c r="A3332" s="25" t="str">
        <x:v>EEZ_926</x:v>
      </x:c>
      <x:c r="B3332" s="25" t="str">
        <x:v>commercial_ppr_difference</x:v>
      </x:c>
      <x:c r="C3332" s="25" t="n">
        <x:v>-68816101.04223782</x:v>
      </x:c>
      <x:c r="D3332" s="25" t="str">
        <x:v>tonnes_primary_production_equivalent</x:v>
      </x:c>
    </x:row>
    <x:row r="3333" ht="18" customHeight="1">
      <x:c r="A3333" s="25" t="str">
        <x:v>EEZ_926</x:v>
      </x:c>
      <x:c r="B3333" s="25" t="str">
        <x:v>functional_ppr_difference</x:v>
      </x:c>
      <x:c r="C3333" s="25" t="n">
        <x:v>-49720619.333557844</x:v>
      </x:c>
      <x:c r="D3333" s="25" t="str">
        <x:v>tonnes_primary_production_equivalent</x:v>
      </x:c>
    </x:row>
    <x:row r="3334" ht="18" customHeight="1">
      <x:c r="A3334" s="25" t="str">
        <x:v>EEZ_927</x:v>
      </x:c>
      <x:c r="B3334" s="25" t="str">
        <x:v>raw_filtered_tonnes</x:v>
      </x:c>
      <x:c r="C3334" s="25" t="n">
        <x:v>20344.1120639465</x:v>
      </x:c>
      <x:c r="D3334" s="25" t="str">
        <x:v>tonnes</x:v>
      </x:c>
    </x:row>
    <x:row r="3335" ht="18" customHeight="1">
      <x:c r="A3335" s="25" t="str">
        <x:v>EEZ_927</x:v>
      </x:c>
      <x:c r="B3335" s="25" t="str">
        <x:v>species_catch_tonnes</x:v>
      </x:c>
      <x:c r="C3335" s="25" t="n">
        <x:v>20344.1120639465</x:v>
      </x:c>
      <x:c r="D3335" s="25" t="str">
        <x:v>tonnes</x:v>
      </x:c>
    </x:row>
    <x:row r="3336" ht="18" customHeight="1">
      <x:c r="A3336" s="25" t="str">
        <x:v>EEZ_927</x:v>
      </x:c>
      <x:c r="B3336" s="25" t="str">
        <x:v>catch_difference_tonnes</x:v>
      </x:c>
      <x:c r="C3336" s="25" t="n">
        <x:v>0</x:v>
      </x:c>
      <x:c r="D3336" s="25" t="str">
        <x:v>tonnes</x:v>
      </x:c>
    </x:row>
    <x:row r="3337" ht="18" customHeight="1">
      <x:c r="A3337" s="25" t="str">
        <x:v>EEZ_927</x:v>
      </x:c>
      <x:c r="B3337" s="25" t="str">
        <x:v>catch_reconciled</x:v>
      </x:c>
      <x:c r="C3337" s="36" t="b">
        <x:v>1</x:v>
      </x:c>
      <x:c r="D3337" s="25" t="str">
        <x:v>boolean</x:v>
      </x:c>
    </x:row>
    <x:row r="3338" ht="18" customHeight="1">
      <x:c r="A3338" s="25" t="str">
        <x:v>EEZ_927</x:v>
      </x:c>
      <x:c r="B3338" s="25" t="str">
        <x:v>matched_catch_tonnes</x:v>
      </x:c>
      <x:c r="C3338" s="25" t="n">
        <x:v>20344.1120639465</x:v>
      </x:c>
      <x:c r="D3338" s="25" t="str">
        <x:v>tonnes</x:v>
      </x:c>
    </x:row>
    <x:row r="3339" ht="18" customHeight="1">
      <x:c r="A3339" s="25" t="str">
        <x:v>EEZ_927</x:v>
      </x:c>
      <x:c r="B3339" s="25" t="str">
        <x:v>catch_coverage_fraction</x:v>
      </x:c>
      <x:c r="C3339" s="25" t="n">
        <x:v>1</x:v>
      </x:c>
      <x:c r="D3339" s="25" t="str">
        <x:v>fraction</x:v>
      </x:c>
    </x:row>
    <x:row r="3340" ht="18" customHeight="1">
      <x:c r="A3340" s="25" t="str">
        <x:v>EEZ_927</x:v>
      </x:c>
      <x:c r="B3340" s="25" t="str">
        <x:v>taxa_count</x:v>
      </x:c>
      <x:c r="C3340" s="25" t="n">
        <x:v>89</x:v>
      </x:c>
      <x:c r="D3340" s="25" t="str">
        <x:v>count</x:v>
      </x:c>
    </x:row>
    <x:row r="3341" ht="18" customHeight="1">
      <x:c r="A3341" s="25" t="str">
        <x:v>EEZ_927</x:v>
      </x:c>
      <x:c r="B3341" s="25" t="str">
        <x:v>matched_taxa_count</x:v>
      </x:c>
      <x:c r="C3341" s="25" t="n">
        <x:v>89</x:v>
      </x:c>
      <x:c r="D3341" s="25" t="str">
        <x:v>count</x:v>
      </x:c>
    </x:row>
    <x:row r="3342" ht="18" customHeight="1">
      <x:c r="A3342" s="25" t="str">
        <x:v>EEZ_927</x:v>
      </x:c>
      <x:c r="B3342" s="25" t="str">
        <x:v>unmatched_taxa_count</x:v>
      </x:c>
      <x:c r="C3342" s="25" t="n">
        <x:v>0</x:v>
      </x:c>
      <x:c r="D3342" s="25" t="str">
        <x:v>count</x:v>
      </x:c>
    </x:row>
    <x:row r="3343" ht="18" customHeight="1">
      <x:c r="A3343" s="25" t="str">
        <x:v>EEZ_927</x:v>
      </x:c>
      <x:c r="B3343" s="25" t="str">
        <x:v>species_ppr</x:v>
      </x:c>
      <x:c r="C3343" s="25" t="n">
        <x:v>16307477.884539278</x:v>
      </x:c>
      <x:c r="D3343" s="25" t="str">
        <x:v>tonnes_primary_production_equivalent</x:v>
      </x:c>
    </x:row>
    <x:row r="3344" ht="18" customHeight="1">
      <x:c r="A3344" s="25" t="str">
        <x:v>EEZ_927</x:v>
      </x:c>
      <x:c r="B3344" s="25" t="str">
        <x:v>commercial_ppr</x:v>
      </x:c>
      <x:c r="C3344" s="25" t="n">
        <x:v>11365880.576522898</x:v>
      </x:c>
      <x:c r="D3344" s="25" t="str">
        <x:v>tonnes_primary_production_equivalent</x:v>
      </x:c>
    </x:row>
    <x:row r="3345" ht="18" customHeight="1">
      <x:c r="A3345" s="25" t="str">
        <x:v>EEZ_927</x:v>
      </x:c>
      <x:c r="B3345" s="25" t="str">
        <x:v>functional_ppr</x:v>
      </x:c>
      <x:c r="C3345" s="25" t="n">
        <x:v>12781366.802599043</x:v>
      </x:c>
      <x:c r="D3345" s="25" t="str">
        <x:v>tonnes_primary_production_equivalent</x:v>
      </x:c>
    </x:row>
    <x:row r="3346" ht="18" customHeight="1">
      <x:c r="A3346" s="25" t="str">
        <x:v>EEZ_927</x:v>
      </x:c>
      <x:c r="B3346" s="25" t="str">
        <x:v>commercial_ppr_difference</x:v>
      </x:c>
      <x:c r="C3346" s="25" t="n">
        <x:v>-4941597.30801638</x:v>
      </x:c>
      <x:c r="D3346" s="25" t="str">
        <x:v>tonnes_primary_production_equivalent</x:v>
      </x:c>
    </x:row>
    <x:row r="3347" ht="18" customHeight="1">
      <x:c r="A3347" s="25" t="str">
        <x:v>EEZ_927</x:v>
      </x:c>
      <x:c r="B3347" s="25" t="str">
        <x:v>functional_ppr_difference</x:v>
      </x:c>
      <x:c r="C3347" s="25" t="n">
        <x:v>-3526111.0819402356</x:v>
      </x:c>
      <x:c r="D3347" s="25" t="str">
        <x:v>tonnes_primary_production_equivalent</x:v>
      </x:c>
    </x:row>
    <x:row r="3348" ht="18" customHeight="1">
      <x:c r="A3348" s="25" t="str">
        <x:v>EEZ_928</x:v>
      </x:c>
      <x:c r="B3348" s="25" t="str">
        <x:v>raw_filtered_tonnes</x:v>
      </x:c>
      <x:c r="C3348" s="25" t="n">
        <x:v>54847.975202943504</x:v>
      </x:c>
      <x:c r="D3348" s="25" t="str">
        <x:v>tonnes</x:v>
      </x:c>
    </x:row>
    <x:row r="3349" ht="18" customHeight="1">
      <x:c r="A3349" s="25" t="str">
        <x:v>EEZ_928</x:v>
      </x:c>
      <x:c r="B3349" s="25" t="str">
        <x:v>species_catch_tonnes</x:v>
      </x:c>
      <x:c r="C3349" s="25" t="n">
        <x:v>54847.9752029435</x:v>
      </x:c>
      <x:c r="D3349" s="25" t="str">
        <x:v>tonnes</x:v>
      </x:c>
    </x:row>
    <x:row r="3350" ht="18" customHeight="1">
      <x:c r="A3350" s="25" t="str">
        <x:v>EEZ_928</x:v>
      </x:c>
      <x:c r="B3350" s="25" t="str">
        <x:v>catch_difference_tonnes</x:v>
      </x:c>
      <x:c r="C3350" s="25" t="n">
        <x:v>-7.275957614183426e-12</x:v>
      </x:c>
      <x:c r="D3350" s="25" t="str">
        <x:v>tonnes</x:v>
      </x:c>
    </x:row>
    <x:row r="3351" ht="18" customHeight="1">
      <x:c r="A3351" s="25" t="str">
        <x:v>EEZ_928</x:v>
      </x:c>
      <x:c r="B3351" s="25" t="str">
        <x:v>catch_reconciled</x:v>
      </x:c>
      <x:c r="C3351" s="36" t="b">
        <x:v>1</x:v>
      </x:c>
      <x:c r="D3351" s="25" t="str">
        <x:v>boolean</x:v>
      </x:c>
    </x:row>
    <x:row r="3352" ht="18" customHeight="1">
      <x:c r="A3352" s="25" t="str">
        <x:v>EEZ_928</x:v>
      </x:c>
      <x:c r="B3352" s="25" t="str">
        <x:v>matched_catch_tonnes</x:v>
      </x:c>
      <x:c r="C3352" s="25" t="n">
        <x:v>54847.9752029435</x:v>
      </x:c>
      <x:c r="D3352" s="25" t="str">
        <x:v>tonnes</x:v>
      </x:c>
    </x:row>
    <x:row r="3353" ht="18" customHeight="1">
      <x:c r="A3353" s="25" t="str">
        <x:v>EEZ_928</x:v>
      </x:c>
      <x:c r="B3353" s="25" t="str">
        <x:v>catch_coverage_fraction</x:v>
      </x:c>
      <x:c r="C3353" s="25" t="n">
        <x:v>1</x:v>
      </x:c>
      <x:c r="D3353" s="25" t="str">
        <x:v>fraction</x:v>
      </x:c>
    </x:row>
    <x:row r="3354" ht="18" customHeight="1">
      <x:c r="A3354" s="25" t="str">
        <x:v>EEZ_928</x:v>
      </x:c>
      <x:c r="B3354" s="25" t="str">
        <x:v>taxa_count</x:v>
      </x:c>
      <x:c r="C3354" s="25" t="n">
        <x:v>87</x:v>
      </x:c>
      <x:c r="D3354" s="25" t="str">
        <x:v>count</x:v>
      </x:c>
    </x:row>
    <x:row r="3355" ht="18" customHeight="1">
      <x:c r="A3355" s="25" t="str">
        <x:v>EEZ_928</x:v>
      </x:c>
      <x:c r="B3355" s="25" t="str">
        <x:v>matched_taxa_count</x:v>
      </x:c>
      <x:c r="C3355" s="25" t="n">
        <x:v>87</x:v>
      </x:c>
      <x:c r="D3355" s="25" t="str">
        <x:v>count</x:v>
      </x:c>
    </x:row>
    <x:row r="3356" ht="18" customHeight="1">
      <x:c r="A3356" s="25" t="str">
        <x:v>EEZ_928</x:v>
      </x:c>
      <x:c r="B3356" s="25" t="str">
        <x:v>unmatched_taxa_count</x:v>
      </x:c>
      <x:c r="C3356" s="25" t="n">
        <x:v>0</x:v>
      </x:c>
      <x:c r="D3356" s="25" t="str">
        <x:v>count</x:v>
      </x:c>
    </x:row>
    <x:row r="3357" ht="18" customHeight="1">
      <x:c r="A3357" s="25" t="str">
        <x:v>EEZ_928</x:v>
      </x:c>
      <x:c r="B3357" s="25" t="str">
        <x:v>species_ppr</x:v>
      </x:c>
      <x:c r="C3357" s="25" t="n">
        <x:v>82458630.09635389</x:v>
      </x:c>
      <x:c r="D3357" s="25" t="str">
        <x:v>tonnes_primary_production_equivalent</x:v>
      </x:c>
    </x:row>
    <x:row r="3358" ht="18" customHeight="1">
      <x:c r="A3358" s="25" t="str">
        <x:v>EEZ_928</x:v>
      </x:c>
      <x:c r="B3358" s="25" t="str">
        <x:v>commercial_ppr</x:v>
      </x:c>
      <x:c r="C3358" s="25" t="n">
        <x:v>71105374.39050384</x:v>
      </x:c>
      <x:c r="D3358" s="25" t="str">
        <x:v>tonnes_primary_production_equivalent</x:v>
      </x:c>
    </x:row>
    <x:row r="3359" ht="18" customHeight="1">
      <x:c r="A3359" s="25" t="str">
        <x:v>EEZ_928</x:v>
      </x:c>
      <x:c r="B3359" s="25" t="str">
        <x:v>functional_ppr</x:v>
      </x:c>
      <x:c r="C3359" s="25" t="n">
        <x:v>75675592.11803311</x:v>
      </x:c>
      <x:c r="D3359" s="25" t="str">
        <x:v>tonnes_primary_production_equivalent</x:v>
      </x:c>
    </x:row>
    <x:row r="3360" ht="18" customHeight="1">
      <x:c r="A3360" s="25" t="str">
        <x:v>EEZ_928</x:v>
      </x:c>
      <x:c r="B3360" s="25" t="str">
        <x:v>commercial_ppr_difference</x:v>
      </x:c>
      <x:c r="C3360" s="25" t="n">
        <x:v>-11353255.70585005</x:v>
      </x:c>
      <x:c r="D3360" s="25" t="str">
        <x:v>tonnes_primary_production_equivalent</x:v>
      </x:c>
    </x:row>
    <x:row r="3361" ht="18" customHeight="1">
      <x:c r="A3361" s="25" t="str">
        <x:v>EEZ_928</x:v>
      </x:c>
      <x:c r="B3361" s="25" t="str">
        <x:v>functional_ppr_difference</x:v>
      </x:c>
      <x:c r="C3361" s="25" t="n">
        <x:v>-6783037.978320777</x:v>
      </x:c>
      <x:c r="D3361" s="25" t="str">
        <x:v>tonnes_primary_production_equivalent</x:v>
      </x:c>
    </x:row>
    <x:row r="3362" ht="18" customHeight="1">
      <x:c r="A3362" s="25" t="str">
        <x:v>EEZ_929</x:v>
      </x:c>
      <x:c r="B3362" s="25" t="str">
        <x:v>raw_filtered_tonnes</x:v>
      </x:c>
      <x:c r="C3362" s="25" t="n">
        <x:v>601.562955336</x:v>
      </x:c>
      <x:c r="D3362" s="25" t="str">
        <x:v>tonnes</x:v>
      </x:c>
    </x:row>
    <x:row r="3363" ht="18" customHeight="1">
      <x:c r="A3363" s="25" t="str">
        <x:v>EEZ_929</x:v>
      </x:c>
      <x:c r="B3363" s="25" t="str">
        <x:v>species_catch_tonnes</x:v>
      </x:c>
      <x:c r="C3363" s="25" t="n">
        <x:v>601.562955336</x:v>
      </x:c>
      <x:c r="D3363" s="25" t="str">
        <x:v>tonnes</x:v>
      </x:c>
    </x:row>
    <x:row r="3364" ht="18" customHeight="1">
      <x:c r="A3364" s="25" t="str">
        <x:v>EEZ_929</x:v>
      </x:c>
      <x:c r="B3364" s="25" t="str">
        <x:v>catch_difference_tonnes</x:v>
      </x:c>
      <x:c r="C3364" s="25" t="n">
        <x:v>0</x:v>
      </x:c>
      <x:c r="D3364" s="25" t="str">
        <x:v>tonnes</x:v>
      </x:c>
    </x:row>
    <x:row r="3365" ht="18" customHeight="1">
      <x:c r="A3365" s="25" t="str">
        <x:v>EEZ_929</x:v>
      </x:c>
      <x:c r="B3365" s="25" t="str">
        <x:v>catch_reconciled</x:v>
      </x:c>
      <x:c r="C3365" s="36" t="b">
        <x:v>1</x:v>
      </x:c>
      <x:c r="D3365" s="25" t="str">
        <x:v>boolean</x:v>
      </x:c>
    </x:row>
    <x:row r="3366" ht="18" customHeight="1">
      <x:c r="A3366" s="25" t="str">
        <x:v>EEZ_929</x:v>
      </x:c>
      <x:c r="B3366" s="25" t="str">
        <x:v>matched_catch_tonnes</x:v>
      </x:c>
      <x:c r="C3366" s="25" t="n">
        <x:v>601.562955336</x:v>
      </x:c>
      <x:c r="D3366" s="25" t="str">
        <x:v>tonnes</x:v>
      </x:c>
    </x:row>
    <x:row r="3367" ht="18" customHeight="1">
      <x:c r="A3367" s="25" t="str">
        <x:v>EEZ_929</x:v>
      </x:c>
      <x:c r="B3367" s="25" t="str">
        <x:v>catch_coverage_fraction</x:v>
      </x:c>
      <x:c r="C3367" s="25" t="n">
        <x:v>1</x:v>
      </x:c>
      <x:c r="D3367" s="25" t="str">
        <x:v>fraction</x:v>
      </x:c>
    </x:row>
    <x:row r="3368" ht="18" customHeight="1">
      <x:c r="A3368" s="25" t="str">
        <x:v>EEZ_929</x:v>
      </x:c>
      <x:c r="B3368" s="25" t="str">
        <x:v>taxa_count</x:v>
      </x:c>
      <x:c r="C3368" s="25" t="n">
        <x:v>14</x:v>
      </x:c>
      <x:c r="D3368" s="25" t="str">
        <x:v>count</x:v>
      </x:c>
    </x:row>
    <x:row r="3369" ht="18" customHeight="1">
      <x:c r="A3369" s="25" t="str">
        <x:v>EEZ_929</x:v>
      </x:c>
      <x:c r="B3369" s="25" t="str">
        <x:v>matched_taxa_count</x:v>
      </x:c>
      <x:c r="C3369" s="25" t="n">
        <x:v>14</x:v>
      </x:c>
      <x:c r="D3369" s="25" t="str">
        <x:v>count</x:v>
      </x:c>
    </x:row>
    <x:row r="3370" ht="18" customHeight="1">
      <x:c r="A3370" s="25" t="str">
        <x:v>EEZ_929</x:v>
      </x:c>
      <x:c r="B3370" s="25" t="str">
        <x:v>unmatched_taxa_count</x:v>
      </x:c>
      <x:c r="C3370" s="25" t="n">
        <x:v>0</x:v>
      </x:c>
      <x:c r="D3370" s="25" t="str">
        <x:v>count</x:v>
      </x:c>
    </x:row>
    <x:row r="3371" ht="18" customHeight="1">
      <x:c r="A3371" s="25" t="str">
        <x:v>EEZ_929</x:v>
      </x:c>
      <x:c r="B3371" s="25" t="str">
        <x:v>species_ppr</x:v>
      </x:c>
      <x:c r="C3371" s="25" t="n">
        <x:v>1207332.0916196196</x:v>
      </x:c>
      <x:c r="D3371" s="25" t="str">
        <x:v>tonnes_primary_production_equivalent</x:v>
      </x:c>
    </x:row>
    <x:row r="3372" ht="18" customHeight="1">
      <x:c r="A3372" s="25" t="str">
        <x:v>EEZ_929</x:v>
      </x:c>
      <x:c r="B3372" s="25" t="str">
        <x:v>commercial_ppr</x:v>
      </x:c>
      <x:c r="C3372" s="25" t="n">
        <x:v>1120825.6491819876</x:v>
      </x:c>
      <x:c r="D3372" s="25" t="str">
        <x:v>tonnes_primary_production_equivalent</x:v>
      </x:c>
    </x:row>
    <x:row r="3373" ht="18" customHeight="1">
      <x:c r="A3373" s="25" t="str">
        <x:v>EEZ_929</x:v>
      </x:c>
      <x:c r="B3373" s="25" t="str">
        <x:v>functional_ppr</x:v>
      </x:c>
      <x:c r="C3373" s="25" t="n">
        <x:v>1147064.2961897752</x:v>
      </x:c>
      <x:c r="D3373" s="25" t="str">
        <x:v>tonnes_primary_production_equivalent</x:v>
      </x:c>
    </x:row>
    <x:row r="3374" ht="18" customHeight="1">
      <x:c r="A3374" s="25" t="str">
        <x:v>EEZ_929</x:v>
      </x:c>
      <x:c r="B3374" s="25" t="str">
        <x:v>commercial_ppr_difference</x:v>
      </x:c>
      <x:c r="C3374" s="25" t="n">
        <x:v>-86506.44243763201</x:v>
      </x:c>
      <x:c r="D3374" s="25" t="str">
        <x:v>tonnes_primary_production_equivalent</x:v>
      </x:c>
    </x:row>
    <x:row r="3375" ht="18" customHeight="1">
      <x:c r="A3375" s="25" t="str">
        <x:v>EEZ_929</x:v>
      </x:c>
      <x:c r="B3375" s="25" t="str">
        <x:v>functional_ppr_difference</x:v>
      </x:c>
      <x:c r="C3375" s="25" t="n">
        <x:v>-60267.79542984441</x:v>
      </x:c>
      <x:c r="D3375" s="25" t="str">
        <x:v>tonnes_primary_production_equivalent</x:v>
      </x:c>
    </x:row>
    <x:row r="3376" ht="18" customHeight="1">
      <x:c r="A3376" s="25" t="str">
        <x:v>EEZ_930</x:v>
      </x:c>
      <x:c r="B3376" s="25" t="str">
        <x:v>raw_filtered_tonnes</x:v>
      </x:c>
      <x:c r="C3376" s="25" t="n">
        <x:v>53716.9931959015</x:v>
      </x:c>
      <x:c r="D3376" s="25" t="str">
        <x:v>tonnes</x:v>
      </x:c>
    </x:row>
    <x:row r="3377" ht="18" customHeight="1">
      <x:c r="A3377" s="25" t="str">
        <x:v>EEZ_930</x:v>
      </x:c>
      <x:c r="B3377" s="25" t="str">
        <x:v>species_catch_tonnes</x:v>
      </x:c>
      <x:c r="C3377" s="25" t="n">
        <x:v>53716.993195901494</x:v>
      </x:c>
      <x:c r="D3377" s="25" t="str">
        <x:v>tonnes</x:v>
      </x:c>
    </x:row>
    <x:row r="3378" ht="18" customHeight="1">
      <x:c r="A3378" s="25" t="str">
        <x:v>EEZ_930</x:v>
      </x:c>
      <x:c r="B3378" s="25" t="str">
        <x:v>catch_difference_tonnes</x:v>
      </x:c>
      <x:c r="C3378" s="25" t="n">
        <x:v>-7.275957614183426e-12</x:v>
      </x:c>
      <x:c r="D3378" s="25" t="str">
        <x:v>tonnes</x:v>
      </x:c>
    </x:row>
    <x:row r="3379" ht="18" customHeight="1">
      <x:c r="A3379" s="25" t="str">
        <x:v>EEZ_930</x:v>
      </x:c>
      <x:c r="B3379" s="25" t="str">
        <x:v>catch_reconciled</x:v>
      </x:c>
      <x:c r="C3379" s="36" t="b">
        <x:v>1</x:v>
      </x:c>
      <x:c r="D3379" s="25" t="str">
        <x:v>boolean</x:v>
      </x:c>
    </x:row>
    <x:row r="3380" ht="18" customHeight="1">
      <x:c r="A3380" s="25" t="str">
        <x:v>EEZ_930</x:v>
      </x:c>
      <x:c r="B3380" s="25" t="str">
        <x:v>matched_catch_tonnes</x:v>
      </x:c>
      <x:c r="C3380" s="25" t="n">
        <x:v>53716.993195901494</x:v>
      </x:c>
      <x:c r="D3380" s="25" t="str">
        <x:v>tonnes</x:v>
      </x:c>
    </x:row>
    <x:row r="3381" ht="18" customHeight="1">
      <x:c r="A3381" s="25" t="str">
        <x:v>EEZ_930</x:v>
      </x:c>
      <x:c r="B3381" s="25" t="str">
        <x:v>catch_coverage_fraction</x:v>
      </x:c>
      <x:c r="C3381" s="25" t="n">
        <x:v>1</x:v>
      </x:c>
      <x:c r="D3381" s="25" t="str">
        <x:v>fraction</x:v>
      </x:c>
    </x:row>
    <x:row r="3382" ht="18" customHeight="1">
      <x:c r="A3382" s="25" t="str">
        <x:v>EEZ_930</x:v>
      </x:c>
      <x:c r="B3382" s="25" t="str">
        <x:v>taxa_count</x:v>
      </x:c>
      <x:c r="C3382" s="25" t="n">
        <x:v>63</x:v>
      </x:c>
      <x:c r="D3382" s="25" t="str">
        <x:v>count</x:v>
      </x:c>
    </x:row>
    <x:row r="3383" ht="18" customHeight="1">
      <x:c r="A3383" s="25" t="str">
        <x:v>EEZ_930</x:v>
      </x:c>
      <x:c r="B3383" s="25" t="str">
        <x:v>matched_taxa_count</x:v>
      </x:c>
      <x:c r="C3383" s="25" t="n">
        <x:v>63</x:v>
      </x:c>
      <x:c r="D3383" s="25" t="str">
        <x:v>count</x:v>
      </x:c>
    </x:row>
    <x:row r="3384" ht="18" customHeight="1">
      <x:c r="A3384" s="25" t="str">
        <x:v>EEZ_930</x:v>
      </x:c>
      <x:c r="B3384" s="25" t="str">
        <x:v>unmatched_taxa_count</x:v>
      </x:c>
      <x:c r="C3384" s="25" t="n">
        <x:v>0</x:v>
      </x:c>
      <x:c r="D3384" s="25" t="str">
        <x:v>count</x:v>
      </x:c>
    </x:row>
    <x:row r="3385" ht="18" customHeight="1">
      <x:c r="A3385" s="25" t="str">
        <x:v>EEZ_930</x:v>
      </x:c>
      <x:c r="B3385" s="25" t="str">
        <x:v>species_ppr</x:v>
      </x:c>
      <x:c r="C3385" s="25" t="n">
        <x:v>80279567.24893846</x:v>
      </x:c>
      <x:c r="D3385" s="25" t="str">
        <x:v>tonnes_primary_production_equivalent</x:v>
      </x:c>
    </x:row>
    <x:row r="3386" ht="18" customHeight="1">
      <x:c r="A3386" s="25" t="str">
        <x:v>EEZ_930</x:v>
      </x:c>
      <x:c r="B3386" s="25" t="str">
        <x:v>commercial_ppr</x:v>
      </x:c>
      <x:c r="C3386" s="25" t="n">
        <x:v>74719678.55634749</x:v>
      </x:c>
      <x:c r="D3386" s="25" t="str">
        <x:v>tonnes_primary_production_equivalent</x:v>
      </x:c>
    </x:row>
    <x:row r="3387" ht="18" customHeight="1">
      <x:c r="A3387" s="25" t="str">
        <x:v>EEZ_930</x:v>
      </x:c>
      <x:c r="B3387" s="25" t="str">
        <x:v>functional_ppr</x:v>
      </x:c>
      <x:c r="C3387" s="25" t="n">
        <x:v>75119400.23806289</x:v>
      </x:c>
      <x:c r="D3387" s="25" t="str">
        <x:v>tonnes_primary_production_equivalent</x:v>
      </x:c>
    </x:row>
    <x:row r="3388" ht="18" customHeight="1">
      <x:c r="A3388" s="25" t="str">
        <x:v>EEZ_930</x:v>
      </x:c>
      <x:c r="B3388" s="25" t="str">
        <x:v>commercial_ppr_difference</x:v>
      </x:c>
      <x:c r="C3388" s="25" t="n">
        <x:v>-5559888.692590967</x:v>
      </x:c>
      <x:c r="D3388" s="25" t="str">
        <x:v>tonnes_primary_production_equivalent</x:v>
      </x:c>
    </x:row>
    <x:row r="3389" ht="18" customHeight="1">
      <x:c r="A3389" s="25" t="str">
        <x:v>EEZ_930</x:v>
      </x:c>
      <x:c r="B3389" s="25" t="str">
        <x:v>functional_ppr_difference</x:v>
      </x:c>
      <x:c r="C3389" s="25" t="n">
        <x:v>-5160167.010875568</x:v>
      </x:c>
      <x:c r="D3389" s="25" t="str">
        <x:v>tonnes_primary_production_equivalent</x:v>
      </x:c>
    </x:row>
    <x:row r="3390" ht="18" customHeight="1">
      <x:c r="A3390" s="25" t="str">
        <x:v>EEZ_931</x:v>
      </x:c>
      <x:c r="B3390" s="25" t="str">
        <x:v>raw_filtered_tonnes</x:v>
      </x:c>
      <x:c r="C3390" s="25" t="n">
        <x:v>66565.8646210142</x:v>
      </x:c>
      <x:c r="D3390" s="25" t="str">
        <x:v>tonnes</x:v>
      </x:c>
    </x:row>
    <x:row r="3391" ht="18" customHeight="1">
      <x:c r="A3391" s="25" t="str">
        <x:v>EEZ_931</x:v>
      </x:c>
      <x:c r="B3391" s="25" t="str">
        <x:v>species_catch_tonnes</x:v>
      </x:c>
      <x:c r="C3391" s="25" t="n">
        <x:v>66565.8646210142</x:v>
      </x:c>
      <x:c r="D3391" s="25" t="str">
        <x:v>tonnes</x:v>
      </x:c>
    </x:row>
    <x:row r="3392" ht="18" customHeight="1">
      <x:c r="A3392" s="25" t="str">
        <x:v>EEZ_931</x:v>
      </x:c>
      <x:c r="B3392" s="25" t="str">
        <x:v>catch_difference_tonnes</x:v>
      </x:c>
      <x:c r="C3392" s="25" t="n">
        <x:v>0</x:v>
      </x:c>
      <x:c r="D3392" s="25" t="str">
        <x:v>tonnes</x:v>
      </x:c>
    </x:row>
    <x:row r="3393" ht="18" customHeight="1">
      <x:c r="A3393" s="25" t="str">
        <x:v>EEZ_931</x:v>
      </x:c>
      <x:c r="B3393" s="25" t="str">
        <x:v>catch_reconciled</x:v>
      </x:c>
      <x:c r="C3393" s="36" t="b">
        <x:v>1</x:v>
      </x:c>
      <x:c r="D3393" s="25" t="str">
        <x:v>boolean</x:v>
      </x:c>
    </x:row>
    <x:row r="3394" ht="18" customHeight="1">
      <x:c r="A3394" s="25" t="str">
        <x:v>EEZ_931</x:v>
      </x:c>
      <x:c r="B3394" s="25" t="str">
        <x:v>matched_catch_tonnes</x:v>
      </x:c>
      <x:c r="C3394" s="25" t="n">
        <x:v>66565.8646210142</x:v>
      </x:c>
      <x:c r="D3394" s="25" t="str">
        <x:v>tonnes</x:v>
      </x:c>
    </x:row>
    <x:row r="3395" ht="18" customHeight="1">
      <x:c r="A3395" s="25" t="str">
        <x:v>EEZ_931</x:v>
      </x:c>
      <x:c r="B3395" s="25" t="str">
        <x:v>catch_coverage_fraction</x:v>
      </x:c>
      <x:c r="C3395" s="25" t="n">
        <x:v>1</x:v>
      </x:c>
      <x:c r="D3395" s="25" t="str">
        <x:v>fraction</x:v>
      </x:c>
    </x:row>
    <x:row r="3396" ht="18" customHeight="1">
      <x:c r="A3396" s="25" t="str">
        <x:v>EEZ_931</x:v>
      </x:c>
      <x:c r="B3396" s="25" t="str">
        <x:v>taxa_count</x:v>
      </x:c>
      <x:c r="C3396" s="25" t="n">
        <x:v>67</x:v>
      </x:c>
      <x:c r="D3396" s="25" t="str">
        <x:v>count</x:v>
      </x:c>
    </x:row>
    <x:row r="3397" ht="18" customHeight="1">
      <x:c r="A3397" s="25" t="str">
        <x:v>EEZ_931</x:v>
      </x:c>
      <x:c r="B3397" s="25" t="str">
        <x:v>matched_taxa_count</x:v>
      </x:c>
      <x:c r="C3397" s="25" t="n">
        <x:v>67</x:v>
      </x:c>
      <x:c r="D3397" s="25" t="str">
        <x:v>count</x:v>
      </x:c>
    </x:row>
    <x:row r="3398" ht="18" customHeight="1">
      <x:c r="A3398" s="25" t="str">
        <x:v>EEZ_931</x:v>
      </x:c>
      <x:c r="B3398" s="25" t="str">
        <x:v>unmatched_taxa_count</x:v>
      </x:c>
      <x:c r="C3398" s="25" t="n">
        <x:v>0</x:v>
      </x:c>
      <x:c r="D3398" s="25" t="str">
        <x:v>count</x:v>
      </x:c>
    </x:row>
    <x:row r="3399" ht="18" customHeight="1">
      <x:c r="A3399" s="25" t="str">
        <x:v>EEZ_931</x:v>
      </x:c>
      <x:c r="B3399" s="25" t="str">
        <x:v>species_ppr</x:v>
      </x:c>
      <x:c r="C3399" s="25" t="n">
        <x:v>22017567.609833583</x:v>
      </x:c>
      <x:c r="D3399" s="25" t="str">
        <x:v>tonnes_primary_production_equivalent</x:v>
      </x:c>
    </x:row>
    <x:row r="3400" ht="18" customHeight="1">
      <x:c r="A3400" s="25" t="str">
        <x:v>EEZ_931</x:v>
      </x:c>
      <x:c r="B3400" s="25" t="str">
        <x:v>commercial_ppr</x:v>
      </x:c>
      <x:c r="C3400" s="25" t="n">
        <x:v>20086651.322055914</x:v>
      </x:c>
      <x:c r="D3400" s="25" t="str">
        <x:v>tonnes_primary_production_equivalent</x:v>
      </x:c>
    </x:row>
    <x:row r="3401" ht="18" customHeight="1">
      <x:c r="A3401" s="25" t="str">
        <x:v>EEZ_931</x:v>
      </x:c>
      <x:c r="B3401" s="25" t="str">
        <x:v>functional_ppr</x:v>
      </x:c>
      <x:c r="C3401" s="25" t="n">
        <x:v>19845788.949558187</x:v>
      </x:c>
      <x:c r="D3401" s="25" t="str">
        <x:v>tonnes_primary_production_equivalent</x:v>
      </x:c>
    </x:row>
    <x:row r="3402" ht="18" customHeight="1">
      <x:c r="A3402" s="25" t="str">
        <x:v>EEZ_931</x:v>
      </x:c>
      <x:c r="B3402" s="25" t="str">
        <x:v>commercial_ppr_difference</x:v>
      </x:c>
      <x:c r="C3402" s="25" t="n">
        <x:v>-1930916.2877776697</x:v>
      </x:c>
      <x:c r="D3402" s="25" t="str">
        <x:v>tonnes_primary_production_equivalent</x:v>
      </x:c>
    </x:row>
    <x:row r="3403" ht="18" customHeight="1">
      <x:c r="A3403" s="25" t="str">
        <x:v>EEZ_931</x:v>
      </x:c>
      <x:c r="B3403" s="25" t="str">
        <x:v>functional_ppr_difference</x:v>
      </x:c>
      <x:c r="C3403" s="25" t="n">
        <x:v>-2171778.660275396</x:v>
      </x:c>
      <x:c r="D3403" s="25" t="str">
        <x:v>tonnes_primary_production_equivalent</x:v>
      </x:c>
    </x:row>
    <x:row r="3404" ht="18" customHeight="1">
      <x:c r="A3404" s="25" t="str">
        <x:v>EEZ_932</x:v>
      </x:c>
      <x:c r="B3404" s="25" t="str">
        <x:v>raw_filtered_tonnes</x:v>
      </x:c>
      <x:c r="C3404" s="25" t="n">
        <x:v>136822.7965781429</x:v>
      </x:c>
      <x:c r="D3404" s="25" t="str">
        <x:v>tonnes</x:v>
      </x:c>
    </x:row>
    <x:row r="3405" ht="18" customHeight="1">
      <x:c r="A3405" s="25" t="str">
        <x:v>EEZ_932</x:v>
      </x:c>
      <x:c r="B3405" s="25" t="str">
        <x:v>species_catch_tonnes</x:v>
      </x:c>
      <x:c r="C3405" s="25" t="n">
        <x:v>136822.7965781429</x:v>
      </x:c>
      <x:c r="D3405" s="25" t="str">
        <x:v>tonnes</x:v>
      </x:c>
    </x:row>
    <x:row r="3406" ht="18" customHeight="1">
      <x:c r="A3406" s="25" t="str">
        <x:v>EEZ_932</x:v>
      </x:c>
      <x:c r="B3406" s="25" t="str">
        <x:v>catch_difference_tonnes</x:v>
      </x:c>
      <x:c r="C3406" s="25" t="n">
        <x:v>0</x:v>
      </x:c>
      <x:c r="D3406" s="25" t="str">
        <x:v>tonnes</x:v>
      </x:c>
    </x:row>
    <x:row r="3407" ht="18" customHeight="1">
      <x:c r="A3407" s="25" t="str">
        <x:v>EEZ_932</x:v>
      </x:c>
      <x:c r="B3407" s="25" t="str">
        <x:v>catch_reconciled</x:v>
      </x:c>
      <x:c r="C3407" s="36" t="b">
        <x:v>1</x:v>
      </x:c>
      <x:c r="D3407" s="25" t="str">
        <x:v>boolean</x:v>
      </x:c>
    </x:row>
    <x:row r="3408" ht="18" customHeight="1">
      <x:c r="A3408" s="25" t="str">
        <x:v>EEZ_932</x:v>
      </x:c>
      <x:c r="B3408" s="25" t="str">
        <x:v>matched_catch_tonnes</x:v>
      </x:c>
      <x:c r="C3408" s="25" t="n">
        <x:v>136822.7965781429</x:v>
      </x:c>
      <x:c r="D3408" s="25" t="str">
        <x:v>tonnes</x:v>
      </x:c>
    </x:row>
    <x:row r="3409" ht="18" customHeight="1">
      <x:c r="A3409" s="25" t="str">
        <x:v>EEZ_932</x:v>
      </x:c>
      <x:c r="B3409" s="25" t="str">
        <x:v>catch_coverage_fraction</x:v>
      </x:c>
      <x:c r="C3409" s="25" t="n">
        <x:v>1</x:v>
      </x:c>
      <x:c r="D3409" s="25" t="str">
        <x:v>fraction</x:v>
      </x:c>
    </x:row>
    <x:row r="3410" ht="18" customHeight="1">
      <x:c r="A3410" s="25" t="str">
        <x:v>EEZ_932</x:v>
      </x:c>
      <x:c r="B3410" s="25" t="str">
        <x:v>taxa_count</x:v>
      </x:c>
      <x:c r="C3410" s="25" t="n">
        <x:v>191</x:v>
      </x:c>
      <x:c r="D3410" s="25" t="str">
        <x:v>count</x:v>
      </x:c>
    </x:row>
    <x:row r="3411" ht="18" customHeight="1">
      <x:c r="A3411" s="25" t="str">
        <x:v>EEZ_932</x:v>
      </x:c>
      <x:c r="B3411" s="25" t="str">
        <x:v>matched_taxa_count</x:v>
      </x:c>
      <x:c r="C3411" s="25" t="n">
        <x:v>191</x:v>
      </x:c>
      <x:c r="D3411" s="25" t="str">
        <x:v>count</x:v>
      </x:c>
    </x:row>
    <x:row r="3412" ht="18" customHeight="1">
      <x:c r="A3412" s="25" t="str">
        <x:v>EEZ_932</x:v>
      </x:c>
      <x:c r="B3412" s="25" t="str">
        <x:v>unmatched_taxa_count</x:v>
      </x:c>
      <x:c r="C3412" s="25" t="n">
        <x:v>0</x:v>
      </x:c>
      <x:c r="D3412" s="25" t="str">
        <x:v>count</x:v>
      </x:c>
    </x:row>
    <x:row r="3413" ht="18" customHeight="1">
      <x:c r="A3413" s="25" t="str">
        <x:v>EEZ_932</x:v>
      </x:c>
      <x:c r="B3413" s="25" t="str">
        <x:v>species_ppr</x:v>
      </x:c>
      <x:c r="C3413" s="25" t="n">
        <x:v>41397655.05769295</x:v>
      </x:c>
      <x:c r="D3413" s="25" t="str">
        <x:v>tonnes_primary_production_equivalent</x:v>
      </x:c>
    </x:row>
    <x:row r="3414" ht="18" customHeight="1">
      <x:c r="A3414" s="25" t="str">
        <x:v>EEZ_932</x:v>
      </x:c>
      <x:c r="B3414" s="25" t="str">
        <x:v>commercial_ppr</x:v>
      </x:c>
      <x:c r="C3414" s="25" t="n">
        <x:v>34702699.34048979</x:v>
      </x:c>
      <x:c r="D3414" s="25" t="str">
        <x:v>tonnes_primary_production_equivalent</x:v>
      </x:c>
    </x:row>
    <x:row r="3415" ht="18" customHeight="1">
      <x:c r="A3415" s="25" t="str">
        <x:v>EEZ_932</x:v>
      </x:c>
      <x:c r="B3415" s="25" t="str">
        <x:v>functional_ppr</x:v>
      </x:c>
      <x:c r="C3415" s="25" t="n">
        <x:v>36930926.23826311</x:v>
      </x:c>
      <x:c r="D3415" s="25" t="str">
        <x:v>tonnes_primary_production_equivalent</x:v>
      </x:c>
    </x:row>
    <x:row r="3416" ht="18" customHeight="1">
      <x:c r="A3416" s="25" t="str">
        <x:v>EEZ_932</x:v>
      </x:c>
      <x:c r="B3416" s="25" t="str">
        <x:v>commercial_ppr_difference</x:v>
      </x:c>
      <x:c r="C3416" s="25" t="n">
        <x:v>-6694955.717203163</x:v>
      </x:c>
      <x:c r="D3416" s="25" t="str">
        <x:v>tonnes_primary_production_equivalent</x:v>
      </x:c>
    </x:row>
    <x:row r="3417" ht="18" customHeight="1">
      <x:c r="A3417" s="25" t="str">
        <x:v>EEZ_932</x:v>
      </x:c>
      <x:c r="B3417" s="25" t="str">
        <x:v>functional_ppr_difference</x:v>
      </x:c>
      <x:c r="C3417" s="25" t="n">
        <x:v>-4466728.819429845</x:v>
      </x:c>
      <x:c r="D3417" s="25" t="str">
        <x:v>tonnes_primary_production_equivalent</x:v>
      </x:c>
    </x:row>
    <x:row r="3418" ht="18" customHeight="1">
      <x:c r="A3418" s="25" t="str">
        <x:v>EEZ_933</x:v>
      </x:c>
      <x:c r="B3418" s="25" t="str">
        <x:v>raw_filtered_tonnes</x:v>
      </x:c>
      <x:c r="C3418" s="25" t="n">
        <x:v>55812.690645263196</x:v>
      </x:c>
      <x:c r="D3418" s="25" t="str">
        <x:v>tonnes</x:v>
      </x:c>
    </x:row>
    <x:row r="3419" ht="18" customHeight="1">
      <x:c r="A3419" s="25" t="str">
        <x:v>EEZ_933</x:v>
      </x:c>
      <x:c r="B3419" s="25" t="str">
        <x:v>species_catch_tonnes</x:v>
      </x:c>
      <x:c r="C3419" s="25" t="n">
        <x:v>55812.690645263196</x:v>
      </x:c>
      <x:c r="D3419" s="25" t="str">
        <x:v>tonnes</x:v>
      </x:c>
    </x:row>
    <x:row r="3420" ht="18" customHeight="1">
      <x:c r="A3420" s="25" t="str">
        <x:v>EEZ_933</x:v>
      </x:c>
      <x:c r="B3420" s="25" t="str">
        <x:v>catch_difference_tonnes</x:v>
      </x:c>
      <x:c r="C3420" s="25" t="n">
        <x:v>0</x:v>
      </x:c>
      <x:c r="D3420" s="25" t="str">
        <x:v>tonnes</x:v>
      </x:c>
    </x:row>
    <x:row r="3421" ht="18" customHeight="1">
      <x:c r="A3421" s="25" t="str">
        <x:v>EEZ_933</x:v>
      </x:c>
      <x:c r="B3421" s="25" t="str">
        <x:v>catch_reconciled</x:v>
      </x:c>
      <x:c r="C3421" s="36" t="b">
        <x:v>1</x:v>
      </x:c>
      <x:c r="D3421" s="25" t="str">
        <x:v>boolean</x:v>
      </x:c>
    </x:row>
    <x:row r="3422" ht="18" customHeight="1">
      <x:c r="A3422" s="25" t="str">
        <x:v>EEZ_933</x:v>
      </x:c>
      <x:c r="B3422" s="25" t="str">
        <x:v>matched_catch_tonnes</x:v>
      </x:c>
      <x:c r="C3422" s="25" t="n">
        <x:v>55812.690645263196</x:v>
      </x:c>
      <x:c r="D3422" s="25" t="str">
        <x:v>tonnes</x:v>
      </x:c>
    </x:row>
    <x:row r="3423" ht="18" customHeight="1">
      <x:c r="A3423" s="25" t="str">
        <x:v>EEZ_933</x:v>
      </x:c>
      <x:c r="B3423" s="25" t="str">
        <x:v>catch_coverage_fraction</x:v>
      </x:c>
      <x:c r="C3423" s="25" t="n">
        <x:v>1</x:v>
      </x:c>
      <x:c r="D3423" s="25" t="str">
        <x:v>fraction</x:v>
      </x:c>
    </x:row>
    <x:row r="3424" ht="18" customHeight="1">
      <x:c r="A3424" s="25" t="str">
        <x:v>EEZ_933</x:v>
      </x:c>
      <x:c r="B3424" s="25" t="str">
        <x:v>taxa_count</x:v>
      </x:c>
      <x:c r="C3424" s="25" t="n">
        <x:v>88</x:v>
      </x:c>
      <x:c r="D3424" s="25" t="str">
        <x:v>count</x:v>
      </x:c>
    </x:row>
    <x:row r="3425" ht="18" customHeight="1">
      <x:c r="A3425" s="25" t="str">
        <x:v>EEZ_933</x:v>
      </x:c>
      <x:c r="B3425" s="25" t="str">
        <x:v>matched_taxa_count</x:v>
      </x:c>
      <x:c r="C3425" s="25" t="n">
        <x:v>88</x:v>
      </x:c>
      <x:c r="D3425" s="25" t="str">
        <x:v>count</x:v>
      </x:c>
    </x:row>
    <x:row r="3426" ht="18" customHeight="1">
      <x:c r="A3426" s="25" t="str">
        <x:v>EEZ_933</x:v>
      </x:c>
      <x:c r="B3426" s="25" t="str">
        <x:v>unmatched_taxa_count</x:v>
      </x:c>
      <x:c r="C3426" s="25" t="n">
        <x:v>0</x:v>
      </x:c>
      <x:c r="D3426" s="25" t="str">
        <x:v>count</x:v>
      </x:c>
    </x:row>
    <x:row r="3427" ht="18" customHeight="1">
      <x:c r="A3427" s="25" t="str">
        <x:v>EEZ_933</x:v>
      </x:c>
      <x:c r="B3427" s="25" t="str">
        <x:v>species_ppr</x:v>
      </x:c>
      <x:c r="C3427" s="25" t="n">
        <x:v>31057514.964360286</x:v>
      </x:c>
      <x:c r="D3427" s="25" t="str">
        <x:v>tonnes_primary_production_equivalent</x:v>
      </x:c>
    </x:row>
    <x:row r="3428" ht="18" customHeight="1">
      <x:c r="A3428" s="25" t="str">
        <x:v>EEZ_933</x:v>
      </x:c>
      <x:c r="B3428" s="25" t="str">
        <x:v>commercial_ppr</x:v>
      </x:c>
      <x:c r="C3428" s="25" t="n">
        <x:v>20349748.172774687</x:v>
      </x:c>
      <x:c r="D3428" s="25" t="str">
        <x:v>tonnes_primary_production_equivalent</x:v>
      </x:c>
    </x:row>
    <x:row r="3429" ht="18" customHeight="1">
      <x:c r="A3429" s="25" t="str">
        <x:v>EEZ_933</x:v>
      </x:c>
      <x:c r="B3429" s="25" t="str">
        <x:v>functional_ppr</x:v>
      </x:c>
      <x:c r="C3429" s="25" t="n">
        <x:v>28131616.40013305</x:v>
      </x:c>
      <x:c r="D3429" s="25" t="str">
        <x:v>tonnes_primary_production_equivalent</x:v>
      </x:c>
    </x:row>
    <x:row r="3430" ht="18" customHeight="1">
      <x:c r="A3430" s="25" t="str">
        <x:v>EEZ_933</x:v>
      </x:c>
      <x:c r="B3430" s="25" t="str">
        <x:v>commercial_ppr_difference</x:v>
      </x:c>
      <x:c r="C3430" s="25" t="n">
        <x:v>-10707766.791585598</x:v>
      </x:c>
      <x:c r="D3430" s="25" t="str">
        <x:v>tonnes_primary_production_equivalent</x:v>
      </x:c>
    </x:row>
    <x:row r="3431" ht="18" customHeight="1">
      <x:c r="A3431" s="25" t="str">
        <x:v>EEZ_933</x:v>
      </x:c>
      <x:c r="B3431" s="25" t="str">
        <x:v>functional_ppr_difference</x:v>
      </x:c>
      <x:c r="C3431" s="25" t="n">
        <x:v>-2925898.5642272346</x:v>
      </x:c>
      <x:c r="D3431" s="25" t="str">
        <x:v>tonnes_primary_production_equivalent</x:v>
      </x:c>
    </x:row>
    <x:row r="3432" ht="18" customHeight="1">
      <x:c r="A3432" s="25" t="str">
        <x:v>EEZ_934</x:v>
      </x:c>
      <x:c r="B3432" s="25" t="str">
        <x:v>raw_filtered_tonnes</x:v>
      </x:c>
      <x:c r="C3432" s="25" t="n">
        <x:v>65184.463024507</x:v>
      </x:c>
      <x:c r="D3432" s="25" t="str">
        <x:v>tonnes</x:v>
      </x:c>
    </x:row>
    <x:row r="3433" ht="18" customHeight="1">
      <x:c r="A3433" s="25" t="str">
        <x:v>EEZ_934</x:v>
      </x:c>
      <x:c r="B3433" s="25" t="str">
        <x:v>species_catch_tonnes</x:v>
      </x:c>
      <x:c r="C3433" s="25" t="n">
        <x:v>65184.46302450699</x:v>
      </x:c>
      <x:c r="D3433" s="25" t="str">
        <x:v>tonnes</x:v>
      </x:c>
    </x:row>
    <x:row r="3434" ht="18" customHeight="1">
      <x:c r="A3434" s="25" t="str">
        <x:v>EEZ_934</x:v>
      </x:c>
      <x:c r="B3434" s="25" t="str">
        <x:v>catch_difference_tonnes</x:v>
      </x:c>
      <x:c r="C3434" s="25" t="n">
        <x:v>-7.275957614183426e-12</x:v>
      </x:c>
      <x:c r="D3434" s="25" t="str">
        <x:v>tonnes</x:v>
      </x:c>
    </x:row>
    <x:row r="3435" ht="18" customHeight="1">
      <x:c r="A3435" s="25" t="str">
        <x:v>EEZ_934</x:v>
      </x:c>
      <x:c r="B3435" s="25" t="str">
        <x:v>catch_reconciled</x:v>
      </x:c>
      <x:c r="C3435" s="36" t="b">
        <x:v>1</x:v>
      </x:c>
      <x:c r="D3435" s="25" t="str">
        <x:v>boolean</x:v>
      </x:c>
    </x:row>
    <x:row r="3436" ht="18" customHeight="1">
      <x:c r="A3436" s="25" t="str">
        <x:v>EEZ_934</x:v>
      </x:c>
      <x:c r="B3436" s="25" t="str">
        <x:v>matched_catch_tonnes</x:v>
      </x:c>
      <x:c r="C3436" s="25" t="n">
        <x:v>65184.46302450699</x:v>
      </x:c>
      <x:c r="D3436" s="25" t="str">
        <x:v>tonnes</x:v>
      </x:c>
    </x:row>
    <x:row r="3437" ht="18" customHeight="1">
      <x:c r="A3437" s="25" t="str">
        <x:v>EEZ_934</x:v>
      </x:c>
      <x:c r="B3437" s="25" t="str">
        <x:v>catch_coverage_fraction</x:v>
      </x:c>
      <x:c r="C3437" s="25" t="n">
        <x:v>1</x:v>
      </x:c>
      <x:c r="D3437" s="25" t="str">
        <x:v>fraction</x:v>
      </x:c>
    </x:row>
    <x:row r="3438" ht="18" customHeight="1">
      <x:c r="A3438" s="25" t="str">
        <x:v>EEZ_934</x:v>
      </x:c>
      <x:c r="B3438" s="25" t="str">
        <x:v>taxa_count</x:v>
      </x:c>
      <x:c r="C3438" s="25" t="n">
        <x:v>57</x:v>
      </x:c>
      <x:c r="D3438" s="25" t="str">
        <x:v>count</x:v>
      </x:c>
    </x:row>
    <x:row r="3439" ht="18" customHeight="1">
      <x:c r="A3439" s="25" t="str">
        <x:v>EEZ_934</x:v>
      </x:c>
      <x:c r="B3439" s="25" t="str">
        <x:v>matched_taxa_count</x:v>
      </x:c>
      <x:c r="C3439" s="25" t="n">
        <x:v>57</x:v>
      </x:c>
      <x:c r="D3439" s="25" t="str">
        <x:v>count</x:v>
      </x:c>
    </x:row>
    <x:row r="3440" ht="18" customHeight="1">
      <x:c r="A3440" s="25" t="str">
        <x:v>EEZ_934</x:v>
      </x:c>
      <x:c r="B3440" s="25" t="str">
        <x:v>unmatched_taxa_count</x:v>
      </x:c>
      <x:c r="C3440" s="25" t="n">
        <x:v>0</x:v>
      </x:c>
      <x:c r="D3440" s="25" t="str">
        <x:v>count</x:v>
      </x:c>
    </x:row>
    <x:row r="3441" ht="18" customHeight="1">
      <x:c r="A3441" s="25" t="str">
        <x:v>EEZ_934</x:v>
      </x:c>
      <x:c r="B3441" s="25" t="str">
        <x:v>species_ppr</x:v>
      </x:c>
      <x:c r="C3441" s="25" t="n">
        <x:v>36870962.78596789</x:v>
      </x:c>
      <x:c r="D3441" s="25" t="str">
        <x:v>tonnes_primary_production_equivalent</x:v>
      </x:c>
    </x:row>
    <x:row r="3442" ht="18" customHeight="1">
      <x:c r="A3442" s="25" t="str">
        <x:v>EEZ_934</x:v>
      </x:c>
      <x:c r="B3442" s="25" t="str">
        <x:v>commercial_ppr</x:v>
      </x:c>
      <x:c r="C3442" s="25" t="n">
        <x:v>24237547.092674963</x:v>
      </x:c>
      <x:c r="D3442" s="25" t="str">
        <x:v>tonnes_primary_production_equivalent</x:v>
      </x:c>
    </x:row>
    <x:row r="3443" ht="18" customHeight="1">
      <x:c r="A3443" s="25" t="str">
        <x:v>EEZ_934</x:v>
      </x:c>
      <x:c r="B3443" s="25" t="str">
        <x:v>functional_ppr</x:v>
      </x:c>
      <x:c r="C3443" s="25" t="n">
        <x:v>25986824.216516934</x:v>
      </x:c>
      <x:c r="D3443" s="25" t="str">
        <x:v>tonnes_primary_production_equivalent</x:v>
      </x:c>
    </x:row>
    <x:row r="3444" ht="18" customHeight="1">
      <x:c r="A3444" s="25" t="str">
        <x:v>EEZ_934</x:v>
      </x:c>
      <x:c r="B3444" s="25" t="str">
        <x:v>commercial_ppr_difference</x:v>
      </x:c>
      <x:c r="C3444" s="25" t="n">
        <x:v>-12633415.693292923</x:v>
      </x:c>
      <x:c r="D3444" s="25" t="str">
        <x:v>tonnes_primary_production_equivalent</x:v>
      </x:c>
    </x:row>
    <x:row r="3445" ht="18" customHeight="1">
      <x:c r="A3445" s="25" t="str">
        <x:v>EEZ_934</x:v>
      </x:c>
      <x:c r="B3445" s="25" t="str">
        <x:v>functional_ppr_difference</x:v>
      </x:c>
      <x:c r="C3445" s="25" t="n">
        <x:v>-10884138.569450952</x:v>
      </x:c>
      <x:c r="D3445" s="25" t="str">
        <x:v>tonnes_primary_production_equivalent</x:v>
      </x:c>
    </x:row>
    <x:row r="3446" ht="18" customHeight="1">
      <x:c r="A3446" s="25" t="str">
        <x:v>EEZ_935</x:v>
      </x:c>
      <x:c r="B3446" s="25" t="str">
        <x:v>raw_filtered_tonnes</x:v>
      </x:c>
      <x:c r="C3446" s="25" t="n">
        <x:v>4694.347823298999</x:v>
      </x:c>
      <x:c r="D3446" s="25" t="str">
        <x:v>tonnes</x:v>
      </x:c>
    </x:row>
    <x:row r="3447" ht="18" customHeight="1">
      <x:c r="A3447" s="25" t="str">
        <x:v>EEZ_935</x:v>
      </x:c>
      <x:c r="B3447" s="25" t="str">
        <x:v>species_catch_tonnes</x:v>
      </x:c>
      <x:c r="C3447" s="25" t="n">
        <x:v>4694.347823299001</x:v>
      </x:c>
      <x:c r="D3447" s="25" t="str">
        <x:v>tonnes</x:v>
      </x:c>
    </x:row>
    <x:row r="3448" ht="18" customHeight="1">
      <x:c r="A3448" s="25" t="str">
        <x:v>EEZ_935</x:v>
      </x:c>
      <x:c r="B3448" s="25" t="str">
        <x:v>catch_difference_tonnes</x:v>
      </x:c>
      <x:c r="C3448" s="25" t="n">
        <x:v>1.8189894035458565e-12</x:v>
      </x:c>
      <x:c r="D3448" s="25" t="str">
        <x:v>tonnes</x:v>
      </x:c>
    </x:row>
    <x:row r="3449" ht="18" customHeight="1">
      <x:c r="A3449" s="25" t="str">
        <x:v>EEZ_935</x:v>
      </x:c>
      <x:c r="B3449" s="25" t="str">
        <x:v>catch_reconciled</x:v>
      </x:c>
      <x:c r="C3449" s="36" t="b">
        <x:v>1</x:v>
      </x:c>
      <x:c r="D3449" s="25" t="str">
        <x:v>boolean</x:v>
      </x:c>
    </x:row>
    <x:row r="3450" ht="18" customHeight="1">
      <x:c r="A3450" s="25" t="str">
        <x:v>EEZ_935</x:v>
      </x:c>
      <x:c r="B3450" s="25" t="str">
        <x:v>matched_catch_tonnes</x:v>
      </x:c>
      <x:c r="C3450" s="25" t="n">
        <x:v>4694.347823299001</x:v>
      </x:c>
      <x:c r="D3450" s="25" t="str">
        <x:v>tonnes</x:v>
      </x:c>
    </x:row>
    <x:row r="3451" ht="18" customHeight="1">
      <x:c r="A3451" s="25" t="str">
        <x:v>EEZ_935</x:v>
      </x:c>
      <x:c r="B3451" s="25" t="str">
        <x:v>catch_coverage_fraction</x:v>
      </x:c>
      <x:c r="C3451" s="25" t="n">
        <x:v>1</x:v>
      </x:c>
      <x:c r="D3451" s="25" t="str">
        <x:v>fraction</x:v>
      </x:c>
    </x:row>
    <x:row r="3452" ht="18" customHeight="1">
      <x:c r="A3452" s="25" t="str">
        <x:v>EEZ_935</x:v>
      </x:c>
      <x:c r="B3452" s="25" t="str">
        <x:v>taxa_count</x:v>
      </x:c>
      <x:c r="C3452" s="25" t="n">
        <x:v>23</x:v>
      </x:c>
      <x:c r="D3452" s="25" t="str">
        <x:v>count</x:v>
      </x:c>
    </x:row>
    <x:row r="3453" ht="18" customHeight="1">
      <x:c r="A3453" s="25" t="str">
        <x:v>EEZ_935</x:v>
      </x:c>
      <x:c r="B3453" s="25" t="str">
        <x:v>matched_taxa_count</x:v>
      </x:c>
      <x:c r="C3453" s="25" t="n">
        <x:v>23</x:v>
      </x:c>
      <x:c r="D3453" s="25" t="str">
        <x:v>count</x:v>
      </x:c>
    </x:row>
    <x:row r="3454" ht="18" customHeight="1">
      <x:c r="A3454" s="25" t="str">
        <x:v>EEZ_935</x:v>
      </x:c>
      <x:c r="B3454" s="25" t="str">
        <x:v>unmatched_taxa_count</x:v>
      </x:c>
      <x:c r="C3454" s="25" t="n">
        <x:v>0</x:v>
      </x:c>
      <x:c r="D3454" s="25" t="str">
        <x:v>count</x:v>
      </x:c>
    </x:row>
    <x:row r="3455" ht="18" customHeight="1">
      <x:c r="A3455" s="25" t="str">
        <x:v>EEZ_935</x:v>
      </x:c>
      <x:c r="B3455" s="25" t="str">
        <x:v>species_ppr</x:v>
      </x:c>
      <x:c r="C3455" s="25" t="n">
        <x:v>1114718.28132553</x:v>
      </x:c>
      <x:c r="D3455" s="25" t="str">
        <x:v>tonnes_primary_production_equivalent</x:v>
      </x:c>
    </x:row>
    <x:row r="3456" ht="18" customHeight="1">
      <x:c r="A3456" s="25" t="str">
        <x:v>EEZ_935</x:v>
      </x:c>
      <x:c r="B3456" s="25" t="str">
        <x:v>commercial_ppr</x:v>
      </x:c>
      <x:c r="C3456" s="25" t="n">
        <x:v>941904.1815302117</x:v>
      </x:c>
      <x:c r="D3456" s="25" t="str">
        <x:v>tonnes_primary_production_equivalent</x:v>
      </x:c>
    </x:row>
    <x:row r="3457" ht="18" customHeight="1">
      <x:c r="A3457" s="25" t="str">
        <x:v>EEZ_935</x:v>
      </x:c>
      <x:c r="B3457" s="25" t="str">
        <x:v>functional_ppr</x:v>
      </x:c>
      <x:c r="C3457" s="25" t="n">
        <x:v>1085609.8610575816</x:v>
      </x:c>
      <x:c r="D3457" s="25" t="str">
        <x:v>tonnes_primary_production_equivalent</x:v>
      </x:c>
    </x:row>
    <x:row r="3458" ht="18" customHeight="1">
      <x:c r="A3458" s="25" t="str">
        <x:v>EEZ_935</x:v>
      </x:c>
      <x:c r="B3458" s="25" t="str">
        <x:v>commercial_ppr_difference</x:v>
      </x:c>
      <x:c r="C3458" s="25" t="n">
        <x:v>-172814.09979531833</x:v>
      </x:c>
      <x:c r="D3458" s="25" t="str">
        <x:v>tonnes_primary_production_equivalent</x:v>
      </x:c>
    </x:row>
    <x:row r="3459" ht="18" customHeight="1">
      <x:c r="A3459" s="25" t="str">
        <x:v>EEZ_935</x:v>
      </x:c>
      <x:c r="B3459" s="25" t="str">
        <x:v>functional_ppr_difference</x:v>
      </x:c>
      <x:c r="C3459" s="25" t="n">
        <x:v>-29108.420267948415</x:v>
      </x:c>
      <x:c r="D3459" s="25" t="str">
        <x:v>tonnes_primary_production_equivalent</x:v>
      </x:c>
    </x:row>
    <x:row r="3460" ht="18" customHeight="1">
      <x:c r="A3460" s="25" t="str">
        <x:v>EEZ_936</x:v>
      </x:c>
      <x:c r="B3460" s="25" t="str">
        <x:v>raw_filtered_tonnes</x:v>
      </x:c>
      <x:c r="C3460" s="25" t="n">
        <x:v>32146.8257039048</x:v>
      </x:c>
      <x:c r="D3460" s="25" t="str">
        <x:v>tonnes</x:v>
      </x:c>
    </x:row>
    <x:row r="3461" ht="18" customHeight="1">
      <x:c r="A3461" s="25" t="str">
        <x:v>EEZ_936</x:v>
      </x:c>
      <x:c r="B3461" s="25" t="str">
        <x:v>species_catch_tonnes</x:v>
      </x:c>
      <x:c r="C3461" s="25" t="n">
        <x:v>32146.82570390479</x:v>
      </x:c>
      <x:c r="D3461" s="25" t="str">
        <x:v>tonnes</x:v>
      </x:c>
    </x:row>
    <x:row r="3462" ht="18" customHeight="1">
      <x:c r="A3462" s="25" t="str">
        <x:v>EEZ_936</x:v>
      </x:c>
      <x:c r="B3462" s="25" t="str">
        <x:v>catch_difference_tonnes</x:v>
      </x:c>
      <x:c r="C3462" s="25" t="n">
        <x:v>-1.0913936421275139e-11</x:v>
      </x:c>
      <x:c r="D3462" s="25" t="str">
        <x:v>tonnes</x:v>
      </x:c>
    </x:row>
    <x:row r="3463" ht="18" customHeight="1">
      <x:c r="A3463" s="25" t="str">
        <x:v>EEZ_936</x:v>
      </x:c>
      <x:c r="B3463" s="25" t="str">
        <x:v>catch_reconciled</x:v>
      </x:c>
      <x:c r="C3463" s="36" t="b">
        <x:v>1</x:v>
      </x:c>
      <x:c r="D3463" s="25" t="str">
        <x:v>boolean</x:v>
      </x:c>
    </x:row>
    <x:row r="3464" ht="18" customHeight="1">
      <x:c r="A3464" s="25" t="str">
        <x:v>EEZ_936</x:v>
      </x:c>
      <x:c r="B3464" s="25" t="str">
        <x:v>matched_catch_tonnes</x:v>
      </x:c>
      <x:c r="C3464" s="25" t="n">
        <x:v>32146.82570390479</x:v>
      </x:c>
      <x:c r="D3464" s="25" t="str">
        <x:v>tonnes</x:v>
      </x:c>
    </x:row>
    <x:row r="3465" ht="18" customHeight="1">
      <x:c r="A3465" s="25" t="str">
        <x:v>EEZ_936</x:v>
      </x:c>
      <x:c r="B3465" s="25" t="str">
        <x:v>catch_coverage_fraction</x:v>
      </x:c>
      <x:c r="C3465" s="25" t="n">
        <x:v>1</x:v>
      </x:c>
      <x:c r="D3465" s="25" t="str">
        <x:v>fraction</x:v>
      </x:c>
    </x:row>
    <x:row r="3466" ht="18" customHeight="1">
      <x:c r="A3466" s="25" t="str">
        <x:v>EEZ_936</x:v>
      </x:c>
      <x:c r="B3466" s="25" t="str">
        <x:v>taxa_count</x:v>
      </x:c>
      <x:c r="C3466" s="25" t="n">
        <x:v>77</x:v>
      </x:c>
      <x:c r="D3466" s="25" t="str">
        <x:v>count</x:v>
      </x:c>
    </x:row>
    <x:row r="3467" ht="18" customHeight="1">
      <x:c r="A3467" s="25" t="str">
        <x:v>EEZ_936</x:v>
      </x:c>
      <x:c r="B3467" s="25" t="str">
        <x:v>matched_taxa_count</x:v>
      </x:c>
      <x:c r="C3467" s="25" t="n">
        <x:v>77</x:v>
      </x:c>
      <x:c r="D3467" s="25" t="str">
        <x:v>count</x:v>
      </x:c>
    </x:row>
    <x:row r="3468" ht="18" customHeight="1">
      <x:c r="A3468" s="25" t="str">
        <x:v>EEZ_936</x:v>
      </x:c>
      <x:c r="B3468" s="25" t="str">
        <x:v>unmatched_taxa_count</x:v>
      </x:c>
      <x:c r="C3468" s="25" t="n">
        <x:v>0</x:v>
      </x:c>
      <x:c r="D3468" s="25" t="str">
        <x:v>count</x:v>
      </x:c>
    </x:row>
    <x:row r="3469" ht="18" customHeight="1">
      <x:c r="A3469" s="25" t="str">
        <x:v>EEZ_936</x:v>
      </x:c>
      <x:c r="B3469" s="25" t="str">
        <x:v>species_ppr</x:v>
      </x:c>
      <x:c r="C3469" s="25" t="n">
        <x:v>23984917.380311072</x:v>
      </x:c>
      <x:c r="D3469" s="25" t="str">
        <x:v>tonnes_primary_production_equivalent</x:v>
      </x:c>
    </x:row>
    <x:row r="3470" ht="18" customHeight="1">
      <x:c r="A3470" s="25" t="str">
        <x:v>EEZ_936</x:v>
      </x:c>
      <x:c r="B3470" s="25" t="str">
        <x:v>commercial_ppr</x:v>
      </x:c>
      <x:c r="C3470" s="25" t="n">
        <x:v>18708329.468436148</x:v>
      </x:c>
      <x:c r="D3470" s="25" t="str">
        <x:v>tonnes_primary_production_equivalent</x:v>
      </x:c>
    </x:row>
    <x:row r="3471" ht="18" customHeight="1">
      <x:c r="A3471" s="25" t="str">
        <x:v>EEZ_936</x:v>
      </x:c>
      <x:c r="B3471" s="25" t="str">
        <x:v>functional_ppr</x:v>
      </x:c>
      <x:c r="C3471" s="25" t="n">
        <x:v>21685992.365911804</x:v>
      </x:c>
      <x:c r="D3471" s="25" t="str">
        <x:v>tonnes_primary_production_equivalent</x:v>
      </x:c>
    </x:row>
    <x:row r="3472" ht="18" customHeight="1">
      <x:c r="A3472" s="25" t="str">
        <x:v>EEZ_936</x:v>
      </x:c>
      <x:c r="B3472" s="25" t="str">
        <x:v>commercial_ppr_difference</x:v>
      </x:c>
      <x:c r="C3472" s="25" t="n">
        <x:v>-5276587.911874924</x:v>
      </x:c>
      <x:c r="D3472" s="25" t="str">
        <x:v>tonnes_primary_production_equivalent</x:v>
      </x:c>
    </x:row>
    <x:row r="3473" ht="18" customHeight="1">
      <x:c r="A3473" s="25" t="str">
        <x:v>EEZ_936</x:v>
      </x:c>
      <x:c r="B3473" s="25" t="str">
        <x:v>functional_ppr_difference</x:v>
      </x:c>
      <x:c r="C3473" s="25" t="n">
        <x:v>-2298925.0143992677</x:v>
      </x:c>
      <x:c r="D3473" s="25" t="str">
        <x:v>tonnes_primary_production_equivalent</x:v>
      </x:c>
    </x:row>
    <x:row r="3474" ht="18" customHeight="1">
      <x:c r="A3474" s="25" t="str">
        <x:v>EEZ_937</x:v>
      </x:c>
      <x:c r="B3474" s="25" t="str">
        <x:v>raw_filtered_tonnes</x:v>
      </x:c>
      <x:c r="C3474" s="25" t="n">
        <x:v>1876235.8826732747</x:v>
      </x:c>
      <x:c r="D3474" s="25" t="str">
        <x:v>tonnes</x:v>
      </x:c>
    </x:row>
    <x:row r="3475" ht="18" customHeight="1">
      <x:c r="A3475" s="25" t="str">
        <x:v>EEZ_937</x:v>
      </x:c>
      <x:c r="B3475" s="25" t="str">
        <x:v>species_catch_tonnes</x:v>
      </x:c>
      <x:c r="C3475" s="25" t="n">
        <x:v>1876235.8826732747</x:v>
      </x:c>
      <x:c r="D3475" s="25" t="str">
        <x:v>tonnes</x:v>
      </x:c>
    </x:row>
    <x:row r="3476" ht="18" customHeight="1">
      <x:c r="A3476" s="25" t="str">
        <x:v>EEZ_937</x:v>
      </x:c>
      <x:c r="B3476" s="25" t="str">
        <x:v>catch_difference_tonnes</x:v>
      </x:c>
      <x:c r="C3476" s="25" t="n">
        <x:v>0</x:v>
      </x:c>
      <x:c r="D3476" s="25" t="str">
        <x:v>tonnes</x:v>
      </x:c>
    </x:row>
    <x:row r="3477" ht="18" customHeight="1">
      <x:c r="A3477" s="25" t="str">
        <x:v>EEZ_937</x:v>
      </x:c>
      <x:c r="B3477" s="25" t="str">
        <x:v>catch_reconciled</x:v>
      </x:c>
      <x:c r="C3477" s="36" t="b">
        <x:v>1</x:v>
      </x:c>
      <x:c r="D3477" s="25" t="str">
        <x:v>boolean</x:v>
      </x:c>
    </x:row>
    <x:row r="3478" ht="18" customHeight="1">
      <x:c r="A3478" s="25" t="str">
        <x:v>EEZ_937</x:v>
      </x:c>
      <x:c r="B3478" s="25" t="str">
        <x:v>matched_catch_tonnes</x:v>
      </x:c>
      <x:c r="C3478" s="25" t="n">
        <x:v>1876235.8826732747</x:v>
      </x:c>
      <x:c r="D3478" s="25" t="str">
        <x:v>tonnes</x:v>
      </x:c>
    </x:row>
    <x:row r="3479" ht="18" customHeight="1">
      <x:c r="A3479" s="25" t="str">
        <x:v>EEZ_937</x:v>
      </x:c>
      <x:c r="B3479" s="25" t="str">
        <x:v>catch_coverage_fraction</x:v>
      </x:c>
      <x:c r="C3479" s="25" t="n">
        <x:v>1</x:v>
      </x:c>
      <x:c r="D3479" s="25" t="str">
        <x:v>fraction</x:v>
      </x:c>
    </x:row>
    <x:row r="3480" ht="18" customHeight="1">
      <x:c r="A3480" s="25" t="str">
        <x:v>EEZ_937</x:v>
      </x:c>
      <x:c r="B3480" s="25" t="str">
        <x:v>taxa_count</x:v>
      </x:c>
      <x:c r="C3480" s="25" t="n">
        <x:v>138</x:v>
      </x:c>
      <x:c r="D3480" s="25" t="str">
        <x:v>count</x:v>
      </x:c>
    </x:row>
    <x:row r="3481" ht="18" customHeight="1">
      <x:c r="A3481" s="25" t="str">
        <x:v>EEZ_937</x:v>
      </x:c>
      <x:c r="B3481" s="25" t="str">
        <x:v>matched_taxa_count</x:v>
      </x:c>
      <x:c r="C3481" s="25" t="n">
        <x:v>138</x:v>
      </x:c>
      <x:c r="D3481" s="25" t="str">
        <x:v>count</x:v>
      </x:c>
    </x:row>
    <x:row r="3482" ht="18" customHeight="1">
      <x:c r="A3482" s="25" t="str">
        <x:v>EEZ_937</x:v>
      </x:c>
      <x:c r="B3482" s="25" t="str">
        <x:v>unmatched_taxa_count</x:v>
      </x:c>
      <x:c r="C3482" s="25" t="n">
        <x:v>0</x:v>
      </x:c>
      <x:c r="D3482" s="25" t="str">
        <x:v>count</x:v>
      </x:c>
    </x:row>
    <x:row r="3483" ht="18" customHeight="1">
      <x:c r="A3483" s="25" t="str">
        <x:v>EEZ_937</x:v>
      </x:c>
      <x:c r="B3483" s="25" t="str">
        <x:v>species_ppr</x:v>
      </x:c>
      <x:c r="C3483" s="25" t="n">
        <x:v>1028177964.8470863</x:v>
      </x:c>
      <x:c r="D3483" s="25" t="str">
        <x:v>tonnes_primary_production_equivalent</x:v>
      </x:c>
    </x:row>
    <x:row r="3484" ht="18" customHeight="1">
      <x:c r="A3484" s="25" t="str">
        <x:v>EEZ_937</x:v>
      </x:c>
      <x:c r="B3484" s="25" t="str">
        <x:v>commercial_ppr</x:v>
      </x:c>
      <x:c r="C3484" s="25" t="n">
        <x:v>659443554.7241148</x:v>
      </x:c>
      <x:c r="D3484" s="25" t="str">
        <x:v>tonnes_primary_production_equivalent</x:v>
      </x:c>
    </x:row>
    <x:row r="3485" ht="18" customHeight="1">
      <x:c r="A3485" s="25" t="str">
        <x:v>EEZ_937</x:v>
      </x:c>
      <x:c r="B3485" s="25" t="str">
        <x:v>functional_ppr</x:v>
      </x:c>
      <x:c r="C3485" s="25" t="n">
        <x:v>816001759.7519019</x:v>
      </x:c>
      <x:c r="D3485" s="25" t="str">
        <x:v>tonnes_primary_production_equivalent</x:v>
      </x:c>
    </x:row>
    <x:row r="3486" ht="18" customHeight="1">
      <x:c r="A3486" s="25" t="str">
        <x:v>EEZ_937</x:v>
      </x:c>
      <x:c r="B3486" s="25" t="str">
        <x:v>commercial_ppr_difference</x:v>
      </x:c>
      <x:c r="C3486" s="25" t="n">
        <x:v>-368734410.12297153</x:v>
      </x:c>
      <x:c r="D3486" s="25" t="str">
        <x:v>tonnes_primary_production_equivalent</x:v>
      </x:c>
    </x:row>
    <x:row r="3487" ht="18" customHeight="1">
      <x:c r="A3487" s="25" t="str">
        <x:v>EEZ_937</x:v>
      </x:c>
      <x:c r="B3487" s="25" t="str">
        <x:v>functional_ppr_difference</x:v>
      </x:c>
      <x:c r="C3487" s="25" t="n">
        <x:v>-212176205.09518445</x:v>
      </x:c>
      <x:c r="D3487" s="25" t="str">
        <x:v>tonnes_primary_production_equivalent</x:v>
      </x:c>
    </x:row>
    <x:row r="3488" ht="18" customHeight="1">
      <x:c r="A3488" s="25" t="str">
        <x:v>EEZ_938</x:v>
      </x:c>
      <x:c r="B3488" s="25" t="str">
        <x:v>raw_filtered_tonnes</x:v>
      </x:c>
      <x:c r="C3488" s="25" t="n">
        <x:v>2112707.5725245103</x:v>
      </x:c>
      <x:c r="D3488" s="25" t="str">
        <x:v>tonnes</x:v>
      </x:c>
    </x:row>
    <x:row r="3489" ht="18" customHeight="1">
      <x:c r="A3489" s="25" t="str">
        <x:v>EEZ_938</x:v>
      </x:c>
      <x:c r="B3489" s="25" t="str">
        <x:v>species_catch_tonnes</x:v>
      </x:c>
      <x:c r="C3489" s="25" t="n">
        <x:v>2112707.572524511</x:v>
      </x:c>
      <x:c r="D3489" s="25" t="str">
        <x:v>tonnes</x:v>
      </x:c>
    </x:row>
    <x:row r="3490" ht="18" customHeight="1">
      <x:c r="A3490" s="25" t="str">
        <x:v>EEZ_938</x:v>
      </x:c>
      <x:c r="B3490" s="25" t="str">
        <x:v>catch_difference_tonnes</x:v>
      </x:c>
      <x:c r="C3490" s="25" t="n">
        <x:v>4.656612873077393e-10</x:v>
      </x:c>
      <x:c r="D3490" s="25" t="str">
        <x:v>tonnes</x:v>
      </x:c>
    </x:row>
    <x:row r="3491" ht="18" customHeight="1">
      <x:c r="A3491" s="25" t="str">
        <x:v>EEZ_938</x:v>
      </x:c>
      <x:c r="B3491" s="25" t="str">
        <x:v>catch_reconciled</x:v>
      </x:c>
      <x:c r="C3491" s="36" t="b">
        <x:v>1</x:v>
      </x:c>
      <x:c r="D3491" s="25" t="str">
        <x:v>boolean</x:v>
      </x:c>
    </x:row>
    <x:row r="3492" ht="18" customHeight="1">
      <x:c r="A3492" s="25" t="str">
        <x:v>EEZ_938</x:v>
      </x:c>
      <x:c r="B3492" s="25" t="str">
        <x:v>matched_catch_tonnes</x:v>
      </x:c>
      <x:c r="C3492" s="25" t="n">
        <x:v>2112707.572524511</x:v>
      </x:c>
      <x:c r="D3492" s="25" t="str">
        <x:v>tonnes</x:v>
      </x:c>
    </x:row>
    <x:row r="3493" ht="18" customHeight="1">
      <x:c r="A3493" s="25" t="str">
        <x:v>EEZ_938</x:v>
      </x:c>
      <x:c r="B3493" s="25" t="str">
        <x:v>catch_coverage_fraction</x:v>
      </x:c>
      <x:c r="C3493" s="25" t="n">
        <x:v>1</x:v>
      </x:c>
      <x:c r="D3493" s="25" t="str">
        <x:v>fraction</x:v>
      </x:c>
    </x:row>
    <x:row r="3494" ht="18" customHeight="1">
      <x:c r="A3494" s="25" t="str">
        <x:v>EEZ_938</x:v>
      </x:c>
      <x:c r="B3494" s="25" t="str">
        <x:v>taxa_count</x:v>
      </x:c>
      <x:c r="C3494" s="25" t="n">
        <x:v>147</x:v>
      </x:c>
      <x:c r="D3494" s="25" t="str">
        <x:v>count</x:v>
      </x:c>
    </x:row>
    <x:row r="3495" ht="18" customHeight="1">
      <x:c r="A3495" s="25" t="str">
        <x:v>EEZ_938</x:v>
      </x:c>
      <x:c r="B3495" s="25" t="str">
        <x:v>matched_taxa_count</x:v>
      </x:c>
      <x:c r="C3495" s="25" t="n">
        <x:v>147</x:v>
      </x:c>
      <x:c r="D3495" s="25" t="str">
        <x:v>count</x:v>
      </x:c>
    </x:row>
    <x:row r="3496" ht="18" customHeight="1">
      <x:c r="A3496" s="25" t="str">
        <x:v>EEZ_938</x:v>
      </x:c>
      <x:c r="B3496" s="25" t="str">
        <x:v>unmatched_taxa_count</x:v>
      </x:c>
      <x:c r="C3496" s="25" t="n">
        <x:v>0</x:v>
      </x:c>
      <x:c r="D3496" s="25" t="str">
        <x:v>count</x:v>
      </x:c>
    </x:row>
    <x:row r="3497" ht="18" customHeight="1">
      <x:c r="A3497" s="25" t="str">
        <x:v>EEZ_938</x:v>
      </x:c>
      <x:c r="B3497" s="25" t="str">
        <x:v>species_ppr</x:v>
      </x:c>
      <x:c r="C3497" s="25" t="n">
        <x:v>1549538383.7711182</x:v>
      </x:c>
      <x:c r="D3497" s="25" t="str">
        <x:v>tonnes_primary_production_equivalent</x:v>
      </x:c>
    </x:row>
    <x:row r="3498" ht="18" customHeight="1">
      <x:c r="A3498" s="25" t="str">
        <x:v>EEZ_938</x:v>
      </x:c>
      <x:c r="B3498" s="25" t="str">
        <x:v>commercial_ppr</x:v>
      </x:c>
      <x:c r="C3498" s="25" t="n">
        <x:v>1173195631.6727116</x:v>
      </x:c>
      <x:c r="D3498" s="25" t="str">
        <x:v>tonnes_primary_production_equivalent</x:v>
      </x:c>
    </x:row>
    <x:row r="3499" ht="18" customHeight="1">
      <x:c r="A3499" s="25" t="str">
        <x:v>EEZ_938</x:v>
      </x:c>
      <x:c r="B3499" s="25" t="str">
        <x:v>functional_ppr</x:v>
      </x:c>
      <x:c r="C3499" s="25" t="n">
        <x:v>1254364943.6071885</x:v>
      </x:c>
      <x:c r="D3499" s="25" t="str">
        <x:v>tonnes_primary_production_equivalent</x:v>
      </x:c>
    </x:row>
    <x:row r="3500" ht="18" customHeight="1">
      <x:c r="A3500" s="25" t="str">
        <x:v>EEZ_938</x:v>
      </x:c>
      <x:c r="B3500" s="25" t="str">
        <x:v>commercial_ppr_difference</x:v>
      </x:c>
      <x:c r="C3500" s="25" t="n">
        <x:v>-376342752.09840655</x:v>
      </x:c>
      <x:c r="D3500" s="25" t="str">
        <x:v>tonnes_primary_production_equivalent</x:v>
      </x:c>
    </x:row>
    <x:row r="3501" ht="18" customHeight="1">
      <x:c r="A3501" s="25" t="str">
        <x:v>EEZ_938</x:v>
      </x:c>
      <x:c r="B3501" s="25" t="str">
        <x:v>functional_ppr_difference</x:v>
      </x:c>
      <x:c r="C3501" s="25" t="n">
        <x:v>-295173440.1639297</x:v>
      </x:c>
      <x:c r="D3501" s="25" t="str">
        <x:v>tonnes_primary_production_equivalent</x:v>
      </x:c>
    </x:row>
    <x:row r="3502" ht="18" customHeight="1">
      <x:c r="A3502" s="25" t="str">
        <x:v>EEZ_939</x:v>
      </x:c>
      <x:c r="B3502" s="25" t="str">
        <x:v>raw_filtered_tonnes</x:v>
      </x:c>
      <x:c r="C3502" s="25" t="n">
        <x:v>2520.914048787</x:v>
      </x:c>
      <x:c r="D3502" s="25" t="str">
        <x:v>tonnes</x:v>
      </x:c>
    </x:row>
    <x:row r="3503" ht="18" customHeight="1">
      <x:c r="A3503" s="25" t="str">
        <x:v>EEZ_939</x:v>
      </x:c>
      <x:c r="B3503" s="25" t="str">
        <x:v>species_catch_tonnes</x:v>
      </x:c>
      <x:c r="C3503" s="25" t="n">
        <x:v>2520.914048787</x:v>
      </x:c>
      <x:c r="D3503" s="25" t="str">
        <x:v>tonnes</x:v>
      </x:c>
    </x:row>
    <x:row r="3504" ht="18" customHeight="1">
      <x:c r="A3504" s="25" t="str">
        <x:v>EEZ_939</x:v>
      </x:c>
      <x:c r="B3504" s="25" t="str">
        <x:v>catch_difference_tonnes</x:v>
      </x:c>
      <x:c r="C3504" s="25" t="n">
        <x:v>0</x:v>
      </x:c>
      <x:c r="D3504" s="25" t="str">
        <x:v>tonnes</x:v>
      </x:c>
    </x:row>
    <x:row r="3505" ht="18" customHeight="1">
      <x:c r="A3505" s="25" t="str">
        <x:v>EEZ_939</x:v>
      </x:c>
      <x:c r="B3505" s="25" t="str">
        <x:v>catch_reconciled</x:v>
      </x:c>
      <x:c r="C3505" s="36" t="b">
        <x:v>1</x:v>
      </x:c>
      <x:c r="D3505" s="25" t="str">
        <x:v>boolean</x:v>
      </x:c>
    </x:row>
    <x:row r="3506" ht="18" customHeight="1">
      <x:c r="A3506" s="25" t="str">
        <x:v>EEZ_939</x:v>
      </x:c>
      <x:c r="B3506" s="25" t="str">
        <x:v>matched_catch_tonnes</x:v>
      </x:c>
      <x:c r="C3506" s="25" t="n">
        <x:v>2520.914048787</x:v>
      </x:c>
      <x:c r="D3506" s="25" t="str">
        <x:v>tonnes</x:v>
      </x:c>
    </x:row>
    <x:row r="3507" ht="18" customHeight="1">
      <x:c r="A3507" s="25" t="str">
        <x:v>EEZ_939</x:v>
      </x:c>
      <x:c r="B3507" s="25" t="str">
        <x:v>catch_coverage_fraction</x:v>
      </x:c>
      <x:c r="C3507" s="25" t="n">
        <x:v>1</x:v>
      </x:c>
      <x:c r="D3507" s="25" t="str">
        <x:v>fraction</x:v>
      </x:c>
    </x:row>
    <x:row r="3508" ht="18" customHeight="1">
      <x:c r="A3508" s="25" t="str">
        <x:v>EEZ_939</x:v>
      </x:c>
      <x:c r="B3508" s="25" t="str">
        <x:v>taxa_count</x:v>
      </x:c>
      <x:c r="C3508" s="25" t="n">
        <x:v>50</x:v>
      </x:c>
      <x:c r="D3508" s="25" t="str">
        <x:v>count</x:v>
      </x:c>
    </x:row>
    <x:row r="3509" ht="18" customHeight="1">
      <x:c r="A3509" s="25" t="str">
        <x:v>EEZ_939</x:v>
      </x:c>
      <x:c r="B3509" s="25" t="str">
        <x:v>matched_taxa_count</x:v>
      </x:c>
      <x:c r="C3509" s="25" t="n">
        <x:v>50</x:v>
      </x:c>
      <x:c r="D3509" s="25" t="str">
        <x:v>count</x:v>
      </x:c>
    </x:row>
    <x:row r="3510" ht="18" customHeight="1">
      <x:c r="A3510" s="25" t="str">
        <x:v>EEZ_939</x:v>
      </x:c>
      <x:c r="B3510" s="25" t="str">
        <x:v>unmatched_taxa_count</x:v>
      </x:c>
      <x:c r="C3510" s="25" t="n">
        <x:v>0</x:v>
      </x:c>
      <x:c r="D3510" s="25" t="str">
        <x:v>count</x:v>
      </x:c>
    </x:row>
    <x:row r="3511" ht="18" customHeight="1">
      <x:c r="A3511" s="25" t="str">
        <x:v>EEZ_939</x:v>
      </x:c>
      <x:c r="B3511" s="25" t="str">
        <x:v>species_ppr</x:v>
      </x:c>
      <x:c r="C3511" s="25" t="n">
        <x:v>1575058.5166056717</x:v>
      </x:c>
      <x:c r="D3511" s="25" t="str">
        <x:v>tonnes_primary_production_equivalent</x:v>
      </x:c>
    </x:row>
    <x:row r="3512" ht="18" customHeight="1">
      <x:c r="A3512" s="25" t="str">
        <x:v>EEZ_939</x:v>
      </x:c>
      <x:c r="B3512" s="25" t="str">
        <x:v>commercial_ppr</x:v>
      </x:c>
      <x:c r="C3512" s="25" t="n">
        <x:v>1062997.3594332822</x:v>
      </x:c>
      <x:c r="D3512" s="25" t="str">
        <x:v>tonnes_primary_production_equivalent</x:v>
      </x:c>
    </x:row>
    <x:row r="3513" ht="18" customHeight="1">
      <x:c r="A3513" s="25" t="str">
        <x:v>EEZ_939</x:v>
      </x:c>
      <x:c r="B3513" s="25" t="str">
        <x:v>functional_ppr</x:v>
      </x:c>
      <x:c r="C3513" s="25" t="n">
        <x:v>1351393.9268614114</x:v>
      </x:c>
      <x:c r="D3513" s="25" t="str">
        <x:v>tonnes_primary_production_equivalent</x:v>
      </x:c>
    </x:row>
    <x:row r="3514" ht="18" customHeight="1">
      <x:c r="A3514" s="25" t="str">
        <x:v>EEZ_939</x:v>
      </x:c>
      <x:c r="B3514" s="25" t="str">
        <x:v>commercial_ppr_difference</x:v>
      </x:c>
      <x:c r="C3514" s="25" t="n">
        <x:v>-512061.15717238956</x:v>
      </x:c>
      <x:c r="D3514" s="25" t="str">
        <x:v>tonnes_primary_production_equivalent</x:v>
      </x:c>
    </x:row>
    <x:row r="3515" ht="18" customHeight="1">
      <x:c r="A3515" s="25" t="str">
        <x:v>EEZ_939</x:v>
      </x:c>
      <x:c r="B3515" s="25" t="str">
        <x:v>functional_ppr_difference</x:v>
      </x:c>
      <x:c r="C3515" s="25" t="n">
        <x:v>-223664.5897442603</x:v>
      </x:c>
      <x:c r="D3515" s="25" t="str">
        <x:v>tonnes_primary_production_equivalent</x:v>
      </x:c>
    </x:row>
    <x:row r="3516" ht="18" customHeight="1">
      <x:c r="A3516" s="25" t="str">
        <x:v>EEZ_940</x:v>
      </x:c>
      <x:c r="B3516" s="25" t="str">
        <x:v>raw_filtered_tonnes</x:v>
      </x:c>
      <x:c r="C3516" s="25" t="n">
        <x:v>111.2352</x:v>
      </x:c>
      <x:c r="D3516" s="25" t="str">
        <x:v>tonnes</x:v>
      </x:c>
    </x:row>
    <x:row r="3517" ht="18" customHeight="1">
      <x:c r="A3517" s="25" t="str">
        <x:v>EEZ_940</x:v>
      </x:c>
      <x:c r="B3517" s="25" t="str">
        <x:v>species_catch_tonnes</x:v>
      </x:c>
      <x:c r="C3517" s="25" t="n">
        <x:v>111.23519999999999</x:v>
      </x:c>
      <x:c r="D3517" s="25" t="str">
        <x:v>tonnes</x:v>
      </x:c>
    </x:row>
    <x:row r="3518" ht="18" customHeight="1">
      <x:c r="A3518" s="25" t="str">
        <x:v>EEZ_940</x:v>
      </x:c>
      <x:c r="B3518" s="25" t="str">
        <x:v>catch_difference_tonnes</x:v>
      </x:c>
      <x:c r="C3518" s="25" t="n">
        <x:v>-1.4210854715202004e-14</x:v>
      </x:c>
      <x:c r="D3518" s="25" t="str">
        <x:v>tonnes</x:v>
      </x:c>
    </x:row>
    <x:row r="3519" ht="18" customHeight="1">
      <x:c r="A3519" s="25" t="str">
        <x:v>EEZ_940</x:v>
      </x:c>
      <x:c r="B3519" s="25" t="str">
        <x:v>catch_reconciled</x:v>
      </x:c>
      <x:c r="C3519" s="36" t="b">
        <x:v>1</x:v>
      </x:c>
      <x:c r="D3519" s="25" t="str">
        <x:v>boolean</x:v>
      </x:c>
    </x:row>
    <x:row r="3520" ht="18" customHeight="1">
      <x:c r="A3520" s="25" t="str">
        <x:v>EEZ_940</x:v>
      </x:c>
      <x:c r="B3520" s="25" t="str">
        <x:v>matched_catch_tonnes</x:v>
      </x:c>
      <x:c r="C3520" s="25" t="n">
        <x:v>111.23519999999999</x:v>
      </x:c>
      <x:c r="D3520" s="25" t="str">
        <x:v>tonnes</x:v>
      </x:c>
    </x:row>
    <x:row r="3521" ht="18" customHeight="1">
      <x:c r="A3521" s="25" t="str">
        <x:v>EEZ_940</x:v>
      </x:c>
      <x:c r="B3521" s="25" t="str">
        <x:v>catch_coverage_fraction</x:v>
      </x:c>
      <x:c r="C3521" s="25" t="n">
        <x:v>1</x:v>
      </x:c>
      <x:c r="D3521" s="25" t="str">
        <x:v>fraction</x:v>
      </x:c>
    </x:row>
    <x:row r="3522" ht="18" customHeight="1">
      <x:c r="A3522" s="25" t="str">
        <x:v>EEZ_940</x:v>
      </x:c>
      <x:c r="B3522" s="25" t="str">
        <x:v>taxa_count</x:v>
      </x:c>
      <x:c r="C3522" s="25" t="n">
        <x:v>10</x:v>
      </x:c>
      <x:c r="D3522" s="25" t="str">
        <x:v>count</x:v>
      </x:c>
    </x:row>
    <x:row r="3523" ht="18" customHeight="1">
      <x:c r="A3523" s="25" t="str">
        <x:v>EEZ_940</x:v>
      </x:c>
      <x:c r="B3523" s="25" t="str">
        <x:v>matched_taxa_count</x:v>
      </x:c>
      <x:c r="C3523" s="25" t="n">
        <x:v>10</x:v>
      </x:c>
      <x:c r="D3523" s="25" t="str">
        <x:v>count</x:v>
      </x:c>
    </x:row>
    <x:row r="3524" ht="18" customHeight="1">
      <x:c r="A3524" s="25" t="str">
        <x:v>EEZ_940</x:v>
      </x:c>
      <x:c r="B3524" s="25" t="str">
        <x:v>unmatched_taxa_count</x:v>
      </x:c>
      <x:c r="C3524" s="25" t="n">
        <x:v>0</x:v>
      </x:c>
      <x:c r="D3524" s="25" t="str">
        <x:v>count</x:v>
      </x:c>
    </x:row>
    <x:row r="3525" ht="18" customHeight="1">
      <x:c r="A3525" s="25" t="str">
        <x:v>EEZ_940</x:v>
      </x:c>
      <x:c r="B3525" s="25" t="str">
        <x:v>species_ppr</x:v>
      </x:c>
      <x:c r="C3525" s="25" t="n">
        <x:v>82932.78705570377</x:v>
      </x:c>
      <x:c r="D3525" s="25" t="str">
        <x:v>tonnes_primary_production_equivalent</x:v>
      </x:c>
    </x:row>
    <x:row r="3526" ht="18" customHeight="1">
      <x:c r="A3526" s="25" t="str">
        <x:v>EEZ_940</x:v>
      </x:c>
      <x:c r="B3526" s="25" t="str">
        <x:v>commercial_ppr</x:v>
      </x:c>
      <x:c r="C3526" s="25" t="n">
        <x:v>62898.858676323885</x:v>
      </x:c>
      <x:c r="D3526" s="25" t="str">
        <x:v>tonnes_primary_production_equivalent</x:v>
      </x:c>
    </x:row>
    <x:row r="3527" ht="18" customHeight="1">
      <x:c r="A3527" s="25" t="str">
        <x:v>EEZ_940</x:v>
      </x:c>
      <x:c r="B3527" s="25" t="str">
        <x:v>functional_ppr</x:v>
      </x:c>
      <x:c r="C3527" s="25" t="n">
        <x:v>78629.52496018549</x:v>
      </x:c>
      <x:c r="D3527" s="25" t="str">
        <x:v>tonnes_primary_production_equivalent</x:v>
      </x:c>
    </x:row>
    <x:row r="3528" ht="18" customHeight="1">
      <x:c r="A3528" s="25" t="str">
        <x:v>EEZ_940</x:v>
      </x:c>
      <x:c r="B3528" s="25" t="str">
        <x:v>commercial_ppr_difference</x:v>
      </x:c>
      <x:c r="C3528" s="25" t="n">
        <x:v>-20033.928379379882</x:v>
      </x:c>
      <x:c r="D3528" s="25" t="str">
        <x:v>tonnes_primary_production_equivalent</x:v>
      </x:c>
    </x:row>
    <x:row r="3529" ht="18" customHeight="1">
      <x:c r="A3529" s="25" t="str">
        <x:v>EEZ_940</x:v>
      </x:c>
      <x:c r="B3529" s="25" t="str">
        <x:v>functional_ppr_difference</x:v>
      </x:c>
      <x:c r="C3529" s="25" t="n">
        <x:v>-4303.262095518279</x:v>
      </x:c>
      <x:c r="D3529" s="25" t="str">
        <x:v>tonnes_primary_production_equivalent</x:v>
      </x:c>
    </x:row>
    <x:row r="3530" ht="18" customHeight="1">
      <x:c r="A3530" s="25" t="str">
        <x:v>EEZ_941</x:v>
      </x:c>
      <x:c r="B3530" s="25" t="str">
        <x:v>raw_filtered_tonnes</x:v>
      </x:c>
      <x:c r="C3530" s="25" t="n">
        <x:v>599962.7992743407</x:v>
      </x:c>
      <x:c r="D3530" s="25" t="str">
        <x:v>tonnes</x:v>
      </x:c>
    </x:row>
    <x:row r="3531" ht="18" customHeight="1">
      <x:c r="A3531" s="25" t="str">
        <x:v>EEZ_941</x:v>
      </x:c>
      <x:c r="B3531" s="25" t="str">
        <x:v>species_catch_tonnes</x:v>
      </x:c>
      <x:c r="C3531" s="25" t="n">
        <x:v>599962.7992743407</x:v>
      </x:c>
      <x:c r="D3531" s="25" t="str">
        <x:v>tonnes</x:v>
      </x:c>
    </x:row>
    <x:row r="3532" ht="18" customHeight="1">
      <x:c r="A3532" s="25" t="str">
        <x:v>EEZ_941</x:v>
      </x:c>
      <x:c r="B3532" s="25" t="str">
        <x:v>catch_difference_tonnes</x:v>
      </x:c>
      <x:c r="C3532" s="25" t="n">
        <x:v>0</x:v>
      </x:c>
      <x:c r="D3532" s="25" t="str">
        <x:v>tonnes</x:v>
      </x:c>
    </x:row>
    <x:row r="3533" ht="18" customHeight="1">
      <x:c r="A3533" s="25" t="str">
        <x:v>EEZ_941</x:v>
      </x:c>
      <x:c r="B3533" s="25" t="str">
        <x:v>catch_reconciled</x:v>
      </x:c>
      <x:c r="C3533" s="36" t="b">
        <x:v>1</x:v>
      </x:c>
      <x:c r="D3533" s="25" t="str">
        <x:v>boolean</x:v>
      </x:c>
    </x:row>
    <x:row r="3534" ht="18" customHeight="1">
      <x:c r="A3534" s="25" t="str">
        <x:v>EEZ_941</x:v>
      </x:c>
      <x:c r="B3534" s="25" t="str">
        <x:v>matched_catch_tonnes</x:v>
      </x:c>
      <x:c r="C3534" s="25" t="n">
        <x:v>599962.7992743407</x:v>
      </x:c>
      <x:c r="D3534" s="25" t="str">
        <x:v>tonnes</x:v>
      </x:c>
    </x:row>
    <x:row r="3535" ht="18" customHeight="1">
      <x:c r="A3535" s="25" t="str">
        <x:v>EEZ_941</x:v>
      </x:c>
      <x:c r="B3535" s="25" t="str">
        <x:v>catch_coverage_fraction</x:v>
      </x:c>
      <x:c r="C3535" s="25" t="n">
        <x:v>1</x:v>
      </x:c>
      <x:c r="D3535" s="25" t="str">
        <x:v>fraction</x:v>
      </x:c>
    </x:row>
    <x:row r="3536" ht="18" customHeight="1">
      <x:c r="A3536" s="25" t="str">
        <x:v>EEZ_941</x:v>
      </x:c>
      <x:c r="B3536" s="25" t="str">
        <x:v>taxa_count</x:v>
      </x:c>
      <x:c r="C3536" s="25" t="n">
        <x:v>38</x:v>
      </x:c>
      <x:c r="D3536" s="25" t="str">
        <x:v>count</x:v>
      </x:c>
    </x:row>
    <x:row r="3537" ht="18" customHeight="1">
      <x:c r="A3537" s="25" t="str">
        <x:v>EEZ_941</x:v>
      </x:c>
      <x:c r="B3537" s="25" t="str">
        <x:v>matched_taxa_count</x:v>
      </x:c>
      <x:c r="C3537" s="25" t="n">
        <x:v>38</x:v>
      </x:c>
      <x:c r="D3537" s="25" t="str">
        <x:v>count</x:v>
      </x:c>
    </x:row>
    <x:row r="3538" ht="18" customHeight="1">
      <x:c r="A3538" s="25" t="str">
        <x:v>EEZ_941</x:v>
      </x:c>
      <x:c r="B3538" s="25" t="str">
        <x:v>unmatched_taxa_count</x:v>
      </x:c>
      <x:c r="C3538" s="25" t="n">
        <x:v>0</x:v>
      </x:c>
      <x:c r="D3538" s="25" t="str">
        <x:v>count</x:v>
      </x:c>
    </x:row>
    <x:row r="3539" ht="18" customHeight="1">
      <x:c r="A3539" s="25" t="str">
        <x:v>EEZ_941</x:v>
      </x:c>
      <x:c r="B3539" s="25" t="str">
        <x:v>species_ppr</x:v>
      </x:c>
      <x:c r="C3539" s="25" t="n">
        <x:v>1552445784.5398905</x:v>
      </x:c>
      <x:c r="D3539" s="25" t="str">
        <x:v>tonnes_primary_production_equivalent</x:v>
      </x:c>
    </x:row>
    <x:row r="3540" ht="18" customHeight="1">
      <x:c r="A3540" s="25" t="str">
        <x:v>EEZ_941</x:v>
      </x:c>
      <x:c r="B3540" s="25" t="str">
        <x:v>commercial_ppr</x:v>
      </x:c>
      <x:c r="C3540" s="25" t="n">
        <x:v>1544498081.8229556</x:v>
      </x:c>
      <x:c r="D3540" s="25" t="str">
        <x:v>tonnes_primary_production_equivalent</x:v>
      </x:c>
    </x:row>
    <x:row r="3541" ht="18" customHeight="1">
      <x:c r="A3541" s="25" t="str">
        <x:v>EEZ_941</x:v>
      </x:c>
      <x:c r="B3541" s="25" t="str">
        <x:v>functional_ppr</x:v>
      </x:c>
      <x:c r="C3541" s="25" t="n">
        <x:v>1546704412.866342</x:v>
      </x:c>
      <x:c r="D3541" s="25" t="str">
        <x:v>tonnes_primary_production_equivalent</x:v>
      </x:c>
    </x:row>
    <x:row r="3542" ht="18" customHeight="1">
      <x:c r="A3542" s="25" t="str">
        <x:v>EEZ_941</x:v>
      </x:c>
      <x:c r="B3542" s="25" t="str">
        <x:v>commercial_ppr_difference</x:v>
      </x:c>
      <x:c r="C3542" s="25" t="n">
        <x:v>-7947702.716934919</x:v>
      </x:c>
      <x:c r="D3542" s="25" t="str">
        <x:v>tonnes_primary_production_equivalent</x:v>
      </x:c>
    </x:row>
    <x:row r="3543" ht="18" customHeight="1">
      <x:c r="A3543" s="25" t="str">
        <x:v>EEZ_941</x:v>
      </x:c>
      <x:c r="B3543" s="25" t="str">
        <x:v>functional_ppr_difference</x:v>
      </x:c>
      <x:c r="C3543" s="25" t="n">
        <x:v>-5741371.67354846</x:v>
      </x:c>
      <x:c r="D3543" s="25" t="str">
        <x:v>tonnes_primary_production_equivalent</x:v>
      </x:c>
    </x:row>
    <x:row r="3544" ht="18" customHeight="1">
      <x:c r="A3544" s="25" t="str">
        <x:v>EEZ_942</x:v>
      </x:c>
      <x:c r="B3544" s="25" t="str">
        <x:v>raw_filtered_tonnes</x:v>
      </x:c>
      <x:c r="C3544" s="25" t="n">
        <x:v>110424.34936910501</x:v>
      </x:c>
      <x:c r="D3544" s="25" t="str">
        <x:v>tonnes</x:v>
      </x:c>
    </x:row>
    <x:row r="3545" ht="18" customHeight="1">
      <x:c r="A3545" s="25" t="str">
        <x:v>EEZ_942</x:v>
      </x:c>
      <x:c r="B3545" s="25" t="str">
        <x:v>species_catch_tonnes</x:v>
      </x:c>
      <x:c r="C3545" s="25" t="n">
        <x:v>110424.34936910501</x:v>
      </x:c>
      <x:c r="D3545" s="25" t="str">
        <x:v>tonnes</x:v>
      </x:c>
    </x:row>
    <x:row r="3546" ht="18" customHeight="1">
      <x:c r="A3546" s="25" t="str">
        <x:v>EEZ_942</x:v>
      </x:c>
      <x:c r="B3546" s="25" t="str">
        <x:v>catch_difference_tonnes</x:v>
      </x:c>
      <x:c r="C3546" s="25" t="n">
        <x:v>0</x:v>
      </x:c>
      <x:c r="D3546" s="25" t="str">
        <x:v>tonnes</x:v>
      </x:c>
    </x:row>
    <x:row r="3547" ht="18" customHeight="1">
      <x:c r="A3547" s="25" t="str">
        <x:v>EEZ_942</x:v>
      </x:c>
      <x:c r="B3547" s="25" t="str">
        <x:v>catch_reconciled</x:v>
      </x:c>
      <x:c r="C3547" s="36" t="b">
        <x:v>1</x:v>
      </x:c>
      <x:c r="D3547" s="25" t="str">
        <x:v>boolean</x:v>
      </x:c>
    </x:row>
    <x:row r="3548" ht="18" customHeight="1">
      <x:c r="A3548" s="25" t="str">
        <x:v>EEZ_942</x:v>
      </x:c>
      <x:c r="B3548" s="25" t="str">
        <x:v>matched_catch_tonnes</x:v>
      </x:c>
      <x:c r="C3548" s="25" t="n">
        <x:v>110424.34936910501</x:v>
      </x:c>
      <x:c r="D3548" s="25" t="str">
        <x:v>tonnes</x:v>
      </x:c>
    </x:row>
    <x:row r="3549" ht="18" customHeight="1">
      <x:c r="A3549" s="25" t="str">
        <x:v>EEZ_942</x:v>
      </x:c>
      <x:c r="B3549" s="25" t="str">
        <x:v>catch_coverage_fraction</x:v>
      </x:c>
      <x:c r="C3549" s="25" t="n">
        <x:v>1</x:v>
      </x:c>
      <x:c r="D3549" s="25" t="str">
        <x:v>fraction</x:v>
      </x:c>
    </x:row>
    <x:row r="3550" ht="18" customHeight="1">
      <x:c r="A3550" s="25" t="str">
        <x:v>EEZ_942</x:v>
      </x:c>
      <x:c r="B3550" s="25" t="str">
        <x:v>taxa_count</x:v>
      </x:c>
      <x:c r="C3550" s="25" t="n">
        <x:v>40</x:v>
      </x:c>
      <x:c r="D3550" s="25" t="str">
        <x:v>count</x:v>
      </x:c>
    </x:row>
    <x:row r="3551" ht="18" customHeight="1">
      <x:c r="A3551" s="25" t="str">
        <x:v>EEZ_942</x:v>
      </x:c>
      <x:c r="B3551" s="25" t="str">
        <x:v>matched_taxa_count</x:v>
      </x:c>
      <x:c r="C3551" s="25" t="n">
        <x:v>40</x:v>
      </x:c>
      <x:c r="D3551" s="25" t="str">
        <x:v>count</x:v>
      </x:c>
    </x:row>
    <x:row r="3552" ht="18" customHeight="1">
      <x:c r="A3552" s="25" t="str">
        <x:v>EEZ_942</x:v>
      </x:c>
      <x:c r="B3552" s="25" t="str">
        <x:v>unmatched_taxa_count</x:v>
      </x:c>
      <x:c r="C3552" s="25" t="n">
        <x:v>0</x:v>
      </x:c>
      <x:c r="D3552" s="25" t="str">
        <x:v>count</x:v>
      </x:c>
    </x:row>
    <x:row r="3553" ht="18" customHeight="1">
      <x:c r="A3553" s="25" t="str">
        <x:v>EEZ_942</x:v>
      </x:c>
      <x:c r="B3553" s="25" t="str">
        <x:v>species_ppr</x:v>
      </x:c>
      <x:c r="C3553" s="25" t="n">
        <x:v>275077618.8439184</x:v>
      </x:c>
      <x:c r="D3553" s="25" t="str">
        <x:v>tonnes_primary_production_equivalent</x:v>
      </x:c>
    </x:row>
    <x:row r="3554" ht="18" customHeight="1">
      <x:c r="A3554" s="25" t="str">
        <x:v>EEZ_942</x:v>
      </x:c>
      <x:c r="B3554" s="25" t="str">
        <x:v>commercial_ppr</x:v>
      </x:c>
      <x:c r="C3554" s="25" t="n">
        <x:v>272099013.98385066</x:v>
      </x:c>
      <x:c r="D3554" s="25" t="str">
        <x:v>tonnes_primary_production_equivalent</x:v>
      </x:c>
    </x:row>
    <x:row r="3555" ht="18" customHeight="1">
      <x:c r="A3555" s="25" t="str">
        <x:v>EEZ_942</x:v>
      </x:c>
      <x:c r="B3555" s="25" t="str">
        <x:v>functional_ppr</x:v>
      </x:c>
      <x:c r="C3555" s="25" t="n">
        <x:v>271544337.2471547</x:v>
      </x:c>
      <x:c r="D3555" s="25" t="str">
        <x:v>tonnes_primary_production_equivalent</x:v>
      </x:c>
    </x:row>
    <x:row r="3556" ht="18" customHeight="1">
      <x:c r="A3556" s="25" t="str">
        <x:v>EEZ_942</x:v>
      </x:c>
      <x:c r="B3556" s="25" t="str">
        <x:v>commercial_ppr_difference</x:v>
      </x:c>
      <x:c r="C3556" s="25" t="n">
        <x:v>-2978604.860067725</x:v>
      </x:c>
      <x:c r="D3556" s="25" t="str">
        <x:v>tonnes_primary_production_equivalent</x:v>
      </x:c>
    </x:row>
    <x:row r="3557" ht="18" customHeight="1">
      <x:c r="A3557" s="25" t="str">
        <x:v>EEZ_942</x:v>
      </x:c>
      <x:c r="B3557" s="25" t="str">
        <x:v>functional_ppr_difference</x:v>
      </x:c>
      <x:c r="C3557" s="25" t="n">
        <x:v>-3533281.5967636704</x:v>
      </x:c>
      <x:c r="D3557" s="25" t="str">
        <x:v>tonnes_primary_production_equivalent</x:v>
      </x:c>
    </x:row>
    <x:row r="3558" ht="18" customHeight="1">
      <x:c r="A3558" s="25" t="str">
        <x:v>EEZ_943</x:v>
      </x:c>
      <x:c r="B3558" s="25" t="str">
        <x:v>raw_filtered_tonnes</x:v>
      </x:c>
      <x:c r="C3558" s="25" t="n">
        <x:v>77760.62795477301</x:v>
      </x:c>
      <x:c r="D3558" s="25" t="str">
        <x:v>tonnes</x:v>
      </x:c>
    </x:row>
    <x:row r="3559" ht="18" customHeight="1">
      <x:c r="A3559" s="25" t="str">
        <x:v>EEZ_943</x:v>
      </x:c>
      <x:c r="B3559" s="25" t="str">
        <x:v>species_catch_tonnes</x:v>
      </x:c>
      <x:c r="C3559" s="25" t="n">
        <x:v>77760.627954773</x:v>
      </x:c>
      <x:c r="D3559" s="25" t="str">
        <x:v>tonnes</x:v>
      </x:c>
    </x:row>
    <x:row r="3560" ht="18" customHeight="1">
      <x:c r="A3560" s="25" t="str">
        <x:v>EEZ_943</x:v>
      </x:c>
      <x:c r="B3560" s="25" t="str">
        <x:v>catch_difference_tonnes</x:v>
      </x:c>
      <x:c r="C3560" s="25" t="n">
        <x:v>-1.4551915228366852e-11</x:v>
      </x:c>
      <x:c r="D3560" s="25" t="str">
        <x:v>tonnes</x:v>
      </x:c>
    </x:row>
    <x:row r="3561" ht="18" customHeight="1">
      <x:c r="A3561" s="25" t="str">
        <x:v>EEZ_943</x:v>
      </x:c>
      <x:c r="B3561" s="25" t="str">
        <x:v>catch_reconciled</x:v>
      </x:c>
      <x:c r="C3561" s="36" t="b">
        <x:v>1</x:v>
      </x:c>
      <x:c r="D3561" s="25" t="str">
        <x:v>boolean</x:v>
      </x:c>
    </x:row>
    <x:row r="3562" ht="18" customHeight="1">
      <x:c r="A3562" s="25" t="str">
        <x:v>EEZ_943</x:v>
      </x:c>
      <x:c r="B3562" s="25" t="str">
        <x:v>matched_catch_tonnes</x:v>
      </x:c>
      <x:c r="C3562" s="25" t="n">
        <x:v>77760.627954773</x:v>
      </x:c>
      <x:c r="D3562" s="25" t="str">
        <x:v>tonnes</x:v>
      </x:c>
    </x:row>
    <x:row r="3563" ht="18" customHeight="1">
      <x:c r="A3563" s="25" t="str">
        <x:v>EEZ_943</x:v>
      </x:c>
      <x:c r="B3563" s="25" t="str">
        <x:v>catch_coverage_fraction</x:v>
      </x:c>
      <x:c r="C3563" s="25" t="n">
        <x:v>1</x:v>
      </x:c>
      <x:c r="D3563" s="25" t="str">
        <x:v>fraction</x:v>
      </x:c>
    </x:row>
    <x:row r="3564" ht="18" customHeight="1">
      <x:c r="A3564" s="25" t="str">
        <x:v>EEZ_943</x:v>
      </x:c>
      <x:c r="B3564" s="25" t="str">
        <x:v>taxa_count</x:v>
      </x:c>
      <x:c r="C3564" s="25" t="n">
        <x:v>30</x:v>
      </x:c>
      <x:c r="D3564" s="25" t="str">
        <x:v>count</x:v>
      </x:c>
    </x:row>
    <x:row r="3565" ht="18" customHeight="1">
      <x:c r="A3565" s="25" t="str">
        <x:v>EEZ_943</x:v>
      </x:c>
      <x:c r="B3565" s="25" t="str">
        <x:v>matched_taxa_count</x:v>
      </x:c>
      <x:c r="C3565" s="25" t="n">
        <x:v>30</x:v>
      </x:c>
      <x:c r="D3565" s="25" t="str">
        <x:v>count</x:v>
      </x:c>
    </x:row>
    <x:row r="3566" ht="18" customHeight="1">
      <x:c r="A3566" s="25" t="str">
        <x:v>EEZ_943</x:v>
      </x:c>
      <x:c r="B3566" s="25" t="str">
        <x:v>unmatched_taxa_count</x:v>
      </x:c>
      <x:c r="C3566" s="25" t="n">
        <x:v>0</x:v>
      </x:c>
      <x:c r="D3566" s="25" t="str">
        <x:v>count</x:v>
      </x:c>
    </x:row>
    <x:row r="3567" ht="18" customHeight="1">
      <x:c r="A3567" s="25" t="str">
        <x:v>EEZ_943</x:v>
      </x:c>
      <x:c r="B3567" s="25" t="str">
        <x:v>species_ppr</x:v>
      </x:c>
      <x:c r="C3567" s="25" t="n">
        <x:v>197891389.7807206</x:v>
      </x:c>
      <x:c r="D3567" s="25" t="str">
        <x:v>tonnes_primary_production_equivalent</x:v>
      </x:c>
    </x:row>
    <x:row r="3568" ht="18" customHeight="1">
      <x:c r="A3568" s="25" t="str">
        <x:v>EEZ_943</x:v>
      </x:c>
      <x:c r="B3568" s="25" t="str">
        <x:v>commercial_ppr</x:v>
      </x:c>
      <x:c r="C3568" s="25" t="n">
        <x:v>196618738.02517822</x:v>
      </x:c>
      <x:c r="D3568" s="25" t="str">
        <x:v>tonnes_primary_production_equivalent</x:v>
      </x:c>
    </x:row>
    <x:row r="3569" ht="18" customHeight="1">
      <x:c r="A3569" s="25" t="str">
        <x:v>EEZ_943</x:v>
      </x:c>
      <x:c r="B3569" s="25" t="str">
        <x:v>functional_ppr</x:v>
      </x:c>
      <x:c r="C3569" s="25" t="n">
        <x:v>196173329.33670193</x:v>
      </x:c>
      <x:c r="D3569" s="25" t="str">
        <x:v>tonnes_primary_production_equivalent</x:v>
      </x:c>
    </x:row>
    <x:row r="3570" ht="18" customHeight="1">
      <x:c r="A3570" s="25" t="str">
        <x:v>EEZ_943</x:v>
      </x:c>
      <x:c r="B3570" s="25" t="str">
        <x:v>commercial_ppr_difference</x:v>
      </x:c>
      <x:c r="C3570" s="25" t="n">
        <x:v>-1272651.7555423677</x:v>
      </x:c>
      <x:c r="D3570" s="25" t="str">
        <x:v>tonnes_primary_production_equivalent</x:v>
      </x:c>
    </x:row>
    <x:row r="3571" ht="18" customHeight="1">
      <x:c r="A3571" s="25" t="str">
        <x:v>EEZ_943</x:v>
      </x:c>
      <x:c r="B3571" s="25" t="str">
        <x:v>functional_ppr_difference</x:v>
      </x:c>
      <x:c r="C3571" s="25" t="n">
        <x:v>-1718060.444018662</x:v>
      </x:c>
      <x:c r="D3571" s="25" t="str">
        <x:v>tonnes_primary_production_equivalent</x:v>
      </x:c>
    </x:row>
    <x:row r="3572" ht="18" customHeight="1">
      <x:c r="A3572" s="25" t="str">
        <x:v>EEZ_944</x:v>
      </x:c>
      <x:c r="B3572" s="25" t="str">
        <x:v>raw_filtered_tonnes</x:v>
      </x:c>
      <x:c r="C3572" s="25" t="n">
        <x:v>513071.27373900806</x:v>
      </x:c>
      <x:c r="D3572" s="25" t="str">
        <x:v>tonnes</x:v>
      </x:c>
    </x:row>
    <x:row r="3573" ht="18" customHeight="1">
      <x:c r="A3573" s="25" t="str">
        <x:v>EEZ_944</x:v>
      </x:c>
      <x:c r="B3573" s="25" t="str">
        <x:v>species_catch_tonnes</x:v>
      </x:c>
      <x:c r="C3573" s="25" t="n">
        <x:v>513071.273739008</x:v>
      </x:c>
      <x:c r="D3573" s="25" t="str">
        <x:v>tonnes</x:v>
      </x:c>
    </x:row>
    <x:row r="3574" ht="18" customHeight="1">
      <x:c r="A3574" s="25" t="str">
        <x:v>EEZ_944</x:v>
      </x:c>
      <x:c r="B3574" s="25" t="str">
        <x:v>catch_difference_tonnes</x:v>
      </x:c>
      <x:c r="C3574" s="25" t="n">
        <x:v>-5.820766091346741e-11</x:v>
      </x:c>
      <x:c r="D3574" s="25" t="str">
        <x:v>tonnes</x:v>
      </x:c>
    </x:row>
    <x:row r="3575" ht="18" customHeight="1">
      <x:c r="A3575" s="25" t="str">
        <x:v>EEZ_944</x:v>
      </x:c>
      <x:c r="B3575" s="25" t="str">
        <x:v>catch_reconciled</x:v>
      </x:c>
      <x:c r="C3575" s="36" t="b">
        <x:v>1</x:v>
      </x:c>
      <x:c r="D3575" s="25" t="str">
        <x:v>boolean</x:v>
      </x:c>
    </x:row>
    <x:row r="3576" ht="18" customHeight="1">
      <x:c r="A3576" s="25" t="str">
        <x:v>EEZ_944</x:v>
      </x:c>
      <x:c r="B3576" s="25" t="str">
        <x:v>matched_catch_tonnes</x:v>
      </x:c>
      <x:c r="C3576" s="25" t="n">
        <x:v>513071.273739008</x:v>
      </x:c>
      <x:c r="D3576" s="25" t="str">
        <x:v>tonnes</x:v>
      </x:c>
    </x:row>
    <x:row r="3577" ht="18" customHeight="1">
      <x:c r="A3577" s="25" t="str">
        <x:v>EEZ_944</x:v>
      </x:c>
      <x:c r="B3577" s="25" t="str">
        <x:v>catch_coverage_fraction</x:v>
      </x:c>
      <x:c r="C3577" s="25" t="n">
        <x:v>1</x:v>
      </x:c>
      <x:c r="D3577" s="25" t="str">
        <x:v>fraction</x:v>
      </x:c>
    </x:row>
    <x:row r="3578" ht="18" customHeight="1">
      <x:c r="A3578" s="25" t="str">
        <x:v>EEZ_944</x:v>
      </x:c>
      <x:c r="B3578" s="25" t="str">
        <x:v>taxa_count</x:v>
      </x:c>
      <x:c r="C3578" s="25" t="n">
        <x:v>103</x:v>
      </x:c>
      <x:c r="D3578" s="25" t="str">
        <x:v>count</x:v>
      </x:c>
    </x:row>
    <x:row r="3579" ht="18" customHeight="1">
      <x:c r="A3579" s="25" t="str">
        <x:v>EEZ_944</x:v>
      </x:c>
      <x:c r="B3579" s="25" t="str">
        <x:v>matched_taxa_count</x:v>
      </x:c>
      <x:c r="C3579" s="25" t="n">
        <x:v>103</x:v>
      </x:c>
      <x:c r="D3579" s="25" t="str">
        <x:v>count</x:v>
      </x:c>
    </x:row>
    <x:row r="3580" ht="18" customHeight="1">
      <x:c r="A3580" s="25" t="str">
        <x:v>EEZ_944</x:v>
      </x:c>
      <x:c r="B3580" s="25" t="str">
        <x:v>unmatched_taxa_count</x:v>
      </x:c>
      <x:c r="C3580" s="25" t="n">
        <x:v>0</x:v>
      </x:c>
      <x:c r="D3580" s="25" t="str">
        <x:v>count</x:v>
      </x:c>
    </x:row>
    <x:row r="3581" ht="18" customHeight="1">
      <x:c r="A3581" s="25" t="str">
        <x:v>EEZ_944</x:v>
      </x:c>
      <x:c r="B3581" s="25" t="str">
        <x:v>species_ppr</x:v>
      </x:c>
      <x:c r="C3581" s="25" t="n">
        <x:v>306325336.4678513</x:v>
      </x:c>
      <x:c r="D3581" s="25" t="str">
        <x:v>tonnes_primary_production_equivalent</x:v>
      </x:c>
    </x:row>
    <x:row r="3582" ht="18" customHeight="1">
      <x:c r="A3582" s="25" t="str">
        <x:v>EEZ_944</x:v>
      </x:c>
      <x:c r="B3582" s="25" t="str">
        <x:v>commercial_ppr</x:v>
      </x:c>
      <x:c r="C3582" s="25" t="n">
        <x:v>202344282.69585595</x:v>
      </x:c>
      <x:c r="D3582" s="25" t="str">
        <x:v>tonnes_primary_production_equivalent</x:v>
      </x:c>
    </x:row>
    <x:row r="3583" ht="18" customHeight="1">
      <x:c r="A3583" s="25" t="str">
        <x:v>EEZ_944</x:v>
      </x:c>
      <x:c r="B3583" s="25" t="str">
        <x:v>functional_ppr</x:v>
      </x:c>
      <x:c r="C3583" s="25" t="n">
        <x:v>247367572.20925406</x:v>
      </x:c>
      <x:c r="D3583" s="25" t="str">
        <x:v>tonnes_primary_production_equivalent</x:v>
      </x:c>
    </x:row>
    <x:row r="3584" ht="18" customHeight="1">
      <x:c r="A3584" s="25" t="str">
        <x:v>EEZ_944</x:v>
      </x:c>
      <x:c r="B3584" s="25" t="str">
        <x:v>commercial_ppr_difference</x:v>
      </x:c>
      <x:c r="C3584" s="25" t="n">
        <x:v>-103981053.77199534</x:v>
      </x:c>
      <x:c r="D3584" s="25" t="str">
        <x:v>tonnes_primary_production_equivalent</x:v>
      </x:c>
    </x:row>
    <x:row r="3585" ht="18" customHeight="1">
      <x:c r="A3585" s="25" t="str">
        <x:v>EEZ_944</x:v>
      </x:c>
      <x:c r="B3585" s="25" t="str">
        <x:v>functional_ppr_difference</x:v>
      </x:c>
      <x:c r="C3585" s="25" t="n">
        <x:v>-58957764.258597225</x:v>
      </x:c>
      <x:c r="D3585" s="25" t="str">
        <x:v>tonnes_primary_production_equivalent</x:v>
      </x:c>
    </x:row>
    <x:row r="3586" ht="18" customHeight="1">
      <x:c r="A3586" s="25" t="str">
        <x:v>EEZ_945</x:v>
      </x:c>
      <x:c r="B3586" s="25" t="str">
        <x:v>raw_filtered_tonnes</x:v>
      </x:c>
      <x:c r="C3586" s="25" t="n">
        <x:v>2162472.0180045683</x:v>
      </x:c>
      <x:c r="D3586" s="25" t="str">
        <x:v>tonnes</x:v>
      </x:c>
    </x:row>
    <x:row r="3587" ht="18" customHeight="1">
      <x:c r="A3587" s="25" t="str">
        <x:v>EEZ_945</x:v>
      </x:c>
      <x:c r="B3587" s="25" t="str">
        <x:v>species_catch_tonnes</x:v>
      </x:c>
      <x:c r="C3587" s="25" t="n">
        <x:v>2162472.018004568</x:v>
      </x:c>
      <x:c r="D3587" s="25" t="str">
        <x:v>tonnes</x:v>
      </x:c>
    </x:row>
    <x:row r="3588" ht="18" customHeight="1">
      <x:c r="A3588" s="25" t="str">
        <x:v>EEZ_945</x:v>
      </x:c>
      <x:c r="B3588" s="25" t="str">
        <x:v>catch_difference_tonnes</x:v>
      </x:c>
      <x:c r="C3588" s="25" t="n">
        <x:v>-4.656612873077393e-10</x:v>
      </x:c>
      <x:c r="D3588" s="25" t="str">
        <x:v>tonnes</x:v>
      </x:c>
    </x:row>
    <x:row r="3589" ht="18" customHeight="1">
      <x:c r="A3589" s="25" t="str">
        <x:v>EEZ_945</x:v>
      </x:c>
      <x:c r="B3589" s="25" t="str">
        <x:v>catch_reconciled</x:v>
      </x:c>
      <x:c r="C3589" s="36" t="b">
        <x:v>1</x:v>
      </x:c>
      <x:c r="D3589" s="25" t="str">
        <x:v>boolean</x:v>
      </x:c>
    </x:row>
    <x:row r="3590" ht="18" customHeight="1">
      <x:c r="A3590" s="25" t="str">
        <x:v>EEZ_945</x:v>
      </x:c>
      <x:c r="B3590" s="25" t="str">
        <x:v>matched_catch_tonnes</x:v>
      </x:c>
      <x:c r="C3590" s="25" t="n">
        <x:v>2162472.018004568</x:v>
      </x:c>
      <x:c r="D3590" s="25" t="str">
        <x:v>tonnes</x:v>
      </x:c>
    </x:row>
    <x:row r="3591" ht="18" customHeight="1">
      <x:c r="A3591" s="25" t="str">
        <x:v>EEZ_945</x:v>
      </x:c>
      <x:c r="B3591" s="25" t="str">
        <x:v>catch_coverage_fraction</x:v>
      </x:c>
      <x:c r="C3591" s="25" t="n">
        <x:v>1</x:v>
      </x:c>
      <x:c r="D3591" s="25" t="str">
        <x:v>fraction</x:v>
      </x:c>
    </x:row>
    <x:row r="3592" ht="18" customHeight="1">
      <x:c r="A3592" s="25" t="str">
        <x:v>EEZ_945</x:v>
      </x:c>
      <x:c r="B3592" s="25" t="str">
        <x:v>taxa_count</x:v>
      </x:c>
      <x:c r="C3592" s="25" t="n">
        <x:v>136</x:v>
      </x:c>
      <x:c r="D3592" s="25" t="str">
        <x:v>count</x:v>
      </x:c>
    </x:row>
    <x:row r="3593" ht="18" customHeight="1">
      <x:c r="A3593" s="25" t="str">
        <x:v>EEZ_945</x:v>
      </x:c>
      <x:c r="B3593" s="25" t="str">
        <x:v>matched_taxa_count</x:v>
      </x:c>
      <x:c r="C3593" s="25" t="n">
        <x:v>136</x:v>
      </x:c>
      <x:c r="D3593" s="25" t="str">
        <x:v>count</x:v>
      </x:c>
    </x:row>
    <x:row r="3594" ht="18" customHeight="1">
      <x:c r="A3594" s="25" t="str">
        <x:v>EEZ_945</x:v>
      </x:c>
      <x:c r="B3594" s="25" t="str">
        <x:v>unmatched_taxa_count</x:v>
      </x:c>
      <x:c r="C3594" s="25" t="n">
        <x:v>0</x:v>
      </x:c>
      <x:c r="D3594" s="25" t="str">
        <x:v>count</x:v>
      </x:c>
    </x:row>
    <x:row r="3595" ht="18" customHeight="1">
      <x:c r="A3595" s="25" t="str">
        <x:v>EEZ_945</x:v>
      </x:c>
      <x:c r="B3595" s="25" t="str">
        <x:v>species_ppr</x:v>
      </x:c>
      <x:c r="C3595" s="25" t="n">
        <x:v>903902972.1574702</x:v>
      </x:c>
      <x:c r="D3595" s="25" t="str">
        <x:v>tonnes_primary_production_equivalent</x:v>
      </x:c>
    </x:row>
    <x:row r="3596" ht="18" customHeight="1">
      <x:c r="A3596" s="25" t="str">
        <x:v>EEZ_945</x:v>
      </x:c>
      <x:c r="B3596" s="25" t="str">
        <x:v>commercial_ppr</x:v>
      </x:c>
      <x:c r="C3596" s="25" t="n">
        <x:v>690523636.22767</x:v>
      </x:c>
      <x:c r="D3596" s="25" t="str">
        <x:v>tonnes_primary_production_equivalent</x:v>
      </x:c>
    </x:row>
    <x:row r="3597" ht="18" customHeight="1">
      <x:c r="A3597" s="25" t="str">
        <x:v>EEZ_945</x:v>
      </x:c>
      <x:c r="B3597" s="25" t="str">
        <x:v>functional_ppr</x:v>
      </x:c>
      <x:c r="C3597" s="25" t="n">
        <x:v>724981813.6350174</x:v>
      </x:c>
      <x:c r="D3597" s="25" t="str">
        <x:v>tonnes_primary_production_equivalent</x:v>
      </x:c>
    </x:row>
    <x:row r="3598" ht="18" customHeight="1">
      <x:c r="A3598" s="25" t="str">
        <x:v>EEZ_945</x:v>
      </x:c>
      <x:c r="B3598" s="25" t="str">
        <x:v>commercial_ppr_difference</x:v>
      </x:c>
      <x:c r="C3598" s="25" t="n">
        <x:v>-213379335.92980027</x:v>
      </x:c>
      <x:c r="D3598" s="25" t="str">
        <x:v>tonnes_primary_production_equivalent</x:v>
      </x:c>
    </x:row>
    <x:row r="3599" ht="18" customHeight="1">
      <x:c r="A3599" s="25" t="str">
        <x:v>EEZ_945</x:v>
      </x:c>
      <x:c r="B3599" s="25" t="str">
        <x:v>functional_ppr_difference</x:v>
      </x:c>
      <x:c r="C3599" s="25" t="n">
        <x:v>-178921158.52245283</x:v>
      </x:c>
      <x:c r="D3599" s="25" t="str">
        <x:v>tonnes_primary_production_equivalent</x:v>
      </x:c>
    </x:row>
    <x:row r="3600" ht="18" customHeight="1">
      <x:c r="A3600" s="25" t="str">
        <x:v>EEZ_946</x:v>
      </x:c>
      <x:c r="B3600" s="25" t="str">
        <x:v>raw_filtered_tonnes</x:v>
      </x:c>
      <x:c r="C3600" s="25" t="n">
        <x:v>947648.9249708245</x:v>
      </x:c>
      <x:c r="D3600" s="25" t="str">
        <x:v>tonnes</x:v>
      </x:c>
    </x:row>
    <x:row r="3601" ht="18" customHeight="1">
      <x:c r="A3601" s="25" t="str">
        <x:v>EEZ_946</x:v>
      </x:c>
      <x:c r="B3601" s="25" t="str">
        <x:v>species_catch_tonnes</x:v>
      </x:c>
      <x:c r="C3601" s="25" t="n">
        <x:v>947648.9249708244</x:v>
      </x:c>
      <x:c r="D3601" s="25" t="str">
        <x:v>tonnes</x:v>
      </x:c>
    </x:row>
    <x:row r="3602" ht="18" customHeight="1">
      <x:c r="A3602" s="25" t="str">
        <x:v>EEZ_946</x:v>
      </x:c>
      <x:c r="B3602" s="25" t="str">
        <x:v>catch_difference_tonnes</x:v>
      </x:c>
      <x:c r="C3602" s="25" t="n">
        <x:v>-1.1641532182693481e-10</x:v>
      </x:c>
      <x:c r="D3602" s="25" t="str">
        <x:v>tonnes</x:v>
      </x:c>
    </x:row>
    <x:row r="3603" ht="18" customHeight="1">
      <x:c r="A3603" s="25" t="str">
        <x:v>EEZ_946</x:v>
      </x:c>
      <x:c r="B3603" s="25" t="str">
        <x:v>catch_reconciled</x:v>
      </x:c>
      <x:c r="C3603" s="36" t="b">
        <x:v>1</x:v>
      </x:c>
      <x:c r="D3603" s="25" t="str">
        <x:v>boolean</x:v>
      </x:c>
    </x:row>
    <x:row r="3604" ht="18" customHeight="1">
      <x:c r="A3604" s="25" t="str">
        <x:v>EEZ_946</x:v>
      </x:c>
      <x:c r="B3604" s="25" t="str">
        <x:v>matched_catch_tonnes</x:v>
      </x:c>
      <x:c r="C3604" s="25" t="n">
        <x:v>947648.9249708244</x:v>
      </x:c>
      <x:c r="D3604" s="25" t="str">
        <x:v>tonnes</x:v>
      </x:c>
    </x:row>
    <x:row r="3605" ht="18" customHeight="1">
      <x:c r="A3605" s="25" t="str">
        <x:v>EEZ_946</x:v>
      </x:c>
      <x:c r="B3605" s="25" t="str">
        <x:v>catch_coverage_fraction</x:v>
      </x:c>
      <x:c r="C3605" s="25" t="n">
        <x:v>1</x:v>
      </x:c>
      <x:c r="D3605" s="25" t="str">
        <x:v>fraction</x:v>
      </x:c>
    </x:row>
    <x:row r="3606" ht="18" customHeight="1">
      <x:c r="A3606" s="25" t="str">
        <x:v>EEZ_946</x:v>
      </x:c>
      <x:c r="B3606" s="25" t="str">
        <x:v>taxa_count</x:v>
      </x:c>
      <x:c r="C3606" s="25" t="n">
        <x:v>232</x:v>
      </x:c>
      <x:c r="D3606" s="25" t="str">
        <x:v>count</x:v>
      </x:c>
    </x:row>
    <x:row r="3607" ht="18" customHeight="1">
      <x:c r="A3607" s="25" t="str">
        <x:v>EEZ_946</x:v>
      </x:c>
      <x:c r="B3607" s="25" t="str">
        <x:v>matched_taxa_count</x:v>
      </x:c>
      <x:c r="C3607" s="25" t="n">
        <x:v>232</x:v>
      </x:c>
      <x:c r="D3607" s="25" t="str">
        <x:v>count</x:v>
      </x:c>
    </x:row>
    <x:row r="3608" ht="18" customHeight="1">
      <x:c r="A3608" s="25" t="str">
        <x:v>EEZ_946</x:v>
      </x:c>
      <x:c r="B3608" s="25" t="str">
        <x:v>unmatched_taxa_count</x:v>
      </x:c>
      <x:c r="C3608" s="25" t="n">
        <x:v>0</x:v>
      </x:c>
      <x:c r="D3608" s="25" t="str">
        <x:v>count</x:v>
      </x:c>
    </x:row>
    <x:row r="3609" ht="18" customHeight="1">
      <x:c r="A3609" s="25" t="str">
        <x:v>EEZ_946</x:v>
      </x:c>
      <x:c r="B3609" s="25" t="str">
        <x:v>species_ppr</x:v>
      </x:c>
      <x:c r="C3609" s="25" t="n">
        <x:v>316140800.3054868</x:v>
      </x:c>
      <x:c r="D3609" s="25" t="str">
        <x:v>tonnes_primary_production_equivalent</x:v>
      </x:c>
    </x:row>
    <x:row r="3610" ht="18" customHeight="1">
      <x:c r="A3610" s="25" t="str">
        <x:v>EEZ_946</x:v>
      </x:c>
      <x:c r="B3610" s="25" t="str">
        <x:v>commercial_ppr</x:v>
      </x:c>
      <x:c r="C3610" s="25" t="n">
        <x:v>273451584.58033705</x:v>
      </x:c>
      <x:c r="D3610" s="25" t="str">
        <x:v>tonnes_primary_production_equivalent</x:v>
      </x:c>
    </x:row>
    <x:row r="3611" ht="18" customHeight="1">
      <x:c r="A3611" s="25" t="str">
        <x:v>EEZ_946</x:v>
      </x:c>
      <x:c r="B3611" s="25" t="str">
        <x:v>functional_ppr</x:v>
      </x:c>
      <x:c r="C3611" s="25" t="n">
        <x:v>292387446.856549</x:v>
      </x:c>
      <x:c r="D3611" s="25" t="str">
        <x:v>tonnes_primary_production_equivalent</x:v>
      </x:c>
    </x:row>
    <x:row r="3612" ht="18" customHeight="1">
      <x:c r="A3612" s="25" t="str">
        <x:v>EEZ_946</x:v>
      </x:c>
      <x:c r="B3612" s="25" t="str">
        <x:v>commercial_ppr_difference</x:v>
      </x:c>
      <x:c r="C3612" s="25" t="n">
        <x:v>-42689215.72514975</x:v>
      </x:c>
      <x:c r="D3612" s="25" t="str">
        <x:v>tonnes_primary_production_equivalent</x:v>
      </x:c>
    </x:row>
    <x:row r="3613" ht="18" customHeight="1">
      <x:c r="A3613" s="25" t="str">
        <x:v>EEZ_946</x:v>
      </x:c>
      <x:c r="B3613" s="25" t="str">
        <x:v>functional_ppr_difference</x:v>
      </x:c>
      <x:c r="C3613" s="25" t="n">
        <x:v>-23753353.448937774</x:v>
      </x:c>
      <x:c r="D3613" s="25" t="str">
        <x:v>tonnes_primary_production_equivalent</x:v>
      </x:c>
    </x:row>
    <x:row r="3614" ht="18" customHeight="1">
      <x:c r="A3614" s="25" t="str">
        <x:v>EEZ_947</x:v>
      </x:c>
      <x:c r="B3614" s="25" t="str">
        <x:v>raw_filtered_tonnes</x:v>
      </x:c>
      <x:c r="C3614" s="25" t="n">
        <x:v>66046.1481549044</x:v>
      </x:c>
      <x:c r="D3614" s="25" t="str">
        <x:v>tonnes</x:v>
      </x:c>
    </x:row>
    <x:row r="3615" ht="18" customHeight="1">
      <x:c r="A3615" s="25" t="str">
        <x:v>EEZ_947</x:v>
      </x:c>
      <x:c r="B3615" s="25" t="str">
        <x:v>species_catch_tonnes</x:v>
      </x:c>
      <x:c r="C3615" s="25" t="n">
        <x:v>66046.14815490438</x:v>
      </x:c>
      <x:c r="D3615" s="25" t="str">
        <x:v>tonnes</x:v>
      </x:c>
    </x:row>
    <x:row r="3616" ht="18" customHeight="1">
      <x:c r="A3616" s="25" t="str">
        <x:v>EEZ_947</x:v>
      </x:c>
      <x:c r="B3616" s="25" t="str">
        <x:v>catch_difference_tonnes</x:v>
      </x:c>
      <x:c r="C3616" s="25" t="n">
        <x:v>-1.4551915228366852e-11</x:v>
      </x:c>
      <x:c r="D3616" s="25" t="str">
        <x:v>tonnes</x:v>
      </x:c>
    </x:row>
    <x:row r="3617" ht="18" customHeight="1">
      <x:c r="A3617" s="25" t="str">
        <x:v>EEZ_947</x:v>
      </x:c>
      <x:c r="B3617" s="25" t="str">
        <x:v>catch_reconciled</x:v>
      </x:c>
      <x:c r="C3617" s="36" t="b">
        <x:v>1</x:v>
      </x:c>
      <x:c r="D3617" s="25" t="str">
        <x:v>boolean</x:v>
      </x:c>
    </x:row>
    <x:row r="3618" ht="18" customHeight="1">
      <x:c r="A3618" s="25" t="str">
        <x:v>EEZ_947</x:v>
      </x:c>
      <x:c r="B3618" s="25" t="str">
        <x:v>matched_catch_tonnes</x:v>
      </x:c>
      <x:c r="C3618" s="25" t="n">
        <x:v>66046.14815490438</x:v>
      </x:c>
      <x:c r="D3618" s="25" t="str">
        <x:v>tonnes</x:v>
      </x:c>
    </x:row>
    <x:row r="3619" ht="18" customHeight="1">
      <x:c r="A3619" s="25" t="str">
        <x:v>EEZ_947</x:v>
      </x:c>
      <x:c r="B3619" s="25" t="str">
        <x:v>catch_coverage_fraction</x:v>
      </x:c>
      <x:c r="C3619" s="25" t="n">
        <x:v>1</x:v>
      </x:c>
      <x:c r="D3619" s="25" t="str">
        <x:v>fraction</x:v>
      </x:c>
    </x:row>
    <x:row r="3620" ht="18" customHeight="1">
      <x:c r="A3620" s="25" t="str">
        <x:v>EEZ_947</x:v>
      </x:c>
      <x:c r="B3620" s="25" t="str">
        <x:v>taxa_count</x:v>
      </x:c>
      <x:c r="C3620" s="25" t="n">
        <x:v>110</x:v>
      </x:c>
      <x:c r="D3620" s="25" t="str">
        <x:v>count</x:v>
      </x:c>
    </x:row>
    <x:row r="3621" ht="18" customHeight="1">
      <x:c r="A3621" s="25" t="str">
        <x:v>EEZ_947</x:v>
      </x:c>
      <x:c r="B3621" s="25" t="str">
        <x:v>matched_taxa_count</x:v>
      </x:c>
      <x:c r="C3621" s="25" t="n">
        <x:v>110</x:v>
      </x:c>
      <x:c r="D3621" s="25" t="str">
        <x:v>count</x:v>
      </x:c>
    </x:row>
    <x:row r="3622" ht="18" customHeight="1">
      <x:c r="A3622" s="25" t="str">
        <x:v>EEZ_947</x:v>
      </x:c>
      <x:c r="B3622" s="25" t="str">
        <x:v>unmatched_taxa_count</x:v>
      </x:c>
      <x:c r="C3622" s="25" t="n">
        <x:v>0</x:v>
      </x:c>
      <x:c r="D3622" s="25" t="str">
        <x:v>count</x:v>
      </x:c>
    </x:row>
    <x:row r="3623" ht="18" customHeight="1">
      <x:c r="A3623" s="25" t="str">
        <x:v>EEZ_947</x:v>
      </x:c>
      <x:c r="B3623" s="25" t="str">
        <x:v>species_ppr</x:v>
      </x:c>
      <x:c r="C3623" s="25" t="n">
        <x:v>64564291.36796549</x:v>
      </x:c>
      <x:c r="D3623" s="25" t="str">
        <x:v>tonnes_primary_production_equivalent</x:v>
      </x:c>
    </x:row>
    <x:row r="3624" ht="18" customHeight="1">
      <x:c r="A3624" s="25" t="str">
        <x:v>EEZ_947</x:v>
      </x:c>
      <x:c r="B3624" s="25" t="str">
        <x:v>commercial_ppr</x:v>
      </x:c>
      <x:c r="C3624" s="25" t="n">
        <x:v>56427166.47699314</x:v>
      </x:c>
      <x:c r="D3624" s="25" t="str">
        <x:v>tonnes_primary_production_equivalent</x:v>
      </x:c>
    </x:row>
    <x:row r="3625" ht="18" customHeight="1">
      <x:c r="A3625" s="25" t="str">
        <x:v>EEZ_947</x:v>
      </x:c>
      <x:c r="B3625" s="25" t="str">
        <x:v>functional_ppr</x:v>
      </x:c>
      <x:c r="C3625" s="25" t="n">
        <x:v>53151066.53940716</x:v>
      </x:c>
      <x:c r="D3625" s="25" t="str">
        <x:v>tonnes_primary_production_equivalent</x:v>
      </x:c>
    </x:row>
    <x:row r="3626" ht="18" customHeight="1">
      <x:c r="A3626" s="25" t="str">
        <x:v>EEZ_947</x:v>
      </x:c>
      <x:c r="B3626" s="25" t="str">
        <x:v>commercial_ppr_difference</x:v>
      </x:c>
      <x:c r="C3626" s="25" t="n">
        <x:v>-8137124.890972346</x:v>
      </x:c>
      <x:c r="D3626" s="25" t="str">
        <x:v>tonnes_primary_production_equivalent</x:v>
      </x:c>
    </x:row>
    <x:row r="3627" ht="18" customHeight="1">
      <x:c r="A3627" s="25" t="str">
        <x:v>EEZ_947</x:v>
      </x:c>
      <x:c r="B3627" s="25" t="str">
        <x:v>functional_ppr_difference</x:v>
      </x:c>
      <x:c r="C3627" s="25" t="n">
        <x:v>-11413224.828558333</x:v>
      </x:c>
      <x:c r="D3627" s="25" t="str">
        <x:v>tonnes_primary_production_equivalent</x:v>
      </x:c>
    </x:row>
    <x:row r="3628" ht="18" customHeight="1">
      <x:c r="A3628" s="25" t="str">
        <x:v>EEZ_948</x:v>
      </x:c>
      <x:c r="B3628" s="25" t="str">
        <x:v>raw_filtered_tonnes</x:v>
      </x:c>
      <x:c r="C3628" s="25" t="n">
        <x:v>1708699.3094834064</x:v>
      </x:c>
      <x:c r="D3628" s="25" t="str">
        <x:v>tonnes</x:v>
      </x:c>
    </x:row>
    <x:row r="3629" ht="18" customHeight="1">
      <x:c r="A3629" s="25" t="str">
        <x:v>EEZ_948</x:v>
      </x:c>
      <x:c r="B3629" s="25" t="str">
        <x:v>species_catch_tonnes</x:v>
      </x:c>
      <x:c r="C3629" s="25" t="n">
        <x:v>1708699.3094834066</x:v>
      </x:c>
      <x:c r="D3629" s="25" t="str">
        <x:v>tonnes</x:v>
      </x:c>
    </x:row>
    <x:row r="3630" ht="18" customHeight="1">
      <x:c r="A3630" s="25" t="str">
        <x:v>EEZ_948</x:v>
      </x:c>
      <x:c r="B3630" s="25" t="str">
        <x:v>catch_difference_tonnes</x:v>
      </x:c>
      <x:c r="C3630" s="25" t="n">
        <x:v>2.3283064365386963e-10</x:v>
      </x:c>
      <x:c r="D3630" s="25" t="str">
        <x:v>tonnes</x:v>
      </x:c>
    </x:row>
    <x:row r="3631" ht="18" customHeight="1">
      <x:c r="A3631" s="25" t="str">
        <x:v>EEZ_948</x:v>
      </x:c>
      <x:c r="B3631" s="25" t="str">
        <x:v>catch_reconciled</x:v>
      </x:c>
      <x:c r="C3631" s="36" t="b">
        <x:v>1</x:v>
      </x:c>
      <x:c r="D3631" s="25" t="str">
        <x:v>boolean</x:v>
      </x:c>
    </x:row>
    <x:row r="3632" ht="18" customHeight="1">
      <x:c r="A3632" s="25" t="str">
        <x:v>EEZ_948</x:v>
      </x:c>
      <x:c r="B3632" s="25" t="str">
        <x:v>matched_catch_tonnes</x:v>
      </x:c>
      <x:c r="C3632" s="25" t="n">
        <x:v>1708699.3094834066</x:v>
      </x:c>
      <x:c r="D3632" s="25" t="str">
        <x:v>tonnes</x:v>
      </x:c>
    </x:row>
    <x:row r="3633" ht="18" customHeight="1">
      <x:c r="A3633" s="25" t="str">
        <x:v>EEZ_948</x:v>
      </x:c>
      <x:c r="B3633" s="25" t="str">
        <x:v>catch_coverage_fraction</x:v>
      </x:c>
      <x:c r="C3633" s="25" t="n">
        <x:v>1</x:v>
      </x:c>
      <x:c r="D3633" s="25" t="str">
        <x:v>fraction</x:v>
      </x:c>
    </x:row>
    <x:row r="3634" ht="18" customHeight="1">
      <x:c r="A3634" s="25" t="str">
        <x:v>EEZ_948</x:v>
      </x:c>
      <x:c r="B3634" s="25" t="str">
        <x:v>taxa_count</x:v>
      </x:c>
      <x:c r="C3634" s="25" t="n">
        <x:v>227</x:v>
      </x:c>
      <x:c r="D3634" s="25" t="str">
        <x:v>count</x:v>
      </x:c>
    </x:row>
    <x:row r="3635" ht="18" customHeight="1">
      <x:c r="A3635" s="25" t="str">
        <x:v>EEZ_948</x:v>
      </x:c>
      <x:c r="B3635" s="25" t="str">
        <x:v>matched_taxa_count</x:v>
      </x:c>
      <x:c r="C3635" s="25" t="n">
        <x:v>227</x:v>
      </x:c>
      <x:c r="D3635" s="25" t="str">
        <x:v>count</x:v>
      </x:c>
    </x:row>
    <x:row r="3636" ht="18" customHeight="1">
      <x:c r="A3636" s="25" t="str">
        <x:v>EEZ_948</x:v>
      </x:c>
      <x:c r="B3636" s="25" t="str">
        <x:v>unmatched_taxa_count</x:v>
      </x:c>
      <x:c r="C3636" s="25" t="n">
        <x:v>0</x:v>
      </x:c>
      <x:c r="D3636" s="25" t="str">
        <x:v>count</x:v>
      </x:c>
    </x:row>
    <x:row r="3637" ht="18" customHeight="1">
      <x:c r="A3637" s="25" t="str">
        <x:v>EEZ_948</x:v>
      </x:c>
      <x:c r="B3637" s="25" t="str">
        <x:v>species_ppr</x:v>
      </x:c>
      <x:c r="C3637" s="25" t="n">
        <x:v>544607108.7029006</x:v>
      </x:c>
      <x:c r="D3637" s="25" t="str">
        <x:v>tonnes_primary_production_equivalent</x:v>
      </x:c>
    </x:row>
    <x:row r="3638" ht="18" customHeight="1">
      <x:c r="A3638" s="25" t="str">
        <x:v>EEZ_948</x:v>
      </x:c>
      <x:c r="B3638" s="25" t="str">
        <x:v>commercial_ppr</x:v>
      </x:c>
      <x:c r="C3638" s="25" t="n">
        <x:v>482639968.63426256</x:v>
      </x:c>
      <x:c r="D3638" s="25" t="str">
        <x:v>tonnes_primary_production_equivalent</x:v>
      </x:c>
    </x:row>
    <x:row r="3639" ht="18" customHeight="1">
      <x:c r="A3639" s="25" t="str">
        <x:v>EEZ_948</x:v>
      </x:c>
      <x:c r="B3639" s="25" t="str">
        <x:v>functional_ppr</x:v>
      </x:c>
      <x:c r="C3639" s="25" t="n">
        <x:v>501100754.66269565</x:v>
      </x:c>
      <x:c r="D3639" s="25" t="str">
        <x:v>tonnes_primary_production_equivalent</x:v>
      </x:c>
    </x:row>
    <x:row r="3640" ht="18" customHeight="1">
      <x:c r="A3640" s="25" t="str">
        <x:v>EEZ_948</x:v>
      </x:c>
      <x:c r="B3640" s="25" t="str">
        <x:v>commercial_ppr_difference</x:v>
      </x:c>
      <x:c r="C3640" s="25" t="n">
        <x:v>-61967140.06863809</x:v>
      </x:c>
      <x:c r="D3640" s="25" t="str">
        <x:v>tonnes_primary_production_equivalent</x:v>
      </x:c>
    </x:row>
    <x:row r="3641" ht="18" customHeight="1">
      <x:c r="A3641" s="25" t="str">
        <x:v>EEZ_948</x:v>
      </x:c>
      <x:c r="B3641" s="25" t="str">
        <x:v>functional_ppr_difference</x:v>
      </x:c>
      <x:c r="C3641" s="25" t="n">
        <x:v>-43506354.040205</x:v>
      </x:c>
      <x:c r="D3641" s="25" t="str">
        <x:v>tonnes_primary_production_equivalent</x:v>
      </x:c>
    </x:row>
    <x:row r="3642" ht="18" customHeight="1">
      <x:c r="A3642" s="25" t="str">
        <x:v>EEZ_949</x:v>
      </x:c>
      <x:c r="B3642" s="25" t="str">
        <x:v>raw_filtered_tonnes</x:v>
      </x:c>
      <x:c r="C3642" s="25" t="n">
        <x:v>34605.779645753995</x:v>
      </x:c>
      <x:c r="D3642" s="25" t="str">
        <x:v>tonnes</x:v>
      </x:c>
    </x:row>
    <x:row r="3643" ht="18" customHeight="1">
      <x:c r="A3643" s="25" t="str">
        <x:v>EEZ_949</x:v>
      </x:c>
      <x:c r="B3643" s="25" t="str">
        <x:v>species_catch_tonnes</x:v>
      </x:c>
      <x:c r="C3643" s="25" t="n">
        <x:v>34605.779645753995</x:v>
      </x:c>
      <x:c r="D3643" s="25" t="str">
        <x:v>tonnes</x:v>
      </x:c>
    </x:row>
    <x:row r="3644" ht="18" customHeight="1">
      <x:c r="A3644" s="25" t="str">
        <x:v>EEZ_949</x:v>
      </x:c>
      <x:c r="B3644" s="25" t="str">
        <x:v>catch_difference_tonnes</x:v>
      </x:c>
      <x:c r="C3644" s="25" t="n">
        <x:v>0</x:v>
      </x:c>
      <x:c r="D3644" s="25" t="str">
        <x:v>tonnes</x:v>
      </x:c>
    </x:row>
    <x:row r="3645" ht="18" customHeight="1">
      <x:c r="A3645" s="25" t="str">
        <x:v>EEZ_949</x:v>
      </x:c>
      <x:c r="B3645" s="25" t="str">
        <x:v>catch_reconciled</x:v>
      </x:c>
      <x:c r="C3645" s="36" t="b">
        <x:v>1</x:v>
      </x:c>
      <x:c r="D3645" s="25" t="str">
        <x:v>boolean</x:v>
      </x:c>
    </x:row>
    <x:row r="3646" ht="18" customHeight="1">
      <x:c r="A3646" s="25" t="str">
        <x:v>EEZ_949</x:v>
      </x:c>
      <x:c r="B3646" s="25" t="str">
        <x:v>matched_catch_tonnes</x:v>
      </x:c>
      <x:c r="C3646" s="25" t="n">
        <x:v>34605.779645753995</x:v>
      </x:c>
      <x:c r="D3646" s="25" t="str">
        <x:v>tonnes</x:v>
      </x:c>
    </x:row>
    <x:row r="3647" ht="18" customHeight="1">
      <x:c r="A3647" s="25" t="str">
        <x:v>EEZ_949</x:v>
      </x:c>
      <x:c r="B3647" s="25" t="str">
        <x:v>catch_coverage_fraction</x:v>
      </x:c>
      <x:c r="C3647" s="25" t="n">
        <x:v>1</x:v>
      </x:c>
      <x:c r="D3647" s="25" t="str">
        <x:v>fraction</x:v>
      </x:c>
    </x:row>
    <x:row r="3648" ht="18" customHeight="1">
      <x:c r="A3648" s="25" t="str">
        <x:v>EEZ_949</x:v>
      </x:c>
      <x:c r="B3648" s="25" t="str">
        <x:v>taxa_count</x:v>
      </x:c>
      <x:c r="C3648" s="25" t="n">
        <x:v>27</x:v>
      </x:c>
      <x:c r="D3648" s="25" t="str">
        <x:v>count</x:v>
      </x:c>
    </x:row>
    <x:row r="3649" ht="18" customHeight="1">
      <x:c r="A3649" s="25" t="str">
        <x:v>EEZ_949</x:v>
      </x:c>
      <x:c r="B3649" s="25" t="str">
        <x:v>matched_taxa_count</x:v>
      </x:c>
      <x:c r="C3649" s="25" t="n">
        <x:v>27</x:v>
      </x:c>
      <x:c r="D3649" s="25" t="str">
        <x:v>count</x:v>
      </x:c>
    </x:row>
    <x:row r="3650" ht="18" customHeight="1">
      <x:c r="A3650" s="25" t="str">
        <x:v>EEZ_949</x:v>
      </x:c>
      <x:c r="B3650" s="25" t="str">
        <x:v>unmatched_taxa_count</x:v>
      </x:c>
      <x:c r="C3650" s="25" t="n">
        <x:v>0</x:v>
      </x:c>
      <x:c r="D3650" s="25" t="str">
        <x:v>count</x:v>
      </x:c>
    </x:row>
    <x:row r="3651" ht="18" customHeight="1">
      <x:c r="A3651" s="25" t="str">
        <x:v>EEZ_949</x:v>
      </x:c>
      <x:c r="B3651" s="25" t="str">
        <x:v>species_ppr</x:v>
      </x:c>
      <x:c r="C3651" s="25" t="n">
        <x:v>10055225.175638834</x:v>
      </x:c>
      <x:c r="D3651" s="25" t="str">
        <x:v>tonnes_primary_production_equivalent</x:v>
      </x:c>
    </x:row>
    <x:row r="3652" ht="18" customHeight="1">
      <x:c r="A3652" s="25" t="str">
        <x:v>EEZ_949</x:v>
      </x:c>
      <x:c r="B3652" s="25" t="str">
        <x:v>commercial_ppr</x:v>
      </x:c>
      <x:c r="C3652" s="25" t="n">
        <x:v>9541946.973488096</x:v>
      </x:c>
      <x:c r="D3652" s="25" t="str">
        <x:v>tonnes_primary_production_equivalent</x:v>
      </x:c>
    </x:row>
    <x:row r="3653" ht="18" customHeight="1">
      <x:c r="A3653" s="25" t="str">
        <x:v>EEZ_949</x:v>
      </x:c>
      <x:c r="B3653" s="25" t="str">
        <x:v>functional_ppr</x:v>
      </x:c>
      <x:c r="C3653" s="25" t="n">
        <x:v>9795688.338512633</x:v>
      </x:c>
      <x:c r="D3653" s="25" t="str">
        <x:v>tonnes_primary_production_equivalent</x:v>
      </x:c>
    </x:row>
    <x:row r="3654" ht="18" customHeight="1">
      <x:c r="A3654" s="25" t="str">
        <x:v>EEZ_949</x:v>
      </x:c>
      <x:c r="B3654" s="25" t="str">
        <x:v>commercial_ppr_difference</x:v>
      </x:c>
      <x:c r="C3654" s="25" t="n">
        <x:v>-513278.20215073787</x:v>
      </x:c>
      <x:c r="D3654" s="25" t="str">
        <x:v>tonnes_primary_production_equivalent</x:v>
      </x:c>
    </x:row>
    <x:row r="3655" ht="18" customHeight="1">
      <x:c r="A3655" s="25" t="str">
        <x:v>EEZ_949</x:v>
      </x:c>
      <x:c r="B3655" s="25" t="str">
        <x:v>functional_ppr_difference</x:v>
      </x:c>
      <x:c r="C3655" s="25" t="n">
        <x:v>-259536.83712620102</x:v>
      </x:c>
      <x:c r="D3655" s="25" t="str">
        <x:v>tonnes_primary_production_equivalent</x:v>
      </x:c>
    </x:row>
    <x:row r="3656" ht="18" customHeight="1">
      <x:c r="A3656" s="25" t="str">
        <x:v>EEZ_950</x:v>
      </x:c>
      <x:c r="B3656" s="25" t="str">
        <x:v>raw_filtered_tonnes</x:v>
      </x:c>
      <x:c r="C3656" s="25" t="n">
        <x:v>24556.3459940686</x:v>
      </x:c>
      <x:c r="D3656" s="25" t="str">
        <x:v>tonnes</x:v>
      </x:c>
    </x:row>
    <x:row r="3657" ht="18" customHeight="1">
      <x:c r="A3657" s="25" t="str">
        <x:v>EEZ_950</x:v>
      </x:c>
      <x:c r="B3657" s="25" t="str">
        <x:v>species_catch_tonnes</x:v>
      </x:c>
      <x:c r="C3657" s="25" t="n">
        <x:v>24556.3459940686</x:v>
      </x:c>
      <x:c r="D3657" s="25" t="str">
        <x:v>tonnes</x:v>
      </x:c>
    </x:row>
    <x:row r="3658" ht="18" customHeight="1">
      <x:c r="A3658" s="25" t="str">
        <x:v>EEZ_950</x:v>
      </x:c>
      <x:c r="B3658" s="25" t="str">
        <x:v>catch_difference_tonnes</x:v>
      </x:c>
      <x:c r="C3658" s="25" t="n">
        <x:v>0</x:v>
      </x:c>
      <x:c r="D3658" s="25" t="str">
        <x:v>tonnes</x:v>
      </x:c>
    </x:row>
    <x:row r="3659" ht="18" customHeight="1">
      <x:c r="A3659" s="25" t="str">
        <x:v>EEZ_950</x:v>
      </x:c>
      <x:c r="B3659" s="25" t="str">
        <x:v>catch_reconciled</x:v>
      </x:c>
      <x:c r="C3659" s="36" t="b">
        <x:v>1</x:v>
      </x:c>
      <x:c r="D3659" s="25" t="str">
        <x:v>boolean</x:v>
      </x:c>
    </x:row>
    <x:row r="3660" ht="18" customHeight="1">
      <x:c r="A3660" s="25" t="str">
        <x:v>EEZ_950</x:v>
      </x:c>
      <x:c r="B3660" s="25" t="str">
        <x:v>matched_catch_tonnes</x:v>
      </x:c>
      <x:c r="C3660" s="25" t="n">
        <x:v>24556.3459940686</x:v>
      </x:c>
      <x:c r="D3660" s="25" t="str">
        <x:v>tonnes</x:v>
      </x:c>
    </x:row>
    <x:row r="3661" ht="18" customHeight="1">
      <x:c r="A3661" s="25" t="str">
        <x:v>EEZ_950</x:v>
      </x:c>
      <x:c r="B3661" s="25" t="str">
        <x:v>catch_coverage_fraction</x:v>
      </x:c>
      <x:c r="C3661" s="25" t="n">
        <x:v>1</x:v>
      </x:c>
      <x:c r="D3661" s="25" t="str">
        <x:v>fraction</x:v>
      </x:c>
    </x:row>
    <x:row r="3662" ht="18" customHeight="1">
      <x:c r="A3662" s="25" t="str">
        <x:v>EEZ_950</x:v>
      </x:c>
      <x:c r="B3662" s="25" t="str">
        <x:v>taxa_count</x:v>
      </x:c>
      <x:c r="C3662" s="25" t="n">
        <x:v>46</x:v>
      </x:c>
      <x:c r="D3662" s="25" t="str">
        <x:v>count</x:v>
      </x:c>
    </x:row>
    <x:row r="3663" ht="18" customHeight="1">
      <x:c r="A3663" s="25" t="str">
        <x:v>EEZ_950</x:v>
      </x:c>
      <x:c r="B3663" s="25" t="str">
        <x:v>matched_taxa_count</x:v>
      </x:c>
      <x:c r="C3663" s="25" t="n">
        <x:v>46</x:v>
      </x:c>
      <x:c r="D3663" s="25" t="str">
        <x:v>count</x:v>
      </x:c>
    </x:row>
    <x:row r="3664" ht="18" customHeight="1">
      <x:c r="A3664" s="25" t="str">
        <x:v>EEZ_950</x:v>
      </x:c>
      <x:c r="B3664" s="25" t="str">
        <x:v>unmatched_taxa_count</x:v>
      </x:c>
      <x:c r="C3664" s="25" t="n">
        <x:v>0</x:v>
      </x:c>
      <x:c r="D3664" s="25" t="str">
        <x:v>count</x:v>
      </x:c>
    </x:row>
    <x:row r="3665" ht="18" customHeight="1">
      <x:c r="A3665" s="25" t="str">
        <x:v>EEZ_950</x:v>
      </x:c>
      <x:c r="B3665" s="25" t="str">
        <x:v>species_ppr</x:v>
      </x:c>
      <x:c r="C3665" s="25" t="n">
        <x:v>28085727.266922668</x:v>
      </x:c>
      <x:c r="D3665" s="25" t="str">
        <x:v>tonnes_primary_production_equivalent</x:v>
      </x:c>
    </x:row>
    <x:row r="3666" ht="18" customHeight="1">
      <x:c r="A3666" s="25" t="str">
        <x:v>EEZ_950</x:v>
      </x:c>
      <x:c r="B3666" s="25" t="str">
        <x:v>commercial_ppr</x:v>
      </x:c>
      <x:c r="C3666" s="25" t="n">
        <x:v>26566117.21852223</x:v>
      </x:c>
      <x:c r="D3666" s="25" t="str">
        <x:v>tonnes_primary_production_equivalent</x:v>
      </x:c>
    </x:row>
    <x:row r="3667" ht="18" customHeight="1">
      <x:c r="A3667" s="25" t="str">
        <x:v>EEZ_950</x:v>
      </x:c>
      <x:c r="B3667" s="25" t="str">
        <x:v>functional_ppr</x:v>
      </x:c>
      <x:c r="C3667" s="25" t="n">
        <x:v>27677506.00575713</x:v>
      </x:c>
      <x:c r="D3667" s="25" t="str">
        <x:v>tonnes_primary_production_equivalent</x:v>
      </x:c>
    </x:row>
    <x:row r="3668" ht="18" customHeight="1">
      <x:c r="A3668" s="25" t="str">
        <x:v>EEZ_950</x:v>
      </x:c>
      <x:c r="B3668" s="25" t="str">
        <x:v>commercial_ppr_difference</x:v>
      </x:c>
      <x:c r="C3668" s="25" t="n">
        <x:v>-1519610.0484004393</x:v>
      </x:c>
      <x:c r="D3668" s="25" t="str">
        <x:v>tonnes_primary_production_equivalent</x:v>
      </x:c>
    </x:row>
    <x:row r="3669" ht="18" customHeight="1">
      <x:c r="A3669" s="25" t="str">
        <x:v>EEZ_950</x:v>
      </x:c>
      <x:c r="B3669" s="25" t="str">
        <x:v>functional_ppr_difference</x:v>
      </x:c>
      <x:c r="C3669" s="25" t="n">
        <x:v>-408221.26116553694</x:v>
      </x:c>
      <x:c r="D3669" s="25" t="str">
        <x:v>tonnes_primary_production_equivalent</x:v>
      </x:c>
    </x:row>
    <x:row r="3670" ht="18" customHeight="1">
      <x:c r="A3670" s="25" t="str">
        <x:v>EEZ_951</x:v>
      </x:c>
      <x:c r="B3670" s="25" t="str">
        <x:v>raw_filtered_tonnes</x:v>
      </x:c>
      <x:c r="C3670" s="25" t="n">
        <x:v>1550.4602980179</x:v>
      </x:c>
      <x:c r="D3670" s="25" t="str">
        <x:v>tonnes</x:v>
      </x:c>
    </x:row>
    <x:row r="3671" ht="18" customHeight="1">
      <x:c r="A3671" s="25" t="str">
        <x:v>EEZ_951</x:v>
      </x:c>
      <x:c r="B3671" s="25" t="str">
        <x:v>species_catch_tonnes</x:v>
      </x:c>
      <x:c r="C3671" s="25" t="n">
        <x:v>1550.4602980178997</x:v>
      </x:c>
      <x:c r="D3671" s="25" t="str">
        <x:v>tonnes</x:v>
      </x:c>
    </x:row>
    <x:row r="3672" ht="18" customHeight="1">
      <x:c r="A3672" s="25" t="str">
        <x:v>EEZ_951</x:v>
      </x:c>
      <x:c r="B3672" s="25" t="str">
        <x:v>catch_difference_tonnes</x:v>
      </x:c>
      <x:c r="C3672" s="25" t="n">
        <x:v>-2.2737367544323206e-13</x:v>
      </x:c>
      <x:c r="D3672" s="25" t="str">
        <x:v>tonnes</x:v>
      </x:c>
    </x:row>
    <x:row r="3673" ht="18" customHeight="1">
      <x:c r="A3673" s="25" t="str">
        <x:v>EEZ_951</x:v>
      </x:c>
      <x:c r="B3673" s="25" t="str">
        <x:v>catch_reconciled</x:v>
      </x:c>
      <x:c r="C3673" s="36" t="b">
        <x:v>1</x:v>
      </x:c>
      <x:c r="D3673" s="25" t="str">
        <x:v>boolean</x:v>
      </x:c>
    </x:row>
    <x:row r="3674" ht="18" customHeight="1">
      <x:c r="A3674" s="25" t="str">
        <x:v>EEZ_951</x:v>
      </x:c>
      <x:c r="B3674" s="25" t="str">
        <x:v>matched_catch_tonnes</x:v>
      </x:c>
      <x:c r="C3674" s="25" t="n">
        <x:v>1550.4602980178997</x:v>
      </x:c>
      <x:c r="D3674" s="25" t="str">
        <x:v>tonnes</x:v>
      </x:c>
    </x:row>
    <x:row r="3675" ht="18" customHeight="1">
      <x:c r="A3675" s="25" t="str">
        <x:v>EEZ_951</x:v>
      </x:c>
      <x:c r="B3675" s="25" t="str">
        <x:v>catch_coverage_fraction</x:v>
      </x:c>
      <x:c r="C3675" s="25" t="n">
        <x:v>1</x:v>
      </x:c>
      <x:c r="D3675" s="25" t="str">
        <x:v>fraction</x:v>
      </x:c>
    </x:row>
    <x:row r="3676" ht="18" customHeight="1">
      <x:c r="A3676" s="25" t="str">
        <x:v>EEZ_951</x:v>
      </x:c>
      <x:c r="B3676" s="25" t="str">
        <x:v>taxa_count</x:v>
      </x:c>
      <x:c r="C3676" s="25" t="n">
        <x:v>12</x:v>
      </x:c>
      <x:c r="D3676" s="25" t="str">
        <x:v>count</x:v>
      </x:c>
    </x:row>
    <x:row r="3677" ht="18" customHeight="1">
      <x:c r="A3677" s="25" t="str">
        <x:v>EEZ_951</x:v>
      </x:c>
      <x:c r="B3677" s="25" t="str">
        <x:v>matched_taxa_count</x:v>
      </x:c>
      <x:c r="C3677" s="25" t="n">
        <x:v>12</x:v>
      </x:c>
      <x:c r="D3677" s="25" t="str">
        <x:v>count</x:v>
      </x:c>
    </x:row>
    <x:row r="3678" ht="18" customHeight="1">
      <x:c r="A3678" s="25" t="str">
        <x:v>EEZ_951</x:v>
      </x:c>
      <x:c r="B3678" s="25" t="str">
        <x:v>unmatched_taxa_count</x:v>
      </x:c>
      <x:c r="C3678" s="25" t="n">
        <x:v>0</x:v>
      </x:c>
      <x:c r="D3678" s="25" t="str">
        <x:v>count</x:v>
      </x:c>
    </x:row>
    <x:row r="3679" ht="18" customHeight="1">
      <x:c r="A3679" s="25" t="str">
        <x:v>EEZ_951</x:v>
      </x:c>
      <x:c r="B3679" s="25" t="str">
        <x:v>species_ppr</x:v>
      </x:c>
      <x:c r="C3679" s="25" t="n">
        <x:v>395402.3380561242</x:v>
      </x:c>
      <x:c r="D3679" s="25" t="str">
        <x:v>tonnes_primary_production_equivalent</x:v>
      </x:c>
    </x:row>
    <x:row r="3680" ht="18" customHeight="1">
      <x:c r="A3680" s="25" t="str">
        <x:v>EEZ_951</x:v>
      </x:c>
      <x:c r="B3680" s="25" t="str">
        <x:v>commercial_ppr</x:v>
      </x:c>
      <x:c r="C3680" s="25" t="n">
        <x:v>389516.0933646631</x:v>
      </x:c>
      <x:c r="D3680" s="25" t="str">
        <x:v>tonnes_primary_production_equivalent</x:v>
      </x:c>
    </x:row>
    <x:row r="3681" ht="18" customHeight="1">
      <x:c r="A3681" s="25" t="str">
        <x:v>EEZ_951</x:v>
      </x:c>
      <x:c r="B3681" s="25" t="str">
        <x:v>functional_ppr</x:v>
      </x:c>
      <x:c r="C3681" s="25" t="n">
        <x:v>395278.1639613288</x:v>
      </x:c>
      <x:c r="D3681" s="25" t="str">
        <x:v>tonnes_primary_production_equivalent</x:v>
      </x:c>
    </x:row>
    <x:row r="3682" ht="18" customHeight="1">
      <x:c r="A3682" s="25" t="str">
        <x:v>EEZ_951</x:v>
      </x:c>
      <x:c r="B3682" s="25" t="str">
        <x:v>commercial_ppr_difference</x:v>
      </x:c>
      <x:c r="C3682" s="25" t="n">
        <x:v>-5886.24469146115</x:v>
      </x:c>
      <x:c r="D3682" s="25" t="str">
        <x:v>tonnes_primary_production_equivalent</x:v>
      </x:c>
    </x:row>
    <x:row r="3683" ht="18" customHeight="1">
      <x:c r="A3683" s="25" t="str">
        <x:v>EEZ_951</x:v>
      </x:c>
      <x:c r="B3683" s="25" t="str">
        <x:v>functional_ppr_difference</x:v>
      </x:c>
      <x:c r="C3683" s="25" t="n">
        <x:v>-124.17409479542403</x:v>
      </x:c>
      <x:c r="D3683" s="25" t="str">
        <x:v>tonnes_primary_production_equivalent</x:v>
      </x:c>
    </x:row>
    <x:row r="3684" ht="18" customHeight="1">
      <x:c r="A3684" s="25" t="str">
        <x:v>EEZ_952</x:v>
      </x:c>
      <x:c r="B3684" s="25" t="str">
        <x:v>raw_filtered_tonnes</x:v>
      </x:c>
      <x:c r="C3684" s="25" t="n">
        <x:v>303382.6234939234</x:v>
      </x:c>
      <x:c r="D3684" s="25" t="str">
        <x:v>tonnes</x:v>
      </x:c>
    </x:row>
    <x:row r="3685" ht="18" customHeight="1">
      <x:c r="A3685" s="25" t="str">
        <x:v>EEZ_952</x:v>
      </x:c>
      <x:c r="B3685" s="25" t="str">
        <x:v>species_catch_tonnes</x:v>
      </x:c>
      <x:c r="C3685" s="25" t="n">
        <x:v>303382.62349392334</x:v>
      </x:c>
      <x:c r="D3685" s="25" t="str">
        <x:v>tonnes</x:v>
      </x:c>
    </x:row>
    <x:row r="3686" ht="18" customHeight="1">
      <x:c r="A3686" s="25" t="str">
        <x:v>EEZ_952</x:v>
      </x:c>
      <x:c r="B3686" s="25" t="str">
        <x:v>catch_difference_tonnes</x:v>
      </x:c>
      <x:c r="C3686" s="25" t="n">
        <x:v>-5.820766091346741e-11</x:v>
      </x:c>
      <x:c r="D3686" s="25" t="str">
        <x:v>tonnes</x:v>
      </x:c>
    </x:row>
    <x:row r="3687" ht="18" customHeight="1">
      <x:c r="A3687" s="25" t="str">
        <x:v>EEZ_952</x:v>
      </x:c>
      <x:c r="B3687" s="25" t="str">
        <x:v>catch_reconciled</x:v>
      </x:c>
      <x:c r="C3687" s="36" t="b">
        <x:v>1</x:v>
      </x:c>
      <x:c r="D3687" s="25" t="str">
        <x:v>boolean</x:v>
      </x:c>
    </x:row>
    <x:row r="3688" ht="18" customHeight="1">
      <x:c r="A3688" s="25" t="str">
        <x:v>EEZ_952</x:v>
      </x:c>
      <x:c r="B3688" s="25" t="str">
        <x:v>matched_catch_tonnes</x:v>
      </x:c>
      <x:c r="C3688" s="25" t="n">
        <x:v>303382.62349392334</x:v>
      </x:c>
      <x:c r="D3688" s="25" t="str">
        <x:v>tonnes</x:v>
      </x:c>
    </x:row>
    <x:row r="3689" ht="18" customHeight="1">
      <x:c r="A3689" s="25" t="str">
        <x:v>EEZ_952</x:v>
      </x:c>
      <x:c r="B3689" s="25" t="str">
        <x:v>catch_coverage_fraction</x:v>
      </x:c>
      <x:c r="C3689" s="25" t="n">
        <x:v>1</x:v>
      </x:c>
      <x:c r="D3689" s="25" t="str">
        <x:v>fraction</x:v>
      </x:c>
    </x:row>
    <x:row r="3690" ht="18" customHeight="1">
      <x:c r="A3690" s="25" t="str">
        <x:v>EEZ_952</x:v>
      </x:c>
      <x:c r="B3690" s="25" t="str">
        <x:v>taxa_count</x:v>
      </x:c>
      <x:c r="C3690" s="25" t="n">
        <x:v>67</x:v>
      </x:c>
      <x:c r="D3690" s="25" t="str">
        <x:v>count</x:v>
      </x:c>
    </x:row>
    <x:row r="3691" ht="18" customHeight="1">
      <x:c r="A3691" s="25" t="str">
        <x:v>EEZ_952</x:v>
      </x:c>
      <x:c r="B3691" s="25" t="str">
        <x:v>matched_taxa_count</x:v>
      </x:c>
      <x:c r="C3691" s="25" t="n">
        <x:v>67</x:v>
      </x:c>
      <x:c r="D3691" s="25" t="str">
        <x:v>count</x:v>
      </x:c>
    </x:row>
    <x:row r="3692" ht="18" customHeight="1">
      <x:c r="A3692" s="25" t="str">
        <x:v>EEZ_952</x:v>
      </x:c>
      <x:c r="B3692" s="25" t="str">
        <x:v>unmatched_taxa_count</x:v>
      </x:c>
      <x:c r="C3692" s="25" t="n">
        <x:v>0</x:v>
      </x:c>
      <x:c r="D3692" s="25" t="str">
        <x:v>count</x:v>
      </x:c>
    </x:row>
    <x:row r="3693" ht="18" customHeight="1">
      <x:c r="A3693" s="25" t="str">
        <x:v>EEZ_952</x:v>
      </x:c>
      <x:c r="B3693" s="25" t="str">
        <x:v>species_ppr</x:v>
      </x:c>
      <x:c r="C3693" s="25" t="n">
        <x:v>28957741.549752913</x:v>
      </x:c>
      <x:c r="D3693" s="25" t="str">
        <x:v>tonnes_primary_production_equivalent</x:v>
      </x:c>
    </x:row>
    <x:row r="3694" ht="18" customHeight="1">
      <x:c r="A3694" s="25" t="str">
        <x:v>EEZ_952</x:v>
      </x:c>
      <x:c r="B3694" s="25" t="str">
        <x:v>commercial_ppr</x:v>
      </x:c>
      <x:c r="C3694" s="25" t="n">
        <x:v>27245483.3785698</x:v>
      </x:c>
      <x:c r="D3694" s="25" t="str">
        <x:v>tonnes_primary_production_equivalent</x:v>
      </x:c>
    </x:row>
    <x:row r="3695" ht="18" customHeight="1">
      <x:c r="A3695" s="25" t="str">
        <x:v>EEZ_952</x:v>
      </x:c>
      <x:c r="B3695" s="25" t="str">
        <x:v>functional_ppr</x:v>
      </x:c>
      <x:c r="C3695" s="25" t="n">
        <x:v>27717386.731267262</x:v>
      </x:c>
      <x:c r="D3695" s="25" t="str">
        <x:v>tonnes_primary_production_equivalent</x:v>
      </x:c>
    </x:row>
    <x:row r="3696" ht="18" customHeight="1">
      <x:c r="A3696" s="25" t="str">
        <x:v>EEZ_952</x:v>
      </x:c>
      <x:c r="B3696" s="25" t="str">
        <x:v>commercial_ppr_difference</x:v>
      </x:c>
      <x:c r="C3696" s="25" t="n">
        <x:v>-1712258.171183113</x:v>
      </x:c>
      <x:c r="D3696" s="25" t="str">
        <x:v>tonnes_primary_production_equivalent</x:v>
      </x:c>
    </x:row>
    <x:row r="3697" ht="18" customHeight="1">
      <x:c r="A3697" s="25" t="str">
        <x:v>EEZ_952</x:v>
      </x:c>
      <x:c r="B3697" s="25" t="str">
        <x:v>functional_ppr_difference</x:v>
      </x:c>
      <x:c r="C3697" s="25" t="n">
        <x:v>-1240354.8184856512</x:v>
      </x:c>
      <x:c r="D3697" s="25" t="str">
        <x:v>tonnes_primary_production_equivalent</x:v>
      </x:c>
    </x:row>
    <x:row r="3698" ht="18" customHeight="1">
      <x:c r="A3698" s="25" t="str">
        <x:v>EEZ_953</x:v>
      </x:c>
      <x:c r="B3698" s="25" t="str">
        <x:v>raw_filtered_tonnes</x:v>
      </x:c>
      <x:c r="C3698" s="25" t="n">
        <x:v>649172.6258836818</x:v>
      </x:c>
      <x:c r="D3698" s="25" t="str">
        <x:v>tonnes</x:v>
      </x:c>
    </x:row>
    <x:row r="3699" ht="18" customHeight="1">
      <x:c r="A3699" s="25" t="str">
        <x:v>EEZ_953</x:v>
      </x:c>
      <x:c r="B3699" s="25" t="str">
        <x:v>species_catch_tonnes</x:v>
      </x:c>
      <x:c r="C3699" s="25" t="n">
        <x:v>649172.6258836817</x:v>
      </x:c>
      <x:c r="D3699" s="25" t="str">
        <x:v>tonnes</x:v>
      </x:c>
    </x:row>
    <x:row r="3700" ht="18" customHeight="1">
      <x:c r="A3700" s="25" t="str">
        <x:v>EEZ_953</x:v>
      </x:c>
      <x:c r="B3700" s="25" t="str">
        <x:v>catch_difference_tonnes</x:v>
      </x:c>
      <x:c r="C3700" s="25" t="n">
        <x:v>-1.1641532182693481e-10</x:v>
      </x:c>
      <x:c r="D3700" s="25" t="str">
        <x:v>tonnes</x:v>
      </x:c>
    </x:row>
    <x:row r="3701" ht="18" customHeight="1">
      <x:c r="A3701" s="25" t="str">
        <x:v>EEZ_953</x:v>
      </x:c>
      <x:c r="B3701" s="25" t="str">
        <x:v>catch_reconciled</x:v>
      </x:c>
      <x:c r="C3701" s="36" t="b">
        <x:v>1</x:v>
      </x:c>
      <x:c r="D3701" s="25" t="str">
        <x:v>boolean</x:v>
      </x:c>
    </x:row>
    <x:row r="3702" ht="18" customHeight="1">
      <x:c r="A3702" s="25" t="str">
        <x:v>EEZ_953</x:v>
      </x:c>
      <x:c r="B3702" s="25" t="str">
        <x:v>matched_catch_tonnes</x:v>
      </x:c>
      <x:c r="C3702" s="25" t="n">
        <x:v>649172.6258836817</x:v>
      </x:c>
      <x:c r="D3702" s="25" t="str">
        <x:v>tonnes</x:v>
      </x:c>
    </x:row>
    <x:row r="3703" ht="18" customHeight="1">
      <x:c r="A3703" s="25" t="str">
        <x:v>EEZ_953</x:v>
      </x:c>
      <x:c r="B3703" s="25" t="str">
        <x:v>catch_coverage_fraction</x:v>
      </x:c>
      <x:c r="C3703" s="25" t="n">
        <x:v>1</x:v>
      </x:c>
      <x:c r="D3703" s="25" t="str">
        <x:v>fraction</x:v>
      </x:c>
    </x:row>
    <x:row r="3704" ht="18" customHeight="1">
      <x:c r="A3704" s="25" t="str">
        <x:v>EEZ_953</x:v>
      </x:c>
      <x:c r="B3704" s="25" t="str">
        <x:v>taxa_count</x:v>
      </x:c>
      <x:c r="C3704" s="25" t="n">
        <x:v>100</x:v>
      </x:c>
      <x:c r="D3704" s="25" t="str">
        <x:v>count</x:v>
      </x:c>
    </x:row>
    <x:row r="3705" ht="18" customHeight="1">
      <x:c r="A3705" s="25" t="str">
        <x:v>EEZ_953</x:v>
      </x:c>
      <x:c r="B3705" s="25" t="str">
        <x:v>matched_taxa_count</x:v>
      </x:c>
      <x:c r="C3705" s="25" t="n">
        <x:v>100</x:v>
      </x:c>
      <x:c r="D3705" s="25" t="str">
        <x:v>count</x:v>
      </x:c>
    </x:row>
    <x:row r="3706" ht="18" customHeight="1">
      <x:c r="A3706" s="25" t="str">
        <x:v>EEZ_953</x:v>
      </x:c>
      <x:c r="B3706" s="25" t="str">
        <x:v>unmatched_taxa_count</x:v>
      </x:c>
      <x:c r="C3706" s="25" t="n">
        <x:v>0</x:v>
      </x:c>
      <x:c r="D3706" s="25" t="str">
        <x:v>count</x:v>
      </x:c>
    </x:row>
    <x:row r="3707" ht="18" customHeight="1">
      <x:c r="A3707" s="25" t="str">
        <x:v>EEZ_953</x:v>
      </x:c>
      <x:c r="B3707" s="25" t="str">
        <x:v>species_ppr</x:v>
      </x:c>
      <x:c r="C3707" s="25" t="n">
        <x:v>448581864.5071265</x:v>
      </x:c>
      <x:c r="D3707" s="25" t="str">
        <x:v>tonnes_primary_production_equivalent</x:v>
      </x:c>
    </x:row>
    <x:row r="3708" ht="18" customHeight="1">
      <x:c r="A3708" s="25" t="str">
        <x:v>EEZ_953</x:v>
      </x:c>
      <x:c r="B3708" s="25" t="str">
        <x:v>commercial_ppr</x:v>
      </x:c>
      <x:c r="C3708" s="25" t="n">
        <x:v>411561111.14749527</x:v>
      </x:c>
      <x:c r="D3708" s="25" t="str">
        <x:v>tonnes_primary_production_equivalent</x:v>
      </x:c>
    </x:row>
    <x:row r="3709" ht="18" customHeight="1">
      <x:c r="A3709" s="25" t="str">
        <x:v>EEZ_953</x:v>
      </x:c>
      <x:c r="B3709" s="25" t="str">
        <x:v>functional_ppr</x:v>
      </x:c>
      <x:c r="C3709" s="25" t="n">
        <x:v>418059191.08651906</x:v>
      </x:c>
      <x:c r="D3709" s="25" t="str">
        <x:v>tonnes_primary_production_equivalent</x:v>
      </x:c>
    </x:row>
    <x:row r="3710" ht="18" customHeight="1">
      <x:c r="A3710" s="25" t="str">
        <x:v>EEZ_953</x:v>
      </x:c>
      <x:c r="B3710" s="25" t="str">
        <x:v>commercial_ppr_difference</x:v>
      </x:c>
      <x:c r="C3710" s="25" t="n">
        <x:v>-37020753.35963124</x:v>
      </x:c>
      <x:c r="D3710" s="25" t="str">
        <x:v>tonnes_primary_production_equivalent</x:v>
      </x:c>
    </x:row>
    <x:row r="3711" ht="18" customHeight="1">
      <x:c r="A3711" s="25" t="str">
        <x:v>EEZ_953</x:v>
      </x:c>
      <x:c r="B3711" s="25" t="str">
        <x:v>functional_ppr_difference</x:v>
      </x:c>
      <x:c r="C3711" s="25" t="n">
        <x:v>-30522673.420607448</x:v>
      </x:c>
      <x:c r="D3711" s="25" t="str">
        <x:v>tonnes_primary_production_equivalent</x:v>
      </x:c>
    </x:row>
    <x:row r="3712" ht="18" customHeight="1">
      <x:c r="A3712" s="25" t="str">
        <x:v>EEZ_954</x:v>
      </x:c>
      <x:c r="B3712" s="25" t="str">
        <x:v>raw_filtered_tonnes</x:v>
      </x:c>
      <x:c r="C3712" s="25" t="n">
        <x:v>11740.798835807702</x:v>
      </x:c>
      <x:c r="D3712" s="25" t="str">
        <x:v>tonnes</x:v>
      </x:c>
    </x:row>
    <x:row r="3713" ht="18" customHeight="1">
      <x:c r="A3713" s="25" t="str">
        <x:v>EEZ_954</x:v>
      </x:c>
      <x:c r="B3713" s="25" t="str">
        <x:v>species_catch_tonnes</x:v>
      </x:c>
      <x:c r="C3713" s="25" t="n">
        <x:v>11740.798835807702</x:v>
      </x:c>
      <x:c r="D3713" s="25" t="str">
        <x:v>tonnes</x:v>
      </x:c>
    </x:row>
    <x:row r="3714" ht="18" customHeight="1">
      <x:c r="A3714" s="25" t="str">
        <x:v>EEZ_954</x:v>
      </x:c>
      <x:c r="B3714" s="25" t="str">
        <x:v>catch_difference_tonnes</x:v>
      </x:c>
      <x:c r="C3714" s="25" t="n">
        <x:v>0</x:v>
      </x:c>
      <x:c r="D3714" s="25" t="str">
        <x:v>tonnes</x:v>
      </x:c>
    </x:row>
    <x:row r="3715" ht="18" customHeight="1">
      <x:c r="A3715" s="25" t="str">
        <x:v>EEZ_954</x:v>
      </x:c>
      <x:c r="B3715" s="25" t="str">
        <x:v>catch_reconciled</x:v>
      </x:c>
      <x:c r="C3715" s="36" t="b">
        <x:v>1</x:v>
      </x:c>
      <x:c r="D3715" s="25" t="str">
        <x:v>boolean</x:v>
      </x:c>
    </x:row>
    <x:row r="3716" ht="18" customHeight="1">
      <x:c r="A3716" s="25" t="str">
        <x:v>EEZ_954</x:v>
      </x:c>
      <x:c r="B3716" s="25" t="str">
        <x:v>matched_catch_tonnes</x:v>
      </x:c>
      <x:c r="C3716" s="25" t="n">
        <x:v>11740.798835807702</x:v>
      </x:c>
      <x:c r="D3716" s="25" t="str">
        <x:v>tonnes</x:v>
      </x:c>
    </x:row>
    <x:row r="3717" ht="18" customHeight="1">
      <x:c r="A3717" s="25" t="str">
        <x:v>EEZ_954</x:v>
      </x:c>
      <x:c r="B3717" s="25" t="str">
        <x:v>catch_coverage_fraction</x:v>
      </x:c>
      <x:c r="C3717" s="25" t="n">
        <x:v>1</x:v>
      </x:c>
      <x:c r="D3717" s="25" t="str">
        <x:v>fraction</x:v>
      </x:c>
    </x:row>
    <x:row r="3718" ht="18" customHeight="1">
      <x:c r="A3718" s="25" t="str">
        <x:v>EEZ_954</x:v>
      </x:c>
      <x:c r="B3718" s="25" t="str">
        <x:v>taxa_count</x:v>
      </x:c>
      <x:c r="C3718" s="25" t="n">
        <x:v>74</x:v>
      </x:c>
      <x:c r="D3718" s="25" t="str">
        <x:v>count</x:v>
      </x:c>
    </x:row>
    <x:row r="3719" ht="18" customHeight="1">
      <x:c r="A3719" s="25" t="str">
        <x:v>EEZ_954</x:v>
      </x:c>
      <x:c r="B3719" s="25" t="str">
        <x:v>matched_taxa_count</x:v>
      </x:c>
      <x:c r="C3719" s="25" t="n">
        <x:v>74</x:v>
      </x:c>
      <x:c r="D3719" s="25" t="str">
        <x:v>count</x:v>
      </x:c>
    </x:row>
    <x:row r="3720" ht="18" customHeight="1">
      <x:c r="A3720" s="25" t="str">
        <x:v>EEZ_954</x:v>
      </x:c>
      <x:c r="B3720" s="25" t="str">
        <x:v>unmatched_taxa_count</x:v>
      </x:c>
      <x:c r="C3720" s="25" t="n">
        <x:v>0</x:v>
      </x:c>
      <x:c r="D3720" s="25" t="str">
        <x:v>count</x:v>
      </x:c>
    </x:row>
    <x:row r="3721" ht="18" customHeight="1">
      <x:c r="A3721" s="25" t="str">
        <x:v>EEZ_954</x:v>
      </x:c>
      <x:c r="B3721" s="25" t="str">
        <x:v>species_ppr</x:v>
      </x:c>
      <x:c r="C3721" s="25" t="n">
        <x:v>13513947.448119681</x:v>
      </x:c>
      <x:c r="D3721" s="25" t="str">
        <x:v>tonnes_primary_production_equivalent</x:v>
      </x:c>
    </x:row>
    <x:row r="3722" ht="18" customHeight="1">
      <x:c r="A3722" s="25" t="str">
        <x:v>EEZ_954</x:v>
      </x:c>
      <x:c r="B3722" s="25" t="str">
        <x:v>commercial_ppr</x:v>
      </x:c>
      <x:c r="C3722" s="25" t="n">
        <x:v>9917710.889332749</x:v>
      </x:c>
      <x:c r="D3722" s="25" t="str">
        <x:v>tonnes_primary_production_equivalent</x:v>
      </x:c>
    </x:row>
    <x:row r="3723" ht="18" customHeight="1">
      <x:c r="A3723" s="25" t="str">
        <x:v>EEZ_954</x:v>
      </x:c>
      <x:c r="B3723" s="25" t="str">
        <x:v>functional_ppr</x:v>
      </x:c>
      <x:c r="C3723" s="25" t="n">
        <x:v>12770241.948723067</x:v>
      </x:c>
      <x:c r="D3723" s="25" t="str">
        <x:v>tonnes_primary_production_equivalent</x:v>
      </x:c>
    </x:row>
    <x:row r="3724" ht="18" customHeight="1">
      <x:c r="A3724" s="25" t="str">
        <x:v>EEZ_954</x:v>
      </x:c>
      <x:c r="B3724" s="25" t="str">
        <x:v>commercial_ppr_difference</x:v>
      </x:c>
      <x:c r="C3724" s="25" t="n">
        <x:v>-3596236.5587869324</x:v>
      </x:c>
      <x:c r="D3724" s="25" t="str">
        <x:v>tonnes_primary_production_equivalent</x:v>
      </x:c>
    </x:row>
    <x:row r="3725" ht="18" customHeight="1">
      <x:c r="A3725" s="25" t="str">
        <x:v>EEZ_954</x:v>
      </x:c>
      <x:c r="B3725" s="25" t="str">
        <x:v>functional_ppr_difference</x:v>
      </x:c>
      <x:c r="C3725" s="25" t="n">
        <x:v>-743705.4993966147</x:v>
      </x:c>
      <x:c r="D3725" s="25" t="str">
        <x:v>tonnes_primary_production_equivalent</x:v>
      </x:c>
    </x:row>
    <x:row r="3726" ht="18" customHeight="1">
      <x:c r="A3726" s="25" t="str">
        <x:v>EEZ_956</x:v>
      </x:c>
      <x:c r="B3726" s="25" t="str">
        <x:v>raw_filtered_tonnes</x:v>
      </x:c>
      <x:c r="C3726" s="25" t="n">
        <x:v>421454.1155394422</x:v>
      </x:c>
      <x:c r="D3726" s="25" t="str">
        <x:v>tonnes</x:v>
      </x:c>
    </x:row>
    <x:row r="3727" ht="18" customHeight="1">
      <x:c r="A3727" s="25" t="str">
        <x:v>EEZ_956</x:v>
      </x:c>
      <x:c r="B3727" s="25" t="str">
        <x:v>species_catch_tonnes</x:v>
      </x:c>
      <x:c r="C3727" s="25" t="n">
        <x:v>421454.11553944217</x:v>
      </x:c>
      <x:c r="D3727" s="25" t="str">
        <x:v>tonnes</x:v>
      </x:c>
    </x:row>
    <x:row r="3728" ht="18" customHeight="1">
      <x:c r="A3728" s="25" t="str">
        <x:v>EEZ_956</x:v>
      </x:c>
      <x:c r="B3728" s="25" t="str">
        <x:v>catch_difference_tonnes</x:v>
      </x:c>
      <x:c r="C3728" s="25" t="n">
        <x:v>-5.820766091346741e-11</x:v>
      </x:c>
      <x:c r="D3728" s="25" t="str">
        <x:v>tonnes</x:v>
      </x:c>
    </x:row>
    <x:row r="3729" ht="18" customHeight="1">
      <x:c r="A3729" s="25" t="str">
        <x:v>EEZ_956</x:v>
      </x:c>
      <x:c r="B3729" s="25" t="str">
        <x:v>catch_reconciled</x:v>
      </x:c>
      <x:c r="C3729" s="36" t="b">
        <x:v>1</x:v>
      </x:c>
      <x:c r="D3729" s="25" t="str">
        <x:v>boolean</x:v>
      </x:c>
    </x:row>
    <x:row r="3730" ht="18" customHeight="1">
      <x:c r="A3730" s="25" t="str">
        <x:v>EEZ_956</x:v>
      </x:c>
      <x:c r="B3730" s="25" t="str">
        <x:v>matched_catch_tonnes</x:v>
      </x:c>
      <x:c r="C3730" s="25" t="n">
        <x:v>421454.11553944217</x:v>
      </x:c>
      <x:c r="D3730" s="25" t="str">
        <x:v>tonnes</x:v>
      </x:c>
    </x:row>
    <x:row r="3731" ht="18" customHeight="1">
      <x:c r="A3731" s="25" t="str">
        <x:v>EEZ_956</x:v>
      </x:c>
      <x:c r="B3731" s="25" t="str">
        <x:v>catch_coverage_fraction</x:v>
      </x:c>
      <x:c r="C3731" s="25" t="n">
        <x:v>1</x:v>
      </x:c>
      <x:c r="D3731" s="25" t="str">
        <x:v>fraction</x:v>
      </x:c>
    </x:row>
    <x:row r="3732" ht="18" customHeight="1">
      <x:c r="A3732" s="25" t="str">
        <x:v>EEZ_956</x:v>
      </x:c>
      <x:c r="B3732" s="25" t="str">
        <x:v>taxa_count</x:v>
      </x:c>
      <x:c r="C3732" s="25" t="n">
        <x:v>69</x:v>
      </x:c>
      <x:c r="D3732" s="25" t="str">
        <x:v>count</x:v>
      </x:c>
    </x:row>
    <x:row r="3733" ht="18" customHeight="1">
      <x:c r="A3733" s="25" t="str">
        <x:v>EEZ_956</x:v>
      </x:c>
      <x:c r="B3733" s="25" t="str">
        <x:v>matched_taxa_count</x:v>
      </x:c>
      <x:c r="C3733" s="25" t="n">
        <x:v>69</x:v>
      </x:c>
      <x:c r="D3733" s="25" t="str">
        <x:v>count</x:v>
      </x:c>
    </x:row>
    <x:row r="3734" ht="18" customHeight="1">
      <x:c r="A3734" s="25" t="str">
        <x:v>EEZ_956</x:v>
      </x:c>
      <x:c r="B3734" s="25" t="str">
        <x:v>unmatched_taxa_count</x:v>
      </x:c>
      <x:c r="C3734" s="25" t="n">
        <x:v>0</x:v>
      </x:c>
      <x:c r="D3734" s="25" t="str">
        <x:v>count</x:v>
      </x:c>
    </x:row>
    <x:row r="3735" ht="18" customHeight="1">
      <x:c r="A3735" s="25" t="str">
        <x:v>EEZ_956</x:v>
      </x:c>
      <x:c r="B3735" s="25" t="str">
        <x:v>species_ppr</x:v>
      </x:c>
      <x:c r="C3735" s="25" t="n">
        <x:v>313495011.23728895</x:v>
      </x:c>
      <x:c r="D3735" s="25" t="str">
        <x:v>tonnes_primary_production_equivalent</x:v>
      </x:c>
    </x:row>
    <x:row r="3736" ht="18" customHeight="1">
      <x:c r="A3736" s="25" t="str">
        <x:v>EEZ_956</x:v>
      </x:c>
      <x:c r="B3736" s="25" t="str">
        <x:v>commercial_ppr</x:v>
      </x:c>
      <x:c r="C3736" s="25" t="n">
        <x:v>224493243.41878027</x:v>
      </x:c>
      <x:c r="D3736" s="25" t="str">
        <x:v>tonnes_primary_production_equivalent</x:v>
      </x:c>
    </x:row>
    <x:row r="3737" ht="18" customHeight="1">
      <x:c r="A3737" s="25" t="str">
        <x:v>EEZ_956</x:v>
      </x:c>
      <x:c r="B3737" s="25" t="str">
        <x:v>functional_ppr</x:v>
      </x:c>
      <x:c r="C3737" s="25" t="n">
        <x:v>252670912.2626254</x:v>
      </x:c>
      <x:c r="D3737" s="25" t="str">
        <x:v>tonnes_primary_production_equivalent</x:v>
      </x:c>
    </x:row>
    <x:row r="3738" ht="18" customHeight="1">
      <x:c r="A3738" s="25" t="str">
        <x:v>EEZ_956</x:v>
      </x:c>
      <x:c r="B3738" s="25" t="str">
        <x:v>commercial_ppr_difference</x:v>
      </x:c>
      <x:c r="C3738" s="25" t="n">
        <x:v>-89001767.81850868</x:v>
      </x:c>
      <x:c r="D3738" s="25" t="str">
        <x:v>tonnes_primary_production_equivalent</x:v>
      </x:c>
    </x:row>
    <x:row r="3739" ht="18" customHeight="1">
      <x:c r="A3739" s="25" t="str">
        <x:v>EEZ_956</x:v>
      </x:c>
      <x:c r="B3739" s="25" t="str">
        <x:v>functional_ppr_difference</x:v>
      </x:c>
      <x:c r="C3739" s="25" t="n">
        <x:v>-60824098.974663556</x:v>
      </x:c>
      <x:c r="D3739" s="25" t="str">
        <x:v>tonnes_primary_production_equivalent</x:v>
      </x:c>
    </x:row>
    <x:row r="3740" ht="18" customHeight="1">
      <x:c r="A3740" s="25" t="str">
        <x:v>EEZ_957</x:v>
      </x:c>
      <x:c r="B3740" s="25" t="str">
        <x:v>raw_filtered_tonnes</x:v>
      </x:c>
      <x:c r="C3740" s="25" t="n">
        <x:v>1326966.3114427114</x:v>
      </x:c>
      <x:c r="D3740" s="25" t="str">
        <x:v>tonnes</x:v>
      </x:c>
    </x:row>
    <x:row r="3741" ht="18" customHeight="1">
      <x:c r="A3741" s="25" t="str">
        <x:v>EEZ_957</x:v>
      </x:c>
      <x:c r="B3741" s="25" t="str">
        <x:v>species_catch_tonnes</x:v>
      </x:c>
      <x:c r="C3741" s="25" t="n">
        <x:v>1326966.3114427112</x:v>
      </x:c>
      <x:c r="D3741" s="25" t="str">
        <x:v>tonnes</x:v>
      </x:c>
    </x:row>
    <x:row r="3742" ht="18" customHeight="1">
      <x:c r="A3742" s="25" t="str">
        <x:v>EEZ_957</x:v>
      </x:c>
      <x:c r="B3742" s="25" t="str">
        <x:v>catch_difference_tonnes</x:v>
      </x:c>
      <x:c r="C3742" s="25" t="n">
        <x:v>-2.3283064365386963e-10</x:v>
      </x:c>
      <x:c r="D3742" s="25" t="str">
        <x:v>tonnes</x:v>
      </x:c>
    </x:row>
    <x:row r="3743" ht="18" customHeight="1">
      <x:c r="A3743" s="25" t="str">
        <x:v>EEZ_957</x:v>
      </x:c>
      <x:c r="B3743" s="25" t="str">
        <x:v>catch_reconciled</x:v>
      </x:c>
      <x:c r="C3743" s="36" t="b">
        <x:v>1</x:v>
      </x:c>
      <x:c r="D3743" s="25" t="str">
        <x:v>boolean</x:v>
      </x:c>
    </x:row>
    <x:row r="3744" ht="18" customHeight="1">
      <x:c r="A3744" s="25" t="str">
        <x:v>EEZ_957</x:v>
      </x:c>
      <x:c r="B3744" s="25" t="str">
        <x:v>matched_catch_tonnes</x:v>
      </x:c>
      <x:c r="C3744" s="25" t="n">
        <x:v>1326966.3114427112</x:v>
      </x:c>
      <x:c r="D3744" s="25" t="str">
        <x:v>tonnes</x:v>
      </x:c>
    </x:row>
    <x:row r="3745" ht="18" customHeight="1">
      <x:c r="A3745" s="25" t="str">
        <x:v>EEZ_957</x:v>
      </x:c>
      <x:c r="B3745" s="25" t="str">
        <x:v>catch_coverage_fraction</x:v>
      </x:c>
      <x:c r="C3745" s="25" t="n">
        <x:v>1</x:v>
      </x:c>
      <x:c r="D3745" s="25" t="str">
        <x:v>fraction</x:v>
      </x:c>
    </x:row>
    <x:row r="3746" ht="18" customHeight="1">
      <x:c r="A3746" s="25" t="str">
        <x:v>EEZ_957</x:v>
      </x:c>
      <x:c r="B3746" s="25" t="str">
        <x:v>taxa_count</x:v>
      </x:c>
      <x:c r="C3746" s="25" t="n">
        <x:v>59</x:v>
      </x:c>
      <x:c r="D3746" s="25" t="str">
        <x:v>count</x:v>
      </x:c>
    </x:row>
    <x:row r="3747" ht="18" customHeight="1">
      <x:c r="A3747" s="25" t="str">
        <x:v>EEZ_957</x:v>
      </x:c>
      <x:c r="B3747" s="25" t="str">
        <x:v>matched_taxa_count</x:v>
      </x:c>
      <x:c r="C3747" s="25" t="n">
        <x:v>59</x:v>
      </x:c>
      <x:c r="D3747" s="25" t="str">
        <x:v>count</x:v>
      </x:c>
    </x:row>
    <x:row r="3748" ht="18" customHeight="1">
      <x:c r="A3748" s="25" t="str">
        <x:v>EEZ_957</x:v>
      </x:c>
      <x:c r="B3748" s="25" t="str">
        <x:v>unmatched_taxa_count</x:v>
      </x:c>
      <x:c r="C3748" s="25" t="n">
        <x:v>0</x:v>
      </x:c>
      <x:c r="D3748" s="25" t="str">
        <x:v>count</x:v>
      </x:c>
    </x:row>
    <x:row r="3749" ht="18" customHeight="1">
      <x:c r="A3749" s="25" t="str">
        <x:v>EEZ_957</x:v>
      </x:c>
      <x:c r="B3749" s="25" t="str">
        <x:v>species_ppr</x:v>
      </x:c>
      <x:c r="C3749" s="25" t="n">
        <x:v>739082508.1879923</x:v>
      </x:c>
      <x:c r="D3749" s="25" t="str">
        <x:v>tonnes_primary_production_equivalent</x:v>
      </x:c>
    </x:row>
    <x:row r="3750" ht="18" customHeight="1">
      <x:c r="A3750" s="25" t="str">
        <x:v>EEZ_957</x:v>
      </x:c>
      <x:c r="B3750" s="25" t="str">
        <x:v>commercial_ppr</x:v>
      </x:c>
      <x:c r="C3750" s="25" t="n">
        <x:v>525831874.2784343</x:v>
      </x:c>
      <x:c r="D3750" s="25" t="str">
        <x:v>tonnes_primary_production_equivalent</x:v>
      </x:c>
    </x:row>
    <x:row r="3751" ht="18" customHeight="1">
      <x:c r="A3751" s="25" t="str">
        <x:v>EEZ_957</x:v>
      </x:c>
      <x:c r="B3751" s="25" t="str">
        <x:v>functional_ppr</x:v>
      </x:c>
      <x:c r="C3751" s="25" t="n">
        <x:v>608978643.1813896</x:v>
      </x:c>
      <x:c r="D3751" s="25" t="str">
        <x:v>tonnes_primary_production_equivalent</x:v>
      </x:c>
    </x:row>
    <x:row r="3752" ht="18" customHeight="1">
      <x:c r="A3752" s="25" t="str">
        <x:v>EEZ_957</x:v>
      </x:c>
      <x:c r="B3752" s="25" t="str">
        <x:v>commercial_ppr_difference</x:v>
      </x:c>
      <x:c r="C3752" s="25" t="n">
        <x:v>-213250633.90955806</x:v>
      </x:c>
      <x:c r="D3752" s="25" t="str">
        <x:v>tonnes_primary_production_equivalent</x:v>
      </x:c>
    </x:row>
    <x:row r="3753" ht="18" customHeight="1">
      <x:c r="A3753" s="25" t="str">
        <x:v>EEZ_957</x:v>
      </x:c>
      <x:c r="B3753" s="25" t="str">
        <x:v>functional_ppr_difference</x:v>
      </x:c>
      <x:c r="C3753" s="25" t="n">
        <x:v>-130103865.00660276</x:v>
      </x:c>
      <x:c r="D3753" s="25" t="str">
        <x:v>tonnes_primary_production_equivalent</x:v>
      </x:c>
    </x:row>
    <x:row r="3754" ht="18" customHeight="1">
      <x:c r="A3754" s="25" t="str">
        <x:v>EEZ_958</x:v>
      </x:c>
      <x:c r="B3754" s="25" t="str">
        <x:v>raw_filtered_tonnes</x:v>
      </x:c>
      <x:c r="C3754" s="25" t="n">
        <x:v>1473.4283625649998</x:v>
      </x:c>
      <x:c r="D3754" s="25" t="str">
        <x:v>tonnes</x:v>
      </x:c>
    </x:row>
    <x:row r="3755" ht="18" customHeight="1">
      <x:c r="A3755" s="25" t="str">
        <x:v>EEZ_958</x:v>
      </x:c>
      <x:c r="B3755" s="25" t="str">
        <x:v>species_catch_tonnes</x:v>
      </x:c>
      <x:c r="C3755" s="25" t="n">
        <x:v>1473.428362565</x:v>
      </x:c>
      <x:c r="D3755" s="25" t="str">
        <x:v>tonnes</x:v>
      </x:c>
    </x:row>
    <x:row r="3756" ht="18" customHeight="1">
      <x:c r="A3756" s="25" t="str">
        <x:v>EEZ_958</x:v>
      </x:c>
      <x:c r="B3756" s="25" t="str">
        <x:v>catch_difference_tonnes</x:v>
      </x:c>
      <x:c r="C3756" s="25" t="n">
        <x:v>2.2737367544323206e-13</x:v>
      </x:c>
      <x:c r="D3756" s="25" t="str">
        <x:v>tonnes</x:v>
      </x:c>
    </x:row>
    <x:row r="3757" ht="18" customHeight="1">
      <x:c r="A3757" s="25" t="str">
        <x:v>EEZ_958</x:v>
      </x:c>
      <x:c r="B3757" s="25" t="str">
        <x:v>catch_reconciled</x:v>
      </x:c>
      <x:c r="C3757" s="36" t="b">
        <x:v>1</x:v>
      </x:c>
      <x:c r="D3757" s="25" t="str">
        <x:v>boolean</x:v>
      </x:c>
    </x:row>
    <x:row r="3758" ht="18" customHeight="1">
      <x:c r="A3758" s="25" t="str">
        <x:v>EEZ_958</x:v>
      </x:c>
      <x:c r="B3758" s="25" t="str">
        <x:v>matched_catch_tonnes</x:v>
      </x:c>
      <x:c r="C3758" s="25" t="n">
        <x:v>1473.428362565</x:v>
      </x:c>
      <x:c r="D3758" s="25" t="str">
        <x:v>tonnes</x:v>
      </x:c>
    </x:row>
    <x:row r="3759" ht="18" customHeight="1">
      <x:c r="A3759" s="25" t="str">
        <x:v>EEZ_958</x:v>
      </x:c>
      <x:c r="B3759" s="25" t="str">
        <x:v>catch_coverage_fraction</x:v>
      </x:c>
      <x:c r="C3759" s="25" t="n">
        <x:v>1</x:v>
      </x:c>
      <x:c r="D3759" s="25" t="str">
        <x:v>fraction</x:v>
      </x:c>
    </x:row>
    <x:row r="3760" ht="18" customHeight="1">
      <x:c r="A3760" s="25" t="str">
        <x:v>EEZ_958</x:v>
      </x:c>
      <x:c r="B3760" s="25" t="str">
        <x:v>taxa_count</x:v>
      </x:c>
      <x:c r="C3760" s="25" t="n">
        <x:v>19</x:v>
      </x:c>
      <x:c r="D3760" s="25" t="str">
        <x:v>count</x:v>
      </x:c>
    </x:row>
    <x:row r="3761" ht="18" customHeight="1">
      <x:c r="A3761" s="25" t="str">
        <x:v>EEZ_958</x:v>
      </x:c>
      <x:c r="B3761" s="25" t="str">
        <x:v>matched_taxa_count</x:v>
      </x:c>
      <x:c r="C3761" s="25" t="n">
        <x:v>19</x:v>
      </x:c>
      <x:c r="D3761" s="25" t="str">
        <x:v>count</x:v>
      </x:c>
    </x:row>
    <x:row r="3762" ht="18" customHeight="1">
      <x:c r="A3762" s="25" t="str">
        <x:v>EEZ_958</x:v>
      </x:c>
      <x:c r="B3762" s="25" t="str">
        <x:v>unmatched_taxa_count</x:v>
      </x:c>
      <x:c r="C3762" s="25" t="n">
        <x:v>0</x:v>
      </x:c>
      <x:c r="D3762" s="25" t="str">
        <x:v>count</x:v>
      </x:c>
    </x:row>
    <x:row r="3763" ht="18" customHeight="1">
      <x:c r="A3763" s="25" t="str">
        <x:v>EEZ_958</x:v>
      </x:c>
      <x:c r="B3763" s="25" t="str">
        <x:v>species_ppr</x:v>
      </x:c>
      <x:c r="C3763" s="25" t="n">
        <x:v>1202804.8239992876</x:v>
      </x:c>
      <x:c r="D3763" s="25" t="str">
        <x:v>tonnes_primary_production_equivalent</x:v>
      </x:c>
    </x:row>
    <x:row r="3764" ht="18" customHeight="1">
      <x:c r="A3764" s="25" t="str">
        <x:v>EEZ_958</x:v>
      </x:c>
      <x:c r="B3764" s="25" t="str">
        <x:v>commercial_ppr</x:v>
      </x:c>
      <x:c r="C3764" s="25" t="n">
        <x:v>894497.4422962421</x:v>
      </x:c>
      <x:c r="D3764" s="25" t="str">
        <x:v>tonnes_primary_production_equivalent</x:v>
      </x:c>
    </x:row>
    <x:row r="3765" ht="18" customHeight="1">
      <x:c r="A3765" s="25" t="str">
        <x:v>EEZ_958</x:v>
      </x:c>
      <x:c r="B3765" s="25" t="str">
        <x:v>functional_ppr</x:v>
      </x:c>
      <x:c r="C3765" s="25" t="n">
        <x:v>1051004.570512995</x:v>
      </x:c>
      <x:c r="D3765" s="25" t="str">
        <x:v>tonnes_primary_production_equivalent</x:v>
      </x:c>
    </x:row>
    <x:row r="3766" ht="18" customHeight="1">
      <x:c r="A3766" s="25" t="str">
        <x:v>EEZ_958</x:v>
      </x:c>
      <x:c r="B3766" s="25" t="str">
        <x:v>commercial_ppr_difference</x:v>
      </x:c>
      <x:c r="C3766" s="25" t="n">
        <x:v>-308307.38170304545</x:v>
      </x:c>
      <x:c r="D3766" s="25" t="str">
        <x:v>tonnes_primary_production_equivalent</x:v>
      </x:c>
    </x:row>
    <x:row r="3767" ht="18" customHeight="1">
      <x:c r="A3767" s="25" t="str">
        <x:v>EEZ_958</x:v>
      </x:c>
      <x:c r="B3767" s="25" t="str">
        <x:v>functional_ppr_difference</x:v>
      </x:c>
      <x:c r="C3767" s="25" t="n">
        <x:v>-151800.25348629267</x:v>
      </x:c>
      <x:c r="D3767" s="25" t="str">
        <x:v>tonnes_primary_production_equivalent</x:v>
      </x:c>
    </x:row>
    <x:row r="3768" ht="18" customHeight="1">
      <x:c r="A3768" s="25" t="str">
        <x:v>EEZ_959</x:v>
      </x:c>
      <x:c r="B3768" s="25" t="str">
        <x:v>raw_filtered_tonnes</x:v>
      </x:c>
      <x:c r="C3768" s="25" t="n">
        <x:v>2640185.1931024343</x:v>
      </x:c>
      <x:c r="D3768" s="25" t="str">
        <x:v>tonnes</x:v>
      </x:c>
    </x:row>
    <x:row r="3769" ht="18" customHeight="1">
      <x:c r="A3769" s="25" t="str">
        <x:v>EEZ_959</x:v>
      </x:c>
      <x:c r="B3769" s="25" t="str">
        <x:v>species_catch_tonnes</x:v>
      </x:c>
      <x:c r="C3769" s="25" t="n">
        <x:v>2640185.1931024343</x:v>
      </x:c>
      <x:c r="D3769" s="25" t="str">
        <x:v>tonnes</x:v>
      </x:c>
    </x:row>
    <x:row r="3770" ht="18" customHeight="1">
      <x:c r="A3770" s="25" t="str">
        <x:v>EEZ_959</x:v>
      </x:c>
      <x:c r="B3770" s="25" t="str">
        <x:v>catch_difference_tonnes</x:v>
      </x:c>
      <x:c r="C3770" s="25" t="n">
        <x:v>0</x:v>
      </x:c>
      <x:c r="D3770" s="25" t="str">
        <x:v>tonnes</x:v>
      </x:c>
    </x:row>
    <x:row r="3771" ht="18" customHeight="1">
      <x:c r="A3771" s="25" t="str">
        <x:v>EEZ_959</x:v>
      </x:c>
      <x:c r="B3771" s="25" t="str">
        <x:v>catch_reconciled</x:v>
      </x:c>
      <x:c r="C3771" s="36" t="b">
        <x:v>1</x:v>
      </x:c>
      <x:c r="D3771" s="25" t="str">
        <x:v>boolean</x:v>
      </x:c>
    </x:row>
    <x:row r="3772" ht="18" customHeight="1">
      <x:c r="A3772" s="25" t="str">
        <x:v>EEZ_959</x:v>
      </x:c>
      <x:c r="B3772" s="25" t="str">
        <x:v>matched_catch_tonnes</x:v>
      </x:c>
      <x:c r="C3772" s="25" t="n">
        <x:v>2640185.1931024343</x:v>
      </x:c>
      <x:c r="D3772" s="25" t="str">
        <x:v>tonnes</x:v>
      </x:c>
    </x:row>
    <x:row r="3773" ht="18" customHeight="1">
      <x:c r="A3773" s="25" t="str">
        <x:v>EEZ_959</x:v>
      </x:c>
      <x:c r="B3773" s="25" t="str">
        <x:v>catch_coverage_fraction</x:v>
      </x:c>
      <x:c r="C3773" s="25" t="n">
        <x:v>1</x:v>
      </x:c>
      <x:c r="D3773" s="25" t="str">
        <x:v>fraction</x:v>
      </x:c>
    </x:row>
    <x:row r="3774" ht="18" customHeight="1">
      <x:c r="A3774" s="25" t="str">
        <x:v>EEZ_959</x:v>
      </x:c>
      <x:c r="B3774" s="25" t="str">
        <x:v>taxa_count</x:v>
      </x:c>
      <x:c r="C3774" s="25" t="n">
        <x:v>82</x:v>
      </x:c>
      <x:c r="D3774" s="25" t="str">
        <x:v>count</x:v>
      </x:c>
    </x:row>
    <x:row r="3775" ht="18" customHeight="1">
      <x:c r="A3775" s="25" t="str">
        <x:v>EEZ_959</x:v>
      </x:c>
      <x:c r="B3775" s="25" t="str">
        <x:v>matched_taxa_count</x:v>
      </x:c>
      <x:c r="C3775" s="25" t="n">
        <x:v>82</x:v>
      </x:c>
      <x:c r="D3775" s="25" t="str">
        <x:v>count</x:v>
      </x:c>
    </x:row>
    <x:row r="3776" ht="18" customHeight="1">
      <x:c r="A3776" s="25" t="str">
        <x:v>EEZ_959</x:v>
      </x:c>
      <x:c r="B3776" s="25" t="str">
        <x:v>unmatched_taxa_count</x:v>
      </x:c>
      <x:c r="C3776" s="25" t="n">
        <x:v>0</x:v>
      </x:c>
      <x:c r="D3776" s="25" t="str">
        <x:v>count</x:v>
      </x:c>
    </x:row>
    <x:row r="3777" ht="18" customHeight="1">
      <x:c r="A3777" s="25" t="str">
        <x:v>EEZ_959</x:v>
      </x:c>
      <x:c r="B3777" s="25" t="str">
        <x:v>species_ppr</x:v>
      </x:c>
      <x:c r="C3777" s="25" t="n">
        <x:v>1781327374.0574036</x:v>
      </x:c>
      <x:c r="D3777" s="25" t="str">
        <x:v>tonnes_primary_production_equivalent</x:v>
      </x:c>
    </x:row>
    <x:row r="3778" ht="18" customHeight="1">
      <x:c r="A3778" s="25" t="str">
        <x:v>EEZ_959</x:v>
      </x:c>
      <x:c r="B3778" s="25" t="str">
        <x:v>commercial_ppr</x:v>
      </x:c>
      <x:c r="C3778" s="25" t="n">
        <x:v>1391978413.5491133</x:v>
      </x:c>
      <x:c r="D3778" s="25" t="str">
        <x:v>tonnes_primary_production_equivalent</x:v>
      </x:c>
    </x:row>
    <x:row r="3779" ht="18" customHeight="1">
      <x:c r="A3779" s="25" t="str">
        <x:v>EEZ_959</x:v>
      </x:c>
      <x:c r="B3779" s="25" t="str">
        <x:v>functional_ppr</x:v>
      </x:c>
      <x:c r="C3779" s="25" t="n">
        <x:v>1468317274.3697884</x:v>
      </x:c>
      <x:c r="D3779" s="25" t="str">
        <x:v>tonnes_primary_production_equivalent</x:v>
      </x:c>
    </x:row>
    <x:row r="3780" ht="18" customHeight="1">
      <x:c r="A3780" s="25" t="str">
        <x:v>EEZ_959</x:v>
      </x:c>
      <x:c r="B3780" s="25" t="str">
        <x:v>commercial_ppr_difference</x:v>
      </x:c>
      <x:c r="C3780" s="25" t="n">
        <x:v>-389348960.5082903</x:v>
      </x:c>
      <x:c r="D3780" s="25" t="str">
        <x:v>tonnes_primary_production_equivalent</x:v>
      </x:c>
    </x:row>
    <x:row r="3781" ht="18" customHeight="1">
      <x:c r="A3781" s="25" t="str">
        <x:v>EEZ_959</x:v>
      </x:c>
      <x:c r="B3781" s="25" t="str">
        <x:v>functional_ppr_difference</x:v>
      </x:c>
      <x:c r="C3781" s="25" t="n">
        <x:v>-313010099.68761516</x:v>
      </x:c>
      <x:c r="D3781" s="25" t="str">
        <x:v>tonnes_primary_production_equivalent</x:v>
      </x:c>
    </x:row>
    <x:row r="3782" ht="18" customHeight="1">
      <x:c r="A3782" s="25" t="str">
        <x:v>EEZ_962</x:v>
      </x:c>
      <x:c r="B3782" s="25" t="str">
        <x:v>raw_filtered_tonnes</x:v>
      </x:c>
      <x:c r="C3782" s="25" t="n">
        <x:v>200667.82998734072</x:v>
      </x:c>
      <x:c r="D3782" s="25" t="str">
        <x:v>tonnes</x:v>
      </x:c>
    </x:row>
    <x:row r="3783" ht="18" customHeight="1">
      <x:c r="A3783" s="25" t="str">
        <x:v>EEZ_962</x:v>
      </x:c>
      <x:c r="B3783" s="25" t="str">
        <x:v>species_catch_tonnes</x:v>
      </x:c>
      <x:c r="C3783" s="25" t="n">
        <x:v>200667.8299873407</x:v>
      </x:c>
      <x:c r="D3783" s="25" t="str">
        <x:v>tonnes</x:v>
      </x:c>
    </x:row>
    <x:row r="3784" ht="18" customHeight="1">
      <x:c r="A3784" s="25" t="str">
        <x:v>EEZ_962</x:v>
      </x:c>
      <x:c r="B3784" s="25" t="str">
        <x:v>catch_difference_tonnes</x:v>
      </x:c>
      <x:c r="C3784" s="25" t="n">
        <x:v>-2.9103830456733704e-11</x:v>
      </x:c>
      <x:c r="D3784" s="25" t="str">
        <x:v>tonnes</x:v>
      </x:c>
    </x:row>
    <x:row r="3785" ht="18" customHeight="1">
      <x:c r="A3785" s="25" t="str">
        <x:v>EEZ_962</x:v>
      </x:c>
      <x:c r="B3785" s="25" t="str">
        <x:v>catch_reconciled</x:v>
      </x:c>
      <x:c r="C3785" s="36" t="b">
        <x:v>1</x:v>
      </x:c>
      <x:c r="D3785" s="25" t="str">
        <x:v>boolean</x:v>
      </x:c>
    </x:row>
    <x:row r="3786" ht="18" customHeight="1">
      <x:c r="A3786" s="25" t="str">
        <x:v>EEZ_962</x:v>
      </x:c>
      <x:c r="B3786" s="25" t="str">
        <x:v>matched_catch_tonnes</x:v>
      </x:c>
      <x:c r="C3786" s="25" t="n">
        <x:v>200667.8299873407</x:v>
      </x:c>
      <x:c r="D3786" s="25" t="str">
        <x:v>tonnes</x:v>
      </x:c>
    </x:row>
    <x:row r="3787" ht="18" customHeight="1">
      <x:c r="A3787" s="25" t="str">
        <x:v>EEZ_962</x:v>
      </x:c>
      <x:c r="B3787" s="25" t="str">
        <x:v>catch_coverage_fraction</x:v>
      </x:c>
      <x:c r="C3787" s="25" t="n">
        <x:v>1</x:v>
      </x:c>
      <x:c r="D3787" s="25" t="str">
        <x:v>fraction</x:v>
      </x:c>
    </x:row>
    <x:row r="3788" ht="18" customHeight="1">
      <x:c r="A3788" s="25" t="str">
        <x:v>EEZ_962</x:v>
      </x:c>
      <x:c r="B3788" s="25" t="str">
        <x:v>taxa_count</x:v>
      </x:c>
      <x:c r="C3788" s="25" t="n">
        <x:v>375</x:v>
      </x:c>
      <x:c r="D3788" s="25" t="str">
        <x:v>count</x:v>
      </x:c>
    </x:row>
    <x:row r="3789" ht="18" customHeight="1">
      <x:c r="A3789" s="25" t="str">
        <x:v>EEZ_962</x:v>
      </x:c>
      <x:c r="B3789" s="25" t="str">
        <x:v>matched_taxa_count</x:v>
      </x:c>
      <x:c r="C3789" s="25" t="n">
        <x:v>375</x:v>
      </x:c>
      <x:c r="D3789" s="25" t="str">
        <x:v>count</x:v>
      </x:c>
    </x:row>
    <x:row r="3790" ht="18" customHeight="1">
      <x:c r="A3790" s="25" t="str">
        <x:v>EEZ_962</x:v>
      </x:c>
      <x:c r="B3790" s="25" t="str">
        <x:v>unmatched_taxa_count</x:v>
      </x:c>
      <x:c r="C3790" s="25" t="n">
        <x:v>0</x:v>
      </x:c>
      <x:c r="D3790" s="25" t="str">
        <x:v>count</x:v>
      </x:c>
    </x:row>
    <x:row r="3791" ht="18" customHeight="1">
      <x:c r="A3791" s="25" t="str">
        <x:v>EEZ_962</x:v>
      </x:c>
      <x:c r="B3791" s="25" t="str">
        <x:v>species_ppr</x:v>
      </x:c>
      <x:c r="C3791" s="25" t="n">
        <x:v>161337945.08672658</x:v>
      </x:c>
      <x:c r="D3791" s="25" t="str">
        <x:v>tonnes_primary_production_equivalent</x:v>
      </x:c>
    </x:row>
    <x:row r="3792" ht="18" customHeight="1">
      <x:c r="A3792" s="25" t="str">
        <x:v>EEZ_962</x:v>
      </x:c>
      <x:c r="B3792" s="25" t="str">
        <x:v>commercial_ppr</x:v>
      </x:c>
      <x:c r="C3792" s="25" t="n">
        <x:v>126841222.70377925</x:v>
      </x:c>
      <x:c r="D3792" s="25" t="str">
        <x:v>tonnes_primary_production_equivalent</x:v>
      </x:c>
    </x:row>
    <x:row r="3793" ht="18" customHeight="1">
      <x:c r="A3793" s="25" t="str">
        <x:v>EEZ_962</x:v>
      </x:c>
      <x:c r="B3793" s="25" t="str">
        <x:v>functional_ppr</x:v>
      </x:c>
      <x:c r="C3793" s="25" t="n">
        <x:v>139703638.27953878</x:v>
      </x:c>
      <x:c r="D3793" s="25" t="str">
        <x:v>tonnes_primary_production_equivalent</x:v>
      </x:c>
    </x:row>
    <x:row r="3794" ht="18" customHeight="1">
      <x:c r="A3794" s="25" t="str">
        <x:v>EEZ_962</x:v>
      </x:c>
      <x:c r="B3794" s="25" t="str">
        <x:v>commercial_ppr_difference</x:v>
      </x:c>
      <x:c r="C3794" s="25" t="n">
        <x:v>-34496722.382947326</x:v>
      </x:c>
      <x:c r="D3794" s="25" t="str">
        <x:v>tonnes_primary_production_equivalent</x:v>
      </x:c>
    </x:row>
    <x:row r="3795" ht="18" customHeight="1">
      <x:c r="A3795" s="25" t="str">
        <x:v>EEZ_962</x:v>
      </x:c>
      <x:c r="B3795" s="25" t="str">
        <x:v>functional_ppr_difference</x:v>
      </x:c>
      <x:c r="C3795" s="25" t="n">
        <x:v>-21634306.807187796</x:v>
      </x:c>
      <x:c r="D3795" s="25" t="str">
        <x:v>tonnes_primary_production_equivalent</x:v>
      </x:c>
    </x:row>
    <x:row r="3796" ht="18" customHeight="1">
      <x:c r="A3796" s="25" t="str">
        <x:v>EEZ_963</x:v>
      </x:c>
      <x:c r="B3796" s="25" t="str">
        <x:v>raw_filtered_tonnes</x:v>
      </x:c>
      <x:c r="C3796" s="25" t="n">
        <x:v>194491.9853032628</x:v>
      </x:c>
      <x:c r="D3796" s="25" t="str">
        <x:v>tonnes</x:v>
      </x:c>
    </x:row>
    <x:row r="3797" ht="18" customHeight="1">
      <x:c r="A3797" s="25" t="str">
        <x:v>EEZ_963</x:v>
      </x:c>
      <x:c r="B3797" s="25" t="str">
        <x:v>species_catch_tonnes</x:v>
      </x:c>
      <x:c r="C3797" s="25" t="n">
        <x:v>194491.9853032628</x:v>
      </x:c>
      <x:c r="D3797" s="25" t="str">
        <x:v>tonnes</x:v>
      </x:c>
    </x:row>
    <x:row r="3798" ht="18" customHeight="1">
      <x:c r="A3798" s="25" t="str">
        <x:v>EEZ_963</x:v>
      </x:c>
      <x:c r="B3798" s="25" t="str">
        <x:v>catch_difference_tonnes</x:v>
      </x:c>
      <x:c r="C3798" s="25" t="n">
        <x:v>0</x:v>
      </x:c>
      <x:c r="D3798" s="25" t="str">
        <x:v>tonnes</x:v>
      </x:c>
    </x:row>
    <x:row r="3799" ht="18" customHeight="1">
      <x:c r="A3799" s="25" t="str">
        <x:v>EEZ_963</x:v>
      </x:c>
      <x:c r="B3799" s="25" t="str">
        <x:v>catch_reconciled</x:v>
      </x:c>
      <x:c r="C3799" s="36" t="b">
        <x:v>1</x:v>
      </x:c>
      <x:c r="D3799" s="25" t="str">
        <x:v>boolean</x:v>
      </x:c>
    </x:row>
    <x:row r="3800" ht="18" customHeight="1">
      <x:c r="A3800" s="25" t="str">
        <x:v>EEZ_963</x:v>
      </x:c>
      <x:c r="B3800" s="25" t="str">
        <x:v>matched_catch_tonnes</x:v>
      </x:c>
      <x:c r="C3800" s="25" t="n">
        <x:v>194491.9853032628</x:v>
      </x:c>
      <x:c r="D3800" s="25" t="str">
        <x:v>tonnes</x:v>
      </x:c>
    </x:row>
    <x:row r="3801" ht="18" customHeight="1">
      <x:c r="A3801" s="25" t="str">
        <x:v>EEZ_963</x:v>
      </x:c>
      <x:c r="B3801" s="25" t="str">
        <x:v>catch_coverage_fraction</x:v>
      </x:c>
      <x:c r="C3801" s="25" t="n">
        <x:v>1</x:v>
      </x:c>
      <x:c r="D3801" s="25" t="str">
        <x:v>fraction</x:v>
      </x:c>
    </x:row>
    <x:row r="3802" ht="18" customHeight="1">
      <x:c r="A3802" s="25" t="str">
        <x:v>EEZ_963</x:v>
      </x:c>
      <x:c r="B3802" s="25" t="str">
        <x:v>taxa_count</x:v>
      </x:c>
      <x:c r="C3802" s="25" t="n">
        <x:v>312</x:v>
      </x:c>
      <x:c r="D3802" s="25" t="str">
        <x:v>count</x:v>
      </x:c>
    </x:row>
    <x:row r="3803" ht="18" customHeight="1">
      <x:c r="A3803" s="25" t="str">
        <x:v>EEZ_963</x:v>
      </x:c>
      <x:c r="B3803" s="25" t="str">
        <x:v>matched_taxa_count</x:v>
      </x:c>
      <x:c r="C3803" s="25" t="n">
        <x:v>312</x:v>
      </x:c>
      <x:c r="D3803" s="25" t="str">
        <x:v>count</x:v>
      </x:c>
    </x:row>
    <x:row r="3804" ht="18" customHeight="1">
      <x:c r="A3804" s="25" t="str">
        <x:v>EEZ_963</x:v>
      </x:c>
      <x:c r="B3804" s="25" t="str">
        <x:v>unmatched_taxa_count</x:v>
      </x:c>
      <x:c r="C3804" s="25" t="n">
        <x:v>0</x:v>
      </x:c>
      <x:c r="D3804" s="25" t="str">
        <x:v>count</x:v>
      </x:c>
    </x:row>
    <x:row r="3805" ht="18" customHeight="1">
      <x:c r="A3805" s="25" t="str">
        <x:v>EEZ_963</x:v>
      </x:c>
      <x:c r="B3805" s="25" t="str">
        <x:v>species_ppr</x:v>
      </x:c>
      <x:c r="C3805" s="25" t="n">
        <x:v>218230163.06143558</x:v>
      </x:c>
      <x:c r="D3805" s="25" t="str">
        <x:v>tonnes_primary_production_equivalent</x:v>
      </x:c>
    </x:row>
    <x:row r="3806" ht="18" customHeight="1">
      <x:c r="A3806" s="25" t="str">
        <x:v>EEZ_963</x:v>
      </x:c>
      <x:c r="B3806" s="25" t="str">
        <x:v>commercial_ppr</x:v>
      </x:c>
      <x:c r="C3806" s="25" t="n">
        <x:v>190512956.20310688</x:v>
      </x:c>
      <x:c r="D3806" s="25" t="str">
        <x:v>tonnes_primary_production_equivalent</x:v>
      </x:c>
    </x:row>
    <x:row r="3807" ht="18" customHeight="1">
      <x:c r="A3807" s="25" t="str">
        <x:v>EEZ_963</x:v>
      </x:c>
      <x:c r="B3807" s="25" t="str">
        <x:v>functional_ppr</x:v>
      </x:c>
      <x:c r="C3807" s="25" t="n">
        <x:v>207412846.6597897</x:v>
      </x:c>
      <x:c r="D3807" s="25" t="str">
        <x:v>tonnes_primary_production_equivalent</x:v>
      </x:c>
    </x:row>
    <x:row r="3808" ht="18" customHeight="1">
      <x:c r="A3808" s="25" t="str">
        <x:v>EEZ_963</x:v>
      </x:c>
      <x:c r="B3808" s="25" t="str">
        <x:v>commercial_ppr_difference</x:v>
      </x:c>
      <x:c r="C3808" s="25" t="n">
        <x:v>-27717206.8583287</x:v>
      </x:c>
      <x:c r="D3808" s="25" t="str">
        <x:v>tonnes_primary_production_equivalent</x:v>
      </x:c>
    </x:row>
    <x:row r="3809" ht="18" customHeight="1">
      <x:c r="A3809" s="25" t="str">
        <x:v>EEZ_963</x:v>
      </x:c>
      <x:c r="B3809" s="25" t="str">
        <x:v>functional_ppr_difference</x:v>
      </x:c>
      <x:c r="C3809" s="25" t="n">
        <x:v>-10817316.401645869</x:v>
      </x:c>
      <x:c r="D3809" s="25" t="str">
        <x:v>tonnes_primary_production_equivalent</x:v>
      </x:c>
    </x:row>
    <x:row r="3810" ht="18" customHeight="1">
      <x:c r="A3810" s="25" t="str">
        <x:v>EEZ_966</x:v>
      </x:c>
      <x:c r="B3810" s="25" t="str">
        <x:v>raw_filtered_tonnes</x:v>
      </x:c>
      <x:c r="C3810" s="25" t="n">
        <x:v>135279.2422413837</x:v>
      </x:c>
      <x:c r="D3810" s="25" t="str">
        <x:v>tonnes</x:v>
      </x:c>
    </x:row>
    <x:row r="3811" ht="18" customHeight="1">
      <x:c r="A3811" s="25" t="str">
        <x:v>EEZ_966</x:v>
      </x:c>
      <x:c r="B3811" s="25" t="str">
        <x:v>species_catch_tonnes</x:v>
      </x:c>
      <x:c r="C3811" s="25" t="n">
        <x:v>135279.24224138368</x:v>
      </x:c>
      <x:c r="D3811" s="25" t="str">
        <x:v>tonnes</x:v>
      </x:c>
    </x:row>
    <x:row r="3812" ht="18" customHeight="1">
      <x:c r="A3812" s="25" t="str">
        <x:v>EEZ_966</x:v>
      </x:c>
      <x:c r="B3812" s="25" t="str">
        <x:v>catch_difference_tonnes</x:v>
      </x:c>
      <x:c r="C3812" s="25" t="n">
        <x:v>-2.9103830456733704e-11</x:v>
      </x:c>
      <x:c r="D3812" s="25" t="str">
        <x:v>tonnes</x:v>
      </x:c>
    </x:row>
    <x:row r="3813" ht="18" customHeight="1">
      <x:c r="A3813" s="25" t="str">
        <x:v>EEZ_966</x:v>
      </x:c>
      <x:c r="B3813" s="25" t="str">
        <x:v>catch_reconciled</x:v>
      </x:c>
      <x:c r="C3813" s="36" t="b">
        <x:v>1</x:v>
      </x:c>
      <x:c r="D3813" s="25" t="str">
        <x:v>boolean</x:v>
      </x:c>
    </x:row>
    <x:row r="3814" ht="18" customHeight="1">
      <x:c r="A3814" s="25" t="str">
        <x:v>EEZ_966</x:v>
      </x:c>
      <x:c r="B3814" s="25" t="str">
        <x:v>matched_catch_tonnes</x:v>
      </x:c>
      <x:c r="C3814" s="25" t="n">
        <x:v>135279.24224138368</x:v>
      </x:c>
      <x:c r="D3814" s="25" t="str">
        <x:v>tonnes</x:v>
      </x:c>
    </x:row>
    <x:row r="3815" ht="18" customHeight="1">
      <x:c r="A3815" s="25" t="str">
        <x:v>EEZ_966</x:v>
      </x:c>
      <x:c r="B3815" s="25" t="str">
        <x:v>catch_coverage_fraction</x:v>
      </x:c>
      <x:c r="C3815" s="25" t="n">
        <x:v>1</x:v>
      </x:c>
      <x:c r="D3815" s="25" t="str">
        <x:v>fraction</x:v>
      </x:c>
    </x:row>
    <x:row r="3816" ht="18" customHeight="1">
      <x:c r="A3816" s="25" t="str">
        <x:v>EEZ_966</x:v>
      </x:c>
      <x:c r="B3816" s="25" t="str">
        <x:v>taxa_count</x:v>
      </x:c>
      <x:c r="C3816" s="25" t="n">
        <x:v>89</x:v>
      </x:c>
      <x:c r="D3816" s="25" t="str">
        <x:v>count</x:v>
      </x:c>
    </x:row>
    <x:row r="3817" ht="18" customHeight="1">
      <x:c r="A3817" s="25" t="str">
        <x:v>EEZ_966</x:v>
      </x:c>
      <x:c r="B3817" s="25" t="str">
        <x:v>matched_taxa_count</x:v>
      </x:c>
      <x:c r="C3817" s="25" t="n">
        <x:v>89</x:v>
      </x:c>
      <x:c r="D3817" s="25" t="str">
        <x:v>count</x:v>
      </x:c>
    </x:row>
    <x:row r="3818" ht="18" customHeight="1">
      <x:c r="A3818" s="25" t="str">
        <x:v>EEZ_966</x:v>
      </x:c>
      <x:c r="B3818" s="25" t="str">
        <x:v>unmatched_taxa_count</x:v>
      </x:c>
      <x:c r="C3818" s="25" t="n">
        <x:v>0</x:v>
      </x:c>
      <x:c r="D3818" s="25" t="str">
        <x:v>count</x:v>
      </x:c>
    </x:row>
    <x:row r="3819" ht="18" customHeight="1">
      <x:c r="A3819" s="25" t="str">
        <x:v>EEZ_966</x:v>
      </x:c>
      <x:c r="B3819" s="25" t="str">
        <x:v>species_ppr</x:v>
      </x:c>
      <x:c r="C3819" s="25" t="n">
        <x:v>93378447.55892137</x:v>
      </x:c>
      <x:c r="D3819" s="25" t="str">
        <x:v>tonnes_primary_production_equivalent</x:v>
      </x:c>
    </x:row>
    <x:row r="3820" ht="18" customHeight="1">
      <x:c r="A3820" s="25" t="str">
        <x:v>EEZ_966</x:v>
      </x:c>
      <x:c r="B3820" s="25" t="str">
        <x:v>commercial_ppr</x:v>
      </x:c>
      <x:c r="C3820" s="25" t="n">
        <x:v>63553118.69855156</x:v>
      </x:c>
      <x:c r="D3820" s="25" t="str">
        <x:v>tonnes_primary_production_equivalent</x:v>
      </x:c>
    </x:row>
    <x:row r="3821" ht="18" customHeight="1">
      <x:c r="A3821" s="25" t="str">
        <x:v>EEZ_966</x:v>
      </x:c>
      <x:c r="B3821" s="25" t="str">
        <x:v>functional_ppr</x:v>
      </x:c>
      <x:c r="C3821" s="25" t="n">
        <x:v>80264120.35753952</x:v>
      </x:c>
      <x:c r="D3821" s="25" t="str">
        <x:v>tonnes_primary_production_equivalent</x:v>
      </x:c>
    </x:row>
    <x:row r="3822" ht="18" customHeight="1">
      <x:c r="A3822" s="25" t="str">
        <x:v>EEZ_966</x:v>
      </x:c>
      <x:c r="B3822" s="25" t="str">
        <x:v>commercial_ppr_difference</x:v>
      </x:c>
      <x:c r="C3822" s="25" t="n">
        <x:v>-29825328.86036981</x:v>
      </x:c>
      <x:c r="D3822" s="25" t="str">
        <x:v>tonnes_primary_production_equivalent</x:v>
      </x:c>
    </x:row>
    <x:row r="3823" ht="18" customHeight="1">
      <x:c r="A3823" s="25" t="str">
        <x:v>EEZ_966</x:v>
      </x:c>
      <x:c r="B3823" s="25" t="str">
        <x:v>functional_ppr_difference</x:v>
      </x:c>
      <x:c r="C3823" s="25" t="n">
        <x:v>-13114327.201381847</x:v>
      </x:c>
      <x:c r="D3823" s="25" t="str">
        <x:v>tonnes_primary_production_equivalent</x:v>
      </x:c>
    </x:row>
    <x:row r="3824" ht="18" customHeight="1">
      <x:c r="A3824" s="25" t="str">
        <x:v>EEZ_967</x:v>
      </x:c>
      <x:c r="B3824" s="25" t="str">
        <x:v>raw_filtered_tonnes</x:v>
      </x:c>
      <x:c r="C3824" s="25" t="n">
        <x:v>2447.9523494379</x:v>
      </x:c>
      <x:c r="D3824" s="25" t="str">
        <x:v>tonnes</x:v>
      </x:c>
    </x:row>
    <x:row r="3825" ht="18" customHeight="1">
      <x:c r="A3825" s="25" t="str">
        <x:v>EEZ_967</x:v>
      </x:c>
      <x:c r="B3825" s="25" t="str">
        <x:v>species_catch_tonnes</x:v>
      </x:c>
      <x:c r="C3825" s="25" t="n">
        <x:v>2447.9523494379</x:v>
      </x:c>
      <x:c r="D3825" s="25" t="str">
        <x:v>tonnes</x:v>
      </x:c>
    </x:row>
    <x:row r="3826" ht="18" customHeight="1">
      <x:c r="A3826" s="25" t="str">
        <x:v>EEZ_967</x:v>
      </x:c>
      <x:c r="B3826" s="25" t="str">
        <x:v>catch_difference_tonnes</x:v>
      </x:c>
      <x:c r="C3826" s="25" t="n">
        <x:v>0</x:v>
      </x:c>
      <x:c r="D3826" s="25" t="str">
        <x:v>tonnes</x:v>
      </x:c>
    </x:row>
    <x:row r="3827" ht="18" customHeight="1">
      <x:c r="A3827" s="25" t="str">
        <x:v>EEZ_967</x:v>
      </x:c>
      <x:c r="B3827" s="25" t="str">
        <x:v>catch_reconciled</x:v>
      </x:c>
      <x:c r="C3827" s="36" t="b">
        <x:v>1</x:v>
      </x:c>
      <x:c r="D3827" s="25" t="str">
        <x:v>boolean</x:v>
      </x:c>
    </x:row>
    <x:row r="3828" ht="18" customHeight="1">
      <x:c r="A3828" s="25" t="str">
        <x:v>EEZ_967</x:v>
      </x:c>
      <x:c r="B3828" s="25" t="str">
        <x:v>matched_catch_tonnes</x:v>
      </x:c>
      <x:c r="C3828" s="25" t="n">
        <x:v>2447.9523494379</x:v>
      </x:c>
      <x:c r="D3828" s="25" t="str">
        <x:v>tonnes</x:v>
      </x:c>
    </x:row>
    <x:row r="3829" ht="18" customHeight="1">
      <x:c r="A3829" s="25" t="str">
        <x:v>EEZ_967</x:v>
      </x:c>
      <x:c r="B3829" s="25" t="str">
        <x:v>catch_coverage_fraction</x:v>
      </x:c>
      <x:c r="C3829" s="25" t="n">
        <x:v>1</x:v>
      </x:c>
      <x:c r="D3829" s="25" t="str">
        <x:v>fraction</x:v>
      </x:c>
    </x:row>
    <x:row r="3830" ht="18" customHeight="1">
      <x:c r="A3830" s="25" t="str">
        <x:v>EEZ_967</x:v>
      </x:c>
      <x:c r="B3830" s="25" t="str">
        <x:v>taxa_count</x:v>
      </x:c>
      <x:c r="C3830" s="25" t="n">
        <x:v>63</x:v>
      </x:c>
      <x:c r="D3830" s="25" t="str">
        <x:v>count</x:v>
      </x:c>
    </x:row>
    <x:row r="3831" ht="18" customHeight="1">
      <x:c r="A3831" s="25" t="str">
        <x:v>EEZ_967</x:v>
      </x:c>
      <x:c r="B3831" s="25" t="str">
        <x:v>matched_taxa_count</x:v>
      </x:c>
      <x:c r="C3831" s="25" t="n">
        <x:v>63</x:v>
      </x:c>
      <x:c r="D3831" s="25" t="str">
        <x:v>count</x:v>
      </x:c>
    </x:row>
    <x:row r="3832" ht="18" customHeight="1">
      <x:c r="A3832" s="25" t="str">
        <x:v>EEZ_967</x:v>
      </x:c>
      <x:c r="B3832" s="25" t="str">
        <x:v>unmatched_taxa_count</x:v>
      </x:c>
      <x:c r="C3832" s="25" t="n">
        <x:v>0</x:v>
      </x:c>
      <x:c r="D3832" s="25" t="str">
        <x:v>count</x:v>
      </x:c>
    </x:row>
    <x:row r="3833" ht="18" customHeight="1">
      <x:c r="A3833" s="25" t="str">
        <x:v>EEZ_967</x:v>
      </x:c>
      <x:c r="B3833" s="25" t="str">
        <x:v>species_ppr</x:v>
      </x:c>
      <x:c r="C3833" s="25" t="n">
        <x:v>4042215.932560779</x:v>
      </x:c>
      <x:c r="D3833" s="25" t="str">
        <x:v>tonnes_primary_production_equivalent</x:v>
      </x:c>
    </x:row>
    <x:row r="3834" ht="18" customHeight="1">
      <x:c r="A3834" s="25" t="str">
        <x:v>EEZ_967</x:v>
      </x:c>
      <x:c r="B3834" s="25" t="str">
        <x:v>commercial_ppr</x:v>
      </x:c>
      <x:c r="C3834" s="25" t="n">
        <x:v>3563435.644190549</x:v>
      </x:c>
      <x:c r="D3834" s="25" t="str">
        <x:v>tonnes_primary_production_equivalent</x:v>
      </x:c>
    </x:row>
    <x:row r="3835" ht="18" customHeight="1">
      <x:c r="A3835" s="25" t="str">
        <x:v>EEZ_967</x:v>
      </x:c>
      <x:c r="B3835" s="25" t="str">
        <x:v>functional_ppr</x:v>
      </x:c>
      <x:c r="C3835" s="25" t="n">
        <x:v>3775080.6743692975</x:v>
      </x:c>
      <x:c r="D3835" s="25" t="str">
        <x:v>tonnes_primary_production_equivalent</x:v>
      </x:c>
    </x:row>
    <x:row r="3836" ht="18" customHeight="1">
      <x:c r="A3836" s="25" t="str">
        <x:v>EEZ_967</x:v>
      </x:c>
      <x:c r="B3836" s="25" t="str">
        <x:v>commercial_ppr_difference</x:v>
      </x:c>
      <x:c r="C3836" s="25" t="n">
        <x:v>-478780.28837023024</x:v>
      </x:c>
      <x:c r="D3836" s="25" t="str">
        <x:v>tonnes_primary_production_equivalent</x:v>
      </x:c>
    </x:row>
    <x:row r="3837" ht="18" customHeight="1">
      <x:c r="A3837" s="25" t="str">
        <x:v>EEZ_967</x:v>
      </x:c>
      <x:c r="B3837" s="25" t="str">
        <x:v>functional_ppr_difference</x:v>
      </x:c>
      <x:c r="C3837" s="25" t="n">
        <x:v>-267135.2581914817</x:v>
      </x:c>
      <x:c r="D3837" s="25" t="str">
        <x:v>tonnes_primary_production_equivalent</x:v>
      </x:c>
    </x:row>
    <x:row r="3838" ht="18" customHeight="1">
      <x:c r="A3838" s="25" t="str">
        <x:v>EEZ_968</x:v>
      </x:c>
      <x:c r="B3838" s="25" t="str">
        <x:v>raw_filtered_tonnes</x:v>
      </x:c>
      <x:c r="C3838" s="25" t="n">
        <x:v>34815.7976770108</x:v>
      </x:c>
      <x:c r="D3838" s="25" t="str">
        <x:v>tonnes</x:v>
      </x:c>
    </x:row>
    <x:row r="3839" ht="18" customHeight="1">
      <x:c r="A3839" s="25" t="str">
        <x:v>EEZ_968</x:v>
      </x:c>
      <x:c r="B3839" s="25" t="str">
        <x:v>species_catch_tonnes</x:v>
      </x:c>
      <x:c r="C3839" s="25" t="n">
        <x:v>34815.7976770108</x:v>
      </x:c>
      <x:c r="D3839" s="25" t="str">
        <x:v>tonnes</x:v>
      </x:c>
    </x:row>
    <x:row r="3840" ht="18" customHeight="1">
      <x:c r="A3840" s="25" t="str">
        <x:v>EEZ_968</x:v>
      </x:c>
      <x:c r="B3840" s="25" t="str">
        <x:v>catch_difference_tonnes</x:v>
      </x:c>
      <x:c r="C3840" s="25" t="n">
        <x:v>0</x:v>
      </x:c>
      <x:c r="D3840" s="25" t="str">
        <x:v>tonnes</x:v>
      </x:c>
    </x:row>
    <x:row r="3841" ht="18" customHeight="1">
      <x:c r="A3841" s="25" t="str">
        <x:v>EEZ_968</x:v>
      </x:c>
      <x:c r="B3841" s="25" t="str">
        <x:v>catch_reconciled</x:v>
      </x:c>
      <x:c r="C3841" s="36" t="b">
        <x:v>1</x:v>
      </x:c>
      <x:c r="D3841" s="25" t="str">
        <x:v>boolean</x:v>
      </x:c>
    </x:row>
    <x:row r="3842" ht="18" customHeight="1">
      <x:c r="A3842" s="25" t="str">
        <x:v>EEZ_968</x:v>
      </x:c>
      <x:c r="B3842" s="25" t="str">
        <x:v>matched_catch_tonnes</x:v>
      </x:c>
      <x:c r="C3842" s="25" t="n">
        <x:v>34815.7976770108</x:v>
      </x:c>
      <x:c r="D3842" s="25" t="str">
        <x:v>tonnes</x:v>
      </x:c>
    </x:row>
    <x:row r="3843" ht="18" customHeight="1">
      <x:c r="A3843" s="25" t="str">
        <x:v>EEZ_968</x:v>
      </x:c>
      <x:c r="B3843" s="25" t="str">
        <x:v>catch_coverage_fraction</x:v>
      </x:c>
      <x:c r="C3843" s="25" t="n">
        <x:v>1</x:v>
      </x:c>
      <x:c r="D3843" s="25" t="str">
        <x:v>fraction</x:v>
      </x:c>
    </x:row>
    <x:row r="3844" ht="18" customHeight="1">
      <x:c r="A3844" s="25" t="str">
        <x:v>EEZ_968</x:v>
      </x:c>
      <x:c r="B3844" s="25" t="str">
        <x:v>taxa_count</x:v>
      </x:c>
      <x:c r="C3844" s="25" t="n">
        <x:v>51</x:v>
      </x:c>
      <x:c r="D3844" s="25" t="str">
        <x:v>count</x:v>
      </x:c>
    </x:row>
    <x:row r="3845" ht="18" customHeight="1">
      <x:c r="A3845" s="25" t="str">
        <x:v>EEZ_968</x:v>
      </x:c>
      <x:c r="B3845" s="25" t="str">
        <x:v>matched_taxa_count</x:v>
      </x:c>
      <x:c r="C3845" s="25" t="n">
        <x:v>51</x:v>
      </x:c>
      <x:c r="D3845" s="25" t="str">
        <x:v>count</x:v>
      </x:c>
    </x:row>
    <x:row r="3846" ht="18" customHeight="1">
      <x:c r="A3846" s="25" t="str">
        <x:v>EEZ_968</x:v>
      </x:c>
      <x:c r="B3846" s="25" t="str">
        <x:v>unmatched_taxa_count</x:v>
      </x:c>
      <x:c r="C3846" s="25" t="n">
        <x:v>0</x:v>
      </x:c>
      <x:c r="D3846" s="25" t="str">
        <x:v>count</x:v>
      </x:c>
    </x:row>
    <x:row r="3847" ht="18" customHeight="1">
      <x:c r="A3847" s="25" t="str">
        <x:v>EEZ_968</x:v>
      </x:c>
      <x:c r="B3847" s="25" t="str">
        <x:v>species_ppr</x:v>
      </x:c>
      <x:c r="C3847" s="25" t="n">
        <x:v>46252931.13406608</x:v>
      </x:c>
      <x:c r="D3847" s="25" t="str">
        <x:v>tonnes_primary_production_equivalent</x:v>
      </x:c>
    </x:row>
    <x:row r="3848" ht="18" customHeight="1">
      <x:c r="A3848" s="25" t="str">
        <x:v>EEZ_968</x:v>
      </x:c>
      <x:c r="B3848" s="25" t="str">
        <x:v>commercial_ppr</x:v>
      </x:c>
      <x:c r="C3848" s="25" t="n">
        <x:v>35581724.06247574</x:v>
      </x:c>
      <x:c r="D3848" s="25" t="str">
        <x:v>tonnes_primary_production_equivalent</x:v>
      </x:c>
    </x:row>
    <x:row r="3849" ht="18" customHeight="1">
      <x:c r="A3849" s="25" t="str">
        <x:v>EEZ_968</x:v>
      </x:c>
      <x:c r="B3849" s="25" t="str">
        <x:v>functional_ppr</x:v>
      </x:c>
      <x:c r="C3849" s="25" t="n">
        <x:v>38845754.05190053</x:v>
      </x:c>
      <x:c r="D3849" s="25" t="str">
        <x:v>tonnes_primary_production_equivalent</x:v>
      </x:c>
    </x:row>
    <x:row r="3850" ht="18" customHeight="1">
      <x:c r="A3850" s="25" t="str">
        <x:v>EEZ_968</x:v>
      </x:c>
      <x:c r="B3850" s="25" t="str">
        <x:v>commercial_ppr_difference</x:v>
      </x:c>
      <x:c r="C3850" s="25" t="n">
        <x:v>-10671207.071590342</x:v>
      </x:c>
      <x:c r="D3850" s="25" t="str">
        <x:v>tonnes_primary_production_equivalent</x:v>
      </x:c>
    </x:row>
    <x:row r="3851" ht="18" customHeight="1">
      <x:c r="A3851" s="25" t="str">
        <x:v>EEZ_968</x:v>
      </x:c>
      <x:c r="B3851" s="25" t="str">
        <x:v>functional_ppr_difference</x:v>
      </x:c>
      <x:c r="C3851" s="25" t="n">
        <x:v>-7407177.082165554</x:v>
      </x:c>
      <x:c r="D3851" s="25" t="str">
        <x:v>tonnes_primary_production_equivalent</x:v>
      </x:c>
    </x:row>
    <x:row r="3852" ht="18" customHeight="1">
      <x:c r="A3852" s="25" t="str">
        <x:v>EEZ_969</x:v>
      </x:c>
      <x:c r="B3852" s="25" t="str">
        <x:v>raw_filtered_tonnes</x:v>
      </x:c>
      <x:c r="C3852" s="25" t="n">
        <x:v>7461.650372688001</x:v>
      </x:c>
      <x:c r="D3852" s="25" t="str">
        <x:v>tonnes</x:v>
      </x:c>
    </x:row>
    <x:row r="3853" ht="18" customHeight="1">
      <x:c r="A3853" s="25" t="str">
        <x:v>EEZ_969</x:v>
      </x:c>
      <x:c r="B3853" s="25" t="str">
        <x:v>species_catch_tonnes</x:v>
      </x:c>
      <x:c r="C3853" s="25" t="n">
        <x:v>7461.650372688001</x:v>
      </x:c>
      <x:c r="D3853" s="25" t="str">
        <x:v>tonnes</x:v>
      </x:c>
    </x:row>
    <x:row r="3854" ht="18" customHeight="1">
      <x:c r="A3854" s="25" t="str">
        <x:v>EEZ_969</x:v>
      </x:c>
      <x:c r="B3854" s="25" t="str">
        <x:v>catch_difference_tonnes</x:v>
      </x:c>
      <x:c r="C3854" s="25" t="n">
        <x:v>0</x:v>
      </x:c>
      <x:c r="D3854" s="25" t="str">
        <x:v>tonnes</x:v>
      </x:c>
    </x:row>
    <x:row r="3855" ht="18" customHeight="1">
      <x:c r="A3855" s="25" t="str">
        <x:v>EEZ_969</x:v>
      </x:c>
      <x:c r="B3855" s="25" t="str">
        <x:v>catch_reconciled</x:v>
      </x:c>
      <x:c r="C3855" s="36" t="b">
        <x:v>1</x:v>
      </x:c>
      <x:c r="D3855" s="25" t="str">
        <x:v>boolean</x:v>
      </x:c>
    </x:row>
    <x:row r="3856" ht="18" customHeight="1">
      <x:c r="A3856" s="25" t="str">
        <x:v>EEZ_969</x:v>
      </x:c>
      <x:c r="B3856" s="25" t="str">
        <x:v>matched_catch_tonnes</x:v>
      </x:c>
      <x:c r="C3856" s="25" t="n">
        <x:v>7461.650372688001</x:v>
      </x:c>
      <x:c r="D3856" s="25" t="str">
        <x:v>tonnes</x:v>
      </x:c>
    </x:row>
    <x:row r="3857" ht="18" customHeight="1">
      <x:c r="A3857" s="25" t="str">
        <x:v>EEZ_969</x:v>
      </x:c>
      <x:c r="B3857" s="25" t="str">
        <x:v>catch_coverage_fraction</x:v>
      </x:c>
      <x:c r="C3857" s="25" t="n">
        <x:v>1</x:v>
      </x:c>
      <x:c r="D3857" s="25" t="str">
        <x:v>fraction</x:v>
      </x:c>
    </x:row>
    <x:row r="3858" ht="18" customHeight="1">
      <x:c r="A3858" s="25" t="str">
        <x:v>EEZ_969</x:v>
      </x:c>
      <x:c r="B3858" s="25" t="str">
        <x:v>taxa_count</x:v>
      </x:c>
      <x:c r="C3858" s="25" t="n">
        <x:v>39</x:v>
      </x:c>
      <x:c r="D3858" s="25" t="str">
        <x:v>count</x:v>
      </x:c>
    </x:row>
    <x:row r="3859" ht="18" customHeight="1">
      <x:c r="A3859" s="25" t="str">
        <x:v>EEZ_969</x:v>
      </x:c>
      <x:c r="B3859" s="25" t="str">
        <x:v>matched_taxa_count</x:v>
      </x:c>
      <x:c r="C3859" s="25" t="n">
        <x:v>39</x:v>
      </x:c>
      <x:c r="D3859" s="25" t="str">
        <x:v>count</x:v>
      </x:c>
    </x:row>
    <x:row r="3860" ht="18" customHeight="1">
      <x:c r="A3860" s="25" t="str">
        <x:v>EEZ_969</x:v>
      </x:c>
      <x:c r="B3860" s="25" t="str">
        <x:v>unmatched_taxa_count</x:v>
      </x:c>
      <x:c r="C3860" s="25" t="n">
        <x:v>0</x:v>
      </x:c>
      <x:c r="D3860" s="25" t="str">
        <x:v>count</x:v>
      </x:c>
    </x:row>
    <x:row r="3861" ht="18" customHeight="1">
      <x:c r="A3861" s="25" t="str">
        <x:v>EEZ_969</x:v>
      </x:c>
      <x:c r="B3861" s="25" t="str">
        <x:v>species_ppr</x:v>
      </x:c>
      <x:c r="C3861" s="25" t="n">
        <x:v>2047092.4737868535</x:v>
      </x:c>
      <x:c r="D3861" s="25" t="str">
        <x:v>tonnes_primary_production_equivalent</x:v>
      </x:c>
    </x:row>
    <x:row r="3862" ht="18" customHeight="1">
      <x:c r="A3862" s="25" t="str">
        <x:v>EEZ_969</x:v>
      </x:c>
      <x:c r="B3862" s="25" t="str">
        <x:v>commercial_ppr</x:v>
      </x:c>
      <x:c r="C3862" s="25" t="n">
        <x:v>2037405.1001789358</x:v>
      </x:c>
      <x:c r="D3862" s="25" t="str">
        <x:v>tonnes_primary_production_equivalent</x:v>
      </x:c>
    </x:row>
    <x:row r="3863" ht="18" customHeight="1">
      <x:c r="A3863" s="25" t="str">
        <x:v>EEZ_969</x:v>
      </x:c>
      <x:c r="B3863" s="25" t="str">
        <x:v>functional_ppr</x:v>
      </x:c>
      <x:c r="C3863" s="25" t="n">
        <x:v>2041401.5790448596</x:v>
      </x:c>
      <x:c r="D3863" s="25" t="str">
        <x:v>tonnes_primary_production_equivalent</x:v>
      </x:c>
    </x:row>
    <x:row r="3864" ht="18" customHeight="1">
      <x:c r="A3864" s="25" t="str">
        <x:v>EEZ_969</x:v>
      </x:c>
      <x:c r="B3864" s="25" t="str">
        <x:v>commercial_ppr_difference</x:v>
      </x:c>
      <x:c r="C3864" s="25" t="n">
        <x:v>-9687.373607917689</x:v>
      </x:c>
      <x:c r="D3864" s="25" t="str">
        <x:v>tonnes_primary_production_equivalent</x:v>
      </x:c>
    </x:row>
    <x:row r="3865" ht="18" customHeight="1">
      <x:c r="A3865" s="25" t="str">
        <x:v>EEZ_969</x:v>
      </x:c>
      <x:c r="B3865" s="25" t="str">
        <x:v>functional_ppr_difference</x:v>
      </x:c>
      <x:c r="C3865" s="25" t="n">
        <x:v>-5690.894741993863</x:v>
      </x:c>
      <x:c r="D3865" s="25" t="str">
        <x:v>tonnes_primary_production_equivalent</x:v>
      </x:c>
    </x:row>
    <x:row r="3866" ht="18" customHeight="1">
      <x:c r="A3866" s="25" t="str">
        <x:v>EEZ_970</x:v>
      </x:c>
      <x:c r="B3866" s="25" t="str">
        <x:v>raw_filtered_tonnes</x:v>
      </x:c>
      <x:c r="C3866" s="25" t="n">
        <x:v>6274.562444918601</x:v>
      </x:c>
      <x:c r="D3866" s="25" t="str">
        <x:v>tonnes</x:v>
      </x:c>
    </x:row>
    <x:row r="3867" ht="18" customHeight="1">
      <x:c r="A3867" s="25" t="str">
        <x:v>EEZ_970</x:v>
      </x:c>
      <x:c r="B3867" s="25" t="str">
        <x:v>species_catch_tonnes</x:v>
      </x:c>
      <x:c r="C3867" s="25" t="n">
        <x:v>6274.562444918601</x:v>
      </x:c>
      <x:c r="D3867" s="25" t="str">
        <x:v>tonnes</x:v>
      </x:c>
    </x:row>
    <x:row r="3868" ht="18" customHeight="1">
      <x:c r="A3868" s="25" t="str">
        <x:v>EEZ_970</x:v>
      </x:c>
      <x:c r="B3868" s="25" t="str">
        <x:v>catch_difference_tonnes</x:v>
      </x:c>
      <x:c r="C3868" s="25" t="n">
        <x:v>0</x:v>
      </x:c>
      <x:c r="D3868" s="25" t="str">
        <x:v>tonnes</x:v>
      </x:c>
    </x:row>
    <x:row r="3869" ht="18" customHeight="1">
      <x:c r="A3869" s="25" t="str">
        <x:v>EEZ_970</x:v>
      </x:c>
      <x:c r="B3869" s="25" t="str">
        <x:v>catch_reconciled</x:v>
      </x:c>
      <x:c r="C3869" s="36" t="b">
        <x:v>1</x:v>
      </x:c>
      <x:c r="D3869" s="25" t="str">
        <x:v>boolean</x:v>
      </x:c>
    </x:row>
    <x:row r="3870" ht="18" customHeight="1">
      <x:c r="A3870" s="25" t="str">
        <x:v>EEZ_970</x:v>
      </x:c>
      <x:c r="B3870" s="25" t="str">
        <x:v>matched_catch_tonnes</x:v>
      </x:c>
      <x:c r="C3870" s="25" t="n">
        <x:v>6274.562444918601</x:v>
      </x:c>
      <x:c r="D3870" s="25" t="str">
        <x:v>tonnes</x:v>
      </x:c>
    </x:row>
    <x:row r="3871" ht="18" customHeight="1">
      <x:c r="A3871" s="25" t="str">
        <x:v>EEZ_970</x:v>
      </x:c>
      <x:c r="B3871" s="25" t="str">
        <x:v>catch_coverage_fraction</x:v>
      </x:c>
      <x:c r="C3871" s="25" t="n">
        <x:v>1</x:v>
      </x:c>
      <x:c r="D3871" s="25" t="str">
        <x:v>fraction</x:v>
      </x:c>
    </x:row>
    <x:row r="3872" ht="18" customHeight="1">
      <x:c r="A3872" s="25" t="str">
        <x:v>EEZ_970</x:v>
      </x:c>
      <x:c r="B3872" s="25" t="str">
        <x:v>taxa_count</x:v>
      </x:c>
      <x:c r="C3872" s="25" t="n">
        <x:v>16</x:v>
      </x:c>
      <x:c r="D3872" s="25" t="str">
        <x:v>count</x:v>
      </x:c>
    </x:row>
    <x:row r="3873" ht="18" customHeight="1">
      <x:c r="A3873" s="25" t="str">
        <x:v>EEZ_970</x:v>
      </x:c>
      <x:c r="B3873" s="25" t="str">
        <x:v>matched_taxa_count</x:v>
      </x:c>
      <x:c r="C3873" s="25" t="n">
        <x:v>16</x:v>
      </x:c>
      <x:c r="D3873" s="25" t="str">
        <x:v>count</x:v>
      </x:c>
    </x:row>
    <x:row r="3874" ht="18" customHeight="1">
      <x:c r="A3874" s="25" t="str">
        <x:v>EEZ_970</x:v>
      </x:c>
      <x:c r="B3874" s="25" t="str">
        <x:v>unmatched_taxa_count</x:v>
      </x:c>
      <x:c r="C3874" s="25" t="n">
        <x:v>0</x:v>
      </x:c>
      <x:c r="D3874" s="25" t="str">
        <x:v>count</x:v>
      </x:c>
    </x:row>
    <x:row r="3875" ht="18" customHeight="1">
      <x:c r="A3875" s="25" t="str">
        <x:v>EEZ_970</x:v>
      </x:c>
      <x:c r="B3875" s="25" t="str">
        <x:v>species_ppr</x:v>
      </x:c>
      <x:c r="C3875" s="25" t="n">
        <x:v>4397891.451362429</x:v>
      </x:c>
      <x:c r="D3875" s="25" t="str">
        <x:v>tonnes_primary_production_equivalent</x:v>
      </x:c>
    </x:row>
    <x:row r="3876" ht="18" customHeight="1">
      <x:c r="A3876" s="25" t="str">
        <x:v>EEZ_970</x:v>
      </x:c>
      <x:c r="B3876" s="25" t="str">
        <x:v>commercial_ppr</x:v>
      </x:c>
      <x:c r="C3876" s="25" t="n">
        <x:v>4385926.956974429</x:v>
      </x:c>
      <x:c r="D3876" s="25" t="str">
        <x:v>tonnes_primary_production_equivalent</x:v>
      </x:c>
    </x:row>
    <x:row r="3877" ht="18" customHeight="1">
      <x:c r="A3877" s="25" t="str">
        <x:v>EEZ_970</x:v>
      </x:c>
      <x:c r="B3877" s="25" t="str">
        <x:v>functional_ppr</x:v>
      </x:c>
      <x:c r="C3877" s="25" t="n">
        <x:v>4364349.855989877</x:v>
      </x:c>
      <x:c r="D3877" s="25" t="str">
        <x:v>tonnes_primary_production_equivalent</x:v>
      </x:c>
    </x:row>
    <x:row r="3878" ht="18" customHeight="1">
      <x:c r="A3878" s="25" t="str">
        <x:v>EEZ_970</x:v>
      </x:c>
      <x:c r="B3878" s="25" t="str">
        <x:v>commercial_ppr_difference</x:v>
      </x:c>
      <x:c r="C3878" s="25" t="n">
        <x:v>-11964.494388000108</x:v>
      </x:c>
      <x:c r="D3878" s="25" t="str">
        <x:v>tonnes_primary_production_equivalent</x:v>
      </x:c>
    </x:row>
    <x:row r="3879" ht="18" customHeight="1">
      <x:c r="A3879" s="25" t="str">
        <x:v>EEZ_970</x:v>
      </x:c>
      <x:c r="B3879" s="25" t="str">
        <x:v>functional_ppr_difference</x:v>
      </x:c>
      <x:c r="C3879" s="25" t="n">
        <x:v>-33541.59537255205</x:v>
      </x:c>
      <x:c r="D3879" s="25" t="str">
        <x:v>tonnes_primary_production_equivalent</x:v>
      </x:c>
    </x:row>
    <x:row r="3880" ht="18" customHeight="1">
      <x:c r="A3880" s="25" t="str">
        <x:v>EEZ_971</x:v>
      </x:c>
      <x:c r="B3880" s="25" t="str">
        <x:v>raw_filtered_tonnes</x:v>
      </x:c>
      <x:c r="C3880" s="25" t="n">
        <x:v>18442.865565138098</x:v>
      </x:c>
      <x:c r="D3880" s="25" t="str">
        <x:v>tonnes</x:v>
      </x:c>
    </x:row>
    <x:row r="3881" ht="18" customHeight="1">
      <x:c r="A3881" s="25" t="str">
        <x:v>EEZ_971</x:v>
      </x:c>
      <x:c r="B3881" s="25" t="str">
        <x:v>species_catch_tonnes</x:v>
      </x:c>
      <x:c r="C3881" s="25" t="n">
        <x:v>18442.8655651381</x:v>
      </x:c>
      <x:c r="D3881" s="25" t="str">
        <x:v>tonnes</x:v>
      </x:c>
    </x:row>
    <x:row r="3882" ht="18" customHeight="1">
      <x:c r="A3882" s="25" t="str">
        <x:v>EEZ_971</x:v>
      </x:c>
      <x:c r="B3882" s="25" t="str">
        <x:v>catch_difference_tonnes</x:v>
      </x:c>
      <x:c r="C3882" s="25" t="n">
        <x:v>3.637978807091713e-12</x:v>
      </x:c>
      <x:c r="D3882" s="25" t="str">
        <x:v>tonnes</x:v>
      </x:c>
    </x:row>
    <x:row r="3883" ht="18" customHeight="1">
      <x:c r="A3883" s="25" t="str">
        <x:v>EEZ_971</x:v>
      </x:c>
      <x:c r="B3883" s="25" t="str">
        <x:v>catch_reconciled</x:v>
      </x:c>
      <x:c r="C3883" s="36" t="b">
        <x:v>1</x:v>
      </x:c>
      <x:c r="D3883" s="25" t="str">
        <x:v>boolean</x:v>
      </x:c>
    </x:row>
    <x:row r="3884" ht="18" customHeight="1">
      <x:c r="A3884" s="25" t="str">
        <x:v>EEZ_971</x:v>
      </x:c>
      <x:c r="B3884" s="25" t="str">
        <x:v>matched_catch_tonnes</x:v>
      </x:c>
      <x:c r="C3884" s="25" t="n">
        <x:v>18442.8655651381</x:v>
      </x:c>
      <x:c r="D3884" s="25" t="str">
        <x:v>tonnes</x:v>
      </x:c>
    </x:row>
    <x:row r="3885" ht="18" customHeight="1">
      <x:c r="A3885" s="25" t="str">
        <x:v>EEZ_971</x:v>
      </x:c>
      <x:c r="B3885" s="25" t="str">
        <x:v>catch_coverage_fraction</x:v>
      </x:c>
      <x:c r="C3885" s="25" t="n">
        <x:v>1</x:v>
      </x:c>
      <x:c r="D3885" s="25" t="str">
        <x:v>fraction</x:v>
      </x:c>
    </x:row>
    <x:row r="3886" ht="18" customHeight="1">
      <x:c r="A3886" s="25" t="str">
        <x:v>EEZ_971</x:v>
      </x:c>
      <x:c r="B3886" s="25" t="str">
        <x:v>taxa_count</x:v>
      </x:c>
      <x:c r="C3886" s="25" t="n">
        <x:v>29</x:v>
      </x:c>
      <x:c r="D3886" s="25" t="str">
        <x:v>count</x:v>
      </x:c>
    </x:row>
    <x:row r="3887" ht="18" customHeight="1">
      <x:c r="A3887" s="25" t="str">
        <x:v>EEZ_971</x:v>
      </x:c>
      <x:c r="B3887" s="25" t="str">
        <x:v>matched_taxa_count</x:v>
      </x:c>
      <x:c r="C3887" s="25" t="n">
        <x:v>29</x:v>
      </x:c>
      <x:c r="D3887" s="25" t="str">
        <x:v>count</x:v>
      </x:c>
    </x:row>
    <x:row r="3888" ht="18" customHeight="1">
      <x:c r="A3888" s="25" t="str">
        <x:v>EEZ_971</x:v>
      </x:c>
      <x:c r="B3888" s="25" t="str">
        <x:v>unmatched_taxa_count</x:v>
      </x:c>
      <x:c r="C3888" s="25" t="n">
        <x:v>0</x:v>
      </x:c>
      <x:c r="D3888" s="25" t="str">
        <x:v>count</x:v>
      </x:c>
    </x:row>
    <x:row r="3889" ht="18" customHeight="1">
      <x:c r="A3889" s="25" t="str">
        <x:v>EEZ_971</x:v>
      </x:c>
      <x:c r="B3889" s="25" t="str">
        <x:v>species_ppr</x:v>
      </x:c>
      <x:c r="C3889" s="25" t="n">
        <x:v>19260173.04848056</x:v>
      </x:c>
      <x:c r="D3889" s="25" t="str">
        <x:v>tonnes_primary_production_equivalent</x:v>
      </x:c>
    </x:row>
    <x:row r="3890" ht="18" customHeight="1">
      <x:c r="A3890" s="25" t="str">
        <x:v>EEZ_971</x:v>
      </x:c>
      <x:c r="B3890" s="25" t="str">
        <x:v>commercial_ppr</x:v>
      </x:c>
      <x:c r="C3890" s="25" t="n">
        <x:v>16880715.86263973</x:v>
      </x:c>
      <x:c r="D3890" s="25" t="str">
        <x:v>tonnes_primary_production_equivalent</x:v>
      </x:c>
    </x:row>
    <x:row r="3891" ht="18" customHeight="1">
      <x:c r="A3891" s="25" t="str">
        <x:v>EEZ_971</x:v>
      </x:c>
      <x:c r="B3891" s="25" t="str">
        <x:v>functional_ppr</x:v>
      </x:c>
      <x:c r="C3891" s="25" t="n">
        <x:v>18790740.353105024</x:v>
      </x:c>
      <x:c r="D3891" s="25" t="str">
        <x:v>tonnes_primary_production_equivalent</x:v>
      </x:c>
    </x:row>
    <x:row r="3892" ht="18" customHeight="1">
      <x:c r="A3892" s="25" t="str">
        <x:v>EEZ_971</x:v>
      </x:c>
      <x:c r="B3892" s="25" t="str">
        <x:v>commercial_ppr_difference</x:v>
      </x:c>
      <x:c r="C3892" s="25" t="n">
        <x:v>-2379457.18584083</x:v>
      </x:c>
      <x:c r="D3892" s="25" t="str">
        <x:v>tonnes_primary_production_equivalent</x:v>
      </x:c>
    </x:row>
    <x:row r="3893" ht="18" customHeight="1">
      <x:c r="A3893" s="25" t="str">
        <x:v>EEZ_971</x:v>
      </x:c>
      <x:c r="B3893" s="25" t="str">
        <x:v>functional_ppr_difference</x:v>
      </x:c>
      <x:c r="C3893" s="25" t="n">
        <x:v>-469432.69537553564</x:v>
      </x:c>
      <x:c r="D3893" s="25" t="str">
        <x:v>tonnes_primary_production_equivalent</x:v>
      </x:c>
    </x:row>
    <x:row r="3894" ht="18" customHeight="1">
      <x:c r="A3894" s="25" t="str">
        <x:v>EEZ_972</x:v>
      </x:c>
      <x:c r="B3894" s="25" t="str">
        <x:v>raw_filtered_tonnes</x:v>
      </x:c>
      <x:c r="C3894" s="25" t="n">
        <x:v>102.51420178960001</x:v>
      </x:c>
      <x:c r="D3894" s="25" t="str">
        <x:v>tonnes</x:v>
      </x:c>
    </x:row>
    <x:row r="3895" ht="18" customHeight="1">
      <x:c r="A3895" s="25" t="str">
        <x:v>EEZ_972</x:v>
      </x:c>
      <x:c r="B3895" s="25" t="str">
        <x:v>species_catch_tonnes</x:v>
      </x:c>
      <x:c r="C3895" s="25" t="n">
        <x:v>102.5142017896</x:v>
      </x:c>
      <x:c r="D3895" s="25" t="str">
        <x:v>tonnes</x:v>
      </x:c>
    </x:row>
    <x:row r="3896" ht="18" customHeight="1">
      <x:c r="A3896" s="25" t="str">
        <x:v>EEZ_972</x:v>
      </x:c>
      <x:c r="B3896" s="25" t="str">
        <x:v>catch_difference_tonnes</x:v>
      </x:c>
      <x:c r="C3896" s="25" t="n">
        <x:v>-1.4210854715202004e-14</x:v>
      </x:c>
      <x:c r="D3896" s="25" t="str">
        <x:v>tonnes</x:v>
      </x:c>
    </x:row>
    <x:row r="3897" ht="18" customHeight="1">
      <x:c r="A3897" s="25" t="str">
        <x:v>EEZ_972</x:v>
      </x:c>
      <x:c r="B3897" s="25" t="str">
        <x:v>catch_reconciled</x:v>
      </x:c>
      <x:c r="C3897" s="36" t="b">
        <x:v>1</x:v>
      </x:c>
      <x:c r="D3897" s="25" t="str">
        <x:v>boolean</x:v>
      </x:c>
    </x:row>
    <x:row r="3898" ht="18" customHeight="1">
      <x:c r="A3898" s="25" t="str">
        <x:v>EEZ_972</x:v>
      </x:c>
      <x:c r="B3898" s="25" t="str">
        <x:v>matched_catch_tonnes</x:v>
      </x:c>
      <x:c r="C3898" s="25" t="n">
        <x:v>102.5142017896</x:v>
      </x:c>
      <x:c r="D3898" s="25" t="str">
        <x:v>tonnes</x:v>
      </x:c>
    </x:row>
    <x:row r="3899" ht="18" customHeight="1">
      <x:c r="A3899" s="25" t="str">
        <x:v>EEZ_972</x:v>
      </x:c>
      <x:c r="B3899" s="25" t="str">
        <x:v>catch_coverage_fraction</x:v>
      </x:c>
      <x:c r="C3899" s="25" t="n">
        <x:v>1</x:v>
      </x:c>
      <x:c r="D3899" s="25" t="str">
        <x:v>fraction</x:v>
      </x:c>
    </x:row>
    <x:row r="3900" ht="18" customHeight="1">
      <x:c r="A3900" s="25" t="str">
        <x:v>EEZ_972</x:v>
      </x:c>
      <x:c r="B3900" s="25" t="str">
        <x:v>taxa_count</x:v>
      </x:c>
      <x:c r="C3900" s="25" t="n">
        <x:v>9</x:v>
      </x:c>
      <x:c r="D3900" s="25" t="str">
        <x:v>count</x:v>
      </x:c>
    </x:row>
    <x:row r="3901" ht="18" customHeight="1">
      <x:c r="A3901" s="25" t="str">
        <x:v>EEZ_972</x:v>
      </x:c>
      <x:c r="B3901" s="25" t="str">
        <x:v>matched_taxa_count</x:v>
      </x:c>
      <x:c r="C3901" s="25" t="n">
        <x:v>9</x:v>
      </x:c>
      <x:c r="D3901" s="25" t="str">
        <x:v>count</x:v>
      </x:c>
    </x:row>
    <x:row r="3902" ht="18" customHeight="1">
      <x:c r="A3902" s="25" t="str">
        <x:v>EEZ_972</x:v>
      </x:c>
      <x:c r="B3902" s="25" t="str">
        <x:v>unmatched_taxa_count</x:v>
      </x:c>
      <x:c r="C3902" s="25" t="n">
        <x:v>0</x:v>
      </x:c>
      <x:c r="D3902" s="25" t="str">
        <x:v>count</x:v>
      </x:c>
    </x:row>
    <x:row r="3903" ht="18" customHeight="1">
      <x:c r="A3903" s="25" t="str">
        <x:v>EEZ_972</x:v>
      </x:c>
      <x:c r="B3903" s="25" t="str">
        <x:v>species_ppr</x:v>
      </x:c>
      <x:c r="C3903" s="25" t="n">
        <x:v>35371.82907577973</x:v>
      </x:c>
      <x:c r="D3903" s="25" t="str">
        <x:v>tonnes_primary_production_equivalent</x:v>
      </x:c>
    </x:row>
    <x:row r="3904" ht="18" customHeight="1">
      <x:c r="A3904" s="25" t="str">
        <x:v>EEZ_972</x:v>
      </x:c>
      <x:c r="B3904" s="25" t="str">
        <x:v>commercial_ppr</x:v>
      </x:c>
      <x:c r="C3904" s="25" t="n">
        <x:v>34924.33228511821</x:v>
      </x:c>
      <x:c r="D3904" s="25" t="str">
        <x:v>tonnes_primary_production_equivalent</x:v>
      </x:c>
    </x:row>
    <x:row r="3905" ht="18" customHeight="1">
      <x:c r="A3905" s="25" t="str">
        <x:v>EEZ_972</x:v>
      </x:c>
      <x:c r="B3905" s="25" t="str">
        <x:v>functional_ppr</x:v>
      </x:c>
      <x:c r="C3905" s="25" t="n">
        <x:v>34924.33228511821</x:v>
      </x:c>
      <x:c r="D3905" s="25" t="str">
        <x:v>tonnes_primary_production_equivalent</x:v>
      </x:c>
    </x:row>
    <x:row r="3906" ht="18" customHeight="1">
      <x:c r="A3906" s="25" t="str">
        <x:v>EEZ_972</x:v>
      </x:c>
      <x:c r="B3906" s="25" t="str">
        <x:v>commercial_ppr_difference</x:v>
      </x:c>
      <x:c r="C3906" s="25" t="n">
        <x:v>-447.4967906615202</x:v>
      </x:c>
      <x:c r="D3906" s="25" t="str">
        <x:v>tonnes_primary_production_equivalent</x:v>
      </x:c>
    </x:row>
    <x:row r="3907" ht="18" customHeight="1">
      <x:c r="A3907" s="25" t="str">
        <x:v>EEZ_972</x:v>
      </x:c>
      <x:c r="B3907" s="25" t="str">
        <x:v>functional_ppr_difference</x:v>
      </x:c>
      <x:c r="C3907" s="25" t="n">
        <x:v>-447.4967906615202</x:v>
      </x:c>
      <x:c r="D3907" s="25" t="str">
        <x:v>tonnes_primary_production_equivalent</x:v>
      </x:c>
    </x:row>
    <x:row r="3908" ht="18" customHeight="1">
      <x:c r="A3908" s="25" t="str">
        <x:v>EEZ_973</x:v>
      </x:c>
      <x:c r="B3908" s="25" t="str">
        <x:v>raw_filtered_tonnes</x:v>
      </x:c>
      <x:c r="C3908" s="25" t="n">
        <x:v>89045.4804653548</x:v>
      </x:c>
      <x:c r="D3908" s="25" t="str">
        <x:v>tonnes</x:v>
      </x:c>
    </x:row>
    <x:row r="3909" ht="18" customHeight="1">
      <x:c r="A3909" s="25" t="str">
        <x:v>EEZ_973</x:v>
      </x:c>
      <x:c r="B3909" s="25" t="str">
        <x:v>species_catch_tonnes</x:v>
      </x:c>
      <x:c r="C3909" s="25" t="n">
        <x:v>89045.48046535479</x:v>
      </x:c>
      <x:c r="D3909" s="25" t="str">
        <x:v>tonnes</x:v>
      </x:c>
    </x:row>
    <x:row r="3910" ht="18" customHeight="1">
      <x:c r="A3910" s="25" t="str">
        <x:v>EEZ_973</x:v>
      </x:c>
      <x:c r="B3910" s="25" t="str">
        <x:v>catch_difference_tonnes</x:v>
      </x:c>
      <x:c r="C3910" s="25" t="n">
        <x:v>-1.4551915228366852e-11</x:v>
      </x:c>
      <x:c r="D3910" s="25" t="str">
        <x:v>tonnes</x:v>
      </x:c>
    </x:row>
    <x:row r="3911" ht="18" customHeight="1">
      <x:c r="A3911" s="25" t="str">
        <x:v>EEZ_973</x:v>
      </x:c>
      <x:c r="B3911" s="25" t="str">
        <x:v>catch_reconciled</x:v>
      </x:c>
      <x:c r="C3911" s="36" t="b">
        <x:v>1</x:v>
      </x:c>
      <x:c r="D3911" s="25" t="str">
        <x:v>boolean</x:v>
      </x:c>
    </x:row>
    <x:row r="3912" ht="18" customHeight="1">
      <x:c r="A3912" s="25" t="str">
        <x:v>EEZ_973</x:v>
      </x:c>
      <x:c r="B3912" s="25" t="str">
        <x:v>matched_catch_tonnes</x:v>
      </x:c>
      <x:c r="C3912" s="25" t="n">
        <x:v>89045.48046535479</x:v>
      </x:c>
      <x:c r="D3912" s="25" t="str">
        <x:v>tonnes</x:v>
      </x:c>
    </x:row>
    <x:row r="3913" ht="18" customHeight="1">
      <x:c r="A3913" s="25" t="str">
        <x:v>EEZ_973</x:v>
      </x:c>
      <x:c r="B3913" s="25" t="str">
        <x:v>catch_coverage_fraction</x:v>
      </x:c>
      <x:c r="C3913" s="25" t="n">
        <x:v>1</x:v>
      </x:c>
      <x:c r="D3913" s="25" t="str">
        <x:v>fraction</x:v>
      </x:c>
    </x:row>
    <x:row r="3914" ht="18" customHeight="1">
      <x:c r="A3914" s="25" t="str">
        <x:v>EEZ_973</x:v>
      </x:c>
      <x:c r="B3914" s="25" t="str">
        <x:v>taxa_count</x:v>
      </x:c>
      <x:c r="C3914" s="25" t="n">
        <x:v>58</x:v>
      </x:c>
      <x:c r="D3914" s="25" t="str">
        <x:v>count</x:v>
      </x:c>
    </x:row>
    <x:row r="3915" ht="18" customHeight="1">
      <x:c r="A3915" s="25" t="str">
        <x:v>EEZ_973</x:v>
      </x:c>
      <x:c r="B3915" s="25" t="str">
        <x:v>matched_taxa_count</x:v>
      </x:c>
      <x:c r="C3915" s="25" t="n">
        <x:v>58</x:v>
      </x:c>
      <x:c r="D3915" s="25" t="str">
        <x:v>count</x:v>
      </x:c>
    </x:row>
    <x:row r="3916" ht="18" customHeight="1">
      <x:c r="A3916" s="25" t="str">
        <x:v>EEZ_973</x:v>
      </x:c>
      <x:c r="B3916" s="25" t="str">
        <x:v>unmatched_taxa_count</x:v>
      </x:c>
      <x:c r="C3916" s="25" t="n">
        <x:v>0</x:v>
      </x:c>
      <x:c r="D3916" s="25" t="str">
        <x:v>count</x:v>
      </x:c>
    </x:row>
    <x:row r="3917" ht="18" customHeight="1">
      <x:c r="A3917" s="25" t="str">
        <x:v>EEZ_973</x:v>
      </x:c>
      <x:c r="B3917" s="25" t="str">
        <x:v>species_ppr</x:v>
      </x:c>
      <x:c r="C3917" s="25" t="n">
        <x:v>58964164.09103803</x:v>
      </x:c>
      <x:c r="D3917" s="25" t="str">
        <x:v>tonnes_primary_production_equivalent</x:v>
      </x:c>
    </x:row>
    <x:row r="3918" ht="18" customHeight="1">
      <x:c r="A3918" s="25" t="str">
        <x:v>EEZ_973</x:v>
      </x:c>
      <x:c r="B3918" s="25" t="str">
        <x:v>commercial_ppr</x:v>
      </x:c>
      <x:c r="C3918" s="25" t="n">
        <x:v>34035460.416067936</x:v>
      </x:c>
      <x:c r="D3918" s="25" t="str">
        <x:v>tonnes_primary_production_equivalent</x:v>
      </x:c>
    </x:row>
    <x:row r="3919" ht="18" customHeight="1">
      <x:c r="A3919" s="25" t="str">
        <x:v>EEZ_973</x:v>
      </x:c>
      <x:c r="B3919" s="25" t="str">
        <x:v>functional_ppr</x:v>
      </x:c>
      <x:c r="C3919" s="25" t="n">
        <x:v>52997138.40968333</x:v>
      </x:c>
      <x:c r="D3919" s="25" t="str">
        <x:v>tonnes_primary_production_equivalent</x:v>
      </x:c>
    </x:row>
    <x:row r="3920" ht="18" customHeight="1">
      <x:c r="A3920" s="25" t="str">
        <x:v>EEZ_973</x:v>
      </x:c>
      <x:c r="B3920" s="25" t="str">
        <x:v>commercial_ppr_difference</x:v>
      </x:c>
      <x:c r="C3920" s="25" t="n">
        <x:v>-24928703.674970098</x:v>
      </x:c>
      <x:c r="D3920" s="25" t="str">
        <x:v>tonnes_primary_production_equivalent</x:v>
      </x:c>
    </x:row>
    <x:row r="3921" ht="18" customHeight="1">
      <x:c r="A3921" s="25" t="str">
        <x:v>EEZ_973</x:v>
      </x:c>
      <x:c r="B3921" s="25" t="str">
        <x:v>functional_ppr_difference</x:v>
      </x:c>
      <x:c r="C3921" s="25" t="n">
        <x:v>-5967025.6813547015</x:v>
      </x:c>
      <x:c r="D3921" s="25" t="str">
        <x:v>tonnes_primary_production_equivalent</x:v>
      </x:c>
    </x:row>
    <x:row r="3922" ht="18" customHeight="1">
      <x:c r="A3922" s="25" t="str">
        <x:v>EEZ_974</x:v>
      </x:c>
      <x:c r="B3922" s="25" t="str">
        <x:v>raw_filtered_tonnes</x:v>
      </x:c>
      <x:c r="C3922" s="25" t="n">
        <x:v>177084.6873231058</x:v>
      </x:c>
      <x:c r="D3922" s="25" t="str">
        <x:v>tonnes</x:v>
      </x:c>
    </x:row>
    <x:row r="3923" ht="18" customHeight="1">
      <x:c r="A3923" s="25" t="str">
        <x:v>EEZ_974</x:v>
      </x:c>
      <x:c r="B3923" s="25" t="str">
        <x:v>species_catch_tonnes</x:v>
      </x:c>
      <x:c r="C3923" s="25" t="n">
        <x:v>177084.68732310578</x:v>
      </x:c>
      <x:c r="D3923" s="25" t="str">
        <x:v>tonnes</x:v>
      </x:c>
    </x:row>
    <x:row r="3924" ht="18" customHeight="1">
      <x:c r="A3924" s="25" t="str">
        <x:v>EEZ_974</x:v>
      </x:c>
      <x:c r="B3924" s="25" t="str">
        <x:v>catch_difference_tonnes</x:v>
      </x:c>
      <x:c r="C3924" s="25" t="n">
        <x:v>-2.9103830456733704e-11</x:v>
      </x:c>
      <x:c r="D3924" s="25" t="str">
        <x:v>tonnes</x:v>
      </x:c>
    </x:row>
    <x:row r="3925" ht="18" customHeight="1">
      <x:c r="A3925" s="25" t="str">
        <x:v>EEZ_974</x:v>
      </x:c>
      <x:c r="B3925" s="25" t="str">
        <x:v>catch_reconciled</x:v>
      </x:c>
      <x:c r="C3925" s="36" t="b">
        <x:v>1</x:v>
      </x:c>
      <x:c r="D3925" s="25" t="str">
        <x:v>boolean</x:v>
      </x:c>
    </x:row>
    <x:row r="3926" ht="18" customHeight="1">
      <x:c r="A3926" s="25" t="str">
        <x:v>EEZ_974</x:v>
      </x:c>
      <x:c r="B3926" s="25" t="str">
        <x:v>matched_catch_tonnes</x:v>
      </x:c>
      <x:c r="C3926" s="25" t="n">
        <x:v>177084.68732310578</x:v>
      </x:c>
      <x:c r="D3926" s="25" t="str">
        <x:v>tonnes</x:v>
      </x:c>
    </x:row>
    <x:row r="3927" ht="18" customHeight="1">
      <x:c r="A3927" s="25" t="str">
        <x:v>EEZ_974</x:v>
      </x:c>
      <x:c r="B3927" s="25" t="str">
        <x:v>catch_coverage_fraction</x:v>
      </x:c>
      <x:c r="C3927" s="25" t="n">
        <x:v>1</x:v>
      </x:c>
      <x:c r="D3927" s="25" t="str">
        <x:v>fraction</x:v>
      </x:c>
    </x:row>
    <x:row r="3928" ht="18" customHeight="1">
      <x:c r="A3928" s="25" t="str">
        <x:v>EEZ_974</x:v>
      </x:c>
      <x:c r="B3928" s="25" t="str">
        <x:v>taxa_count</x:v>
      </x:c>
      <x:c r="C3928" s="25" t="n">
        <x:v>53</x:v>
      </x:c>
      <x:c r="D3928" s="25" t="str">
        <x:v>count</x:v>
      </x:c>
    </x:row>
    <x:row r="3929" ht="18" customHeight="1">
      <x:c r="A3929" s="25" t="str">
        <x:v>EEZ_974</x:v>
      </x:c>
      <x:c r="B3929" s="25" t="str">
        <x:v>matched_taxa_count</x:v>
      </x:c>
      <x:c r="C3929" s="25" t="n">
        <x:v>53</x:v>
      </x:c>
      <x:c r="D3929" s="25" t="str">
        <x:v>count</x:v>
      </x:c>
    </x:row>
    <x:row r="3930" ht="18" customHeight="1">
      <x:c r="A3930" s="25" t="str">
        <x:v>EEZ_974</x:v>
      </x:c>
      <x:c r="B3930" s="25" t="str">
        <x:v>unmatched_taxa_count</x:v>
      </x:c>
      <x:c r="C3930" s="25" t="n">
        <x:v>0</x:v>
      </x:c>
      <x:c r="D3930" s="25" t="str">
        <x:v>count</x:v>
      </x:c>
    </x:row>
    <x:row r="3931" ht="18" customHeight="1">
      <x:c r="A3931" s="25" t="str">
        <x:v>EEZ_974</x:v>
      </x:c>
      <x:c r="B3931" s="25" t="str">
        <x:v>species_ppr</x:v>
      </x:c>
      <x:c r="C3931" s="25" t="n">
        <x:v>88730291.34530385</x:v>
      </x:c>
      <x:c r="D3931" s="25" t="str">
        <x:v>tonnes_primary_production_equivalent</x:v>
      </x:c>
    </x:row>
    <x:row r="3932" ht="18" customHeight="1">
      <x:c r="A3932" s="25" t="str">
        <x:v>EEZ_974</x:v>
      </x:c>
      <x:c r="B3932" s="25" t="str">
        <x:v>commercial_ppr</x:v>
      </x:c>
      <x:c r="C3932" s="25" t="n">
        <x:v>63446825.60801261</x:v>
      </x:c>
      <x:c r="D3932" s="25" t="str">
        <x:v>tonnes_primary_production_equivalent</x:v>
      </x:c>
    </x:row>
    <x:row r="3933" ht="18" customHeight="1">
      <x:c r="A3933" s="25" t="str">
        <x:v>EEZ_974</x:v>
      </x:c>
      <x:c r="B3933" s="25" t="str">
        <x:v>functional_ppr</x:v>
      </x:c>
      <x:c r="C3933" s="25" t="n">
        <x:v>83510305.69856766</x:v>
      </x:c>
      <x:c r="D3933" s="25" t="str">
        <x:v>tonnes_primary_production_equivalent</x:v>
      </x:c>
    </x:row>
    <x:row r="3934" ht="18" customHeight="1">
      <x:c r="A3934" s="25" t="str">
        <x:v>EEZ_974</x:v>
      </x:c>
      <x:c r="B3934" s="25" t="str">
        <x:v>commercial_ppr_difference</x:v>
      </x:c>
      <x:c r="C3934" s="25" t="n">
        <x:v>-25283465.73729124</x:v>
      </x:c>
      <x:c r="D3934" s="25" t="str">
        <x:v>tonnes_primary_production_equivalent</x:v>
      </x:c>
    </x:row>
    <x:row r="3935" ht="18" customHeight="1">
      <x:c r="A3935" s="25" t="str">
        <x:v>EEZ_974</x:v>
      </x:c>
      <x:c r="B3935" s="25" t="str">
        <x:v>functional_ppr_difference</x:v>
      </x:c>
      <x:c r="C3935" s="25" t="n">
        <x:v>-5219985.64673619</x:v>
      </x:c>
      <x:c r="D3935" s="25" t="str">
        <x:v>tonnes_primary_production_equivalent</x:v>
      </x:c>
    </x:row>
    <x:row r="3936" ht="18" customHeight="1">
      <x:c r="A3936" s="25" t="str">
        <x:v>EEZ_977</x:v>
      </x:c>
      <x:c r="B3936" s="25" t="str">
        <x:v>raw_filtered_tonnes</x:v>
      </x:c>
      <x:c r="C3936" s="25" t="n">
        <x:v>5568.2319259029</x:v>
      </x:c>
      <x:c r="D3936" s="25" t="str">
        <x:v>tonnes</x:v>
      </x:c>
    </x:row>
    <x:row r="3937" ht="18" customHeight="1">
      <x:c r="A3937" s="25" t="str">
        <x:v>EEZ_977</x:v>
      </x:c>
      <x:c r="B3937" s="25" t="str">
        <x:v>species_catch_tonnes</x:v>
      </x:c>
      <x:c r="C3937" s="25" t="n">
        <x:v>5568.2319259029</x:v>
      </x:c>
      <x:c r="D3937" s="25" t="str">
        <x:v>tonnes</x:v>
      </x:c>
    </x:row>
    <x:row r="3938" ht="18" customHeight="1">
      <x:c r="A3938" s="25" t="str">
        <x:v>EEZ_977</x:v>
      </x:c>
      <x:c r="B3938" s="25" t="str">
        <x:v>catch_difference_tonnes</x:v>
      </x:c>
      <x:c r="C3938" s="25" t="n">
        <x:v>0</x:v>
      </x:c>
      <x:c r="D3938" s="25" t="str">
        <x:v>tonnes</x:v>
      </x:c>
    </x:row>
    <x:row r="3939" ht="18" customHeight="1">
      <x:c r="A3939" s="25" t="str">
        <x:v>EEZ_977</x:v>
      </x:c>
      <x:c r="B3939" s="25" t="str">
        <x:v>catch_reconciled</x:v>
      </x:c>
      <x:c r="C3939" s="36" t="b">
        <x:v>1</x:v>
      </x:c>
      <x:c r="D3939" s="25" t="str">
        <x:v>boolean</x:v>
      </x:c>
    </x:row>
    <x:row r="3940" ht="18" customHeight="1">
      <x:c r="A3940" s="25" t="str">
        <x:v>EEZ_977</x:v>
      </x:c>
      <x:c r="B3940" s="25" t="str">
        <x:v>matched_catch_tonnes</x:v>
      </x:c>
      <x:c r="C3940" s="25" t="n">
        <x:v>5568.2319259029</x:v>
      </x:c>
      <x:c r="D3940" s="25" t="str">
        <x:v>tonnes</x:v>
      </x:c>
    </x:row>
    <x:row r="3941" ht="18" customHeight="1">
      <x:c r="A3941" s="25" t="str">
        <x:v>EEZ_977</x:v>
      </x:c>
      <x:c r="B3941" s="25" t="str">
        <x:v>catch_coverage_fraction</x:v>
      </x:c>
      <x:c r="C3941" s="25" t="n">
        <x:v>1</x:v>
      </x:c>
      <x:c r="D3941" s="25" t="str">
        <x:v>fraction</x:v>
      </x:c>
    </x:row>
    <x:row r="3942" ht="18" customHeight="1">
      <x:c r="A3942" s="25" t="str">
        <x:v>EEZ_977</x:v>
      </x:c>
      <x:c r="B3942" s="25" t="str">
        <x:v>taxa_count</x:v>
      </x:c>
      <x:c r="C3942" s="25" t="n">
        <x:v>73</x:v>
      </x:c>
      <x:c r="D3942" s="25" t="str">
        <x:v>count</x:v>
      </x:c>
    </x:row>
    <x:row r="3943" ht="18" customHeight="1">
      <x:c r="A3943" s="25" t="str">
        <x:v>EEZ_977</x:v>
      </x:c>
      <x:c r="B3943" s="25" t="str">
        <x:v>matched_taxa_count</x:v>
      </x:c>
      <x:c r="C3943" s="25" t="n">
        <x:v>73</x:v>
      </x:c>
      <x:c r="D3943" s="25" t="str">
        <x:v>count</x:v>
      </x:c>
    </x:row>
    <x:row r="3944" ht="18" customHeight="1">
      <x:c r="A3944" s="25" t="str">
        <x:v>EEZ_977</x:v>
      </x:c>
      <x:c r="B3944" s="25" t="str">
        <x:v>unmatched_taxa_count</x:v>
      </x:c>
      <x:c r="C3944" s="25" t="n">
        <x:v>0</x:v>
      </x:c>
      <x:c r="D3944" s="25" t="str">
        <x:v>count</x:v>
      </x:c>
    </x:row>
    <x:row r="3945" ht="18" customHeight="1">
      <x:c r="A3945" s="25" t="str">
        <x:v>EEZ_977</x:v>
      </x:c>
      <x:c r="B3945" s="25" t="str">
        <x:v>species_ppr</x:v>
      </x:c>
      <x:c r="C3945" s="25" t="n">
        <x:v>4326547.356832713</x:v>
      </x:c>
      <x:c r="D3945" s="25" t="str">
        <x:v>tonnes_primary_production_equivalent</x:v>
      </x:c>
    </x:row>
    <x:row r="3946" ht="18" customHeight="1">
      <x:c r="A3946" s="25" t="str">
        <x:v>EEZ_977</x:v>
      </x:c>
      <x:c r="B3946" s="25" t="str">
        <x:v>commercial_ppr</x:v>
      </x:c>
      <x:c r="C3946" s="25" t="n">
        <x:v>3696362.0147488937</x:v>
      </x:c>
      <x:c r="D3946" s="25" t="str">
        <x:v>tonnes_primary_production_equivalent</x:v>
      </x:c>
    </x:row>
    <x:row r="3947" ht="18" customHeight="1">
      <x:c r="A3947" s="25" t="str">
        <x:v>EEZ_977</x:v>
      </x:c>
      <x:c r="B3947" s="25" t="str">
        <x:v>functional_ppr</x:v>
      </x:c>
      <x:c r="C3947" s="25" t="n">
        <x:v>4055689.3224935452</x:v>
      </x:c>
      <x:c r="D3947" s="25" t="str">
        <x:v>tonnes_primary_production_equivalent</x:v>
      </x:c>
    </x:row>
    <x:row r="3948" ht="18" customHeight="1">
      <x:c r="A3948" s="25" t="str">
        <x:v>EEZ_977</x:v>
      </x:c>
      <x:c r="B3948" s="25" t="str">
        <x:v>commercial_ppr_difference</x:v>
      </x:c>
      <x:c r="C3948" s="25" t="n">
        <x:v>-630185.3420838192</x:v>
      </x:c>
      <x:c r="D3948" s="25" t="str">
        <x:v>tonnes_primary_production_equivalent</x:v>
      </x:c>
    </x:row>
    <x:row r="3949" ht="18" customHeight="1">
      <x:c r="A3949" s="25" t="str">
        <x:v>EEZ_977</x:v>
      </x:c>
      <x:c r="B3949" s="25" t="str">
        <x:v>functional_ppr_difference</x:v>
      </x:c>
      <x:c r="C3949" s="25" t="n">
        <x:v>-270858.03433916764</x:v>
      </x:c>
      <x:c r="D3949" s="25" t="str">
        <x:v>tonnes_primary_production_equivalent</x:v>
      </x:c>
    </x:row>
    <x:row r="3950" ht="18" customHeight="1">
      <x:c r="A3950" s="25" t="str">
        <x:v>EEZ_008</x:v>
      </x:c>
      <x:c r="B3950" s="25" t="str">
        <x:v>tl_coverage_complete</x:v>
      </x:c>
      <x:c r="C3950" s="36" t="b">
        <x:v>1</x:v>
      </x:c>
      <x:c r="D3950" s="25" t="str">
        <x:v>boolean</x:v>
      </x:c>
    </x:row>
    <x:row r="3951" ht="18" customHeight="1">
      <x:c r="A3951" s="25" t="str">
        <x:v>EEZ_008</x:v>
      </x:c>
      <x:c r="B3951" s="25" t="str">
        <x:v>group_ppr_within_convexity_bound</x:v>
      </x:c>
      <x:c r="C3951" s="36" t="b">
        <x:v>1</x:v>
      </x:c>
      <x:c r="D3951" s="25" t="str">
        <x:v>boolean</x:v>
      </x:c>
    </x:row>
    <x:row r="3952" ht="18" customHeight="1">
      <x:c r="A3952" s="25" t="str">
        <x:v>EEZ_012</x:v>
      </x:c>
      <x:c r="B3952" s="25" t="str">
        <x:v>tl_coverage_complete</x:v>
      </x:c>
      <x:c r="C3952" s="36" t="b">
        <x:v>1</x:v>
      </x:c>
      <x:c r="D3952" s="25" t="str">
        <x:v>boolean</x:v>
      </x:c>
    </x:row>
    <x:row r="3953" ht="18" customHeight="1">
      <x:c r="A3953" s="25" t="str">
        <x:v>EEZ_012</x:v>
      </x:c>
      <x:c r="B3953" s="25" t="str">
        <x:v>group_ppr_within_convexity_bound</x:v>
      </x:c>
      <x:c r="C3953" s="36" t="b">
        <x:v>1</x:v>
      </x:c>
      <x:c r="D3953" s="25" t="str">
        <x:v>boolean</x:v>
      </x:c>
    </x:row>
    <x:row r="3954" ht="18" customHeight="1">
      <x:c r="A3954" s="25" t="str">
        <x:v>EEZ_016</x:v>
      </x:c>
      <x:c r="B3954" s="25" t="str">
        <x:v>tl_coverage_complete</x:v>
      </x:c>
      <x:c r="C3954" s="36" t="b">
        <x:v>1</x:v>
      </x:c>
      <x:c r="D3954" s="25" t="str">
        <x:v>boolean</x:v>
      </x:c>
    </x:row>
    <x:row r="3955" ht="18" customHeight="1">
      <x:c r="A3955" s="25" t="str">
        <x:v>EEZ_016</x:v>
      </x:c>
      <x:c r="B3955" s="25" t="str">
        <x:v>group_ppr_within_convexity_bound</x:v>
      </x:c>
      <x:c r="C3955" s="36" t="b">
        <x:v>1</x:v>
      </x:c>
      <x:c r="D3955" s="25" t="str">
        <x:v>boolean</x:v>
      </x:c>
    </x:row>
    <x:row r="3956" ht="18" customHeight="1">
      <x:c r="A3956" s="25" t="str">
        <x:v>EEZ_024</x:v>
      </x:c>
      <x:c r="B3956" s="25" t="str">
        <x:v>tl_coverage_complete</x:v>
      </x:c>
      <x:c r="C3956" s="36" t="b">
        <x:v>1</x:v>
      </x:c>
      <x:c r="D3956" s="25" t="str">
        <x:v>boolean</x:v>
      </x:c>
    </x:row>
    <x:row r="3957" ht="18" customHeight="1">
      <x:c r="A3957" s="25" t="str">
        <x:v>EEZ_024</x:v>
      </x:c>
      <x:c r="B3957" s="25" t="str">
        <x:v>group_ppr_within_convexity_bound</x:v>
      </x:c>
      <x:c r="C3957" s="36" t="b">
        <x:v>1</x:v>
      </x:c>
      <x:c r="D3957" s="25" t="str">
        <x:v>boolean</x:v>
      </x:c>
    </x:row>
    <x:row r="3958" ht="18" customHeight="1">
      <x:c r="A3958" s="25" t="str">
        <x:v>EEZ_028</x:v>
      </x:c>
      <x:c r="B3958" s="25" t="str">
        <x:v>tl_coverage_complete</x:v>
      </x:c>
      <x:c r="C3958" s="36" t="b">
        <x:v>1</x:v>
      </x:c>
      <x:c r="D3958" s="25" t="str">
        <x:v>boolean</x:v>
      </x:c>
    </x:row>
    <x:row r="3959" ht="18" customHeight="1">
      <x:c r="A3959" s="25" t="str">
        <x:v>EEZ_028</x:v>
      </x:c>
      <x:c r="B3959" s="25" t="str">
        <x:v>group_ppr_within_convexity_bound</x:v>
      </x:c>
      <x:c r="C3959" s="36" t="b">
        <x:v>1</x:v>
      </x:c>
      <x:c r="D3959" s="25" t="str">
        <x:v>boolean</x:v>
      </x:c>
    </x:row>
    <x:row r="3960" ht="18" customHeight="1">
      <x:c r="A3960" s="25" t="str">
        <x:v>EEZ_032</x:v>
      </x:c>
      <x:c r="B3960" s="25" t="str">
        <x:v>tl_coverage_complete</x:v>
      </x:c>
      <x:c r="C3960" s="36" t="b">
        <x:v>1</x:v>
      </x:c>
      <x:c r="D3960" s="25" t="str">
        <x:v>boolean</x:v>
      </x:c>
    </x:row>
    <x:row r="3961" ht="18" customHeight="1">
      <x:c r="A3961" s="25" t="str">
        <x:v>EEZ_032</x:v>
      </x:c>
      <x:c r="B3961" s="25" t="str">
        <x:v>group_ppr_within_convexity_bound</x:v>
      </x:c>
      <x:c r="C3961" s="36" t="b">
        <x:v>1</x:v>
      </x:c>
      <x:c r="D3961" s="25" t="str">
        <x:v>boolean</x:v>
      </x:c>
    </x:row>
    <x:row r="3962" ht="18" customHeight="1">
      <x:c r="A3962" s="25" t="str">
        <x:v>EEZ_036</x:v>
      </x:c>
      <x:c r="B3962" s="25" t="str">
        <x:v>tl_coverage_complete</x:v>
      </x:c>
      <x:c r="C3962" s="36" t="b">
        <x:v>1</x:v>
      </x:c>
      <x:c r="D3962" s="25" t="str">
        <x:v>boolean</x:v>
      </x:c>
    </x:row>
    <x:row r="3963" ht="18" customHeight="1">
      <x:c r="A3963" s="25" t="str">
        <x:v>EEZ_036</x:v>
      </x:c>
      <x:c r="B3963" s="25" t="str">
        <x:v>group_ppr_within_convexity_bound</x:v>
      </x:c>
      <x:c r="C3963" s="36" t="b">
        <x:v>1</x:v>
      </x:c>
      <x:c r="D3963" s="25" t="str">
        <x:v>boolean</x:v>
      </x:c>
    </x:row>
    <x:row r="3964" ht="18" customHeight="1">
      <x:c r="A3964" s="25" t="str">
        <x:v>EEZ_037</x:v>
      </x:c>
      <x:c r="B3964" s="25" t="str">
        <x:v>tl_coverage_complete</x:v>
      </x:c>
      <x:c r="C3964" s="36" t="b">
        <x:v>1</x:v>
      </x:c>
      <x:c r="D3964" s="25" t="str">
        <x:v>boolean</x:v>
      </x:c>
    </x:row>
    <x:row r="3965" ht="18" customHeight="1">
      <x:c r="A3965" s="25" t="str">
        <x:v>EEZ_037</x:v>
      </x:c>
      <x:c r="B3965" s="25" t="str">
        <x:v>group_ppr_within_convexity_bound</x:v>
      </x:c>
      <x:c r="C3965" s="36" t="b">
        <x:v>1</x:v>
      </x:c>
      <x:c r="D3965" s="25" t="str">
        <x:v>boolean</x:v>
      </x:c>
    </x:row>
    <x:row r="3966" ht="18" customHeight="1">
      <x:c r="A3966" s="25" t="str">
        <x:v>EEZ_038</x:v>
      </x:c>
      <x:c r="B3966" s="25" t="str">
        <x:v>tl_coverage_complete</x:v>
      </x:c>
      <x:c r="C3966" s="36" t="b">
        <x:v>1</x:v>
      </x:c>
      <x:c r="D3966" s="25" t="str">
        <x:v>boolean</x:v>
      </x:c>
    </x:row>
    <x:row r="3967" ht="18" customHeight="1">
      <x:c r="A3967" s="25" t="str">
        <x:v>EEZ_038</x:v>
      </x:c>
      <x:c r="B3967" s="25" t="str">
        <x:v>group_ppr_within_convexity_bound</x:v>
      </x:c>
      <x:c r="C3967" s="36" t="b">
        <x:v>1</x:v>
      </x:c>
      <x:c r="D3967" s="25" t="str">
        <x:v>boolean</x:v>
      </x:c>
    </x:row>
    <x:row r="3968" ht="18" customHeight="1">
      <x:c r="A3968" s="25" t="str">
        <x:v>EEZ_044</x:v>
      </x:c>
      <x:c r="B3968" s="25" t="str">
        <x:v>tl_coverage_complete</x:v>
      </x:c>
      <x:c r="C3968" s="36" t="b">
        <x:v>1</x:v>
      </x:c>
      <x:c r="D3968" s="25" t="str">
        <x:v>boolean</x:v>
      </x:c>
    </x:row>
    <x:row r="3969" ht="18" customHeight="1">
      <x:c r="A3969" s="25" t="str">
        <x:v>EEZ_044</x:v>
      </x:c>
      <x:c r="B3969" s="25" t="str">
        <x:v>group_ppr_within_convexity_bound</x:v>
      </x:c>
      <x:c r="C3969" s="36" t="b">
        <x:v>1</x:v>
      </x:c>
      <x:c r="D3969" s="25" t="str">
        <x:v>boolean</x:v>
      </x:c>
    </x:row>
    <x:row r="3970" ht="18" customHeight="1">
      <x:c r="A3970" s="25" t="str">
        <x:v>EEZ_048</x:v>
      </x:c>
      <x:c r="B3970" s="25" t="str">
        <x:v>tl_coverage_complete</x:v>
      </x:c>
      <x:c r="C3970" s="36" t="b">
        <x:v>1</x:v>
      </x:c>
      <x:c r="D3970" s="25" t="str">
        <x:v>boolean</x:v>
      </x:c>
    </x:row>
    <x:row r="3971" ht="18" customHeight="1">
      <x:c r="A3971" s="25" t="str">
        <x:v>EEZ_048</x:v>
      </x:c>
      <x:c r="B3971" s="25" t="str">
        <x:v>group_ppr_within_convexity_bound</x:v>
      </x:c>
      <x:c r="C3971" s="36" t="b">
        <x:v>1</x:v>
      </x:c>
      <x:c r="D3971" s="25" t="str">
        <x:v>boolean</x:v>
      </x:c>
    </x:row>
    <x:row r="3972" ht="18" customHeight="1">
      <x:c r="A3972" s="25" t="str">
        <x:v>EEZ_050</x:v>
      </x:c>
      <x:c r="B3972" s="25" t="str">
        <x:v>tl_coverage_complete</x:v>
      </x:c>
      <x:c r="C3972" s="36" t="b">
        <x:v>1</x:v>
      </x:c>
      <x:c r="D3972" s="25" t="str">
        <x:v>boolean</x:v>
      </x:c>
    </x:row>
    <x:row r="3973" ht="18" customHeight="1">
      <x:c r="A3973" s="25" t="str">
        <x:v>EEZ_050</x:v>
      </x:c>
      <x:c r="B3973" s="25" t="str">
        <x:v>group_ppr_within_convexity_bound</x:v>
      </x:c>
      <x:c r="C3973" s="36" t="b">
        <x:v>1</x:v>
      </x:c>
      <x:c r="D3973" s="25" t="str">
        <x:v>boolean</x:v>
      </x:c>
    </x:row>
    <x:row r="3974" ht="18" customHeight="1">
      <x:c r="A3974" s="25" t="str">
        <x:v>EEZ_052</x:v>
      </x:c>
      <x:c r="B3974" s="25" t="str">
        <x:v>tl_coverage_complete</x:v>
      </x:c>
      <x:c r="C3974" s="36" t="b">
        <x:v>1</x:v>
      </x:c>
      <x:c r="D3974" s="25" t="str">
        <x:v>boolean</x:v>
      </x:c>
    </x:row>
    <x:row r="3975" ht="18" customHeight="1">
      <x:c r="A3975" s="25" t="str">
        <x:v>EEZ_052</x:v>
      </x:c>
      <x:c r="B3975" s="25" t="str">
        <x:v>group_ppr_within_convexity_bound</x:v>
      </x:c>
      <x:c r="C3975" s="36" t="b">
        <x:v>1</x:v>
      </x:c>
      <x:c r="D3975" s="25" t="str">
        <x:v>boolean</x:v>
      </x:c>
    </x:row>
    <x:row r="3976" ht="18" customHeight="1">
      <x:c r="A3976" s="25" t="str">
        <x:v>EEZ_056</x:v>
      </x:c>
      <x:c r="B3976" s="25" t="str">
        <x:v>tl_coverage_complete</x:v>
      </x:c>
      <x:c r="C3976" s="36" t="b">
        <x:v>1</x:v>
      </x:c>
      <x:c r="D3976" s="25" t="str">
        <x:v>boolean</x:v>
      </x:c>
    </x:row>
    <x:row r="3977" ht="18" customHeight="1">
      <x:c r="A3977" s="25" t="str">
        <x:v>EEZ_056</x:v>
      </x:c>
      <x:c r="B3977" s="25" t="str">
        <x:v>group_ppr_within_convexity_bound</x:v>
      </x:c>
      <x:c r="C3977" s="36" t="b">
        <x:v>1</x:v>
      </x:c>
      <x:c r="D3977" s="25" t="str">
        <x:v>boolean</x:v>
      </x:c>
    </x:row>
    <x:row r="3978" ht="18" customHeight="1">
      <x:c r="A3978" s="25" t="str">
        <x:v>EEZ_060</x:v>
      </x:c>
      <x:c r="B3978" s="25" t="str">
        <x:v>tl_coverage_complete</x:v>
      </x:c>
      <x:c r="C3978" s="36" t="b">
        <x:v>1</x:v>
      </x:c>
      <x:c r="D3978" s="25" t="str">
        <x:v>boolean</x:v>
      </x:c>
    </x:row>
    <x:row r="3979" ht="18" customHeight="1">
      <x:c r="A3979" s="25" t="str">
        <x:v>EEZ_060</x:v>
      </x:c>
      <x:c r="B3979" s="25" t="str">
        <x:v>group_ppr_within_convexity_bound</x:v>
      </x:c>
      <x:c r="C3979" s="36" t="b">
        <x:v>1</x:v>
      </x:c>
      <x:c r="D3979" s="25" t="str">
        <x:v>boolean</x:v>
      </x:c>
    </x:row>
    <x:row r="3980" ht="18" customHeight="1">
      <x:c r="A3980" s="25" t="str">
        <x:v>EEZ_070</x:v>
      </x:c>
      <x:c r="B3980" s="25" t="str">
        <x:v>tl_coverage_complete</x:v>
      </x:c>
      <x:c r="C3980" s="36" t="b">
        <x:v>1</x:v>
      </x:c>
      <x:c r="D3980" s="25" t="str">
        <x:v>boolean</x:v>
      </x:c>
    </x:row>
    <x:row r="3981" ht="18" customHeight="1">
      <x:c r="A3981" s="25" t="str">
        <x:v>EEZ_070</x:v>
      </x:c>
      <x:c r="B3981" s="25" t="str">
        <x:v>group_ppr_within_convexity_bound</x:v>
      </x:c>
      <x:c r="C3981" s="36" t="b">
        <x:v>1</x:v>
      </x:c>
      <x:c r="D3981" s="25" t="str">
        <x:v>boolean</x:v>
      </x:c>
    </x:row>
    <x:row r="3982" ht="18" customHeight="1">
      <x:c r="A3982" s="25" t="str">
        <x:v>EEZ_074</x:v>
      </x:c>
      <x:c r="B3982" s="25" t="str">
        <x:v>tl_coverage_complete</x:v>
      </x:c>
      <x:c r="C3982" s="36" t="b">
        <x:v>1</x:v>
      </x:c>
      <x:c r="D3982" s="25" t="str">
        <x:v>boolean</x:v>
      </x:c>
    </x:row>
    <x:row r="3983" ht="18" customHeight="1">
      <x:c r="A3983" s="25" t="str">
        <x:v>EEZ_074</x:v>
      </x:c>
      <x:c r="B3983" s="25" t="str">
        <x:v>group_ppr_within_convexity_bound</x:v>
      </x:c>
      <x:c r="C3983" s="36" t="b">
        <x:v>1</x:v>
      </x:c>
      <x:c r="D3983" s="25" t="str">
        <x:v>boolean</x:v>
      </x:c>
    </x:row>
    <x:row r="3984" ht="18" customHeight="1">
      <x:c r="A3984" s="25" t="str">
        <x:v>EEZ_076</x:v>
      </x:c>
      <x:c r="B3984" s="25" t="str">
        <x:v>tl_coverage_complete</x:v>
      </x:c>
      <x:c r="C3984" s="36" t="b">
        <x:v>1</x:v>
      </x:c>
      <x:c r="D3984" s="25" t="str">
        <x:v>boolean</x:v>
      </x:c>
    </x:row>
    <x:row r="3985" ht="18" customHeight="1">
      <x:c r="A3985" s="25" t="str">
        <x:v>EEZ_076</x:v>
      </x:c>
      <x:c r="B3985" s="25" t="str">
        <x:v>group_ppr_within_convexity_bound</x:v>
      </x:c>
      <x:c r="C3985" s="36" t="b">
        <x:v>1</x:v>
      </x:c>
      <x:c r="D3985" s="25" t="str">
        <x:v>boolean</x:v>
      </x:c>
    </x:row>
    <x:row r="3986" ht="18" customHeight="1">
      <x:c r="A3986" s="25" t="str">
        <x:v>EEZ_077</x:v>
      </x:c>
      <x:c r="B3986" s="25" t="str">
        <x:v>tl_coverage_complete</x:v>
      </x:c>
      <x:c r="C3986" s="36" t="b">
        <x:v>1</x:v>
      </x:c>
      <x:c r="D3986" s="25" t="str">
        <x:v>boolean</x:v>
      </x:c>
    </x:row>
    <x:row r="3987" ht="18" customHeight="1">
      <x:c r="A3987" s="25" t="str">
        <x:v>EEZ_077</x:v>
      </x:c>
      <x:c r="B3987" s="25" t="str">
        <x:v>group_ppr_within_convexity_bound</x:v>
      </x:c>
      <x:c r="C3987" s="36" t="b">
        <x:v>1</x:v>
      </x:c>
      <x:c r="D3987" s="25" t="str">
        <x:v>boolean</x:v>
      </x:c>
    </x:row>
    <x:row r="3988" ht="18" customHeight="1">
      <x:c r="A3988" s="25" t="str">
        <x:v>EEZ_084</x:v>
      </x:c>
      <x:c r="B3988" s="25" t="str">
        <x:v>tl_coverage_complete</x:v>
      </x:c>
      <x:c r="C3988" s="36" t="b">
        <x:v>1</x:v>
      </x:c>
      <x:c r="D3988" s="25" t="str">
        <x:v>boolean</x:v>
      </x:c>
    </x:row>
    <x:row r="3989" ht="18" customHeight="1">
      <x:c r="A3989" s="25" t="str">
        <x:v>EEZ_084</x:v>
      </x:c>
      <x:c r="B3989" s="25" t="str">
        <x:v>group_ppr_within_convexity_bound</x:v>
      </x:c>
      <x:c r="C3989" s="36" t="b">
        <x:v>1</x:v>
      </x:c>
      <x:c r="D3989" s="25" t="str">
        <x:v>boolean</x:v>
      </x:c>
    </x:row>
    <x:row r="3990" ht="18" customHeight="1">
      <x:c r="A3990" s="25" t="str">
        <x:v>EEZ_086</x:v>
      </x:c>
      <x:c r="B3990" s="25" t="str">
        <x:v>tl_coverage_complete</x:v>
      </x:c>
      <x:c r="C3990" s="36" t="b">
        <x:v>1</x:v>
      </x:c>
      <x:c r="D3990" s="25" t="str">
        <x:v>boolean</x:v>
      </x:c>
    </x:row>
    <x:row r="3991" ht="18" customHeight="1">
      <x:c r="A3991" s="25" t="str">
        <x:v>EEZ_086</x:v>
      </x:c>
      <x:c r="B3991" s="25" t="str">
        <x:v>group_ppr_within_convexity_bound</x:v>
      </x:c>
      <x:c r="C3991" s="36" t="b">
        <x:v>1</x:v>
      </x:c>
      <x:c r="D3991" s="25" t="str">
        <x:v>boolean</x:v>
      </x:c>
    </x:row>
    <x:row r="3992" ht="18" customHeight="1">
      <x:c r="A3992" s="25" t="str">
        <x:v>EEZ_090</x:v>
      </x:c>
      <x:c r="B3992" s="25" t="str">
        <x:v>tl_coverage_complete</x:v>
      </x:c>
      <x:c r="C3992" s="36" t="b">
        <x:v>1</x:v>
      </x:c>
      <x:c r="D3992" s="25" t="str">
        <x:v>boolean</x:v>
      </x:c>
    </x:row>
    <x:row r="3993" ht="18" customHeight="1">
      <x:c r="A3993" s="25" t="str">
        <x:v>EEZ_090</x:v>
      </x:c>
      <x:c r="B3993" s="25" t="str">
        <x:v>group_ppr_within_convexity_bound</x:v>
      </x:c>
      <x:c r="C3993" s="36" t="b">
        <x:v>1</x:v>
      </x:c>
      <x:c r="D3993" s="25" t="str">
        <x:v>boolean</x:v>
      </x:c>
    </x:row>
    <x:row r="3994" ht="18" customHeight="1">
      <x:c r="A3994" s="25" t="str">
        <x:v>EEZ_092</x:v>
      </x:c>
      <x:c r="B3994" s="25" t="str">
        <x:v>tl_coverage_complete</x:v>
      </x:c>
      <x:c r="C3994" s="36" t="b">
        <x:v>1</x:v>
      </x:c>
      <x:c r="D3994" s="25" t="str">
        <x:v>boolean</x:v>
      </x:c>
    </x:row>
    <x:row r="3995" ht="18" customHeight="1">
      <x:c r="A3995" s="25" t="str">
        <x:v>EEZ_092</x:v>
      </x:c>
      <x:c r="B3995" s="25" t="str">
        <x:v>group_ppr_within_convexity_bound</x:v>
      </x:c>
      <x:c r="C3995" s="36" t="b">
        <x:v>1</x:v>
      </x:c>
      <x:c r="D3995" s="25" t="str">
        <x:v>boolean</x:v>
      </x:c>
    </x:row>
    <x:row r="3996" ht="18" customHeight="1">
      <x:c r="A3996" s="25" t="str">
        <x:v>EEZ_096</x:v>
      </x:c>
      <x:c r="B3996" s="25" t="str">
        <x:v>tl_coverage_complete</x:v>
      </x:c>
      <x:c r="C3996" s="36" t="b">
        <x:v>1</x:v>
      </x:c>
      <x:c r="D3996" s="25" t="str">
        <x:v>boolean</x:v>
      </x:c>
    </x:row>
    <x:row r="3997" ht="18" customHeight="1">
      <x:c r="A3997" s="25" t="str">
        <x:v>EEZ_096</x:v>
      </x:c>
      <x:c r="B3997" s="25" t="str">
        <x:v>group_ppr_within_convexity_bound</x:v>
      </x:c>
      <x:c r="C3997" s="36" t="b">
        <x:v>1</x:v>
      </x:c>
      <x:c r="D3997" s="25" t="str">
        <x:v>boolean</x:v>
      </x:c>
    </x:row>
    <x:row r="3998" ht="18" customHeight="1">
      <x:c r="A3998" s="25" t="str">
        <x:v>EEZ_100</x:v>
      </x:c>
      <x:c r="B3998" s="25" t="str">
        <x:v>tl_coverage_complete</x:v>
      </x:c>
      <x:c r="C3998" s="36" t="b">
        <x:v>1</x:v>
      </x:c>
      <x:c r="D3998" s="25" t="str">
        <x:v>boolean</x:v>
      </x:c>
    </x:row>
    <x:row r="3999" ht="18" customHeight="1">
      <x:c r="A3999" s="25" t="str">
        <x:v>EEZ_100</x:v>
      </x:c>
      <x:c r="B3999" s="25" t="str">
        <x:v>group_ppr_within_convexity_bound</x:v>
      </x:c>
      <x:c r="C3999" s="36" t="b">
        <x:v>1</x:v>
      </x:c>
      <x:c r="D3999" s="25" t="str">
        <x:v>boolean</x:v>
      </x:c>
    </x:row>
    <x:row r="4000" ht="18" customHeight="1">
      <x:c r="A4000" s="25" t="str">
        <x:v>EEZ_104</x:v>
      </x:c>
      <x:c r="B4000" s="25" t="str">
        <x:v>tl_coverage_complete</x:v>
      </x:c>
      <x:c r="C4000" s="36" t="b">
        <x:v>1</x:v>
      </x:c>
      <x:c r="D4000" s="25" t="str">
        <x:v>boolean</x:v>
      </x:c>
    </x:row>
    <x:row r="4001" ht="18" customHeight="1">
      <x:c r="A4001" s="25" t="str">
        <x:v>EEZ_104</x:v>
      </x:c>
      <x:c r="B4001" s="25" t="str">
        <x:v>group_ppr_within_convexity_bound</x:v>
      </x:c>
      <x:c r="C4001" s="36" t="b">
        <x:v>1</x:v>
      </x:c>
      <x:c r="D4001" s="25" t="str">
        <x:v>boolean</x:v>
      </x:c>
    </x:row>
    <x:row r="4002" ht="18" customHeight="1">
      <x:c r="A4002" s="25" t="str">
        <x:v>EEZ_111</x:v>
      </x:c>
      <x:c r="B4002" s="25" t="str">
        <x:v>tl_coverage_complete</x:v>
      </x:c>
      <x:c r="C4002" s="36" t="b">
        <x:v>1</x:v>
      </x:c>
      <x:c r="D4002" s="25" t="str">
        <x:v>boolean</x:v>
      </x:c>
    </x:row>
    <x:row r="4003" ht="18" customHeight="1">
      <x:c r="A4003" s="25" t="str">
        <x:v>EEZ_111</x:v>
      </x:c>
      <x:c r="B4003" s="25" t="str">
        <x:v>group_ppr_within_convexity_bound</x:v>
      </x:c>
      <x:c r="C4003" s="36" t="b">
        <x:v>1</x:v>
      </x:c>
      <x:c r="D4003" s="25" t="str">
        <x:v>boolean</x:v>
      </x:c>
    </x:row>
    <x:row r="4004" ht="18" customHeight="1">
      <x:c r="A4004" s="25" t="str">
        <x:v>EEZ_116</x:v>
      </x:c>
      <x:c r="B4004" s="25" t="str">
        <x:v>tl_coverage_complete</x:v>
      </x:c>
      <x:c r="C4004" s="36" t="b">
        <x:v>1</x:v>
      </x:c>
      <x:c r="D4004" s="25" t="str">
        <x:v>boolean</x:v>
      </x:c>
    </x:row>
    <x:row r="4005" ht="18" customHeight="1">
      <x:c r="A4005" s="25" t="str">
        <x:v>EEZ_116</x:v>
      </x:c>
      <x:c r="B4005" s="25" t="str">
        <x:v>group_ppr_within_convexity_bound</x:v>
      </x:c>
      <x:c r="C4005" s="36" t="b">
        <x:v>1</x:v>
      </x:c>
      <x:c r="D4005" s="25" t="str">
        <x:v>boolean</x:v>
      </x:c>
    </x:row>
    <x:row r="4006" ht="18" customHeight="1">
      <x:c r="A4006" s="25" t="str">
        <x:v>EEZ_120</x:v>
      </x:c>
      <x:c r="B4006" s="25" t="str">
        <x:v>tl_coverage_complete</x:v>
      </x:c>
      <x:c r="C4006" s="36" t="b">
        <x:v>1</x:v>
      </x:c>
      <x:c r="D4006" s="25" t="str">
        <x:v>boolean</x:v>
      </x:c>
    </x:row>
    <x:row r="4007" ht="18" customHeight="1">
      <x:c r="A4007" s="25" t="str">
        <x:v>EEZ_120</x:v>
      </x:c>
      <x:c r="B4007" s="25" t="str">
        <x:v>group_ppr_within_convexity_bound</x:v>
      </x:c>
      <x:c r="C4007" s="36" t="b">
        <x:v>1</x:v>
      </x:c>
      <x:c r="D4007" s="25" t="str">
        <x:v>boolean</x:v>
      </x:c>
    </x:row>
    <x:row r="4008" ht="18" customHeight="1">
      <x:c r="A4008" s="25" t="str">
        <x:v>EEZ_132</x:v>
      </x:c>
      <x:c r="B4008" s="25" t="str">
        <x:v>tl_coverage_complete</x:v>
      </x:c>
      <x:c r="C4008" s="36" t="b">
        <x:v>1</x:v>
      </x:c>
      <x:c r="D4008" s="25" t="str">
        <x:v>boolean</x:v>
      </x:c>
    </x:row>
    <x:row r="4009" ht="18" customHeight="1">
      <x:c r="A4009" s="25" t="str">
        <x:v>EEZ_132</x:v>
      </x:c>
      <x:c r="B4009" s="25" t="str">
        <x:v>group_ppr_within_convexity_bound</x:v>
      </x:c>
      <x:c r="C4009" s="36" t="b">
        <x:v>1</x:v>
      </x:c>
      <x:c r="D4009" s="25" t="str">
        <x:v>boolean</x:v>
      </x:c>
    </x:row>
    <x:row r="4010" ht="18" customHeight="1">
      <x:c r="A4010" s="25" t="str">
        <x:v>EEZ_136</x:v>
      </x:c>
      <x:c r="B4010" s="25" t="str">
        <x:v>tl_coverage_complete</x:v>
      </x:c>
      <x:c r="C4010" s="36" t="b">
        <x:v>1</x:v>
      </x:c>
      <x:c r="D4010" s="25" t="str">
        <x:v>boolean</x:v>
      </x:c>
    </x:row>
    <x:row r="4011" ht="18" customHeight="1">
      <x:c r="A4011" s="25" t="str">
        <x:v>EEZ_136</x:v>
      </x:c>
      <x:c r="B4011" s="25" t="str">
        <x:v>group_ppr_within_convexity_bound</x:v>
      </x:c>
      <x:c r="C4011" s="36" t="b">
        <x:v>1</x:v>
      </x:c>
      <x:c r="D4011" s="25" t="str">
        <x:v>boolean</x:v>
      </x:c>
    </x:row>
    <x:row r="4012" ht="18" customHeight="1">
      <x:c r="A4012" s="25" t="str">
        <x:v>EEZ_144</x:v>
      </x:c>
      <x:c r="B4012" s="25" t="str">
        <x:v>tl_coverage_complete</x:v>
      </x:c>
      <x:c r="C4012" s="36" t="b">
        <x:v>1</x:v>
      </x:c>
      <x:c r="D4012" s="25" t="str">
        <x:v>boolean</x:v>
      </x:c>
    </x:row>
    <x:row r="4013" ht="18" customHeight="1">
      <x:c r="A4013" s="25" t="str">
        <x:v>EEZ_144</x:v>
      </x:c>
      <x:c r="B4013" s="25" t="str">
        <x:v>group_ppr_within_convexity_bound</x:v>
      </x:c>
      <x:c r="C4013" s="36" t="b">
        <x:v>1</x:v>
      </x:c>
      <x:c r="D4013" s="25" t="str">
        <x:v>boolean</x:v>
      </x:c>
    </x:row>
    <x:row r="4014" ht="18" customHeight="1">
      <x:c r="A4014" s="25" t="str">
        <x:v>EEZ_152</x:v>
      </x:c>
      <x:c r="B4014" s="25" t="str">
        <x:v>tl_coverage_complete</x:v>
      </x:c>
      <x:c r="C4014" s="36" t="b">
        <x:v>1</x:v>
      </x:c>
      <x:c r="D4014" s="25" t="str">
        <x:v>boolean</x:v>
      </x:c>
    </x:row>
    <x:row r="4015" ht="18" customHeight="1">
      <x:c r="A4015" s="25" t="str">
        <x:v>EEZ_152</x:v>
      </x:c>
      <x:c r="B4015" s="25" t="str">
        <x:v>group_ppr_within_convexity_bound</x:v>
      </x:c>
      <x:c r="C4015" s="36" t="b">
        <x:v>1</x:v>
      </x:c>
      <x:c r="D4015" s="25" t="str">
        <x:v>boolean</x:v>
      </x:c>
    </x:row>
    <x:row r="4016" ht="18" customHeight="1">
      <x:c r="A4016" s="25" t="str">
        <x:v>EEZ_153</x:v>
      </x:c>
      <x:c r="B4016" s="25" t="str">
        <x:v>tl_coverage_complete</x:v>
      </x:c>
      <x:c r="C4016" s="36" t="b">
        <x:v>1</x:v>
      </x:c>
      <x:c r="D4016" s="25" t="str">
        <x:v>boolean</x:v>
      </x:c>
    </x:row>
    <x:row r="4017" ht="18" customHeight="1">
      <x:c r="A4017" s="25" t="str">
        <x:v>EEZ_153</x:v>
      </x:c>
      <x:c r="B4017" s="25" t="str">
        <x:v>group_ppr_within_convexity_bound</x:v>
      </x:c>
      <x:c r="C4017" s="36" t="b">
        <x:v>1</x:v>
      </x:c>
      <x:c r="D4017" s="25" t="str">
        <x:v>boolean</x:v>
      </x:c>
    </x:row>
    <x:row r="4018" ht="18" customHeight="1">
      <x:c r="A4018" s="25" t="str">
        <x:v>EEZ_154</x:v>
      </x:c>
      <x:c r="B4018" s="25" t="str">
        <x:v>tl_coverage_complete</x:v>
      </x:c>
      <x:c r="C4018" s="36" t="b">
        <x:v>1</x:v>
      </x:c>
      <x:c r="D4018" s="25" t="str">
        <x:v>boolean</x:v>
      </x:c>
    </x:row>
    <x:row r="4019" ht="18" customHeight="1">
      <x:c r="A4019" s="25" t="str">
        <x:v>EEZ_154</x:v>
      </x:c>
      <x:c r="B4019" s="25" t="str">
        <x:v>group_ppr_within_convexity_bound</x:v>
      </x:c>
      <x:c r="C4019" s="36" t="b">
        <x:v>1</x:v>
      </x:c>
      <x:c r="D4019" s="25" t="str">
        <x:v>boolean</x:v>
      </x:c>
    </x:row>
    <x:row r="4020" ht="18" customHeight="1">
      <x:c r="A4020" s="25" t="str">
        <x:v>EEZ_155</x:v>
      </x:c>
      <x:c r="B4020" s="25" t="str">
        <x:v>tl_coverage_complete</x:v>
      </x:c>
      <x:c r="C4020" s="36" t="b">
        <x:v>1</x:v>
      </x:c>
      <x:c r="D4020" s="25" t="str">
        <x:v>boolean</x:v>
      </x:c>
    </x:row>
    <x:row r="4021" ht="18" customHeight="1">
      <x:c r="A4021" s="25" t="str">
        <x:v>EEZ_155</x:v>
      </x:c>
      <x:c r="B4021" s="25" t="str">
        <x:v>group_ppr_within_convexity_bound</x:v>
      </x:c>
      <x:c r="C4021" s="36" t="b">
        <x:v>1</x:v>
      </x:c>
      <x:c r="D4021" s="25" t="str">
        <x:v>boolean</x:v>
      </x:c>
    </x:row>
    <x:row r="4022" ht="18" customHeight="1">
      <x:c r="A4022" s="25" t="str">
        <x:v>EEZ_156</x:v>
      </x:c>
      <x:c r="B4022" s="25" t="str">
        <x:v>tl_coverage_complete</x:v>
      </x:c>
      <x:c r="C4022" s="36" t="b">
        <x:v>1</x:v>
      </x:c>
      <x:c r="D4022" s="25" t="str">
        <x:v>boolean</x:v>
      </x:c>
    </x:row>
    <x:row r="4023" ht="18" customHeight="1">
      <x:c r="A4023" s="25" t="str">
        <x:v>EEZ_156</x:v>
      </x:c>
      <x:c r="B4023" s="25" t="str">
        <x:v>group_ppr_within_convexity_bound</x:v>
      </x:c>
      <x:c r="C4023" s="36" t="b">
        <x:v>1</x:v>
      </x:c>
      <x:c r="D4023" s="25" t="str">
        <x:v>boolean</x:v>
      </x:c>
    </x:row>
    <x:row r="4024" ht="18" customHeight="1">
      <x:c r="A4024" s="25" t="str">
        <x:v>EEZ_157</x:v>
      </x:c>
      <x:c r="B4024" s="25" t="str">
        <x:v>tl_coverage_complete</x:v>
      </x:c>
      <x:c r="C4024" s="36" t="b">
        <x:v>1</x:v>
      </x:c>
      <x:c r="D4024" s="25" t="str">
        <x:v>boolean</x:v>
      </x:c>
    </x:row>
    <x:row r="4025" ht="18" customHeight="1">
      <x:c r="A4025" s="25" t="str">
        <x:v>EEZ_157</x:v>
      </x:c>
      <x:c r="B4025" s="25" t="str">
        <x:v>group_ppr_within_convexity_bound</x:v>
      </x:c>
      <x:c r="C4025" s="36" t="b">
        <x:v>1</x:v>
      </x:c>
      <x:c r="D4025" s="25" t="str">
        <x:v>boolean</x:v>
      </x:c>
    </x:row>
    <x:row r="4026" ht="18" customHeight="1">
      <x:c r="A4026" s="25" t="str">
        <x:v>EEZ_162</x:v>
      </x:c>
      <x:c r="B4026" s="25" t="str">
        <x:v>tl_coverage_complete</x:v>
      </x:c>
      <x:c r="C4026" s="36" t="b">
        <x:v>1</x:v>
      </x:c>
      <x:c r="D4026" s="25" t="str">
        <x:v>boolean</x:v>
      </x:c>
    </x:row>
    <x:row r="4027" ht="18" customHeight="1">
      <x:c r="A4027" s="25" t="str">
        <x:v>EEZ_162</x:v>
      </x:c>
      <x:c r="B4027" s="25" t="str">
        <x:v>group_ppr_within_convexity_bound</x:v>
      </x:c>
      <x:c r="C4027" s="36" t="b">
        <x:v>1</x:v>
      </x:c>
      <x:c r="D4027" s="25" t="str">
        <x:v>boolean</x:v>
      </x:c>
    </x:row>
    <x:row r="4028" ht="18" customHeight="1">
      <x:c r="A4028" s="25" t="str">
        <x:v>EEZ_166</x:v>
      </x:c>
      <x:c r="B4028" s="25" t="str">
        <x:v>tl_coverage_complete</x:v>
      </x:c>
      <x:c r="C4028" s="36" t="b">
        <x:v>1</x:v>
      </x:c>
      <x:c r="D4028" s="25" t="str">
        <x:v>boolean</x:v>
      </x:c>
    </x:row>
    <x:row r="4029" ht="18" customHeight="1">
      <x:c r="A4029" s="25" t="str">
        <x:v>EEZ_166</x:v>
      </x:c>
      <x:c r="B4029" s="25" t="str">
        <x:v>group_ppr_within_convexity_bound</x:v>
      </x:c>
      <x:c r="C4029" s="36" t="b">
        <x:v>1</x:v>
      </x:c>
      <x:c r="D4029" s="25" t="str">
        <x:v>boolean</x:v>
      </x:c>
    </x:row>
    <x:row r="4030" ht="18" customHeight="1">
      <x:c r="A4030" s="25" t="str">
        <x:v>EEZ_174</x:v>
      </x:c>
      <x:c r="B4030" s="25" t="str">
        <x:v>tl_coverage_complete</x:v>
      </x:c>
      <x:c r="C4030" s="36" t="b">
        <x:v>1</x:v>
      </x:c>
      <x:c r="D4030" s="25" t="str">
        <x:v>boolean</x:v>
      </x:c>
    </x:row>
    <x:row r="4031" ht="18" customHeight="1">
      <x:c r="A4031" s="25" t="str">
        <x:v>EEZ_174</x:v>
      </x:c>
      <x:c r="B4031" s="25" t="str">
        <x:v>group_ppr_within_convexity_bound</x:v>
      </x:c>
      <x:c r="C4031" s="36" t="b">
        <x:v>1</x:v>
      </x:c>
      <x:c r="D4031" s="25" t="str">
        <x:v>boolean</x:v>
      </x:c>
    </x:row>
    <x:row r="4032" ht="18" customHeight="1">
      <x:c r="A4032" s="25" t="str">
        <x:v>EEZ_175</x:v>
      </x:c>
      <x:c r="B4032" s="25" t="str">
        <x:v>tl_coverage_complete</x:v>
      </x:c>
      <x:c r="C4032" s="36" t="b">
        <x:v>1</x:v>
      </x:c>
      <x:c r="D4032" s="25" t="str">
        <x:v>boolean</x:v>
      </x:c>
    </x:row>
    <x:row r="4033" ht="18" customHeight="1">
      <x:c r="A4033" s="25" t="str">
        <x:v>EEZ_175</x:v>
      </x:c>
      <x:c r="B4033" s="25" t="str">
        <x:v>group_ppr_within_convexity_bound</x:v>
      </x:c>
      <x:c r="C4033" s="36" t="b">
        <x:v>1</x:v>
      </x:c>
      <x:c r="D4033" s="25" t="str">
        <x:v>boolean</x:v>
      </x:c>
    </x:row>
    <x:row r="4034" ht="18" customHeight="1">
      <x:c r="A4034" s="25" t="str">
        <x:v>EEZ_178</x:v>
      </x:c>
      <x:c r="B4034" s="25" t="str">
        <x:v>tl_coverage_complete</x:v>
      </x:c>
      <x:c r="C4034" s="36" t="b">
        <x:v>1</x:v>
      </x:c>
      <x:c r="D4034" s="25" t="str">
        <x:v>boolean</x:v>
      </x:c>
    </x:row>
    <x:row r="4035" ht="18" customHeight="1">
      <x:c r="A4035" s="25" t="str">
        <x:v>EEZ_178</x:v>
      </x:c>
      <x:c r="B4035" s="25" t="str">
        <x:v>group_ppr_within_convexity_bound</x:v>
      </x:c>
      <x:c r="C4035" s="36" t="b">
        <x:v>1</x:v>
      </x:c>
      <x:c r="D4035" s="25" t="str">
        <x:v>boolean</x:v>
      </x:c>
    </x:row>
    <x:row r="4036" ht="18" customHeight="1">
      <x:c r="A4036" s="25" t="str">
        <x:v>EEZ_180</x:v>
      </x:c>
      <x:c r="B4036" s="25" t="str">
        <x:v>tl_coverage_complete</x:v>
      </x:c>
      <x:c r="C4036" s="36" t="b">
        <x:v>1</x:v>
      </x:c>
      <x:c r="D4036" s="25" t="str">
        <x:v>boolean</x:v>
      </x:c>
    </x:row>
    <x:row r="4037" ht="18" customHeight="1">
      <x:c r="A4037" s="25" t="str">
        <x:v>EEZ_180</x:v>
      </x:c>
      <x:c r="B4037" s="25" t="str">
        <x:v>group_ppr_within_convexity_bound</x:v>
      </x:c>
      <x:c r="C4037" s="36" t="b">
        <x:v>1</x:v>
      </x:c>
      <x:c r="D4037" s="25" t="str">
        <x:v>boolean</x:v>
      </x:c>
    </x:row>
    <x:row r="4038" ht="18" customHeight="1">
      <x:c r="A4038" s="25" t="str">
        <x:v>EEZ_184</x:v>
      </x:c>
      <x:c r="B4038" s="25" t="str">
        <x:v>tl_coverage_complete</x:v>
      </x:c>
      <x:c r="C4038" s="36" t="b">
        <x:v>1</x:v>
      </x:c>
      <x:c r="D4038" s="25" t="str">
        <x:v>boolean</x:v>
      </x:c>
    </x:row>
    <x:row r="4039" ht="18" customHeight="1">
      <x:c r="A4039" s="25" t="str">
        <x:v>EEZ_184</x:v>
      </x:c>
      <x:c r="B4039" s="25" t="str">
        <x:v>group_ppr_within_convexity_bound</x:v>
      </x:c>
      <x:c r="C4039" s="36" t="b">
        <x:v>1</x:v>
      </x:c>
      <x:c r="D4039" s="25" t="str">
        <x:v>boolean</x:v>
      </x:c>
    </x:row>
    <x:row r="4040" ht="18" customHeight="1">
      <x:c r="A4040" s="25" t="str">
        <x:v>EEZ_191</x:v>
      </x:c>
      <x:c r="B4040" s="25" t="str">
        <x:v>tl_coverage_complete</x:v>
      </x:c>
      <x:c r="C4040" s="36" t="b">
        <x:v>1</x:v>
      </x:c>
      <x:c r="D4040" s="25" t="str">
        <x:v>boolean</x:v>
      </x:c>
    </x:row>
    <x:row r="4041" ht="18" customHeight="1">
      <x:c r="A4041" s="25" t="str">
        <x:v>EEZ_191</x:v>
      </x:c>
      <x:c r="B4041" s="25" t="str">
        <x:v>group_ppr_within_convexity_bound</x:v>
      </x:c>
      <x:c r="C4041" s="36" t="b">
        <x:v>1</x:v>
      </x:c>
      <x:c r="D4041" s="25" t="str">
        <x:v>boolean</x:v>
      </x:c>
    </x:row>
    <x:row r="4042" ht="18" customHeight="1">
      <x:c r="A4042" s="25" t="str">
        <x:v>EEZ_192</x:v>
      </x:c>
      <x:c r="B4042" s="25" t="str">
        <x:v>tl_coverage_complete</x:v>
      </x:c>
      <x:c r="C4042" s="36" t="b">
        <x:v>1</x:v>
      </x:c>
      <x:c r="D4042" s="25" t="str">
        <x:v>boolean</x:v>
      </x:c>
    </x:row>
    <x:row r="4043" ht="18" customHeight="1">
      <x:c r="A4043" s="25" t="str">
        <x:v>EEZ_192</x:v>
      </x:c>
      <x:c r="B4043" s="25" t="str">
        <x:v>group_ppr_within_convexity_bound</x:v>
      </x:c>
      <x:c r="C4043" s="36" t="b">
        <x:v>1</x:v>
      </x:c>
      <x:c r="D4043" s="25" t="str">
        <x:v>boolean</x:v>
      </x:c>
    </x:row>
    <x:row r="4044" ht="18" customHeight="1">
      <x:c r="A4044" s="25" t="str">
        <x:v>EEZ_197</x:v>
      </x:c>
      <x:c r="B4044" s="25" t="str">
        <x:v>tl_coverage_complete</x:v>
      </x:c>
      <x:c r="C4044" s="36" t="b">
        <x:v>1</x:v>
      </x:c>
      <x:c r="D4044" s="25" t="str">
        <x:v>boolean</x:v>
      </x:c>
    </x:row>
    <x:row r="4045" ht="18" customHeight="1">
      <x:c r="A4045" s="25" t="str">
        <x:v>EEZ_197</x:v>
      </x:c>
      <x:c r="B4045" s="25" t="str">
        <x:v>group_ppr_within_convexity_bound</x:v>
      </x:c>
      <x:c r="C4045" s="36" t="b">
        <x:v>1</x:v>
      </x:c>
      <x:c r="D4045" s="25" t="str">
        <x:v>boolean</x:v>
      </x:c>
    </x:row>
    <x:row r="4046" ht="18" customHeight="1">
      <x:c r="A4046" s="25" t="str">
        <x:v>EEZ_198</x:v>
      </x:c>
      <x:c r="B4046" s="25" t="str">
        <x:v>tl_coverage_complete</x:v>
      </x:c>
      <x:c r="C4046" s="36" t="b">
        <x:v>1</x:v>
      </x:c>
      <x:c r="D4046" s="25" t="str">
        <x:v>boolean</x:v>
      </x:c>
    </x:row>
    <x:row r="4047" ht="18" customHeight="1">
      <x:c r="A4047" s="25" t="str">
        <x:v>EEZ_198</x:v>
      </x:c>
      <x:c r="B4047" s="25" t="str">
        <x:v>group_ppr_within_convexity_bound</x:v>
      </x:c>
      <x:c r="C4047" s="36" t="b">
        <x:v>1</x:v>
      </x:c>
      <x:c r="D4047" s="25" t="str">
        <x:v>boolean</x:v>
      </x:c>
    </x:row>
    <x:row r="4048" ht="18" customHeight="1">
      <x:c r="A4048" s="25" t="str">
        <x:v>EEZ_204</x:v>
      </x:c>
      <x:c r="B4048" s="25" t="str">
        <x:v>tl_coverage_complete</x:v>
      </x:c>
      <x:c r="C4048" s="36" t="b">
        <x:v>1</x:v>
      </x:c>
      <x:c r="D4048" s="25" t="str">
        <x:v>boolean</x:v>
      </x:c>
    </x:row>
    <x:row r="4049" ht="18" customHeight="1">
      <x:c r="A4049" s="25" t="str">
        <x:v>EEZ_204</x:v>
      </x:c>
      <x:c r="B4049" s="25" t="str">
        <x:v>group_ppr_within_convexity_bound</x:v>
      </x:c>
      <x:c r="C4049" s="36" t="b">
        <x:v>1</x:v>
      </x:c>
      <x:c r="D4049" s="25" t="str">
        <x:v>boolean</x:v>
      </x:c>
    </x:row>
    <x:row r="4050" ht="18" customHeight="1">
      <x:c r="A4050" s="25" t="str">
        <x:v>EEZ_212</x:v>
      </x:c>
      <x:c r="B4050" s="25" t="str">
        <x:v>tl_coverage_complete</x:v>
      </x:c>
      <x:c r="C4050" s="36" t="b">
        <x:v>1</x:v>
      </x:c>
      <x:c r="D4050" s="25" t="str">
        <x:v>boolean</x:v>
      </x:c>
    </x:row>
    <x:row r="4051" ht="18" customHeight="1">
      <x:c r="A4051" s="25" t="str">
        <x:v>EEZ_212</x:v>
      </x:c>
      <x:c r="B4051" s="25" t="str">
        <x:v>group_ppr_within_convexity_bound</x:v>
      </x:c>
      <x:c r="C4051" s="36" t="b">
        <x:v>1</x:v>
      </x:c>
      <x:c r="D4051" s="25" t="str">
        <x:v>boolean</x:v>
      </x:c>
    </x:row>
    <x:row r="4052" ht="18" customHeight="1">
      <x:c r="A4052" s="25" t="str">
        <x:v>EEZ_214</x:v>
      </x:c>
      <x:c r="B4052" s="25" t="str">
        <x:v>tl_coverage_complete</x:v>
      </x:c>
      <x:c r="C4052" s="36" t="b">
        <x:v>1</x:v>
      </x:c>
      <x:c r="D4052" s="25" t="str">
        <x:v>boolean</x:v>
      </x:c>
    </x:row>
    <x:row r="4053" ht="18" customHeight="1">
      <x:c r="A4053" s="25" t="str">
        <x:v>EEZ_214</x:v>
      </x:c>
      <x:c r="B4053" s="25" t="str">
        <x:v>group_ppr_within_convexity_bound</x:v>
      </x:c>
      <x:c r="C4053" s="36" t="b">
        <x:v>1</x:v>
      </x:c>
      <x:c r="D4053" s="25" t="str">
        <x:v>boolean</x:v>
      </x:c>
    </x:row>
    <x:row r="4054" ht="18" customHeight="1">
      <x:c r="A4054" s="25" t="str">
        <x:v>EEZ_218</x:v>
      </x:c>
      <x:c r="B4054" s="25" t="str">
        <x:v>tl_coverage_complete</x:v>
      </x:c>
      <x:c r="C4054" s="36" t="b">
        <x:v>1</x:v>
      </x:c>
      <x:c r="D4054" s="25" t="str">
        <x:v>boolean</x:v>
      </x:c>
    </x:row>
    <x:row r="4055" ht="18" customHeight="1">
      <x:c r="A4055" s="25" t="str">
        <x:v>EEZ_218</x:v>
      </x:c>
      <x:c r="B4055" s="25" t="str">
        <x:v>group_ppr_within_convexity_bound</x:v>
      </x:c>
      <x:c r="C4055" s="36" t="b">
        <x:v>1</x:v>
      </x:c>
      <x:c r="D4055" s="25" t="str">
        <x:v>boolean</x:v>
      </x:c>
    </x:row>
    <x:row r="4056" ht="18" customHeight="1">
      <x:c r="A4056" s="25" t="str">
        <x:v>EEZ_219</x:v>
      </x:c>
      <x:c r="B4056" s="25" t="str">
        <x:v>tl_coverage_complete</x:v>
      </x:c>
      <x:c r="C4056" s="36" t="b">
        <x:v>1</x:v>
      </x:c>
      <x:c r="D4056" s="25" t="str">
        <x:v>boolean</x:v>
      </x:c>
    </x:row>
    <x:row r="4057" ht="18" customHeight="1">
      <x:c r="A4057" s="25" t="str">
        <x:v>EEZ_219</x:v>
      </x:c>
      <x:c r="B4057" s="25" t="str">
        <x:v>group_ppr_within_convexity_bound</x:v>
      </x:c>
      <x:c r="C4057" s="36" t="b">
        <x:v>1</x:v>
      </x:c>
      <x:c r="D4057" s="25" t="str">
        <x:v>boolean</x:v>
      </x:c>
    </x:row>
    <x:row r="4058" ht="18" customHeight="1">
      <x:c r="A4058" s="25" t="str">
        <x:v>EEZ_222</x:v>
      </x:c>
      <x:c r="B4058" s="25" t="str">
        <x:v>tl_coverage_complete</x:v>
      </x:c>
      <x:c r="C4058" s="36" t="b">
        <x:v>1</x:v>
      </x:c>
      <x:c r="D4058" s="25" t="str">
        <x:v>boolean</x:v>
      </x:c>
    </x:row>
    <x:row r="4059" ht="18" customHeight="1">
      <x:c r="A4059" s="25" t="str">
        <x:v>EEZ_222</x:v>
      </x:c>
      <x:c r="B4059" s="25" t="str">
        <x:v>group_ppr_within_convexity_bound</x:v>
      </x:c>
      <x:c r="C4059" s="36" t="b">
        <x:v>1</x:v>
      </x:c>
      <x:c r="D4059" s="25" t="str">
        <x:v>boolean</x:v>
      </x:c>
    </x:row>
    <x:row r="4060" ht="18" customHeight="1">
      <x:c r="A4060" s="25" t="str">
        <x:v>EEZ_226</x:v>
      </x:c>
      <x:c r="B4060" s="25" t="str">
        <x:v>tl_coverage_complete</x:v>
      </x:c>
      <x:c r="C4060" s="36" t="b">
        <x:v>1</x:v>
      </x:c>
      <x:c r="D4060" s="25" t="str">
        <x:v>boolean</x:v>
      </x:c>
    </x:row>
    <x:row r="4061" ht="18" customHeight="1">
      <x:c r="A4061" s="25" t="str">
        <x:v>EEZ_226</x:v>
      </x:c>
      <x:c r="B4061" s="25" t="str">
        <x:v>group_ppr_within_convexity_bound</x:v>
      </x:c>
      <x:c r="C4061" s="36" t="b">
        <x:v>1</x:v>
      </x:c>
      <x:c r="D4061" s="25" t="str">
        <x:v>boolean</x:v>
      </x:c>
    </x:row>
    <x:row r="4062" ht="18" customHeight="1">
      <x:c r="A4062" s="25" t="str">
        <x:v>EEZ_233</x:v>
      </x:c>
      <x:c r="B4062" s="25" t="str">
        <x:v>tl_coverage_complete</x:v>
      </x:c>
      <x:c r="C4062" s="36" t="b">
        <x:v>1</x:v>
      </x:c>
      <x:c r="D4062" s="25" t="str">
        <x:v>boolean</x:v>
      </x:c>
    </x:row>
    <x:row r="4063" ht="18" customHeight="1">
      <x:c r="A4063" s="25" t="str">
        <x:v>EEZ_233</x:v>
      </x:c>
      <x:c r="B4063" s="25" t="str">
        <x:v>group_ppr_within_convexity_bound</x:v>
      </x:c>
      <x:c r="C4063" s="36" t="b">
        <x:v>1</x:v>
      </x:c>
      <x:c r="D4063" s="25" t="str">
        <x:v>boolean</x:v>
      </x:c>
    </x:row>
    <x:row r="4064" ht="18" customHeight="1">
      <x:c r="A4064" s="25" t="str">
        <x:v>EEZ_234</x:v>
      </x:c>
      <x:c r="B4064" s="25" t="str">
        <x:v>tl_coverage_complete</x:v>
      </x:c>
      <x:c r="C4064" s="36" t="b">
        <x:v>1</x:v>
      </x:c>
      <x:c r="D4064" s="25" t="str">
        <x:v>boolean</x:v>
      </x:c>
    </x:row>
    <x:row r="4065" ht="18" customHeight="1">
      <x:c r="A4065" s="25" t="str">
        <x:v>EEZ_234</x:v>
      </x:c>
      <x:c r="B4065" s="25" t="str">
        <x:v>group_ppr_within_convexity_bound</x:v>
      </x:c>
      <x:c r="C4065" s="36" t="b">
        <x:v>1</x:v>
      </x:c>
      <x:c r="D4065" s="25" t="str">
        <x:v>boolean</x:v>
      </x:c>
    </x:row>
    <x:row r="4066" ht="18" customHeight="1">
      <x:c r="A4066" s="25" t="str">
        <x:v>EEZ_238</x:v>
      </x:c>
      <x:c r="B4066" s="25" t="str">
        <x:v>tl_coverage_complete</x:v>
      </x:c>
      <x:c r="C4066" s="36" t="b">
        <x:v>1</x:v>
      </x:c>
      <x:c r="D4066" s="25" t="str">
        <x:v>boolean</x:v>
      </x:c>
    </x:row>
    <x:row r="4067" ht="18" customHeight="1">
      <x:c r="A4067" s="25" t="str">
        <x:v>EEZ_238</x:v>
      </x:c>
      <x:c r="B4067" s="25" t="str">
        <x:v>group_ppr_within_convexity_bound</x:v>
      </x:c>
      <x:c r="C4067" s="36" t="b">
        <x:v>1</x:v>
      </x:c>
      <x:c r="D4067" s="25" t="str">
        <x:v>boolean</x:v>
      </x:c>
    </x:row>
    <x:row r="4068" ht="18" customHeight="1">
      <x:c r="A4068" s="25" t="str">
        <x:v>EEZ_239</x:v>
      </x:c>
      <x:c r="B4068" s="25" t="str">
        <x:v>tl_coverage_complete</x:v>
      </x:c>
      <x:c r="C4068" s="36" t="b">
        <x:v>1</x:v>
      </x:c>
      <x:c r="D4068" s="25" t="str">
        <x:v>boolean</x:v>
      </x:c>
    </x:row>
    <x:row r="4069" ht="18" customHeight="1">
      <x:c r="A4069" s="25" t="str">
        <x:v>EEZ_239</x:v>
      </x:c>
      <x:c r="B4069" s="25" t="str">
        <x:v>group_ppr_within_convexity_bound</x:v>
      </x:c>
      <x:c r="C4069" s="36" t="b">
        <x:v>1</x:v>
      </x:c>
      <x:c r="D4069" s="25" t="str">
        <x:v>boolean</x:v>
      </x:c>
    </x:row>
    <x:row r="4070" ht="18" customHeight="1">
      <x:c r="A4070" s="25" t="str">
        <x:v>EEZ_242</x:v>
      </x:c>
      <x:c r="B4070" s="25" t="str">
        <x:v>tl_coverage_complete</x:v>
      </x:c>
      <x:c r="C4070" s="36" t="b">
        <x:v>1</x:v>
      </x:c>
      <x:c r="D4070" s="25" t="str">
        <x:v>boolean</x:v>
      </x:c>
    </x:row>
    <x:row r="4071" ht="18" customHeight="1">
      <x:c r="A4071" s="25" t="str">
        <x:v>EEZ_242</x:v>
      </x:c>
      <x:c r="B4071" s="25" t="str">
        <x:v>group_ppr_within_convexity_bound</x:v>
      </x:c>
      <x:c r="C4071" s="36" t="b">
        <x:v>1</x:v>
      </x:c>
      <x:c r="D4071" s="25" t="str">
        <x:v>boolean</x:v>
      </x:c>
    </x:row>
    <x:row r="4072" ht="18" customHeight="1">
      <x:c r="A4072" s="25" t="str">
        <x:v>EEZ_246</x:v>
      </x:c>
      <x:c r="B4072" s="25" t="str">
        <x:v>tl_coverage_complete</x:v>
      </x:c>
      <x:c r="C4072" s="36" t="b">
        <x:v>1</x:v>
      </x:c>
      <x:c r="D4072" s="25" t="str">
        <x:v>boolean</x:v>
      </x:c>
    </x:row>
    <x:row r="4073" ht="18" customHeight="1">
      <x:c r="A4073" s="25" t="str">
        <x:v>EEZ_246</x:v>
      </x:c>
      <x:c r="B4073" s="25" t="str">
        <x:v>group_ppr_within_convexity_bound</x:v>
      </x:c>
      <x:c r="C4073" s="36" t="b">
        <x:v>1</x:v>
      </x:c>
      <x:c r="D4073" s="25" t="str">
        <x:v>boolean</x:v>
      </x:c>
    </x:row>
    <x:row r="4074" ht="18" customHeight="1">
      <x:c r="A4074" s="25" t="str">
        <x:v>EEZ_251</x:v>
      </x:c>
      <x:c r="B4074" s="25" t="str">
        <x:v>tl_coverage_complete</x:v>
      </x:c>
      <x:c r="C4074" s="36" t="b">
        <x:v>1</x:v>
      </x:c>
      <x:c r="D4074" s="25" t="str">
        <x:v>boolean</x:v>
      </x:c>
    </x:row>
    <x:row r="4075" ht="18" customHeight="1">
      <x:c r="A4075" s="25" t="str">
        <x:v>EEZ_251</x:v>
      </x:c>
      <x:c r="B4075" s="25" t="str">
        <x:v>group_ppr_within_convexity_bound</x:v>
      </x:c>
      <x:c r="C4075" s="36" t="b">
        <x:v>1</x:v>
      </x:c>
      <x:c r="D4075" s="25" t="str">
        <x:v>boolean</x:v>
      </x:c>
    </x:row>
    <x:row r="4076" ht="18" customHeight="1">
      <x:c r="A4076" s="25" t="str">
        <x:v>EEZ_252</x:v>
      </x:c>
      <x:c r="B4076" s="25" t="str">
        <x:v>tl_coverage_complete</x:v>
      </x:c>
      <x:c r="C4076" s="36" t="b">
        <x:v>1</x:v>
      </x:c>
      <x:c r="D4076" s="25" t="str">
        <x:v>boolean</x:v>
      </x:c>
    </x:row>
    <x:row r="4077" ht="18" customHeight="1">
      <x:c r="A4077" s="25" t="str">
        <x:v>EEZ_252</x:v>
      </x:c>
      <x:c r="B4077" s="25" t="str">
        <x:v>group_ppr_within_convexity_bound</x:v>
      </x:c>
      <x:c r="C4077" s="36" t="b">
        <x:v>1</x:v>
      </x:c>
      <x:c r="D4077" s="25" t="str">
        <x:v>boolean</x:v>
      </x:c>
    </x:row>
    <x:row r="4078" ht="18" customHeight="1">
      <x:c r="A4078" s="25" t="str">
        <x:v>EEZ_254</x:v>
      </x:c>
      <x:c r="B4078" s="25" t="str">
        <x:v>tl_coverage_complete</x:v>
      </x:c>
      <x:c r="C4078" s="36" t="b">
        <x:v>1</x:v>
      </x:c>
      <x:c r="D4078" s="25" t="str">
        <x:v>boolean</x:v>
      </x:c>
    </x:row>
    <x:row r="4079" ht="18" customHeight="1">
      <x:c r="A4079" s="25" t="str">
        <x:v>EEZ_254</x:v>
      </x:c>
      <x:c r="B4079" s="25" t="str">
        <x:v>group_ppr_within_convexity_bound</x:v>
      </x:c>
      <x:c r="C4079" s="36" t="b">
        <x:v>1</x:v>
      </x:c>
      <x:c r="D4079" s="25" t="str">
        <x:v>boolean</x:v>
      </x:c>
    </x:row>
    <x:row r="4080" ht="18" customHeight="1">
      <x:c r="A4080" s="25" t="str">
        <x:v>EEZ_258</x:v>
      </x:c>
      <x:c r="B4080" s="25" t="str">
        <x:v>tl_coverage_complete</x:v>
      </x:c>
      <x:c r="C4080" s="36" t="b">
        <x:v>1</x:v>
      </x:c>
      <x:c r="D4080" s="25" t="str">
        <x:v>boolean</x:v>
      </x:c>
    </x:row>
    <x:row r="4081" ht="18" customHeight="1">
      <x:c r="A4081" s="25" t="str">
        <x:v>EEZ_258</x:v>
      </x:c>
      <x:c r="B4081" s="25" t="str">
        <x:v>group_ppr_within_convexity_bound</x:v>
      </x:c>
      <x:c r="C4081" s="36" t="b">
        <x:v>1</x:v>
      </x:c>
      <x:c r="D4081" s="25" t="str">
        <x:v>boolean</x:v>
      </x:c>
    </x:row>
    <x:row r="4082" ht="18" customHeight="1">
      <x:c r="A4082" s="25" t="str">
        <x:v>EEZ_262</x:v>
      </x:c>
      <x:c r="B4082" s="25" t="str">
        <x:v>tl_coverage_complete</x:v>
      </x:c>
      <x:c r="C4082" s="36" t="b">
        <x:v>1</x:v>
      </x:c>
      <x:c r="D4082" s="25" t="str">
        <x:v>boolean</x:v>
      </x:c>
    </x:row>
    <x:row r="4083" ht="18" customHeight="1">
      <x:c r="A4083" s="25" t="str">
        <x:v>EEZ_262</x:v>
      </x:c>
      <x:c r="B4083" s="25" t="str">
        <x:v>group_ppr_within_convexity_bound</x:v>
      </x:c>
      <x:c r="C4083" s="36" t="b">
        <x:v>1</x:v>
      </x:c>
      <x:c r="D4083" s="25" t="str">
        <x:v>boolean</x:v>
      </x:c>
    </x:row>
    <x:row r="4084" ht="18" customHeight="1">
      <x:c r="A4084" s="25" t="str">
        <x:v>EEZ_266</x:v>
      </x:c>
      <x:c r="B4084" s="25" t="str">
        <x:v>tl_coverage_complete</x:v>
      </x:c>
      <x:c r="C4084" s="36" t="b">
        <x:v>1</x:v>
      </x:c>
      <x:c r="D4084" s="25" t="str">
        <x:v>boolean</x:v>
      </x:c>
    </x:row>
    <x:row r="4085" ht="18" customHeight="1">
      <x:c r="A4085" s="25" t="str">
        <x:v>EEZ_266</x:v>
      </x:c>
      <x:c r="B4085" s="25" t="str">
        <x:v>group_ppr_within_convexity_bound</x:v>
      </x:c>
      <x:c r="C4085" s="36" t="b">
        <x:v>1</x:v>
      </x:c>
      <x:c r="D4085" s="25" t="str">
        <x:v>boolean</x:v>
      </x:c>
    </x:row>
    <x:row r="4086" ht="18" customHeight="1">
      <x:c r="A4086" s="25" t="str">
        <x:v>EEZ_268</x:v>
      </x:c>
      <x:c r="B4086" s="25" t="str">
        <x:v>tl_coverage_complete</x:v>
      </x:c>
      <x:c r="C4086" s="36" t="b">
        <x:v>1</x:v>
      </x:c>
      <x:c r="D4086" s="25" t="str">
        <x:v>boolean</x:v>
      </x:c>
    </x:row>
    <x:row r="4087" ht="18" customHeight="1">
      <x:c r="A4087" s="25" t="str">
        <x:v>EEZ_268</x:v>
      </x:c>
      <x:c r="B4087" s="25" t="str">
        <x:v>group_ppr_within_convexity_bound</x:v>
      </x:c>
      <x:c r="C4087" s="36" t="b">
        <x:v>1</x:v>
      </x:c>
      <x:c r="D4087" s="25" t="str">
        <x:v>boolean</x:v>
      </x:c>
    </x:row>
    <x:row r="4088" ht="18" customHeight="1">
      <x:c r="A4088" s="25" t="str">
        <x:v>EEZ_270</x:v>
      </x:c>
      <x:c r="B4088" s="25" t="str">
        <x:v>tl_coverage_complete</x:v>
      </x:c>
      <x:c r="C4088" s="36" t="b">
        <x:v>1</x:v>
      </x:c>
      <x:c r="D4088" s="25" t="str">
        <x:v>boolean</x:v>
      </x:c>
    </x:row>
    <x:row r="4089" ht="18" customHeight="1">
      <x:c r="A4089" s="25" t="str">
        <x:v>EEZ_270</x:v>
      </x:c>
      <x:c r="B4089" s="25" t="str">
        <x:v>group_ppr_within_convexity_bound</x:v>
      </x:c>
      <x:c r="C4089" s="36" t="b">
        <x:v>1</x:v>
      </x:c>
      <x:c r="D4089" s="25" t="str">
        <x:v>boolean</x:v>
      </x:c>
    </x:row>
    <x:row r="4090" ht="18" customHeight="1">
      <x:c r="A4090" s="25" t="str">
        <x:v>EEZ_274</x:v>
      </x:c>
      <x:c r="B4090" s="25" t="str">
        <x:v>tl_coverage_complete</x:v>
      </x:c>
      <x:c r="C4090" s="36" t="b">
        <x:v>1</x:v>
      </x:c>
      <x:c r="D4090" s="25" t="str">
        <x:v>boolean</x:v>
      </x:c>
    </x:row>
    <x:row r="4091" ht="18" customHeight="1">
      <x:c r="A4091" s="25" t="str">
        <x:v>EEZ_274</x:v>
      </x:c>
      <x:c r="B4091" s="25" t="str">
        <x:v>group_ppr_within_convexity_bound</x:v>
      </x:c>
      <x:c r="C4091" s="36" t="b">
        <x:v>1</x:v>
      </x:c>
      <x:c r="D4091" s="25" t="str">
        <x:v>boolean</x:v>
      </x:c>
    </x:row>
    <x:row r="4092" ht="18" customHeight="1">
      <x:c r="A4092" s="25" t="str">
        <x:v>EEZ_277</x:v>
      </x:c>
      <x:c r="B4092" s="25" t="str">
        <x:v>tl_coverage_complete</x:v>
      </x:c>
      <x:c r="C4092" s="36" t="b">
        <x:v>1</x:v>
      </x:c>
      <x:c r="D4092" s="25" t="str">
        <x:v>boolean</x:v>
      </x:c>
    </x:row>
    <x:row r="4093" ht="18" customHeight="1">
      <x:c r="A4093" s="25" t="str">
        <x:v>EEZ_277</x:v>
      </x:c>
      <x:c r="B4093" s="25" t="str">
        <x:v>group_ppr_within_convexity_bound</x:v>
      </x:c>
      <x:c r="C4093" s="36" t="b">
        <x:v>1</x:v>
      </x:c>
      <x:c r="D4093" s="25" t="str">
        <x:v>boolean</x:v>
      </x:c>
    </x:row>
    <x:row r="4094" ht="18" customHeight="1">
      <x:c r="A4094" s="25" t="str">
        <x:v>EEZ_278</x:v>
      </x:c>
      <x:c r="B4094" s="25" t="str">
        <x:v>tl_coverage_complete</x:v>
      </x:c>
      <x:c r="C4094" s="36" t="b">
        <x:v>1</x:v>
      </x:c>
      <x:c r="D4094" s="25" t="str">
        <x:v>boolean</x:v>
      </x:c>
    </x:row>
    <x:row r="4095" ht="18" customHeight="1">
      <x:c r="A4095" s="25" t="str">
        <x:v>EEZ_278</x:v>
      </x:c>
      <x:c r="B4095" s="25" t="str">
        <x:v>group_ppr_within_convexity_bound</x:v>
      </x:c>
      <x:c r="C4095" s="36" t="b">
        <x:v>1</x:v>
      </x:c>
      <x:c r="D4095" s="25" t="str">
        <x:v>boolean</x:v>
      </x:c>
    </x:row>
    <x:row r="4096" ht="18" customHeight="1">
      <x:c r="A4096" s="25" t="str">
        <x:v>EEZ_288</x:v>
      </x:c>
      <x:c r="B4096" s="25" t="str">
        <x:v>tl_coverage_complete</x:v>
      </x:c>
      <x:c r="C4096" s="36" t="b">
        <x:v>1</x:v>
      </x:c>
      <x:c r="D4096" s="25" t="str">
        <x:v>boolean</x:v>
      </x:c>
    </x:row>
    <x:row r="4097" ht="18" customHeight="1">
      <x:c r="A4097" s="25" t="str">
        <x:v>EEZ_288</x:v>
      </x:c>
      <x:c r="B4097" s="25" t="str">
        <x:v>group_ppr_within_convexity_bound</x:v>
      </x:c>
      <x:c r="C4097" s="36" t="b">
        <x:v>1</x:v>
      </x:c>
      <x:c r="D4097" s="25" t="str">
        <x:v>boolean</x:v>
      </x:c>
    </x:row>
    <x:row r="4098" ht="18" customHeight="1">
      <x:c r="A4098" s="25" t="str">
        <x:v>EEZ_300</x:v>
      </x:c>
      <x:c r="B4098" s="25" t="str">
        <x:v>tl_coverage_complete</x:v>
      </x:c>
      <x:c r="C4098" s="36" t="b">
        <x:v>1</x:v>
      </x:c>
      <x:c r="D4098" s="25" t="str">
        <x:v>boolean</x:v>
      </x:c>
    </x:row>
    <x:row r="4099" ht="18" customHeight="1">
      <x:c r="A4099" s="25" t="str">
        <x:v>EEZ_300</x:v>
      </x:c>
      <x:c r="B4099" s="25" t="str">
        <x:v>group_ppr_within_convexity_bound</x:v>
      </x:c>
      <x:c r="C4099" s="36" t="b">
        <x:v>1</x:v>
      </x:c>
      <x:c r="D4099" s="25" t="str">
        <x:v>boolean</x:v>
      </x:c>
    </x:row>
    <x:row r="4100" ht="18" customHeight="1">
      <x:c r="A4100" s="25" t="str">
        <x:v>EEZ_304</x:v>
      </x:c>
      <x:c r="B4100" s="25" t="str">
        <x:v>tl_coverage_complete</x:v>
      </x:c>
      <x:c r="C4100" s="36" t="b">
        <x:v>1</x:v>
      </x:c>
      <x:c r="D4100" s="25" t="str">
        <x:v>boolean</x:v>
      </x:c>
    </x:row>
    <x:row r="4101" ht="18" customHeight="1">
      <x:c r="A4101" s="25" t="str">
        <x:v>EEZ_304</x:v>
      </x:c>
      <x:c r="B4101" s="25" t="str">
        <x:v>group_ppr_within_convexity_bound</x:v>
      </x:c>
      <x:c r="C4101" s="36" t="b">
        <x:v>1</x:v>
      </x:c>
      <x:c r="D4101" s="25" t="str">
        <x:v>boolean</x:v>
      </x:c>
    </x:row>
    <x:row r="4102" ht="18" customHeight="1">
      <x:c r="A4102" s="25" t="str">
        <x:v>EEZ_308</x:v>
      </x:c>
      <x:c r="B4102" s="25" t="str">
        <x:v>tl_coverage_complete</x:v>
      </x:c>
      <x:c r="C4102" s="36" t="b">
        <x:v>1</x:v>
      </x:c>
      <x:c r="D4102" s="25" t="str">
        <x:v>boolean</x:v>
      </x:c>
    </x:row>
    <x:row r="4103" ht="18" customHeight="1">
      <x:c r="A4103" s="25" t="str">
        <x:v>EEZ_308</x:v>
      </x:c>
      <x:c r="B4103" s="25" t="str">
        <x:v>group_ppr_within_convexity_bound</x:v>
      </x:c>
      <x:c r="C4103" s="36" t="b">
        <x:v>1</x:v>
      </x:c>
      <x:c r="D4103" s="25" t="str">
        <x:v>boolean</x:v>
      </x:c>
    </x:row>
    <x:row r="4104" ht="18" customHeight="1">
      <x:c r="A4104" s="25" t="str">
        <x:v>EEZ_312</x:v>
      </x:c>
      <x:c r="B4104" s="25" t="str">
        <x:v>tl_coverage_complete</x:v>
      </x:c>
      <x:c r="C4104" s="36" t="b">
        <x:v>1</x:v>
      </x:c>
      <x:c r="D4104" s="25" t="str">
        <x:v>boolean</x:v>
      </x:c>
    </x:row>
    <x:row r="4105" ht="18" customHeight="1">
      <x:c r="A4105" s="25" t="str">
        <x:v>EEZ_312</x:v>
      </x:c>
      <x:c r="B4105" s="25" t="str">
        <x:v>group_ppr_within_convexity_bound</x:v>
      </x:c>
      <x:c r="C4105" s="36" t="b">
        <x:v>1</x:v>
      </x:c>
      <x:c r="D4105" s="25" t="str">
        <x:v>boolean</x:v>
      </x:c>
    </x:row>
    <x:row r="4106" ht="18" customHeight="1">
      <x:c r="A4106" s="25" t="str">
        <x:v>EEZ_316</x:v>
      </x:c>
      <x:c r="B4106" s="25" t="str">
        <x:v>tl_coverage_complete</x:v>
      </x:c>
      <x:c r="C4106" s="36" t="b">
        <x:v>1</x:v>
      </x:c>
      <x:c r="D4106" s="25" t="str">
        <x:v>boolean</x:v>
      </x:c>
    </x:row>
    <x:row r="4107" ht="18" customHeight="1">
      <x:c r="A4107" s="25" t="str">
        <x:v>EEZ_316</x:v>
      </x:c>
      <x:c r="B4107" s="25" t="str">
        <x:v>group_ppr_within_convexity_bound</x:v>
      </x:c>
      <x:c r="C4107" s="36" t="b">
        <x:v>1</x:v>
      </x:c>
      <x:c r="D4107" s="25" t="str">
        <x:v>boolean</x:v>
      </x:c>
    </x:row>
    <x:row r="4108" ht="18" customHeight="1">
      <x:c r="A4108" s="25" t="str">
        <x:v>EEZ_324</x:v>
      </x:c>
      <x:c r="B4108" s="25" t="str">
        <x:v>tl_coverage_complete</x:v>
      </x:c>
      <x:c r="C4108" s="36" t="b">
        <x:v>1</x:v>
      </x:c>
      <x:c r="D4108" s="25" t="str">
        <x:v>boolean</x:v>
      </x:c>
    </x:row>
    <x:row r="4109" ht="18" customHeight="1">
      <x:c r="A4109" s="25" t="str">
        <x:v>EEZ_324</x:v>
      </x:c>
      <x:c r="B4109" s="25" t="str">
        <x:v>group_ppr_within_convexity_bound</x:v>
      </x:c>
      <x:c r="C4109" s="36" t="b">
        <x:v>1</x:v>
      </x:c>
      <x:c r="D4109" s="25" t="str">
        <x:v>boolean</x:v>
      </x:c>
    </x:row>
    <x:row r="4110" ht="18" customHeight="1">
      <x:c r="A4110" s="25" t="str">
        <x:v>EEZ_328</x:v>
      </x:c>
      <x:c r="B4110" s="25" t="str">
        <x:v>tl_coverage_complete</x:v>
      </x:c>
      <x:c r="C4110" s="36" t="b">
        <x:v>1</x:v>
      </x:c>
      <x:c r="D4110" s="25" t="str">
        <x:v>boolean</x:v>
      </x:c>
    </x:row>
    <x:row r="4111" ht="18" customHeight="1">
      <x:c r="A4111" s="25" t="str">
        <x:v>EEZ_328</x:v>
      </x:c>
      <x:c r="B4111" s="25" t="str">
        <x:v>group_ppr_within_convexity_bound</x:v>
      </x:c>
      <x:c r="C4111" s="36" t="b">
        <x:v>1</x:v>
      </x:c>
      <x:c r="D4111" s="25" t="str">
        <x:v>boolean</x:v>
      </x:c>
    </x:row>
    <x:row r="4112" ht="18" customHeight="1">
      <x:c r="A4112" s="25" t="str">
        <x:v>EEZ_332</x:v>
      </x:c>
      <x:c r="B4112" s="25" t="str">
        <x:v>tl_coverage_complete</x:v>
      </x:c>
      <x:c r="C4112" s="36" t="b">
        <x:v>1</x:v>
      </x:c>
      <x:c r="D4112" s="25" t="str">
        <x:v>boolean</x:v>
      </x:c>
    </x:row>
    <x:row r="4113" ht="18" customHeight="1">
      <x:c r="A4113" s="25" t="str">
        <x:v>EEZ_332</x:v>
      </x:c>
      <x:c r="B4113" s="25" t="str">
        <x:v>group_ppr_within_convexity_bound</x:v>
      </x:c>
      <x:c r="C4113" s="36" t="b">
        <x:v>1</x:v>
      </x:c>
      <x:c r="D4113" s="25" t="str">
        <x:v>boolean</x:v>
      </x:c>
    </x:row>
    <x:row r="4114" ht="18" customHeight="1">
      <x:c r="A4114" s="25" t="str">
        <x:v>EEZ_334</x:v>
      </x:c>
      <x:c r="B4114" s="25" t="str">
        <x:v>tl_coverage_complete</x:v>
      </x:c>
      <x:c r="C4114" s="36" t="b">
        <x:v>1</x:v>
      </x:c>
      <x:c r="D4114" s="25" t="str">
        <x:v>boolean</x:v>
      </x:c>
    </x:row>
    <x:row r="4115" ht="18" customHeight="1">
      <x:c r="A4115" s="25" t="str">
        <x:v>EEZ_334</x:v>
      </x:c>
      <x:c r="B4115" s="25" t="str">
        <x:v>group_ppr_within_convexity_bound</x:v>
      </x:c>
      <x:c r="C4115" s="36" t="b">
        <x:v>1</x:v>
      </x:c>
      <x:c r="D4115" s="25" t="str">
        <x:v>boolean</x:v>
      </x:c>
    </x:row>
    <x:row r="4116" ht="18" customHeight="1">
      <x:c r="A4116" s="25" t="str">
        <x:v>EEZ_344</x:v>
      </x:c>
      <x:c r="B4116" s="25" t="str">
        <x:v>tl_coverage_complete</x:v>
      </x:c>
      <x:c r="C4116" s="36" t="b">
        <x:v>1</x:v>
      </x:c>
      <x:c r="D4116" s="25" t="str">
        <x:v>boolean</x:v>
      </x:c>
    </x:row>
    <x:row r="4117" ht="18" customHeight="1">
      <x:c r="A4117" s="25" t="str">
        <x:v>EEZ_344</x:v>
      </x:c>
      <x:c r="B4117" s="25" t="str">
        <x:v>group_ppr_within_convexity_bound</x:v>
      </x:c>
      <x:c r="C4117" s="36" t="b">
        <x:v>1</x:v>
      </x:c>
      <x:c r="D4117" s="25" t="str">
        <x:v>boolean</x:v>
      </x:c>
    </x:row>
    <x:row r="4118" ht="18" customHeight="1">
      <x:c r="A4118" s="25" t="str">
        <x:v>EEZ_352</x:v>
      </x:c>
      <x:c r="B4118" s="25" t="str">
        <x:v>tl_coverage_complete</x:v>
      </x:c>
      <x:c r="C4118" s="36" t="b">
        <x:v>1</x:v>
      </x:c>
      <x:c r="D4118" s="25" t="str">
        <x:v>boolean</x:v>
      </x:c>
    </x:row>
    <x:row r="4119" ht="18" customHeight="1">
      <x:c r="A4119" s="25" t="str">
        <x:v>EEZ_352</x:v>
      </x:c>
      <x:c r="B4119" s="25" t="str">
        <x:v>group_ppr_within_convexity_bound</x:v>
      </x:c>
      <x:c r="C4119" s="36" t="b">
        <x:v>1</x:v>
      </x:c>
      <x:c r="D4119" s="25" t="str">
        <x:v>boolean</x:v>
      </x:c>
    </x:row>
    <x:row r="4120" ht="18" customHeight="1">
      <x:c r="A4120" s="25" t="str">
        <x:v>EEZ_356</x:v>
      </x:c>
      <x:c r="B4120" s="25" t="str">
        <x:v>tl_coverage_complete</x:v>
      </x:c>
      <x:c r="C4120" s="36" t="b">
        <x:v>1</x:v>
      </x:c>
      <x:c r="D4120" s="25" t="str">
        <x:v>boolean</x:v>
      </x:c>
    </x:row>
    <x:row r="4121" ht="18" customHeight="1">
      <x:c r="A4121" s="25" t="str">
        <x:v>EEZ_356</x:v>
      </x:c>
      <x:c r="B4121" s="25" t="str">
        <x:v>group_ppr_within_convexity_bound</x:v>
      </x:c>
      <x:c r="C4121" s="36" t="b">
        <x:v>1</x:v>
      </x:c>
      <x:c r="D4121" s="25" t="str">
        <x:v>boolean</x:v>
      </x:c>
    </x:row>
    <x:row r="4122" ht="18" customHeight="1">
      <x:c r="A4122" s="25" t="str">
        <x:v>EEZ_357</x:v>
      </x:c>
      <x:c r="B4122" s="25" t="str">
        <x:v>tl_coverage_complete</x:v>
      </x:c>
      <x:c r="C4122" s="36" t="b">
        <x:v>1</x:v>
      </x:c>
      <x:c r="D4122" s="25" t="str">
        <x:v>boolean</x:v>
      </x:c>
    </x:row>
    <x:row r="4123" ht="18" customHeight="1">
      <x:c r="A4123" s="25" t="str">
        <x:v>EEZ_357</x:v>
      </x:c>
      <x:c r="B4123" s="25" t="str">
        <x:v>group_ppr_within_convexity_bound</x:v>
      </x:c>
      <x:c r="C4123" s="36" t="b">
        <x:v>1</x:v>
      </x:c>
      <x:c r="D4123" s="25" t="str">
        <x:v>boolean</x:v>
      </x:c>
    </x:row>
    <x:row r="4124" ht="18" customHeight="1">
      <x:c r="A4124" s="25" t="str">
        <x:v>EEZ_361</x:v>
      </x:c>
      <x:c r="B4124" s="25" t="str">
        <x:v>tl_coverage_complete</x:v>
      </x:c>
      <x:c r="C4124" s="36" t="b">
        <x:v>1</x:v>
      </x:c>
      <x:c r="D4124" s="25" t="str">
        <x:v>boolean</x:v>
      </x:c>
    </x:row>
    <x:row r="4125" ht="18" customHeight="1">
      <x:c r="A4125" s="25" t="str">
        <x:v>EEZ_361</x:v>
      </x:c>
      <x:c r="B4125" s="25" t="str">
        <x:v>group_ppr_within_convexity_bound</x:v>
      </x:c>
      <x:c r="C4125" s="36" t="b">
        <x:v>1</x:v>
      </x:c>
      <x:c r="D4125" s="25" t="str">
        <x:v>boolean</x:v>
      </x:c>
    </x:row>
    <x:row r="4126" ht="18" customHeight="1">
      <x:c r="A4126" s="25" t="str">
        <x:v>EEZ_368</x:v>
      </x:c>
      <x:c r="B4126" s="25" t="str">
        <x:v>tl_coverage_complete</x:v>
      </x:c>
      <x:c r="C4126" s="36" t="b">
        <x:v>1</x:v>
      </x:c>
      <x:c r="D4126" s="25" t="str">
        <x:v>boolean</x:v>
      </x:c>
    </x:row>
    <x:row r="4127" ht="18" customHeight="1">
      <x:c r="A4127" s="25" t="str">
        <x:v>EEZ_368</x:v>
      </x:c>
      <x:c r="B4127" s="25" t="str">
        <x:v>group_ppr_within_convexity_bound</x:v>
      </x:c>
      <x:c r="C4127" s="36" t="b">
        <x:v>1</x:v>
      </x:c>
      <x:c r="D4127" s="25" t="str">
        <x:v>boolean</x:v>
      </x:c>
    </x:row>
    <x:row r="4128" ht="18" customHeight="1">
      <x:c r="A4128" s="25" t="str">
        <x:v>EEZ_372</x:v>
      </x:c>
      <x:c r="B4128" s="25" t="str">
        <x:v>tl_coverage_complete</x:v>
      </x:c>
      <x:c r="C4128" s="36" t="b">
        <x:v>1</x:v>
      </x:c>
      <x:c r="D4128" s="25" t="str">
        <x:v>boolean</x:v>
      </x:c>
    </x:row>
    <x:row r="4129" ht="18" customHeight="1">
      <x:c r="A4129" s="25" t="str">
        <x:v>EEZ_372</x:v>
      </x:c>
      <x:c r="B4129" s="25" t="str">
        <x:v>group_ppr_within_convexity_bound</x:v>
      </x:c>
      <x:c r="C4129" s="36" t="b">
        <x:v>1</x:v>
      </x:c>
      <x:c r="D4129" s="25" t="str">
        <x:v>boolean</x:v>
      </x:c>
    </x:row>
    <x:row r="4130" ht="18" customHeight="1">
      <x:c r="A4130" s="25" t="str">
        <x:v>EEZ_380</x:v>
      </x:c>
      <x:c r="B4130" s="25" t="str">
        <x:v>tl_coverage_complete</x:v>
      </x:c>
      <x:c r="C4130" s="36" t="b">
        <x:v>1</x:v>
      </x:c>
      <x:c r="D4130" s="25" t="str">
        <x:v>boolean</x:v>
      </x:c>
    </x:row>
    <x:row r="4131" ht="18" customHeight="1">
      <x:c r="A4131" s="25" t="str">
        <x:v>EEZ_380</x:v>
      </x:c>
      <x:c r="B4131" s="25" t="str">
        <x:v>group_ppr_within_convexity_bound</x:v>
      </x:c>
      <x:c r="C4131" s="36" t="b">
        <x:v>1</x:v>
      </x:c>
      <x:c r="D4131" s="25" t="str">
        <x:v>boolean</x:v>
      </x:c>
    </x:row>
    <x:row r="4132" ht="18" customHeight="1">
      <x:c r="A4132" s="25" t="str">
        <x:v>EEZ_384</x:v>
      </x:c>
      <x:c r="B4132" s="25" t="str">
        <x:v>tl_coverage_complete</x:v>
      </x:c>
      <x:c r="C4132" s="36" t="b">
        <x:v>1</x:v>
      </x:c>
      <x:c r="D4132" s="25" t="str">
        <x:v>boolean</x:v>
      </x:c>
    </x:row>
    <x:row r="4133" ht="18" customHeight="1">
      <x:c r="A4133" s="25" t="str">
        <x:v>EEZ_384</x:v>
      </x:c>
      <x:c r="B4133" s="25" t="str">
        <x:v>group_ppr_within_convexity_bound</x:v>
      </x:c>
      <x:c r="C4133" s="36" t="b">
        <x:v>1</x:v>
      </x:c>
      <x:c r="D4133" s="25" t="str">
        <x:v>boolean</x:v>
      </x:c>
    </x:row>
    <x:row r="4134" ht="18" customHeight="1">
      <x:c r="A4134" s="25" t="str">
        <x:v>EEZ_388</x:v>
      </x:c>
      <x:c r="B4134" s="25" t="str">
        <x:v>tl_coverage_complete</x:v>
      </x:c>
      <x:c r="C4134" s="36" t="b">
        <x:v>1</x:v>
      </x:c>
      <x:c r="D4134" s="25" t="str">
        <x:v>boolean</x:v>
      </x:c>
    </x:row>
    <x:row r="4135" ht="18" customHeight="1">
      <x:c r="A4135" s="25" t="str">
        <x:v>EEZ_388</x:v>
      </x:c>
      <x:c r="B4135" s="25" t="str">
        <x:v>group_ppr_within_convexity_bound</x:v>
      </x:c>
      <x:c r="C4135" s="36" t="b">
        <x:v>1</x:v>
      </x:c>
      <x:c r="D4135" s="25" t="str">
        <x:v>boolean</x:v>
      </x:c>
    </x:row>
    <x:row r="4136" ht="18" customHeight="1">
      <x:c r="A4136" s="25" t="str">
        <x:v>EEZ_390</x:v>
      </x:c>
      <x:c r="B4136" s="25" t="str">
        <x:v>tl_coverage_complete</x:v>
      </x:c>
      <x:c r="C4136" s="36" t="b">
        <x:v>1</x:v>
      </x:c>
      <x:c r="D4136" s="25" t="str">
        <x:v>boolean</x:v>
      </x:c>
    </x:row>
    <x:row r="4137" ht="18" customHeight="1">
      <x:c r="A4137" s="25" t="str">
        <x:v>EEZ_390</x:v>
      </x:c>
      <x:c r="B4137" s="25" t="str">
        <x:v>group_ppr_within_convexity_bound</x:v>
      </x:c>
      <x:c r="C4137" s="36" t="b">
        <x:v>1</x:v>
      </x:c>
      <x:c r="D4137" s="25" t="str">
        <x:v>boolean</x:v>
      </x:c>
    </x:row>
    <x:row r="4138" ht="18" customHeight="1">
      <x:c r="A4138" s="25" t="str">
        <x:v>EEZ_393</x:v>
      </x:c>
      <x:c r="B4138" s="25" t="str">
        <x:v>tl_coverage_complete</x:v>
      </x:c>
      <x:c r="C4138" s="36" t="b">
        <x:v>1</x:v>
      </x:c>
      <x:c r="D4138" s="25" t="str">
        <x:v>boolean</x:v>
      </x:c>
    </x:row>
    <x:row r="4139" ht="18" customHeight="1">
      <x:c r="A4139" s="25" t="str">
        <x:v>EEZ_393</x:v>
      </x:c>
      <x:c r="B4139" s="25" t="str">
        <x:v>group_ppr_within_convexity_bound</x:v>
      </x:c>
      <x:c r="C4139" s="36" t="b">
        <x:v>1</x:v>
      </x:c>
      <x:c r="D4139" s="25" t="str">
        <x:v>boolean</x:v>
      </x:c>
    </x:row>
    <x:row r="4140" ht="18" customHeight="1">
      <x:c r="A4140" s="25" t="str">
        <x:v>EEZ_396</x:v>
      </x:c>
      <x:c r="B4140" s="25" t="str">
        <x:v>tl_coverage_complete</x:v>
      </x:c>
      <x:c r="C4140" s="36" t="b">
        <x:v>1</x:v>
      </x:c>
      <x:c r="D4140" s="25" t="str">
        <x:v>boolean</x:v>
      </x:c>
    </x:row>
    <x:row r="4141" ht="18" customHeight="1">
      <x:c r="A4141" s="25" t="str">
        <x:v>EEZ_396</x:v>
      </x:c>
      <x:c r="B4141" s="25" t="str">
        <x:v>group_ppr_within_convexity_bound</x:v>
      </x:c>
      <x:c r="C4141" s="36" t="b">
        <x:v>1</x:v>
      </x:c>
      <x:c r="D4141" s="25" t="str">
        <x:v>boolean</x:v>
      </x:c>
    </x:row>
    <x:row r="4142" ht="18" customHeight="1">
      <x:c r="A4142" s="25" t="str">
        <x:v>EEZ_400</x:v>
      </x:c>
      <x:c r="B4142" s="25" t="str">
        <x:v>tl_coverage_complete</x:v>
      </x:c>
      <x:c r="C4142" s="36" t="b">
        <x:v>1</x:v>
      </x:c>
      <x:c r="D4142" s="25" t="str">
        <x:v>boolean</x:v>
      </x:c>
    </x:row>
    <x:row r="4143" ht="18" customHeight="1">
      <x:c r="A4143" s="25" t="str">
        <x:v>EEZ_400</x:v>
      </x:c>
      <x:c r="B4143" s="25" t="str">
        <x:v>group_ppr_within_convexity_bound</x:v>
      </x:c>
      <x:c r="C4143" s="36" t="b">
        <x:v>1</x:v>
      </x:c>
      <x:c r="D4143" s="25" t="str">
        <x:v>boolean</x:v>
      </x:c>
    </x:row>
    <x:row r="4144" ht="18" customHeight="1">
      <x:c r="A4144" s="25" t="str">
        <x:v>EEZ_404</x:v>
      </x:c>
      <x:c r="B4144" s="25" t="str">
        <x:v>tl_coverage_complete</x:v>
      </x:c>
      <x:c r="C4144" s="36" t="b">
        <x:v>1</x:v>
      </x:c>
      <x:c r="D4144" s="25" t="str">
        <x:v>boolean</x:v>
      </x:c>
    </x:row>
    <x:row r="4145" ht="18" customHeight="1">
      <x:c r="A4145" s="25" t="str">
        <x:v>EEZ_404</x:v>
      </x:c>
      <x:c r="B4145" s="25" t="str">
        <x:v>group_ppr_within_convexity_bound</x:v>
      </x:c>
      <x:c r="C4145" s="36" t="b">
        <x:v>1</x:v>
      </x:c>
      <x:c r="D4145" s="25" t="str">
        <x:v>boolean</x:v>
      </x:c>
    </x:row>
    <x:row r="4146" ht="18" customHeight="1">
      <x:c r="A4146" s="25" t="str">
        <x:v>EEZ_410</x:v>
      </x:c>
      <x:c r="B4146" s="25" t="str">
        <x:v>tl_coverage_complete</x:v>
      </x:c>
      <x:c r="C4146" s="36" t="b">
        <x:v>1</x:v>
      </x:c>
      <x:c r="D4146" s="25" t="str">
        <x:v>boolean</x:v>
      </x:c>
    </x:row>
    <x:row r="4147" ht="18" customHeight="1">
      <x:c r="A4147" s="25" t="str">
        <x:v>EEZ_410</x:v>
      </x:c>
      <x:c r="B4147" s="25" t="str">
        <x:v>group_ppr_within_convexity_bound</x:v>
      </x:c>
      <x:c r="C4147" s="36" t="b">
        <x:v>1</x:v>
      </x:c>
      <x:c r="D4147" s="25" t="str">
        <x:v>boolean</x:v>
      </x:c>
    </x:row>
    <x:row r="4148" ht="18" customHeight="1">
      <x:c r="A4148" s="25" t="str">
        <x:v>EEZ_414</x:v>
      </x:c>
      <x:c r="B4148" s="25" t="str">
        <x:v>tl_coverage_complete</x:v>
      </x:c>
      <x:c r="C4148" s="36" t="b">
        <x:v>1</x:v>
      </x:c>
      <x:c r="D4148" s="25" t="str">
        <x:v>boolean</x:v>
      </x:c>
    </x:row>
    <x:row r="4149" ht="18" customHeight="1">
      <x:c r="A4149" s="25" t="str">
        <x:v>EEZ_414</x:v>
      </x:c>
      <x:c r="B4149" s="25" t="str">
        <x:v>group_ppr_within_convexity_bound</x:v>
      </x:c>
      <x:c r="C4149" s="36" t="b">
        <x:v>1</x:v>
      </x:c>
      <x:c r="D4149" s="25" t="str">
        <x:v>boolean</x:v>
      </x:c>
    </x:row>
    <x:row r="4150" ht="18" customHeight="1">
      <x:c r="A4150" s="25" t="str">
        <x:v>EEZ_422</x:v>
      </x:c>
      <x:c r="B4150" s="25" t="str">
        <x:v>tl_coverage_complete</x:v>
      </x:c>
      <x:c r="C4150" s="36" t="b">
        <x:v>1</x:v>
      </x:c>
      <x:c r="D4150" s="25" t="str">
        <x:v>boolean</x:v>
      </x:c>
    </x:row>
    <x:row r="4151" ht="18" customHeight="1">
      <x:c r="A4151" s="25" t="str">
        <x:v>EEZ_422</x:v>
      </x:c>
      <x:c r="B4151" s="25" t="str">
        <x:v>group_ppr_within_convexity_bound</x:v>
      </x:c>
      <x:c r="C4151" s="36" t="b">
        <x:v>1</x:v>
      </x:c>
      <x:c r="D4151" s="25" t="str">
        <x:v>boolean</x:v>
      </x:c>
    </x:row>
    <x:row r="4152" ht="18" customHeight="1">
      <x:c r="A4152" s="25" t="str">
        <x:v>EEZ_428</x:v>
      </x:c>
      <x:c r="B4152" s="25" t="str">
        <x:v>tl_coverage_complete</x:v>
      </x:c>
      <x:c r="C4152" s="36" t="b">
        <x:v>1</x:v>
      </x:c>
      <x:c r="D4152" s="25" t="str">
        <x:v>boolean</x:v>
      </x:c>
    </x:row>
    <x:row r="4153" ht="18" customHeight="1">
      <x:c r="A4153" s="25" t="str">
        <x:v>EEZ_428</x:v>
      </x:c>
      <x:c r="B4153" s="25" t="str">
        <x:v>group_ppr_within_convexity_bound</x:v>
      </x:c>
      <x:c r="C4153" s="36" t="b">
        <x:v>1</x:v>
      </x:c>
      <x:c r="D4153" s="25" t="str">
        <x:v>boolean</x:v>
      </x:c>
    </x:row>
    <x:row r="4154" ht="18" customHeight="1">
      <x:c r="A4154" s="25" t="str">
        <x:v>EEZ_430</x:v>
      </x:c>
      <x:c r="B4154" s="25" t="str">
        <x:v>tl_coverage_complete</x:v>
      </x:c>
      <x:c r="C4154" s="36" t="b">
        <x:v>1</x:v>
      </x:c>
      <x:c r="D4154" s="25" t="str">
        <x:v>boolean</x:v>
      </x:c>
    </x:row>
    <x:row r="4155" ht="18" customHeight="1">
      <x:c r="A4155" s="25" t="str">
        <x:v>EEZ_430</x:v>
      </x:c>
      <x:c r="B4155" s="25" t="str">
        <x:v>group_ppr_within_convexity_bound</x:v>
      </x:c>
      <x:c r="C4155" s="36" t="b">
        <x:v>1</x:v>
      </x:c>
      <x:c r="D4155" s="25" t="str">
        <x:v>boolean</x:v>
      </x:c>
    </x:row>
    <x:row r="4156" ht="18" customHeight="1">
      <x:c r="A4156" s="25" t="str">
        <x:v>EEZ_434</x:v>
      </x:c>
      <x:c r="B4156" s="25" t="str">
        <x:v>tl_coverage_complete</x:v>
      </x:c>
      <x:c r="C4156" s="36" t="b">
        <x:v>1</x:v>
      </x:c>
      <x:c r="D4156" s="25" t="str">
        <x:v>boolean</x:v>
      </x:c>
    </x:row>
    <x:row r="4157" ht="18" customHeight="1">
      <x:c r="A4157" s="25" t="str">
        <x:v>EEZ_434</x:v>
      </x:c>
      <x:c r="B4157" s="25" t="str">
        <x:v>group_ppr_within_convexity_bound</x:v>
      </x:c>
      <x:c r="C4157" s="36" t="b">
        <x:v>1</x:v>
      </x:c>
      <x:c r="D4157" s="25" t="str">
        <x:v>boolean</x:v>
      </x:c>
    </x:row>
    <x:row r="4158" ht="18" customHeight="1">
      <x:c r="A4158" s="25" t="str">
        <x:v>EEZ_440</x:v>
      </x:c>
      <x:c r="B4158" s="25" t="str">
        <x:v>tl_coverage_complete</x:v>
      </x:c>
      <x:c r="C4158" s="36" t="b">
        <x:v>1</x:v>
      </x:c>
      <x:c r="D4158" s="25" t="str">
        <x:v>boolean</x:v>
      </x:c>
    </x:row>
    <x:row r="4159" ht="18" customHeight="1">
      <x:c r="A4159" s="25" t="str">
        <x:v>EEZ_440</x:v>
      </x:c>
      <x:c r="B4159" s="25" t="str">
        <x:v>group_ppr_within_convexity_bound</x:v>
      </x:c>
      <x:c r="C4159" s="36" t="b">
        <x:v>1</x:v>
      </x:c>
      <x:c r="D4159" s="25" t="str">
        <x:v>boolean</x:v>
      </x:c>
    </x:row>
    <x:row r="4160" ht="18" customHeight="1">
      <x:c r="A4160" s="25" t="str">
        <x:v>EEZ_450</x:v>
      </x:c>
      <x:c r="B4160" s="25" t="str">
        <x:v>tl_coverage_complete</x:v>
      </x:c>
      <x:c r="C4160" s="36" t="b">
        <x:v>1</x:v>
      </x:c>
      <x:c r="D4160" s="25" t="str">
        <x:v>boolean</x:v>
      </x:c>
    </x:row>
    <x:row r="4161" ht="18" customHeight="1">
      <x:c r="A4161" s="25" t="str">
        <x:v>EEZ_450</x:v>
      </x:c>
      <x:c r="B4161" s="25" t="str">
        <x:v>group_ppr_within_convexity_bound</x:v>
      </x:c>
      <x:c r="C4161" s="36" t="b">
        <x:v>1</x:v>
      </x:c>
      <x:c r="D4161" s="25" t="str">
        <x:v>boolean</x:v>
      </x:c>
    </x:row>
    <x:row r="4162" ht="18" customHeight="1">
      <x:c r="A4162" s="25" t="str">
        <x:v>EEZ_459</x:v>
      </x:c>
      <x:c r="B4162" s="25" t="str">
        <x:v>tl_coverage_complete</x:v>
      </x:c>
      <x:c r="C4162" s="36" t="b">
        <x:v>1</x:v>
      </x:c>
      <x:c r="D4162" s="25" t="str">
        <x:v>boolean</x:v>
      </x:c>
    </x:row>
    <x:row r="4163" ht="18" customHeight="1">
      <x:c r="A4163" s="25" t="str">
        <x:v>EEZ_459</x:v>
      </x:c>
      <x:c r="B4163" s="25" t="str">
        <x:v>group_ppr_within_convexity_bound</x:v>
      </x:c>
      <x:c r="C4163" s="36" t="b">
        <x:v>1</x:v>
      </x:c>
      <x:c r="D4163" s="25" t="str">
        <x:v>boolean</x:v>
      </x:c>
    </x:row>
    <x:row r="4164" ht="18" customHeight="1">
      <x:c r="A4164" s="25" t="str">
        <x:v>EEZ_460</x:v>
      </x:c>
      <x:c r="B4164" s="25" t="str">
        <x:v>tl_coverage_complete</x:v>
      </x:c>
      <x:c r="C4164" s="36" t="b">
        <x:v>1</x:v>
      </x:c>
      <x:c r="D4164" s="25" t="str">
        <x:v>boolean</x:v>
      </x:c>
    </x:row>
    <x:row r="4165" ht="18" customHeight="1">
      <x:c r="A4165" s="25" t="str">
        <x:v>EEZ_460</x:v>
      </x:c>
      <x:c r="B4165" s="25" t="str">
        <x:v>group_ppr_within_convexity_bound</x:v>
      </x:c>
      <x:c r="C4165" s="36" t="b">
        <x:v>1</x:v>
      </x:c>
      <x:c r="D4165" s="25" t="str">
        <x:v>boolean</x:v>
      </x:c>
    </x:row>
    <x:row r="4166" ht="18" customHeight="1">
      <x:c r="A4166" s="25" t="str">
        <x:v>EEZ_461</x:v>
      </x:c>
      <x:c r="B4166" s="25" t="str">
        <x:v>tl_coverage_complete</x:v>
      </x:c>
      <x:c r="C4166" s="36" t="b">
        <x:v>1</x:v>
      </x:c>
      <x:c r="D4166" s="25" t="str">
        <x:v>boolean</x:v>
      </x:c>
    </x:row>
    <x:row r="4167" ht="18" customHeight="1">
      <x:c r="A4167" s="25" t="str">
        <x:v>EEZ_461</x:v>
      </x:c>
      <x:c r="B4167" s="25" t="str">
        <x:v>group_ppr_within_convexity_bound</x:v>
      </x:c>
      <x:c r="C4167" s="36" t="b">
        <x:v>1</x:v>
      </x:c>
      <x:c r="D4167" s="25" t="str">
        <x:v>boolean</x:v>
      </x:c>
    </x:row>
    <x:row r="4168" ht="18" customHeight="1">
      <x:c r="A4168" s="25" t="str">
        <x:v>EEZ_462</x:v>
      </x:c>
      <x:c r="B4168" s="25" t="str">
        <x:v>tl_coverage_complete</x:v>
      </x:c>
      <x:c r="C4168" s="36" t="b">
        <x:v>1</x:v>
      </x:c>
      <x:c r="D4168" s="25" t="str">
        <x:v>boolean</x:v>
      </x:c>
    </x:row>
    <x:row r="4169" ht="18" customHeight="1">
      <x:c r="A4169" s="25" t="str">
        <x:v>EEZ_462</x:v>
      </x:c>
      <x:c r="B4169" s="25" t="str">
        <x:v>group_ppr_within_convexity_bound</x:v>
      </x:c>
      <x:c r="C4169" s="36" t="b">
        <x:v>1</x:v>
      </x:c>
      <x:c r="D4169" s="25" t="str">
        <x:v>boolean</x:v>
      </x:c>
    </x:row>
    <x:row r="4170" ht="18" customHeight="1">
      <x:c r="A4170" s="25" t="str">
        <x:v>EEZ_463</x:v>
      </x:c>
      <x:c r="B4170" s="25" t="str">
        <x:v>tl_coverage_complete</x:v>
      </x:c>
      <x:c r="C4170" s="36" t="b">
        <x:v>1</x:v>
      </x:c>
      <x:c r="D4170" s="25" t="str">
        <x:v>boolean</x:v>
      </x:c>
    </x:row>
    <x:row r="4171" ht="18" customHeight="1">
      <x:c r="A4171" s="25" t="str">
        <x:v>EEZ_463</x:v>
      </x:c>
      <x:c r="B4171" s="25" t="str">
        <x:v>group_ppr_within_convexity_bound</x:v>
      </x:c>
      <x:c r="C4171" s="36" t="b">
        <x:v>1</x:v>
      </x:c>
      <x:c r="D4171" s="25" t="str">
        <x:v>boolean</x:v>
      </x:c>
    </x:row>
    <x:row r="4172" ht="18" customHeight="1">
      <x:c r="A4172" s="25" t="str">
        <x:v>EEZ_470</x:v>
      </x:c>
      <x:c r="B4172" s="25" t="str">
        <x:v>tl_coverage_complete</x:v>
      </x:c>
      <x:c r="C4172" s="36" t="b">
        <x:v>1</x:v>
      </x:c>
      <x:c r="D4172" s="25" t="str">
        <x:v>boolean</x:v>
      </x:c>
    </x:row>
    <x:row r="4173" ht="18" customHeight="1">
      <x:c r="A4173" s="25" t="str">
        <x:v>EEZ_470</x:v>
      </x:c>
      <x:c r="B4173" s="25" t="str">
        <x:v>group_ppr_within_convexity_bound</x:v>
      </x:c>
      <x:c r="C4173" s="36" t="b">
        <x:v>1</x:v>
      </x:c>
      <x:c r="D4173" s="25" t="str">
        <x:v>boolean</x:v>
      </x:c>
    </x:row>
    <x:row r="4174" ht="18" customHeight="1">
      <x:c r="A4174" s="25" t="str">
        <x:v>EEZ_474</x:v>
      </x:c>
      <x:c r="B4174" s="25" t="str">
        <x:v>tl_coverage_complete</x:v>
      </x:c>
      <x:c r="C4174" s="36" t="b">
        <x:v>1</x:v>
      </x:c>
      <x:c r="D4174" s="25" t="str">
        <x:v>boolean</x:v>
      </x:c>
    </x:row>
    <x:row r="4175" ht="18" customHeight="1">
      <x:c r="A4175" s="25" t="str">
        <x:v>EEZ_474</x:v>
      </x:c>
      <x:c r="B4175" s="25" t="str">
        <x:v>group_ppr_within_convexity_bound</x:v>
      </x:c>
      <x:c r="C4175" s="36" t="b">
        <x:v>1</x:v>
      </x:c>
      <x:c r="D4175" s="25" t="str">
        <x:v>boolean</x:v>
      </x:c>
    </x:row>
    <x:row r="4176" ht="18" customHeight="1">
      <x:c r="A4176" s="25" t="str">
        <x:v>EEZ_478</x:v>
      </x:c>
      <x:c r="B4176" s="25" t="str">
        <x:v>tl_coverage_complete</x:v>
      </x:c>
      <x:c r="C4176" s="36" t="b">
        <x:v>1</x:v>
      </x:c>
      <x:c r="D4176" s="25" t="str">
        <x:v>boolean</x:v>
      </x:c>
    </x:row>
    <x:row r="4177" ht="18" customHeight="1">
      <x:c r="A4177" s="25" t="str">
        <x:v>EEZ_478</x:v>
      </x:c>
      <x:c r="B4177" s="25" t="str">
        <x:v>group_ppr_within_convexity_bound</x:v>
      </x:c>
      <x:c r="C4177" s="36" t="b">
        <x:v>1</x:v>
      </x:c>
      <x:c r="D4177" s="25" t="str">
        <x:v>boolean</x:v>
      </x:c>
    </x:row>
    <x:row r="4178" ht="18" customHeight="1">
      <x:c r="A4178" s="25" t="str">
        <x:v>EEZ_480</x:v>
      </x:c>
      <x:c r="B4178" s="25" t="str">
        <x:v>tl_coverage_complete</x:v>
      </x:c>
      <x:c r="C4178" s="36" t="b">
        <x:v>1</x:v>
      </x:c>
      <x:c r="D4178" s="25" t="str">
        <x:v>boolean</x:v>
      </x:c>
    </x:row>
    <x:row r="4179" ht="18" customHeight="1">
      <x:c r="A4179" s="25" t="str">
        <x:v>EEZ_480</x:v>
      </x:c>
      <x:c r="B4179" s="25" t="str">
        <x:v>group_ppr_within_convexity_bound</x:v>
      </x:c>
      <x:c r="C4179" s="36" t="b">
        <x:v>1</x:v>
      </x:c>
      <x:c r="D4179" s="25" t="str">
        <x:v>boolean</x:v>
      </x:c>
    </x:row>
    <x:row r="4180" ht="18" customHeight="1">
      <x:c r="A4180" s="25" t="str">
        <x:v>EEZ_488</x:v>
      </x:c>
      <x:c r="B4180" s="25" t="str">
        <x:v>tl_coverage_complete</x:v>
      </x:c>
      <x:c r="C4180" s="36" t="b">
        <x:v>1</x:v>
      </x:c>
      <x:c r="D4180" s="25" t="str">
        <x:v>boolean</x:v>
      </x:c>
    </x:row>
    <x:row r="4181" ht="18" customHeight="1">
      <x:c r="A4181" s="25" t="str">
        <x:v>EEZ_488</x:v>
      </x:c>
      <x:c r="B4181" s="25" t="str">
        <x:v>group_ppr_within_convexity_bound</x:v>
      </x:c>
      <x:c r="C4181" s="36" t="b">
        <x:v>1</x:v>
      </x:c>
      <x:c r="D4181" s="25" t="str">
        <x:v>boolean</x:v>
      </x:c>
    </x:row>
    <x:row r="4182" ht="18" customHeight="1">
      <x:c r="A4182" s="25" t="str">
        <x:v>EEZ_500</x:v>
      </x:c>
      <x:c r="B4182" s="25" t="str">
        <x:v>tl_coverage_complete</x:v>
      </x:c>
      <x:c r="C4182" s="36" t="b">
        <x:v>1</x:v>
      </x:c>
      <x:c r="D4182" s="25" t="str">
        <x:v>boolean</x:v>
      </x:c>
    </x:row>
    <x:row r="4183" ht="18" customHeight="1">
      <x:c r="A4183" s="25" t="str">
        <x:v>EEZ_500</x:v>
      </x:c>
      <x:c r="B4183" s="25" t="str">
        <x:v>group_ppr_within_convexity_bound</x:v>
      </x:c>
      <x:c r="C4183" s="36" t="b">
        <x:v>1</x:v>
      </x:c>
      <x:c r="D4183" s="25" t="str">
        <x:v>boolean</x:v>
      </x:c>
    </x:row>
    <x:row r="4184" ht="18" customHeight="1">
      <x:c r="A4184" s="25" t="str">
        <x:v>EEZ_508</x:v>
      </x:c>
      <x:c r="B4184" s="25" t="str">
        <x:v>tl_coverage_complete</x:v>
      </x:c>
      <x:c r="C4184" s="36" t="b">
        <x:v>1</x:v>
      </x:c>
      <x:c r="D4184" s="25" t="str">
        <x:v>boolean</x:v>
      </x:c>
    </x:row>
    <x:row r="4185" ht="18" customHeight="1">
      <x:c r="A4185" s="25" t="str">
        <x:v>EEZ_508</x:v>
      </x:c>
      <x:c r="B4185" s="25" t="str">
        <x:v>group_ppr_within_convexity_bound</x:v>
      </x:c>
      <x:c r="C4185" s="36" t="b">
        <x:v>1</x:v>
      </x:c>
      <x:c r="D4185" s="25" t="str">
        <x:v>boolean</x:v>
      </x:c>
    </x:row>
    <x:row r="4186" ht="18" customHeight="1">
      <x:c r="A4186" s="25" t="str">
        <x:v>EEZ_512</x:v>
      </x:c>
      <x:c r="B4186" s="25" t="str">
        <x:v>tl_coverage_complete</x:v>
      </x:c>
      <x:c r="C4186" s="36" t="b">
        <x:v>1</x:v>
      </x:c>
      <x:c r="D4186" s="25" t="str">
        <x:v>boolean</x:v>
      </x:c>
    </x:row>
    <x:row r="4187" ht="18" customHeight="1">
      <x:c r="A4187" s="25" t="str">
        <x:v>EEZ_512</x:v>
      </x:c>
      <x:c r="B4187" s="25" t="str">
        <x:v>group_ppr_within_convexity_bound</x:v>
      </x:c>
      <x:c r="C4187" s="36" t="b">
        <x:v>1</x:v>
      </x:c>
      <x:c r="D4187" s="25" t="str">
        <x:v>boolean</x:v>
      </x:c>
    </x:row>
    <x:row r="4188" ht="18" customHeight="1">
      <x:c r="A4188" s="25" t="str">
        <x:v>EEZ_516</x:v>
      </x:c>
      <x:c r="B4188" s="25" t="str">
        <x:v>tl_coverage_complete</x:v>
      </x:c>
      <x:c r="C4188" s="36" t="b">
        <x:v>1</x:v>
      </x:c>
      <x:c r="D4188" s="25" t="str">
        <x:v>boolean</x:v>
      </x:c>
    </x:row>
    <x:row r="4189" ht="18" customHeight="1">
      <x:c r="A4189" s="25" t="str">
        <x:v>EEZ_516</x:v>
      </x:c>
      <x:c r="B4189" s="25" t="str">
        <x:v>group_ppr_within_convexity_bound</x:v>
      </x:c>
      <x:c r="C4189" s="36" t="b">
        <x:v>1</x:v>
      </x:c>
      <x:c r="D4189" s="25" t="str">
        <x:v>boolean</x:v>
      </x:c>
    </x:row>
    <x:row r="4190" ht="18" customHeight="1">
      <x:c r="A4190" s="25" t="str">
        <x:v>EEZ_520</x:v>
      </x:c>
      <x:c r="B4190" s="25" t="str">
        <x:v>tl_coverage_complete</x:v>
      </x:c>
      <x:c r="C4190" s="36" t="b">
        <x:v>1</x:v>
      </x:c>
      <x:c r="D4190" s="25" t="str">
        <x:v>boolean</x:v>
      </x:c>
    </x:row>
    <x:row r="4191" ht="18" customHeight="1">
      <x:c r="A4191" s="25" t="str">
        <x:v>EEZ_520</x:v>
      </x:c>
      <x:c r="B4191" s="25" t="str">
        <x:v>group_ppr_within_convexity_bound</x:v>
      </x:c>
      <x:c r="C4191" s="36" t="b">
        <x:v>1</x:v>
      </x:c>
      <x:c r="D4191" s="25" t="str">
        <x:v>boolean</x:v>
      </x:c>
    </x:row>
    <x:row r="4192" ht="18" customHeight="1">
      <x:c r="A4192" s="25" t="str">
        <x:v>EEZ_528</x:v>
      </x:c>
      <x:c r="B4192" s="25" t="str">
        <x:v>tl_coverage_complete</x:v>
      </x:c>
      <x:c r="C4192" s="36" t="b">
        <x:v>1</x:v>
      </x:c>
      <x:c r="D4192" s="25" t="str">
        <x:v>boolean</x:v>
      </x:c>
    </x:row>
    <x:row r="4193" ht="18" customHeight="1">
      <x:c r="A4193" s="25" t="str">
        <x:v>EEZ_528</x:v>
      </x:c>
      <x:c r="B4193" s="25" t="str">
        <x:v>group_ppr_within_convexity_bound</x:v>
      </x:c>
      <x:c r="C4193" s="36" t="b">
        <x:v>1</x:v>
      </x:c>
      <x:c r="D4193" s="25" t="str">
        <x:v>boolean</x:v>
      </x:c>
    </x:row>
    <x:row r="4194" ht="18" customHeight="1">
      <x:c r="A4194" s="25" t="str">
        <x:v>EEZ_540</x:v>
      </x:c>
      <x:c r="B4194" s="25" t="str">
        <x:v>tl_coverage_complete</x:v>
      </x:c>
      <x:c r="C4194" s="36" t="b">
        <x:v>1</x:v>
      </x:c>
      <x:c r="D4194" s="25" t="str">
        <x:v>boolean</x:v>
      </x:c>
    </x:row>
    <x:row r="4195" ht="18" customHeight="1">
      <x:c r="A4195" s="25" t="str">
        <x:v>EEZ_540</x:v>
      </x:c>
      <x:c r="B4195" s="25" t="str">
        <x:v>group_ppr_within_convexity_bound</x:v>
      </x:c>
      <x:c r="C4195" s="36" t="b">
        <x:v>1</x:v>
      </x:c>
      <x:c r="D4195" s="25" t="str">
        <x:v>boolean</x:v>
      </x:c>
    </x:row>
    <x:row r="4196" ht="18" customHeight="1">
      <x:c r="A4196" s="25" t="str">
        <x:v>EEZ_548</x:v>
      </x:c>
      <x:c r="B4196" s="25" t="str">
        <x:v>tl_coverage_complete</x:v>
      </x:c>
      <x:c r="C4196" s="36" t="b">
        <x:v>1</x:v>
      </x:c>
      <x:c r="D4196" s="25" t="str">
        <x:v>boolean</x:v>
      </x:c>
    </x:row>
    <x:row r="4197" ht="18" customHeight="1">
      <x:c r="A4197" s="25" t="str">
        <x:v>EEZ_548</x:v>
      </x:c>
      <x:c r="B4197" s="25" t="str">
        <x:v>group_ppr_within_convexity_bound</x:v>
      </x:c>
      <x:c r="C4197" s="36" t="b">
        <x:v>1</x:v>
      </x:c>
      <x:c r="D4197" s="25" t="str">
        <x:v>boolean</x:v>
      </x:c>
    </x:row>
    <x:row r="4198" ht="18" customHeight="1">
      <x:c r="A4198" s="25" t="str">
        <x:v>EEZ_554</x:v>
      </x:c>
      <x:c r="B4198" s="25" t="str">
        <x:v>tl_coverage_complete</x:v>
      </x:c>
      <x:c r="C4198" s="36" t="b">
        <x:v>1</x:v>
      </x:c>
      <x:c r="D4198" s="25" t="str">
        <x:v>boolean</x:v>
      </x:c>
    </x:row>
    <x:row r="4199" ht="18" customHeight="1">
      <x:c r="A4199" s="25" t="str">
        <x:v>EEZ_554</x:v>
      </x:c>
      <x:c r="B4199" s="25" t="str">
        <x:v>group_ppr_within_convexity_bound</x:v>
      </x:c>
      <x:c r="C4199" s="36" t="b">
        <x:v>1</x:v>
      </x:c>
      <x:c r="D4199" s="25" t="str">
        <x:v>boolean</x:v>
      </x:c>
    </x:row>
    <x:row r="4200" ht="18" customHeight="1">
      <x:c r="A4200" s="25" t="str">
        <x:v>EEZ_555</x:v>
      </x:c>
      <x:c r="B4200" s="25" t="str">
        <x:v>tl_coverage_complete</x:v>
      </x:c>
      <x:c r="C4200" s="36" t="b">
        <x:v>1</x:v>
      </x:c>
      <x:c r="D4200" s="25" t="str">
        <x:v>boolean</x:v>
      </x:c>
    </x:row>
    <x:row r="4201" ht="18" customHeight="1">
      <x:c r="A4201" s="25" t="str">
        <x:v>EEZ_555</x:v>
      </x:c>
      <x:c r="B4201" s="25" t="str">
        <x:v>group_ppr_within_convexity_bound</x:v>
      </x:c>
      <x:c r="C4201" s="36" t="b">
        <x:v>1</x:v>
      </x:c>
      <x:c r="D4201" s="25" t="str">
        <x:v>boolean</x:v>
      </x:c>
    </x:row>
    <x:row r="4202" ht="18" customHeight="1">
      <x:c r="A4202" s="25" t="str">
        <x:v>EEZ_566</x:v>
      </x:c>
      <x:c r="B4202" s="25" t="str">
        <x:v>tl_coverage_complete</x:v>
      </x:c>
      <x:c r="C4202" s="36" t="b">
        <x:v>1</x:v>
      </x:c>
      <x:c r="D4202" s="25" t="str">
        <x:v>boolean</x:v>
      </x:c>
    </x:row>
    <x:row r="4203" ht="18" customHeight="1">
      <x:c r="A4203" s="25" t="str">
        <x:v>EEZ_566</x:v>
      </x:c>
      <x:c r="B4203" s="25" t="str">
        <x:v>group_ppr_within_convexity_bound</x:v>
      </x:c>
      <x:c r="C4203" s="36" t="b">
        <x:v>1</x:v>
      </x:c>
      <x:c r="D4203" s="25" t="str">
        <x:v>boolean</x:v>
      </x:c>
    </x:row>
    <x:row r="4204" ht="18" customHeight="1">
      <x:c r="A4204" s="25" t="str">
        <x:v>EEZ_570</x:v>
      </x:c>
      <x:c r="B4204" s="25" t="str">
        <x:v>tl_coverage_complete</x:v>
      </x:c>
      <x:c r="C4204" s="36" t="b">
        <x:v>1</x:v>
      </x:c>
      <x:c r="D4204" s="25" t="str">
        <x:v>boolean</x:v>
      </x:c>
    </x:row>
    <x:row r="4205" ht="18" customHeight="1">
      <x:c r="A4205" s="25" t="str">
        <x:v>EEZ_570</x:v>
      </x:c>
      <x:c r="B4205" s="25" t="str">
        <x:v>group_ppr_within_convexity_bound</x:v>
      </x:c>
      <x:c r="C4205" s="36" t="b">
        <x:v>1</x:v>
      </x:c>
      <x:c r="D4205" s="25" t="str">
        <x:v>boolean</x:v>
      </x:c>
    </x:row>
    <x:row r="4206" ht="18" customHeight="1">
      <x:c r="A4206" s="25" t="str">
        <x:v>EEZ_574</x:v>
      </x:c>
      <x:c r="B4206" s="25" t="str">
        <x:v>tl_coverage_complete</x:v>
      </x:c>
      <x:c r="C4206" s="36" t="b">
        <x:v>1</x:v>
      </x:c>
      <x:c r="D4206" s="25" t="str">
        <x:v>boolean</x:v>
      </x:c>
    </x:row>
    <x:row r="4207" ht="18" customHeight="1">
      <x:c r="A4207" s="25" t="str">
        <x:v>EEZ_574</x:v>
      </x:c>
      <x:c r="B4207" s="25" t="str">
        <x:v>group_ppr_within_convexity_bound</x:v>
      </x:c>
      <x:c r="C4207" s="36" t="b">
        <x:v>1</x:v>
      </x:c>
      <x:c r="D4207" s="25" t="str">
        <x:v>boolean</x:v>
      </x:c>
    </x:row>
    <x:row r="4208" ht="18" customHeight="1">
      <x:c r="A4208" s="25" t="str">
        <x:v>EEZ_578</x:v>
      </x:c>
      <x:c r="B4208" s="25" t="str">
        <x:v>tl_coverage_complete</x:v>
      </x:c>
      <x:c r="C4208" s="36" t="b">
        <x:v>1</x:v>
      </x:c>
      <x:c r="D4208" s="25" t="str">
        <x:v>boolean</x:v>
      </x:c>
    </x:row>
    <x:row r="4209" ht="18" customHeight="1">
      <x:c r="A4209" s="25" t="str">
        <x:v>EEZ_578</x:v>
      </x:c>
      <x:c r="B4209" s="25" t="str">
        <x:v>group_ppr_within_convexity_bound</x:v>
      </x:c>
      <x:c r="C4209" s="36" t="b">
        <x:v>1</x:v>
      </x:c>
      <x:c r="D4209" s="25" t="str">
        <x:v>boolean</x:v>
      </x:c>
    </x:row>
    <x:row r="4210" ht="18" customHeight="1">
      <x:c r="A4210" s="25" t="str">
        <x:v>EEZ_579</x:v>
      </x:c>
      <x:c r="B4210" s="25" t="str">
        <x:v>tl_coverage_complete</x:v>
      </x:c>
      <x:c r="C4210" s="36" t="b">
        <x:v>1</x:v>
      </x:c>
      <x:c r="D4210" s="25" t="str">
        <x:v>boolean</x:v>
      </x:c>
    </x:row>
    <x:row r="4211" ht="18" customHeight="1">
      <x:c r="A4211" s="25" t="str">
        <x:v>EEZ_579</x:v>
      </x:c>
      <x:c r="B4211" s="25" t="str">
        <x:v>group_ppr_within_convexity_bound</x:v>
      </x:c>
      <x:c r="C4211" s="36" t="b">
        <x:v>1</x:v>
      </x:c>
      <x:c r="D4211" s="25" t="str">
        <x:v>boolean</x:v>
      </x:c>
    </x:row>
    <x:row r="4212" ht="18" customHeight="1">
      <x:c r="A4212" s="25" t="str">
        <x:v>EEZ_580</x:v>
      </x:c>
      <x:c r="B4212" s="25" t="str">
        <x:v>tl_coverage_complete</x:v>
      </x:c>
      <x:c r="C4212" s="36" t="b">
        <x:v>1</x:v>
      </x:c>
      <x:c r="D4212" s="25" t="str">
        <x:v>boolean</x:v>
      </x:c>
    </x:row>
    <x:row r="4213" ht="18" customHeight="1">
      <x:c r="A4213" s="25" t="str">
        <x:v>EEZ_580</x:v>
      </x:c>
      <x:c r="B4213" s="25" t="str">
        <x:v>group_ppr_within_convexity_bound</x:v>
      </x:c>
      <x:c r="C4213" s="36" t="b">
        <x:v>1</x:v>
      </x:c>
      <x:c r="D4213" s="25" t="str">
        <x:v>boolean</x:v>
      </x:c>
    </x:row>
    <x:row r="4214" ht="18" customHeight="1">
      <x:c r="A4214" s="25" t="str">
        <x:v>EEZ_583</x:v>
      </x:c>
      <x:c r="B4214" s="25" t="str">
        <x:v>tl_coverage_complete</x:v>
      </x:c>
      <x:c r="C4214" s="36" t="b">
        <x:v>1</x:v>
      </x:c>
      <x:c r="D4214" s="25" t="str">
        <x:v>boolean</x:v>
      </x:c>
    </x:row>
    <x:row r="4215" ht="18" customHeight="1">
      <x:c r="A4215" s="25" t="str">
        <x:v>EEZ_583</x:v>
      </x:c>
      <x:c r="B4215" s="25" t="str">
        <x:v>group_ppr_within_convexity_bound</x:v>
      </x:c>
      <x:c r="C4215" s="36" t="b">
        <x:v>1</x:v>
      </x:c>
      <x:c r="D4215" s="25" t="str">
        <x:v>boolean</x:v>
      </x:c>
    </x:row>
    <x:row r="4216" ht="18" customHeight="1">
      <x:c r="A4216" s="25" t="str">
        <x:v>EEZ_584</x:v>
      </x:c>
      <x:c r="B4216" s="25" t="str">
        <x:v>tl_coverage_complete</x:v>
      </x:c>
      <x:c r="C4216" s="36" t="b">
        <x:v>1</x:v>
      </x:c>
      <x:c r="D4216" s="25" t="str">
        <x:v>boolean</x:v>
      </x:c>
    </x:row>
    <x:row r="4217" ht="18" customHeight="1">
      <x:c r="A4217" s="25" t="str">
        <x:v>EEZ_584</x:v>
      </x:c>
      <x:c r="B4217" s="25" t="str">
        <x:v>group_ppr_within_convexity_bound</x:v>
      </x:c>
      <x:c r="C4217" s="36" t="b">
        <x:v>1</x:v>
      </x:c>
      <x:c r="D4217" s="25" t="str">
        <x:v>boolean</x:v>
      </x:c>
    </x:row>
    <x:row r="4218" ht="18" customHeight="1">
      <x:c r="A4218" s="25" t="str">
        <x:v>EEZ_585</x:v>
      </x:c>
      <x:c r="B4218" s="25" t="str">
        <x:v>tl_coverage_complete</x:v>
      </x:c>
      <x:c r="C4218" s="36" t="b">
        <x:v>1</x:v>
      </x:c>
      <x:c r="D4218" s="25" t="str">
        <x:v>boolean</x:v>
      </x:c>
    </x:row>
    <x:row r="4219" ht="18" customHeight="1">
      <x:c r="A4219" s="25" t="str">
        <x:v>EEZ_585</x:v>
      </x:c>
      <x:c r="B4219" s="25" t="str">
        <x:v>group_ppr_within_convexity_bound</x:v>
      </x:c>
      <x:c r="C4219" s="36" t="b">
        <x:v>1</x:v>
      </x:c>
      <x:c r="D4219" s="25" t="str">
        <x:v>boolean</x:v>
      </x:c>
    </x:row>
    <x:row r="4220" ht="18" customHeight="1">
      <x:c r="A4220" s="25" t="str">
        <x:v>EEZ_586</x:v>
      </x:c>
      <x:c r="B4220" s="25" t="str">
        <x:v>tl_coverage_complete</x:v>
      </x:c>
      <x:c r="C4220" s="36" t="b">
        <x:v>1</x:v>
      </x:c>
      <x:c r="D4220" s="25" t="str">
        <x:v>boolean</x:v>
      </x:c>
    </x:row>
    <x:row r="4221" ht="18" customHeight="1">
      <x:c r="A4221" s="25" t="str">
        <x:v>EEZ_586</x:v>
      </x:c>
      <x:c r="B4221" s="25" t="str">
        <x:v>group_ppr_within_convexity_bound</x:v>
      </x:c>
      <x:c r="C4221" s="36" t="b">
        <x:v>1</x:v>
      </x:c>
      <x:c r="D4221" s="25" t="str">
        <x:v>boolean</x:v>
      </x:c>
    </x:row>
    <x:row r="4222" ht="18" customHeight="1">
      <x:c r="A4222" s="25" t="str">
        <x:v>EEZ_598</x:v>
      </x:c>
      <x:c r="B4222" s="25" t="str">
        <x:v>tl_coverage_complete</x:v>
      </x:c>
      <x:c r="C4222" s="36" t="b">
        <x:v>1</x:v>
      </x:c>
      <x:c r="D4222" s="25" t="str">
        <x:v>boolean</x:v>
      </x:c>
    </x:row>
    <x:row r="4223" ht="18" customHeight="1">
      <x:c r="A4223" s="25" t="str">
        <x:v>EEZ_598</x:v>
      </x:c>
      <x:c r="B4223" s="25" t="str">
        <x:v>group_ppr_within_convexity_bound</x:v>
      </x:c>
      <x:c r="C4223" s="36" t="b">
        <x:v>1</x:v>
      </x:c>
      <x:c r="D4223" s="25" t="str">
        <x:v>boolean</x:v>
      </x:c>
    </x:row>
    <x:row r="4224" ht="18" customHeight="1">
      <x:c r="A4224" s="25" t="str">
        <x:v>EEZ_604</x:v>
      </x:c>
      <x:c r="B4224" s="25" t="str">
        <x:v>tl_coverage_complete</x:v>
      </x:c>
      <x:c r="C4224" s="36" t="b">
        <x:v>1</x:v>
      </x:c>
      <x:c r="D4224" s="25" t="str">
        <x:v>boolean</x:v>
      </x:c>
    </x:row>
    <x:row r="4225" ht="18" customHeight="1">
      <x:c r="A4225" s="25" t="str">
        <x:v>EEZ_604</x:v>
      </x:c>
      <x:c r="B4225" s="25" t="str">
        <x:v>group_ppr_within_convexity_bound</x:v>
      </x:c>
      <x:c r="C4225" s="36" t="b">
        <x:v>1</x:v>
      </x:c>
      <x:c r="D4225" s="25" t="str">
        <x:v>boolean</x:v>
      </x:c>
    </x:row>
    <x:row r="4226" ht="18" customHeight="1">
      <x:c r="A4226" s="25" t="str">
        <x:v>EEZ_608</x:v>
      </x:c>
      <x:c r="B4226" s="25" t="str">
        <x:v>tl_coverage_complete</x:v>
      </x:c>
      <x:c r="C4226" s="36" t="b">
        <x:v>1</x:v>
      </x:c>
      <x:c r="D4226" s="25" t="str">
        <x:v>boolean</x:v>
      </x:c>
    </x:row>
    <x:row r="4227" ht="18" customHeight="1">
      <x:c r="A4227" s="25" t="str">
        <x:v>EEZ_608</x:v>
      </x:c>
      <x:c r="B4227" s="25" t="str">
        <x:v>group_ppr_within_convexity_bound</x:v>
      </x:c>
      <x:c r="C4227" s="36" t="b">
        <x:v>1</x:v>
      </x:c>
      <x:c r="D4227" s="25" t="str">
        <x:v>boolean</x:v>
      </x:c>
    </x:row>
    <x:row r="4228" ht="18" customHeight="1">
      <x:c r="A4228" s="25" t="str">
        <x:v>EEZ_612</x:v>
      </x:c>
      <x:c r="B4228" s="25" t="str">
        <x:v>tl_coverage_complete</x:v>
      </x:c>
      <x:c r="C4228" s="36" t="b">
        <x:v>1</x:v>
      </x:c>
      <x:c r="D4228" s="25" t="str">
        <x:v>boolean</x:v>
      </x:c>
    </x:row>
    <x:row r="4229" ht="18" customHeight="1">
      <x:c r="A4229" s="25" t="str">
        <x:v>EEZ_612</x:v>
      </x:c>
      <x:c r="B4229" s="25" t="str">
        <x:v>group_ppr_within_convexity_bound</x:v>
      </x:c>
      <x:c r="C4229" s="36" t="b">
        <x:v>1</x:v>
      </x:c>
      <x:c r="D4229" s="25" t="str">
        <x:v>boolean</x:v>
      </x:c>
    </x:row>
    <x:row r="4230" ht="18" customHeight="1">
      <x:c r="A4230" s="25" t="str">
        <x:v>EEZ_616</x:v>
      </x:c>
      <x:c r="B4230" s="25" t="str">
        <x:v>tl_coverage_complete</x:v>
      </x:c>
      <x:c r="C4230" s="36" t="b">
        <x:v>1</x:v>
      </x:c>
      <x:c r="D4230" s="25" t="str">
        <x:v>boolean</x:v>
      </x:c>
    </x:row>
    <x:row r="4231" ht="18" customHeight="1">
      <x:c r="A4231" s="25" t="str">
        <x:v>EEZ_616</x:v>
      </x:c>
      <x:c r="B4231" s="25" t="str">
        <x:v>group_ppr_within_convexity_bound</x:v>
      </x:c>
      <x:c r="C4231" s="36" t="b">
        <x:v>1</x:v>
      </x:c>
      <x:c r="D4231" s="25" t="str">
        <x:v>boolean</x:v>
      </x:c>
    </x:row>
    <x:row r="4232" ht="18" customHeight="1">
      <x:c r="A4232" s="25" t="str">
        <x:v>EEZ_620</x:v>
      </x:c>
      <x:c r="B4232" s="25" t="str">
        <x:v>tl_coverage_complete</x:v>
      </x:c>
      <x:c r="C4232" s="36" t="b">
        <x:v>1</x:v>
      </x:c>
      <x:c r="D4232" s="25" t="str">
        <x:v>boolean</x:v>
      </x:c>
    </x:row>
    <x:row r="4233" ht="18" customHeight="1">
      <x:c r="A4233" s="25" t="str">
        <x:v>EEZ_620</x:v>
      </x:c>
      <x:c r="B4233" s="25" t="str">
        <x:v>group_ppr_within_convexity_bound</x:v>
      </x:c>
      <x:c r="C4233" s="36" t="b">
        <x:v>1</x:v>
      </x:c>
      <x:c r="D4233" s="25" t="str">
        <x:v>boolean</x:v>
      </x:c>
    </x:row>
    <x:row r="4234" ht="18" customHeight="1">
      <x:c r="A4234" s="25" t="str">
        <x:v>EEZ_621</x:v>
      </x:c>
      <x:c r="B4234" s="25" t="str">
        <x:v>tl_coverage_complete</x:v>
      </x:c>
      <x:c r="C4234" s="36" t="b">
        <x:v>1</x:v>
      </x:c>
      <x:c r="D4234" s="25" t="str">
        <x:v>boolean</x:v>
      </x:c>
    </x:row>
    <x:row r="4235" ht="18" customHeight="1">
      <x:c r="A4235" s="25" t="str">
        <x:v>EEZ_621</x:v>
      </x:c>
      <x:c r="B4235" s="25" t="str">
        <x:v>group_ppr_within_convexity_bound</x:v>
      </x:c>
      <x:c r="C4235" s="36" t="b">
        <x:v>1</x:v>
      </x:c>
      <x:c r="D4235" s="25" t="str">
        <x:v>boolean</x:v>
      </x:c>
    </x:row>
    <x:row r="4236" ht="18" customHeight="1">
      <x:c r="A4236" s="25" t="str">
        <x:v>EEZ_622</x:v>
      </x:c>
      <x:c r="B4236" s="25" t="str">
        <x:v>tl_coverage_complete</x:v>
      </x:c>
      <x:c r="C4236" s="36" t="b">
        <x:v>1</x:v>
      </x:c>
      <x:c r="D4236" s="25" t="str">
        <x:v>boolean</x:v>
      </x:c>
    </x:row>
    <x:row r="4237" ht="18" customHeight="1">
      <x:c r="A4237" s="25" t="str">
        <x:v>EEZ_622</x:v>
      </x:c>
      <x:c r="B4237" s="25" t="str">
        <x:v>group_ppr_within_convexity_bound</x:v>
      </x:c>
      <x:c r="C4237" s="36" t="b">
        <x:v>1</x:v>
      </x:c>
      <x:c r="D4237" s="25" t="str">
        <x:v>boolean</x:v>
      </x:c>
    </x:row>
    <x:row r="4238" ht="18" customHeight="1">
      <x:c r="A4238" s="25" t="str">
        <x:v>EEZ_624</x:v>
      </x:c>
      <x:c r="B4238" s="25" t="str">
        <x:v>tl_coverage_complete</x:v>
      </x:c>
      <x:c r="C4238" s="36" t="b">
        <x:v>1</x:v>
      </x:c>
      <x:c r="D4238" s="25" t="str">
        <x:v>boolean</x:v>
      </x:c>
    </x:row>
    <x:row r="4239" ht="18" customHeight="1">
      <x:c r="A4239" s="25" t="str">
        <x:v>EEZ_624</x:v>
      </x:c>
      <x:c r="B4239" s="25" t="str">
        <x:v>group_ppr_within_convexity_bound</x:v>
      </x:c>
      <x:c r="C4239" s="36" t="b">
        <x:v>1</x:v>
      </x:c>
      <x:c r="D4239" s="25" t="str">
        <x:v>boolean</x:v>
      </x:c>
    </x:row>
    <x:row r="4240" ht="18" customHeight="1">
      <x:c r="A4240" s="25" t="str">
        <x:v>EEZ_626</x:v>
      </x:c>
      <x:c r="B4240" s="25" t="str">
        <x:v>tl_coverage_complete</x:v>
      </x:c>
      <x:c r="C4240" s="36" t="b">
        <x:v>1</x:v>
      </x:c>
      <x:c r="D4240" s="25" t="str">
        <x:v>boolean</x:v>
      </x:c>
    </x:row>
    <x:row r="4241" ht="18" customHeight="1">
      <x:c r="A4241" s="25" t="str">
        <x:v>EEZ_626</x:v>
      </x:c>
      <x:c r="B4241" s="25" t="str">
        <x:v>group_ppr_within_convexity_bound</x:v>
      </x:c>
      <x:c r="C4241" s="36" t="b">
        <x:v>1</x:v>
      </x:c>
      <x:c r="D4241" s="25" t="str">
        <x:v>boolean</x:v>
      </x:c>
    </x:row>
    <x:row r="4242" ht="18" customHeight="1">
      <x:c r="A4242" s="25" t="str">
        <x:v>EEZ_630</x:v>
      </x:c>
      <x:c r="B4242" s="25" t="str">
        <x:v>tl_coverage_complete</x:v>
      </x:c>
      <x:c r="C4242" s="36" t="b">
        <x:v>1</x:v>
      </x:c>
      <x:c r="D4242" s="25" t="str">
        <x:v>boolean</x:v>
      </x:c>
    </x:row>
    <x:row r="4243" ht="18" customHeight="1">
      <x:c r="A4243" s="25" t="str">
        <x:v>EEZ_630</x:v>
      </x:c>
      <x:c r="B4243" s="25" t="str">
        <x:v>group_ppr_within_convexity_bound</x:v>
      </x:c>
      <x:c r="C4243" s="36" t="b">
        <x:v>1</x:v>
      </x:c>
      <x:c r="D4243" s="25" t="str">
        <x:v>boolean</x:v>
      </x:c>
    </x:row>
    <x:row r="4244" ht="18" customHeight="1">
      <x:c r="A4244" s="25" t="str">
        <x:v>EEZ_634</x:v>
      </x:c>
      <x:c r="B4244" s="25" t="str">
        <x:v>tl_coverage_complete</x:v>
      </x:c>
      <x:c r="C4244" s="36" t="b">
        <x:v>1</x:v>
      </x:c>
      <x:c r="D4244" s="25" t="str">
        <x:v>boolean</x:v>
      </x:c>
    </x:row>
    <x:row r="4245" ht="18" customHeight="1">
      <x:c r="A4245" s="25" t="str">
        <x:v>EEZ_634</x:v>
      </x:c>
      <x:c r="B4245" s="25" t="str">
        <x:v>group_ppr_within_convexity_bound</x:v>
      </x:c>
      <x:c r="C4245" s="36" t="b">
        <x:v>1</x:v>
      </x:c>
      <x:c r="D4245" s="25" t="str">
        <x:v>boolean</x:v>
      </x:c>
    </x:row>
    <x:row r="4246" ht="18" customHeight="1">
      <x:c r="A4246" s="25" t="str">
        <x:v>EEZ_638</x:v>
      </x:c>
      <x:c r="B4246" s="25" t="str">
        <x:v>tl_coverage_complete</x:v>
      </x:c>
      <x:c r="C4246" s="36" t="b">
        <x:v>1</x:v>
      </x:c>
      <x:c r="D4246" s="25" t="str">
        <x:v>boolean</x:v>
      </x:c>
    </x:row>
    <x:row r="4247" ht="18" customHeight="1">
      <x:c r="A4247" s="25" t="str">
        <x:v>EEZ_638</x:v>
      </x:c>
      <x:c r="B4247" s="25" t="str">
        <x:v>group_ppr_within_convexity_bound</x:v>
      </x:c>
      <x:c r="C4247" s="36" t="b">
        <x:v>1</x:v>
      </x:c>
      <x:c r="D4247" s="25" t="str">
        <x:v>boolean</x:v>
      </x:c>
    </x:row>
    <x:row r="4248" ht="18" customHeight="1">
      <x:c r="A4248" s="25" t="str">
        <x:v>EEZ_642</x:v>
      </x:c>
      <x:c r="B4248" s="25" t="str">
        <x:v>tl_coverage_complete</x:v>
      </x:c>
      <x:c r="C4248" s="36" t="b">
        <x:v>1</x:v>
      </x:c>
      <x:c r="D4248" s="25" t="str">
        <x:v>boolean</x:v>
      </x:c>
    </x:row>
    <x:row r="4249" ht="18" customHeight="1">
      <x:c r="A4249" s="25" t="str">
        <x:v>EEZ_642</x:v>
      </x:c>
      <x:c r="B4249" s="25" t="str">
        <x:v>group_ppr_within_convexity_bound</x:v>
      </x:c>
      <x:c r="C4249" s="36" t="b">
        <x:v>1</x:v>
      </x:c>
      <x:c r="D4249" s="25" t="str">
        <x:v>boolean</x:v>
      </x:c>
    </x:row>
    <x:row r="4250" ht="18" customHeight="1">
      <x:c r="A4250" s="25" t="str">
        <x:v>EEZ_645</x:v>
      </x:c>
      <x:c r="B4250" s="25" t="str">
        <x:v>tl_coverage_complete</x:v>
      </x:c>
      <x:c r="C4250" s="36" t="b">
        <x:v>1</x:v>
      </x:c>
      <x:c r="D4250" s="25" t="str">
        <x:v>boolean</x:v>
      </x:c>
    </x:row>
    <x:row r="4251" ht="18" customHeight="1">
      <x:c r="A4251" s="25" t="str">
        <x:v>EEZ_645</x:v>
      </x:c>
      <x:c r="B4251" s="25" t="str">
        <x:v>group_ppr_within_convexity_bound</x:v>
      </x:c>
      <x:c r="C4251" s="36" t="b">
        <x:v>1</x:v>
      </x:c>
      <x:c r="D4251" s="25" t="str">
        <x:v>boolean</x:v>
      </x:c>
    </x:row>
    <x:row r="4252" ht="18" customHeight="1">
      <x:c r="A4252" s="25" t="str">
        <x:v>EEZ_647</x:v>
      </x:c>
      <x:c r="B4252" s="25" t="str">
        <x:v>tl_coverage_complete</x:v>
      </x:c>
      <x:c r="C4252" s="36" t="b">
        <x:v>1</x:v>
      </x:c>
      <x:c r="D4252" s="25" t="str">
        <x:v>boolean</x:v>
      </x:c>
    </x:row>
    <x:row r="4253" ht="18" customHeight="1">
      <x:c r="A4253" s="25" t="str">
        <x:v>EEZ_647</x:v>
      </x:c>
      <x:c r="B4253" s="25" t="str">
        <x:v>group_ppr_within_convexity_bound</x:v>
      </x:c>
      <x:c r="C4253" s="36" t="b">
        <x:v>1</x:v>
      </x:c>
      <x:c r="D4253" s="25" t="str">
        <x:v>boolean</x:v>
      </x:c>
    </x:row>
    <x:row r="4254" ht="18" customHeight="1">
      <x:c r="A4254" s="25" t="str">
        <x:v>EEZ_648</x:v>
      </x:c>
      <x:c r="B4254" s="25" t="str">
        <x:v>tl_coverage_complete</x:v>
      </x:c>
      <x:c r="C4254" s="36" t="b">
        <x:v>1</x:v>
      </x:c>
      <x:c r="D4254" s="25" t="str">
        <x:v>boolean</x:v>
      </x:c>
    </x:row>
    <x:row r="4255" ht="18" customHeight="1">
      <x:c r="A4255" s="25" t="str">
        <x:v>EEZ_648</x:v>
      </x:c>
      <x:c r="B4255" s="25" t="str">
        <x:v>group_ppr_within_convexity_bound</x:v>
      </x:c>
      <x:c r="C4255" s="36" t="b">
        <x:v>1</x:v>
      </x:c>
      <x:c r="D4255" s="25" t="str">
        <x:v>boolean</x:v>
      </x:c>
    </x:row>
    <x:row r="4256" ht="18" customHeight="1">
      <x:c r="A4256" s="25" t="str">
        <x:v>EEZ_649</x:v>
      </x:c>
      <x:c r="B4256" s="25" t="str">
        <x:v>tl_coverage_complete</x:v>
      </x:c>
      <x:c r="C4256" s="36" t="b">
        <x:v>1</x:v>
      </x:c>
      <x:c r="D4256" s="25" t="str">
        <x:v>boolean</x:v>
      </x:c>
    </x:row>
    <x:row r="4257" ht="18" customHeight="1">
      <x:c r="A4257" s="25" t="str">
        <x:v>EEZ_649</x:v>
      </x:c>
      <x:c r="B4257" s="25" t="str">
        <x:v>group_ppr_within_convexity_bound</x:v>
      </x:c>
      <x:c r="C4257" s="36" t="b">
        <x:v>1</x:v>
      </x:c>
      <x:c r="D4257" s="25" t="str">
        <x:v>boolean</x:v>
      </x:c>
    </x:row>
    <x:row r="4258" ht="18" customHeight="1">
      <x:c r="A4258" s="25" t="str">
        <x:v>EEZ_654</x:v>
      </x:c>
      <x:c r="B4258" s="25" t="str">
        <x:v>tl_coverage_complete</x:v>
      </x:c>
      <x:c r="C4258" s="36" t="b">
        <x:v>1</x:v>
      </x:c>
      <x:c r="D4258" s="25" t="str">
        <x:v>boolean</x:v>
      </x:c>
    </x:row>
    <x:row r="4259" ht="18" customHeight="1">
      <x:c r="A4259" s="25" t="str">
        <x:v>EEZ_654</x:v>
      </x:c>
      <x:c r="B4259" s="25" t="str">
        <x:v>group_ppr_within_convexity_bound</x:v>
      </x:c>
      <x:c r="C4259" s="36" t="b">
        <x:v>1</x:v>
      </x:c>
      <x:c r="D4259" s="25" t="str">
        <x:v>boolean</x:v>
      </x:c>
    </x:row>
    <x:row r="4260" ht="18" customHeight="1">
      <x:c r="A4260" s="25" t="str">
        <x:v>EEZ_659</x:v>
      </x:c>
      <x:c r="B4260" s="25" t="str">
        <x:v>tl_coverage_complete</x:v>
      </x:c>
      <x:c r="C4260" s="36" t="b">
        <x:v>1</x:v>
      </x:c>
      <x:c r="D4260" s="25" t="str">
        <x:v>boolean</x:v>
      </x:c>
    </x:row>
    <x:row r="4261" ht="18" customHeight="1">
      <x:c r="A4261" s="25" t="str">
        <x:v>EEZ_659</x:v>
      </x:c>
      <x:c r="B4261" s="25" t="str">
        <x:v>group_ppr_within_convexity_bound</x:v>
      </x:c>
      <x:c r="C4261" s="36" t="b">
        <x:v>1</x:v>
      </x:c>
      <x:c r="D4261" s="25" t="str">
        <x:v>boolean</x:v>
      </x:c>
    </x:row>
    <x:row r="4262" ht="18" customHeight="1">
      <x:c r="A4262" s="25" t="str">
        <x:v>EEZ_660</x:v>
      </x:c>
      <x:c r="B4262" s="25" t="str">
        <x:v>tl_coverage_complete</x:v>
      </x:c>
      <x:c r="C4262" s="36" t="b">
        <x:v>1</x:v>
      </x:c>
      <x:c r="D4262" s="25" t="str">
        <x:v>boolean</x:v>
      </x:c>
    </x:row>
    <x:row r="4263" ht="18" customHeight="1">
      <x:c r="A4263" s="25" t="str">
        <x:v>EEZ_660</x:v>
      </x:c>
      <x:c r="B4263" s="25" t="str">
        <x:v>group_ppr_within_convexity_bound</x:v>
      </x:c>
      <x:c r="C4263" s="36" t="b">
        <x:v>1</x:v>
      </x:c>
      <x:c r="D4263" s="25" t="str">
        <x:v>boolean</x:v>
      </x:c>
    </x:row>
    <x:row r="4264" ht="18" customHeight="1">
      <x:c r="A4264" s="25" t="str">
        <x:v>EEZ_662</x:v>
      </x:c>
      <x:c r="B4264" s="25" t="str">
        <x:v>tl_coverage_complete</x:v>
      </x:c>
      <x:c r="C4264" s="36" t="b">
        <x:v>1</x:v>
      </x:c>
      <x:c r="D4264" s="25" t="str">
        <x:v>boolean</x:v>
      </x:c>
    </x:row>
    <x:row r="4265" ht="18" customHeight="1">
      <x:c r="A4265" s="25" t="str">
        <x:v>EEZ_662</x:v>
      </x:c>
      <x:c r="B4265" s="25" t="str">
        <x:v>group_ppr_within_convexity_bound</x:v>
      </x:c>
      <x:c r="C4265" s="36" t="b">
        <x:v>1</x:v>
      </x:c>
      <x:c r="D4265" s="25" t="str">
        <x:v>boolean</x:v>
      </x:c>
    </x:row>
    <x:row r="4266" ht="18" customHeight="1">
      <x:c r="A4266" s="25" t="str">
        <x:v>EEZ_666</x:v>
      </x:c>
      <x:c r="B4266" s="25" t="str">
        <x:v>tl_coverage_complete</x:v>
      </x:c>
      <x:c r="C4266" s="36" t="b">
        <x:v>1</x:v>
      </x:c>
      <x:c r="D4266" s="25" t="str">
        <x:v>boolean</x:v>
      </x:c>
    </x:row>
    <x:row r="4267" ht="18" customHeight="1">
      <x:c r="A4267" s="25" t="str">
        <x:v>EEZ_666</x:v>
      </x:c>
      <x:c r="B4267" s="25" t="str">
        <x:v>group_ppr_within_convexity_bound</x:v>
      </x:c>
      <x:c r="C4267" s="36" t="b">
        <x:v>1</x:v>
      </x:c>
      <x:c r="D4267" s="25" t="str">
        <x:v>boolean</x:v>
      </x:c>
    </x:row>
    <x:row r="4268" ht="18" customHeight="1">
      <x:c r="A4268" s="25" t="str">
        <x:v>EEZ_670</x:v>
      </x:c>
      <x:c r="B4268" s="25" t="str">
        <x:v>tl_coverage_complete</x:v>
      </x:c>
      <x:c r="C4268" s="36" t="b">
        <x:v>1</x:v>
      </x:c>
      <x:c r="D4268" s="25" t="str">
        <x:v>boolean</x:v>
      </x:c>
    </x:row>
    <x:row r="4269" ht="18" customHeight="1">
      <x:c r="A4269" s="25" t="str">
        <x:v>EEZ_670</x:v>
      </x:c>
      <x:c r="B4269" s="25" t="str">
        <x:v>group_ppr_within_convexity_bound</x:v>
      </x:c>
      <x:c r="C4269" s="36" t="b">
        <x:v>1</x:v>
      </x:c>
      <x:c r="D4269" s="25" t="str">
        <x:v>boolean</x:v>
      </x:c>
    </x:row>
    <x:row r="4270" ht="18" customHeight="1">
      <x:c r="A4270" s="25" t="str">
        <x:v>EEZ_678</x:v>
      </x:c>
      <x:c r="B4270" s="25" t="str">
        <x:v>tl_coverage_complete</x:v>
      </x:c>
      <x:c r="C4270" s="36" t="b">
        <x:v>1</x:v>
      </x:c>
      <x:c r="D4270" s="25" t="str">
        <x:v>boolean</x:v>
      </x:c>
    </x:row>
    <x:row r="4271" ht="18" customHeight="1">
      <x:c r="A4271" s="25" t="str">
        <x:v>EEZ_678</x:v>
      </x:c>
      <x:c r="B4271" s="25" t="str">
        <x:v>group_ppr_within_convexity_bound</x:v>
      </x:c>
      <x:c r="C4271" s="36" t="b">
        <x:v>1</x:v>
      </x:c>
      <x:c r="D4271" s="25" t="str">
        <x:v>boolean</x:v>
      </x:c>
    </x:row>
    <x:row r="4272" ht="18" customHeight="1">
      <x:c r="A4272" s="25" t="str">
        <x:v>EEZ_683</x:v>
      </x:c>
      <x:c r="B4272" s="25" t="str">
        <x:v>tl_coverage_complete</x:v>
      </x:c>
      <x:c r="C4272" s="36" t="b">
        <x:v>1</x:v>
      </x:c>
      <x:c r="D4272" s="25" t="str">
        <x:v>boolean</x:v>
      </x:c>
    </x:row>
    <x:row r="4273" ht="18" customHeight="1">
      <x:c r="A4273" s="25" t="str">
        <x:v>EEZ_683</x:v>
      </x:c>
      <x:c r="B4273" s="25" t="str">
        <x:v>group_ppr_within_convexity_bound</x:v>
      </x:c>
      <x:c r="C4273" s="36" t="b">
        <x:v>1</x:v>
      </x:c>
      <x:c r="D4273" s="25" t="str">
        <x:v>boolean</x:v>
      </x:c>
    </x:row>
    <x:row r="4274" ht="18" customHeight="1">
      <x:c r="A4274" s="25" t="str">
        <x:v>EEZ_684</x:v>
      </x:c>
      <x:c r="B4274" s="25" t="str">
        <x:v>tl_coverage_complete</x:v>
      </x:c>
      <x:c r="C4274" s="36" t="b">
        <x:v>1</x:v>
      </x:c>
      <x:c r="D4274" s="25" t="str">
        <x:v>boolean</x:v>
      </x:c>
    </x:row>
    <x:row r="4275" ht="18" customHeight="1">
      <x:c r="A4275" s="25" t="str">
        <x:v>EEZ_684</x:v>
      </x:c>
      <x:c r="B4275" s="25" t="str">
        <x:v>group_ppr_within_convexity_bound</x:v>
      </x:c>
      <x:c r="C4275" s="36" t="b">
        <x:v>1</x:v>
      </x:c>
      <x:c r="D4275" s="25" t="str">
        <x:v>boolean</x:v>
      </x:c>
    </x:row>
    <x:row r="4276" ht="18" customHeight="1">
      <x:c r="A4276" s="25" t="str">
        <x:v>EEZ_686</x:v>
      </x:c>
      <x:c r="B4276" s="25" t="str">
        <x:v>tl_coverage_complete</x:v>
      </x:c>
      <x:c r="C4276" s="36" t="b">
        <x:v>1</x:v>
      </x:c>
      <x:c r="D4276" s="25" t="str">
        <x:v>boolean</x:v>
      </x:c>
    </x:row>
    <x:row r="4277" ht="18" customHeight="1">
      <x:c r="A4277" s="25" t="str">
        <x:v>EEZ_686</x:v>
      </x:c>
      <x:c r="B4277" s="25" t="str">
        <x:v>group_ppr_within_convexity_bound</x:v>
      </x:c>
      <x:c r="C4277" s="36" t="b">
        <x:v>1</x:v>
      </x:c>
      <x:c r="D4277" s="25" t="str">
        <x:v>boolean</x:v>
      </x:c>
    </x:row>
    <x:row r="4278" ht="18" customHeight="1">
      <x:c r="A4278" s="25" t="str">
        <x:v>EEZ_690</x:v>
      </x:c>
      <x:c r="B4278" s="25" t="str">
        <x:v>tl_coverage_complete</x:v>
      </x:c>
      <x:c r="C4278" s="36" t="b">
        <x:v>1</x:v>
      </x:c>
      <x:c r="D4278" s="25" t="str">
        <x:v>boolean</x:v>
      </x:c>
    </x:row>
    <x:row r="4279" ht="18" customHeight="1">
      <x:c r="A4279" s="25" t="str">
        <x:v>EEZ_690</x:v>
      </x:c>
      <x:c r="B4279" s="25" t="str">
        <x:v>group_ppr_within_convexity_bound</x:v>
      </x:c>
      <x:c r="C4279" s="36" t="b">
        <x:v>1</x:v>
      </x:c>
      <x:c r="D4279" s="25" t="str">
        <x:v>boolean</x:v>
      </x:c>
    </x:row>
    <x:row r="4280" ht="18" customHeight="1">
      <x:c r="A4280" s="25" t="str">
        <x:v>EEZ_694</x:v>
      </x:c>
      <x:c r="B4280" s="25" t="str">
        <x:v>tl_coverage_complete</x:v>
      </x:c>
      <x:c r="C4280" s="36" t="b">
        <x:v>1</x:v>
      </x:c>
      <x:c r="D4280" s="25" t="str">
        <x:v>boolean</x:v>
      </x:c>
    </x:row>
    <x:row r="4281" ht="18" customHeight="1">
      <x:c r="A4281" s="25" t="str">
        <x:v>EEZ_694</x:v>
      </x:c>
      <x:c r="B4281" s="25" t="str">
        <x:v>group_ppr_within_convexity_bound</x:v>
      </x:c>
      <x:c r="C4281" s="36" t="b">
        <x:v>1</x:v>
      </x:c>
      <x:c r="D4281" s="25" t="str">
        <x:v>boolean</x:v>
      </x:c>
    </x:row>
    <x:row r="4282" ht="18" customHeight="1">
      <x:c r="A4282" s="25" t="str">
        <x:v>EEZ_702</x:v>
      </x:c>
      <x:c r="B4282" s="25" t="str">
        <x:v>tl_coverage_complete</x:v>
      </x:c>
      <x:c r="C4282" s="36" t="b">
        <x:v>1</x:v>
      </x:c>
      <x:c r="D4282" s="25" t="str">
        <x:v>boolean</x:v>
      </x:c>
    </x:row>
    <x:row r="4283" ht="18" customHeight="1">
      <x:c r="A4283" s="25" t="str">
        <x:v>EEZ_702</x:v>
      </x:c>
      <x:c r="B4283" s="25" t="str">
        <x:v>group_ppr_within_convexity_bound</x:v>
      </x:c>
      <x:c r="C4283" s="36" t="b">
        <x:v>1</x:v>
      </x:c>
      <x:c r="D4283" s="25" t="str">
        <x:v>boolean</x:v>
      </x:c>
    </x:row>
    <x:row r="4284" ht="18" customHeight="1">
      <x:c r="A4284" s="25" t="str">
        <x:v>EEZ_704</x:v>
      </x:c>
      <x:c r="B4284" s="25" t="str">
        <x:v>tl_coverage_complete</x:v>
      </x:c>
      <x:c r="C4284" s="36" t="b">
        <x:v>1</x:v>
      </x:c>
      <x:c r="D4284" s="25" t="str">
        <x:v>boolean</x:v>
      </x:c>
    </x:row>
    <x:row r="4285" ht="18" customHeight="1">
      <x:c r="A4285" s="25" t="str">
        <x:v>EEZ_704</x:v>
      </x:c>
      <x:c r="B4285" s="25" t="str">
        <x:v>group_ppr_within_convexity_bound</x:v>
      </x:c>
      <x:c r="C4285" s="36" t="b">
        <x:v>1</x:v>
      </x:c>
      <x:c r="D4285" s="25" t="str">
        <x:v>boolean</x:v>
      </x:c>
    </x:row>
    <x:row r="4286" ht="18" customHeight="1">
      <x:c r="A4286" s="25" t="str">
        <x:v>EEZ_705</x:v>
      </x:c>
      <x:c r="B4286" s="25" t="str">
        <x:v>tl_coverage_complete</x:v>
      </x:c>
      <x:c r="C4286" s="36" t="b">
        <x:v>1</x:v>
      </x:c>
      <x:c r="D4286" s="25" t="str">
        <x:v>boolean</x:v>
      </x:c>
    </x:row>
    <x:row r="4287" ht="18" customHeight="1">
      <x:c r="A4287" s="25" t="str">
        <x:v>EEZ_705</x:v>
      </x:c>
      <x:c r="B4287" s="25" t="str">
        <x:v>group_ppr_within_convexity_bound</x:v>
      </x:c>
      <x:c r="C4287" s="36" t="b">
        <x:v>1</x:v>
      </x:c>
      <x:c r="D4287" s="25" t="str">
        <x:v>boolean</x:v>
      </x:c>
    </x:row>
    <x:row r="4288" ht="18" customHeight="1">
      <x:c r="A4288" s="25" t="str">
        <x:v>EEZ_706</x:v>
      </x:c>
      <x:c r="B4288" s="25" t="str">
        <x:v>tl_coverage_complete</x:v>
      </x:c>
      <x:c r="C4288" s="36" t="b">
        <x:v>1</x:v>
      </x:c>
      <x:c r="D4288" s="25" t="str">
        <x:v>boolean</x:v>
      </x:c>
    </x:row>
    <x:row r="4289" ht="18" customHeight="1">
      <x:c r="A4289" s="25" t="str">
        <x:v>EEZ_706</x:v>
      </x:c>
      <x:c r="B4289" s="25" t="str">
        <x:v>group_ppr_within_convexity_bound</x:v>
      </x:c>
      <x:c r="C4289" s="36" t="b">
        <x:v>1</x:v>
      </x:c>
      <x:c r="D4289" s="25" t="str">
        <x:v>boolean</x:v>
      </x:c>
    </x:row>
    <x:row r="4290" ht="18" customHeight="1">
      <x:c r="A4290" s="25" t="str">
        <x:v>EEZ_711</x:v>
      </x:c>
      <x:c r="B4290" s="25" t="str">
        <x:v>tl_coverage_complete</x:v>
      </x:c>
      <x:c r="C4290" s="36" t="b">
        <x:v>1</x:v>
      </x:c>
      <x:c r="D4290" s="25" t="str">
        <x:v>boolean</x:v>
      </x:c>
    </x:row>
    <x:row r="4291" ht="18" customHeight="1">
      <x:c r="A4291" s="25" t="str">
        <x:v>EEZ_711</x:v>
      </x:c>
      <x:c r="B4291" s="25" t="str">
        <x:v>group_ppr_within_convexity_bound</x:v>
      </x:c>
      <x:c r="C4291" s="36" t="b">
        <x:v>1</x:v>
      </x:c>
      <x:c r="D4291" s="25" t="str">
        <x:v>boolean</x:v>
      </x:c>
    </x:row>
    <x:row r="4292" ht="18" customHeight="1">
      <x:c r="A4292" s="25" t="str">
        <x:v>EEZ_723</x:v>
      </x:c>
      <x:c r="B4292" s="25" t="str">
        <x:v>tl_coverage_complete</x:v>
      </x:c>
      <x:c r="C4292" s="36" t="b">
        <x:v>1</x:v>
      </x:c>
      <x:c r="D4292" s="25" t="str">
        <x:v>boolean</x:v>
      </x:c>
    </x:row>
    <x:row r="4293" ht="18" customHeight="1">
      <x:c r="A4293" s="25" t="str">
        <x:v>EEZ_723</x:v>
      </x:c>
      <x:c r="B4293" s="25" t="str">
        <x:v>group_ppr_within_convexity_bound</x:v>
      </x:c>
      <x:c r="C4293" s="36" t="b">
        <x:v>1</x:v>
      </x:c>
      <x:c r="D4293" s="25" t="str">
        <x:v>boolean</x:v>
      </x:c>
    </x:row>
    <x:row r="4294" ht="18" customHeight="1">
      <x:c r="A4294" s="25" t="str">
        <x:v>EEZ_736</x:v>
      </x:c>
      <x:c r="B4294" s="25" t="str">
        <x:v>tl_coverage_complete</x:v>
      </x:c>
      <x:c r="C4294" s="36" t="b">
        <x:v>1</x:v>
      </x:c>
      <x:c r="D4294" s="25" t="str">
        <x:v>boolean</x:v>
      </x:c>
    </x:row>
    <x:row r="4295" ht="18" customHeight="1">
      <x:c r="A4295" s="25" t="str">
        <x:v>EEZ_736</x:v>
      </x:c>
      <x:c r="B4295" s="25" t="str">
        <x:v>group_ppr_within_convexity_bound</x:v>
      </x:c>
      <x:c r="C4295" s="36" t="b">
        <x:v>1</x:v>
      </x:c>
      <x:c r="D4295" s="25" t="str">
        <x:v>boolean</x:v>
      </x:c>
    </x:row>
    <x:row r="4296" ht="18" customHeight="1">
      <x:c r="A4296" s="25" t="str">
        <x:v>EEZ_740</x:v>
      </x:c>
      <x:c r="B4296" s="25" t="str">
        <x:v>tl_coverage_complete</x:v>
      </x:c>
      <x:c r="C4296" s="36" t="b">
        <x:v>1</x:v>
      </x:c>
      <x:c r="D4296" s="25" t="str">
        <x:v>boolean</x:v>
      </x:c>
    </x:row>
    <x:row r="4297" ht="18" customHeight="1">
      <x:c r="A4297" s="25" t="str">
        <x:v>EEZ_740</x:v>
      </x:c>
      <x:c r="B4297" s="25" t="str">
        <x:v>group_ppr_within_convexity_bound</x:v>
      </x:c>
      <x:c r="C4297" s="36" t="b">
        <x:v>1</x:v>
      </x:c>
      <x:c r="D4297" s="25" t="str">
        <x:v>boolean</x:v>
      </x:c>
    </x:row>
    <x:row r="4298" ht="18" customHeight="1">
      <x:c r="A4298" s="25" t="str">
        <x:v>EEZ_744</x:v>
      </x:c>
      <x:c r="B4298" s="25" t="str">
        <x:v>tl_coverage_complete</x:v>
      </x:c>
      <x:c r="C4298" s="36" t="b">
        <x:v>1</x:v>
      </x:c>
      <x:c r="D4298" s="25" t="str">
        <x:v>boolean</x:v>
      </x:c>
    </x:row>
    <x:row r="4299" ht="18" customHeight="1">
      <x:c r="A4299" s="25" t="str">
        <x:v>EEZ_744</x:v>
      </x:c>
      <x:c r="B4299" s="25" t="str">
        <x:v>group_ppr_within_convexity_bound</x:v>
      </x:c>
      <x:c r="C4299" s="36" t="b">
        <x:v>1</x:v>
      </x:c>
      <x:c r="D4299" s="25" t="str">
        <x:v>boolean</x:v>
      </x:c>
    </x:row>
    <x:row r="4300" ht="18" customHeight="1">
      <x:c r="A4300" s="25" t="str">
        <x:v>EEZ_760</x:v>
      </x:c>
      <x:c r="B4300" s="25" t="str">
        <x:v>tl_coverage_complete</x:v>
      </x:c>
      <x:c r="C4300" s="36" t="b">
        <x:v>1</x:v>
      </x:c>
      <x:c r="D4300" s="25" t="str">
        <x:v>boolean</x:v>
      </x:c>
    </x:row>
    <x:row r="4301" ht="18" customHeight="1">
      <x:c r="A4301" s="25" t="str">
        <x:v>EEZ_760</x:v>
      </x:c>
      <x:c r="B4301" s="25" t="str">
        <x:v>group_ppr_within_convexity_bound</x:v>
      </x:c>
      <x:c r="C4301" s="36" t="b">
        <x:v>1</x:v>
      </x:c>
      <x:c r="D4301" s="25" t="str">
        <x:v>boolean</x:v>
      </x:c>
    </x:row>
    <x:row r="4302" ht="18" customHeight="1">
      <x:c r="A4302" s="25" t="str">
        <x:v>EEZ_768</x:v>
      </x:c>
      <x:c r="B4302" s="25" t="str">
        <x:v>tl_coverage_complete</x:v>
      </x:c>
      <x:c r="C4302" s="36" t="b">
        <x:v>1</x:v>
      </x:c>
      <x:c r="D4302" s="25" t="str">
        <x:v>boolean</x:v>
      </x:c>
    </x:row>
    <x:row r="4303" ht="18" customHeight="1">
      <x:c r="A4303" s="25" t="str">
        <x:v>EEZ_768</x:v>
      </x:c>
      <x:c r="B4303" s="25" t="str">
        <x:v>group_ppr_within_convexity_bound</x:v>
      </x:c>
      <x:c r="C4303" s="36" t="b">
        <x:v>1</x:v>
      </x:c>
      <x:c r="D4303" s="25" t="str">
        <x:v>boolean</x:v>
      </x:c>
    </x:row>
    <x:row r="4304" ht="18" customHeight="1">
      <x:c r="A4304" s="25" t="str">
        <x:v>EEZ_772</x:v>
      </x:c>
      <x:c r="B4304" s="25" t="str">
        <x:v>tl_coverage_complete</x:v>
      </x:c>
      <x:c r="C4304" s="36" t="b">
        <x:v>1</x:v>
      </x:c>
      <x:c r="D4304" s="25" t="str">
        <x:v>boolean</x:v>
      </x:c>
    </x:row>
    <x:row r="4305" ht="18" customHeight="1">
      <x:c r="A4305" s="25" t="str">
        <x:v>EEZ_772</x:v>
      </x:c>
      <x:c r="B4305" s="25" t="str">
        <x:v>group_ppr_within_convexity_bound</x:v>
      </x:c>
      <x:c r="C4305" s="36" t="b">
        <x:v>1</x:v>
      </x:c>
      <x:c r="D4305" s="25" t="str">
        <x:v>boolean</x:v>
      </x:c>
    </x:row>
    <x:row r="4306" ht="18" customHeight="1">
      <x:c r="A4306" s="25" t="str">
        <x:v>EEZ_776</x:v>
      </x:c>
      <x:c r="B4306" s="25" t="str">
        <x:v>tl_coverage_complete</x:v>
      </x:c>
      <x:c r="C4306" s="36" t="b">
        <x:v>1</x:v>
      </x:c>
      <x:c r="D4306" s="25" t="str">
        <x:v>boolean</x:v>
      </x:c>
    </x:row>
    <x:row r="4307" ht="18" customHeight="1">
      <x:c r="A4307" s="25" t="str">
        <x:v>EEZ_776</x:v>
      </x:c>
      <x:c r="B4307" s="25" t="str">
        <x:v>group_ppr_within_convexity_bound</x:v>
      </x:c>
      <x:c r="C4307" s="36" t="b">
        <x:v>1</x:v>
      </x:c>
      <x:c r="D4307" s="25" t="str">
        <x:v>boolean</x:v>
      </x:c>
    </x:row>
    <x:row r="4308" ht="18" customHeight="1">
      <x:c r="A4308" s="25" t="str">
        <x:v>EEZ_780</x:v>
      </x:c>
      <x:c r="B4308" s="25" t="str">
        <x:v>tl_coverage_complete</x:v>
      </x:c>
      <x:c r="C4308" s="36" t="b">
        <x:v>1</x:v>
      </x:c>
      <x:c r="D4308" s="25" t="str">
        <x:v>boolean</x:v>
      </x:c>
    </x:row>
    <x:row r="4309" ht="18" customHeight="1">
      <x:c r="A4309" s="25" t="str">
        <x:v>EEZ_780</x:v>
      </x:c>
      <x:c r="B4309" s="25" t="str">
        <x:v>group_ppr_within_convexity_bound</x:v>
      </x:c>
      <x:c r="C4309" s="36" t="b">
        <x:v>1</x:v>
      </x:c>
      <x:c r="D4309" s="25" t="str">
        <x:v>boolean</x:v>
      </x:c>
    </x:row>
    <x:row r="4310" ht="18" customHeight="1">
      <x:c r="A4310" s="25" t="str">
        <x:v>EEZ_784</x:v>
      </x:c>
      <x:c r="B4310" s="25" t="str">
        <x:v>tl_coverage_complete</x:v>
      </x:c>
      <x:c r="C4310" s="36" t="b">
        <x:v>1</x:v>
      </x:c>
      <x:c r="D4310" s="25" t="str">
        <x:v>boolean</x:v>
      </x:c>
    </x:row>
    <x:row r="4311" ht="18" customHeight="1">
      <x:c r="A4311" s="25" t="str">
        <x:v>EEZ_784</x:v>
      </x:c>
      <x:c r="B4311" s="25" t="str">
        <x:v>group_ppr_within_convexity_bound</x:v>
      </x:c>
      <x:c r="C4311" s="36" t="b">
        <x:v>1</x:v>
      </x:c>
      <x:c r="D4311" s="25" t="str">
        <x:v>boolean</x:v>
      </x:c>
    </x:row>
    <x:row r="4312" ht="18" customHeight="1">
      <x:c r="A4312" s="25" t="str">
        <x:v>EEZ_788</x:v>
      </x:c>
      <x:c r="B4312" s="25" t="str">
        <x:v>tl_coverage_complete</x:v>
      </x:c>
      <x:c r="C4312" s="36" t="b">
        <x:v>1</x:v>
      </x:c>
      <x:c r="D4312" s="25" t="str">
        <x:v>boolean</x:v>
      </x:c>
    </x:row>
    <x:row r="4313" ht="18" customHeight="1">
      <x:c r="A4313" s="25" t="str">
        <x:v>EEZ_788</x:v>
      </x:c>
      <x:c r="B4313" s="25" t="str">
        <x:v>group_ppr_within_convexity_bound</x:v>
      </x:c>
      <x:c r="C4313" s="36" t="b">
        <x:v>1</x:v>
      </x:c>
      <x:c r="D4313" s="25" t="str">
        <x:v>boolean</x:v>
      </x:c>
    </x:row>
    <x:row r="4314" ht="18" customHeight="1">
      <x:c r="A4314" s="25" t="str">
        <x:v>EEZ_793</x:v>
      </x:c>
      <x:c r="B4314" s="25" t="str">
        <x:v>tl_coverage_complete</x:v>
      </x:c>
      <x:c r="C4314" s="36" t="b">
        <x:v>1</x:v>
      </x:c>
      <x:c r="D4314" s="25" t="str">
        <x:v>boolean</x:v>
      </x:c>
    </x:row>
    <x:row r="4315" ht="18" customHeight="1">
      <x:c r="A4315" s="25" t="str">
        <x:v>EEZ_793</x:v>
      </x:c>
      <x:c r="B4315" s="25" t="str">
        <x:v>group_ppr_within_convexity_bound</x:v>
      </x:c>
      <x:c r="C4315" s="36" t="b">
        <x:v>1</x:v>
      </x:c>
      <x:c r="D4315" s="25" t="str">
        <x:v>boolean</x:v>
      </x:c>
    </x:row>
    <x:row r="4316" ht="18" customHeight="1">
      <x:c r="A4316" s="25" t="str">
        <x:v>EEZ_794</x:v>
      </x:c>
      <x:c r="B4316" s="25" t="str">
        <x:v>tl_coverage_complete</x:v>
      </x:c>
      <x:c r="C4316" s="36" t="b">
        <x:v>1</x:v>
      </x:c>
      <x:c r="D4316" s="25" t="str">
        <x:v>boolean</x:v>
      </x:c>
    </x:row>
    <x:row r="4317" ht="18" customHeight="1">
      <x:c r="A4317" s="25" t="str">
        <x:v>EEZ_794</x:v>
      </x:c>
      <x:c r="B4317" s="25" t="str">
        <x:v>group_ppr_within_convexity_bound</x:v>
      </x:c>
      <x:c r="C4317" s="36" t="b">
        <x:v>1</x:v>
      </x:c>
      <x:c r="D4317" s="25" t="str">
        <x:v>boolean</x:v>
      </x:c>
    </x:row>
    <x:row r="4318" ht="18" customHeight="1">
      <x:c r="A4318" s="25" t="str">
        <x:v>EEZ_796</x:v>
      </x:c>
      <x:c r="B4318" s="25" t="str">
        <x:v>tl_coverage_complete</x:v>
      </x:c>
      <x:c r="C4318" s="36" t="b">
        <x:v>1</x:v>
      </x:c>
      <x:c r="D4318" s="25" t="str">
        <x:v>boolean</x:v>
      </x:c>
    </x:row>
    <x:row r="4319" ht="18" customHeight="1">
      <x:c r="A4319" s="25" t="str">
        <x:v>EEZ_796</x:v>
      </x:c>
      <x:c r="B4319" s="25" t="str">
        <x:v>group_ppr_within_convexity_bound</x:v>
      </x:c>
      <x:c r="C4319" s="36" t="b">
        <x:v>1</x:v>
      </x:c>
      <x:c r="D4319" s="25" t="str">
        <x:v>boolean</x:v>
      </x:c>
    </x:row>
    <x:row r="4320" ht="18" customHeight="1">
      <x:c r="A4320" s="25" t="str">
        <x:v>EEZ_798</x:v>
      </x:c>
      <x:c r="B4320" s="25" t="str">
        <x:v>tl_coverage_complete</x:v>
      </x:c>
      <x:c r="C4320" s="36" t="b">
        <x:v>1</x:v>
      </x:c>
      <x:c r="D4320" s="25" t="str">
        <x:v>boolean</x:v>
      </x:c>
    </x:row>
    <x:row r="4321" ht="18" customHeight="1">
      <x:c r="A4321" s="25" t="str">
        <x:v>EEZ_798</x:v>
      </x:c>
      <x:c r="B4321" s="25" t="str">
        <x:v>group_ppr_within_convexity_bound</x:v>
      </x:c>
      <x:c r="C4321" s="36" t="b">
        <x:v>1</x:v>
      </x:c>
      <x:c r="D4321" s="25" t="str">
        <x:v>boolean</x:v>
      </x:c>
    </x:row>
    <x:row r="4322" ht="18" customHeight="1">
      <x:c r="A4322" s="25" t="str">
        <x:v>EEZ_804</x:v>
      </x:c>
      <x:c r="B4322" s="25" t="str">
        <x:v>tl_coverage_complete</x:v>
      </x:c>
      <x:c r="C4322" s="36" t="b">
        <x:v>1</x:v>
      </x:c>
      <x:c r="D4322" s="25" t="str">
        <x:v>boolean</x:v>
      </x:c>
    </x:row>
    <x:row r="4323" ht="18" customHeight="1">
      <x:c r="A4323" s="25" t="str">
        <x:v>EEZ_804</x:v>
      </x:c>
      <x:c r="B4323" s="25" t="str">
        <x:v>group_ppr_within_convexity_bound</x:v>
      </x:c>
      <x:c r="C4323" s="36" t="b">
        <x:v>1</x:v>
      </x:c>
      <x:c r="D4323" s="25" t="str">
        <x:v>boolean</x:v>
      </x:c>
    </x:row>
    <x:row r="4324" ht="18" customHeight="1">
      <x:c r="A4324" s="25" t="str">
        <x:v>EEZ_826</x:v>
      </x:c>
      <x:c r="B4324" s="25" t="str">
        <x:v>tl_coverage_complete</x:v>
      </x:c>
      <x:c r="C4324" s="36" t="b">
        <x:v>1</x:v>
      </x:c>
      <x:c r="D4324" s="25" t="str">
        <x:v>boolean</x:v>
      </x:c>
    </x:row>
    <x:row r="4325" ht="18" customHeight="1">
      <x:c r="A4325" s="25" t="str">
        <x:v>EEZ_826</x:v>
      </x:c>
      <x:c r="B4325" s="25" t="str">
        <x:v>group_ppr_within_convexity_bound</x:v>
      </x:c>
      <x:c r="C4325" s="36" t="b">
        <x:v>1</x:v>
      </x:c>
      <x:c r="D4325" s="25" t="str">
        <x:v>boolean</x:v>
      </x:c>
    </x:row>
    <x:row r="4326" ht="18" customHeight="1">
      <x:c r="A4326" s="25" t="str">
        <x:v>EEZ_830</x:v>
      </x:c>
      <x:c r="B4326" s="25" t="str">
        <x:v>tl_coverage_complete</x:v>
      </x:c>
      <x:c r="C4326" s="36" t="b">
        <x:v>1</x:v>
      </x:c>
      <x:c r="D4326" s="25" t="str">
        <x:v>boolean</x:v>
      </x:c>
    </x:row>
    <x:row r="4327" ht="18" customHeight="1">
      <x:c r="A4327" s="25" t="str">
        <x:v>EEZ_830</x:v>
      </x:c>
      <x:c r="B4327" s="25" t="str">
        <x:v>group_ppr_within_convexity_bound</x:v>
      </x:c>
      <x:c r="C4327" s="36" t="b">
        <x:v>1</x:v>
      </x:c>
      <x:c r="D4327" s="25" t="str">
        <x:v>boolean</x:v>
      </x:c>
    </x:row>
    <x:row r="4328" ht="18" customHeight="1">
      <x:c r="A4328" s="25" t="str">
        <x:v>EEZ_834</x:v>
      </x:c>
      <x:c r="B4328" s="25" t="str">
        <x:v>tl_coverage_complete</x:v>
      </x:c>
      <x:c r="C4328" s="36" t="b">
        <x:v>1</x:v>
      </x:c>
      <x:c r="D4328" s="25" t="str">
        <x:v>boolean</x:v>
      </x:c>
    </x:row>
    <x:row r="4329" ht="18" customHeight="1">
      <x:c r="A4329" s="25" t="str">
        <x:v>EEZ_834</x:v>
      </x:c>
      <x:c r="B4329" s="25" t="str">
        <x:v>group_ppr_within_convexity_bound</x:v>
      </x:c>
      <x:c r="C4329" s="36" t="b">
        <x:v>1</x:v>
      </x:c>
      <x:c r="D4329" s="25" t="str">
        <x:v>boolean</x:v>
      </x:c>
    </x:row>
    <x:row r="4330" ht="18" customHeight="1">
      <x:c r="A4330" s="25" t="str">
        <x:v>EEZ_842</x:v>
      </x:c>
      <x:c r="B4330" s="25" t="str">
        <x:v>tl_coverage_complete</x:v>
      </x:c>
      <x:c r="C4330" s="36" t="b">
        <x:v>1</x:v>
      </x:c>
      <x:c r="D4330" s="25" t="str">
        <x:v>boolean</x:v>
      </x:c>
    </x:row>
    <x:row r="4331" ht="18" customHeight="1">
      <x:c r="A4331" s="25" t="str">
        <x:v>EEZ_842</x:v>
      </x:c>
      <x:c r="B4331" s="25" t="str">
        <x:v>group_ppr_within_convexity_bound</x:v>
      </x:c>
      <x:c r="C4331" s="36" t="b">
        <x:v>1</x:v>
      </x:c>
      <x:c r="D4331" s="25" t="str">
        <x:v>boolean</x:v>
      </x:c>
    </x:row>
    <x:row r="4332" ht="18" customHeight="1">
      <x:c r="A4332" s="25" t="str">
        <x:v>EEZ_844</x:v>
      </x:c>
      <x:c r="B4332" s="25" t="str">
        <x:v>tl_coverage_complete</x:v>
      </x:c>
      <x:c r="C4332" s="36" t="b">
        <x:v>1</x:v>
      </x:c>
      <x:c r="D4332" s="25" t="str">
        <x:v>boolean</x:v>
      </x:c>
    </x:row>
    <x:row r="4333" ht="18" customHeight="1">
      <x:c r="A4333" s="25" t="str">
        <x:v>EEZ_844</x:v>
      </x:c>
      <x:c r="B4333" s="25" t="str">
        <x:v>group_ppr_within_convexity_bound</x:v>
      </x:c>
      <x:c r="C4333" s="36" t="b">
        <x:v>1</x:v>
      </x:c>
      <x:c r="D4333" s="25" t="str">
        <x:v>boolean</x:v>
      </x:c>
    </x:row>
    <x:row r="4334" ht="18" customHeight="1">
      <x:c r="A4334" s="25" t="str">
        <x:v>EEZ_845</x:v>
      </x:c>
      <x:c r="B4334" s="25" t="str">
        <x:v>tl_coverage_complete</x:v>
      </x:c>
      <x:c r="C4334" s="36" t="b">
        <x:v>1</x:v>
      </x:c>
      <x:c r="D4334" s="25" t="str">
        <x:v>boolean</x:v>
      </x:c>
    </x:row>
    <x:row r="4335" ht="18" customHeight="1">
      <x:c r="A4335" s="25" t="str">
        <x:v>EEZ_845</x:v>
      </x:c>
      <x:c r="B4335" s="25" t="str">
        <x:v>group_ppr_within_convexity_bound</x:v>
      </x:c>
      <x:c r="C4335" s="36" t="b">
        <x:v>1</x:v>
      </x:c>
      <x:c r="D4335" s="25" t="str">
        <x:v>boolean</x:v>
      </x:c>
    </x:row>
    <x:row r="4336" ht="18" customHeight="1">
      <x:c r="A4336" s="25" t="str">
        <x:v>EEZ_846</x:v>
      </x:c>
      <x:c r="B4336" s="25" t="str">
        <x:v>tl_coverage_complete</x:v>
      </x:c>
      <x:c r="C4336" s="36" t="b">
        <x:v>1</x:v>
      </x:c>
      <x:c r="D4336" s="25" t="str">
        <x:v>boolean</x:v>
      </x:c>
    </x:row>
    <x:row r="4337" ht="18" customHeight="1">
      <x:c r="A4337" s="25" t="str">
        <x:v>EEZ_846</x:v>
      </x:c>
      <x:c r="B4337" s="25" t="str">
        <x:v>group_ppr_within_convexity_bound</x:v>
      </x:c>
      <x:c r="C4337" s="36" t="b">
        <x:v>1</x:v>
      </x:c>
      <x:c r="D4337" s="25" t="str">
        <x:v>boolean</x:v>
      </x:c>
    </x:row>
    <x:row r="4338" ht="18" customHeight="1">
      <x:c r="A4338" s="25" t="str">
        <x:v>EEZ_848</x:v>
      </x:c>
      <x:c r="B4338" s="25" t="str">
        <x:v>tl_coverage_complete</x:v>
      </x:c>
      <x:c r="C4338" s="36" t="b">
        <x:v>1</x:v>
      </x:c>
      <x:c r="D4338" s="25" t="str">
        <x:v>boolean</x:v>
      </x:c>
    </x:row>
    <x:row r="4339" ht="18" customHeight="1">
      <x:c r="A4339" s="25" t="str">
        <x:v>EEZ_848</x:v>
      </x:c>
      <x:c r="B4339" s="25" t="str">
        <x:v>group_ppr_within_convexity_bound</x:v>
      </x:c>
      <x:c r="C4339" s="36" t="b">
        <x:v>1</x:v>
      </x:c>
      <x:c r="D4339" s="25" t="str">
        <x:v>boolean</x:v>
      </x:c>
    </x:row>
    <x:row r="4340" ht="18" customHeight="1">
      <x:c r="A4340" s="25" t="str">
        <x:v>EEZ_850</x:v>
      </x:c>
      <x:c r="B4340" s="25" t="str">
        <x:v>tl_coverage_complete</x:v>
      </x:c>
      <x:c r="C4340" s="36" t="b">
        <x:v>1</x:v>
      </x:c>
      <x:c r="D4340" s="25" t="str">
        <x:v>boolean</x:v>
      </x:c>
    </x:row>
    <x:row r="4341" ht="18" customHeight="1">
      <x:c r="A4341" s="25" t="str">
        <x:v>EEZ_850</x:v>
      </x:c>
      <x:c r="B4341" s="25" t="str">
        <x:v>group_ppr_within_convexity_bound</x:v>
      </x:c>
      <x:c r="C4341" s="36" t="b">
        <x:v>1</x:v>
      </x:c>
      <x:c r="D4341" s="25" t="str">
        <x:v>boolean</x:v>
      </x:c>
    </x:row>
    <x:row r="4342" ht="18" customHeight="1">
      <x:c r="A4342" s="25" t="str">
        <x:v>EEZ_851</x:v>
      </x:c>
      <x:c r="B4342" s="25" t="str">
        <x:v>tl_coverage_complete</x:v>
      </x:c>
      <x:c r="C4342" s="36" t="b">
        <x:v>1</x:v>
      </x:c>
      <x:c r="D4342" s="25" t="str">
        <x:v>boolean</x:v>
      </x:c>
    </x:row>
    <x:row r="4343" ht="18" customHeight="1">
      <x:c r="A4343" s="25" t="str">
        <x:v>EEZ_851</x:v>
      </x:c>
      <x:c r="B4343" s="25" t="str">
        <x:v>group_ppr_within_convexity_bound</x:v>
      </x:c>
      <x:c r="C4343" s="36" t="b">
        <x:v>1</x:v>
      </x:c>
      <x:c r="D4343" s="25" t="str">
        <x:v>boolean</x:v>
      </x:c>
    </x:row>
    <x:row r="4344" ht="18" customHeight="1">
      <x:c r="A4344" s="25" t="str">
        <x:v>EEZ_852</x:v>
      </x:c>
      <x:c r="B4344" s="25" t="str">
        <x:v>tl_coverage_complete</x:v>
      </x:c>
      <x:c r="C4344" s="36" t="b">
        <x:v>1</x:v>
      </x:c>
      <x:c r="D4344" s="25" t="str">
        <x:v>boolean</x:v>
      </x:c>
    </x:row>
    <x:row r="4345" ht="18" customHeight="1">
      <x:c r="A4345" s="25" t="str">
        <x:v>EEZ_852</x:v>
      </x:c>
      <x:c r="B4345" s="25" t="str">
        <x:v>group_ppr_within_convexity_bound</x:v>
      </x:c>
      <x:c r="C4345" s="36" t="b">
        <x:v>1</x:v>
      </x:c>
      <x:c r="D4345" s="25" t="str">
        <x:v>boolean</x:v>
      </x:c>
    </x:row>
    <x:row r="4346" ht="18" customHeight="1">
      <x:c r="A4346" s="25" t="str">
        <x:v>EEZ_855</x:v>
      </x:c>
      <x:c r="B4346" s="25" t="str">
        <x:v>tl_coverage_complete</x:v>
      </x:c>
      <x:c r="C4346" s="36" t="b">
        <x:v>1</x:v>
      </x:c>
      <x:c r="D4346" s="25" t="str">
        <x:v>boolean</x:v>
      </x:c>
    </x:row>
    <x:row r="4347" ht="18" customHeight="1">
      <x:c r="A4347" s="25" t="str">
        <x:v>EEZ_855</x:v>
      </x:c>
      <x:c r="B4347" s="25" t="str">
        <x:v>group_ppr_within_convexity_bound</x:v>
      </x:c>
      <x:c r="C4347" s="36" t="b">
        <x:v>1</x:v>
      </x:c>
      <x:c r="D4347" s="25" t="str">
        <x:v>boolean</x:v>
      </x:c>
    </x:row>
    <x:row r="4348" ht="18" customHeight="1">
      <x:c r="A4348" s="25" t="str">
        <x:v>EEZ_856</x:v>
      </x:c>
      <x:c r="B4348" s="25" t="str">
        <x:v>tl_coverage_complete</x:v>
      </x:c>
      <x:c r="C4348" s="36" t="b">
        <x:v>1</x:v>
      </x:c>
      <x:c r="D4348" s="25" t="str">
        <x:v>boolean</x:v>
      </x:c>
    </x:row>
    <x:row r="4349" ht="18" customHeight="1">
      <x:c r="A4349" s="25" t="str">
        <x:v>EEZ_856</x:v>
      </x:c>
      <x:c r="B4349" s="25" t="str">
        <x:v>group_ppr_within_convexity_bound</x:v>
      </x:c>
      <x:c r="C4349" s="36" t="b">
        <x:v>1</x:v>
      </x:c>
      <x:c r="D4349" s="25" t="str">
        <x:v>boolean</x:v>
      </x:c>
    </x:row>
    <x:row r="4350" ht="18" customHeight="1">
      <x:c r="A4350" s="25" t="str">
        <x:v>EEZ_858</x:v>
      </x:c>
      <x:c r="B4350" s="25" t="str">
        <x:v>tl_coverage_complete</x:v>
      </x:c>
      <x:c r="C4350" s="36" t="b">
        <x:v>1</x:v>
      </x:c>
      <x:c r="D4350" s="25" t="str">
        <x:v>boolean</x:v>
      </x:c>
    </x:row>
    <x:row r="4351" ht="18" customHeight="1">
      <x:c r="A4351" s="25" t="str">
        <x:v>EEZ_858</x:v>
      </x:c>
      <x:c r="B4351" s="25" t="str">
        <x:v>group_ppr_within_convexity_bound</x:v>
      </x:c>
      <x:c r="C4351" s="36" t="b">
        <x:v>1</x:v>
      </x:c>
      <x:c r="D4351" s="25" t="str">
        <x:v>boolean</x:v>
      </x:c>
    </x:row>
    <x:row r="4352" ht="18" customHeight="1">
      <x:c r="A4352" s="25" t="str">
        <x:v>EEZ_862</x:v>
      </x:c>
      <x:c r="B4352" s="25" t="str">
        <x:v>tl_coverage_complete</x:v>
      </x:c>
      <x:c r="C4352" s="36" t="b">
        <x:v>1</x:v>
      </x:c>
      <x:c r="D4352" s="25" t="str">
        <x:v>boolean</x:v>
      </x:c>
    </x:row>
    <x:row r="4353" ht="18" customHeight="1">
      <x:c r="A4353" s="25" t="str">
        <x:v>EEZ_862</x:v>
      </x:c>
      <x:c r="B4353" s="25" t="str">
        <x:v>group_ppr_within_convexity_bound</x:v>
      </x:c>
      <x:c r="C4353" s="36" t="b">
        <x:v>1</x:v>
      </x:c>
      <x:c r="D4353" s="25" t="str">
        <x:v>boolean</x:v>
      </x:c>
    </x:row>
    <x:row r="4354" ht="18" customHeight="1">
      <x:c r="A4354" s="25" t="str">
        <x:v>EEZ_872</x:v>
      </x:c>
      <x:c r="B4354" s="25" t="str">
        <x:v>tl_coverage_complete</x:v>
      </x:c>
      <x:c r="C4354" s="36" t="b">
        <x:v>1</x:v>
      </x:c>
      <x:c r="D4354" s="25" t="str">
        <x:v>boolean</x:v>
      </x:c>
    </x:row>
    <x:row r="4355" ht="18" customHeight="1">
      <x:c r="A4355" s="25" t="str">
        <x:v>EEZ_872</x:v>
      </x:c>
      <x:c r="B4355" s="25" t="str">
        <x:v>group_ppr_within_convexity_bound</x:v>
      </x:c>
      <x:c r="C4355" s="36" t="b">
        <x:v>1</x:v>
      </x:c>
      <x:c r="D4355" s="25" t="str">
        <x:v>boolean</x:v>
      </x:c>
    </x:row>
    <x:row r="4356" ht="18" customHeight="1">
      <x:c r="A4356" s="25" t="str">
        <x:v>EEZ_876</x:v>
      </x:c>
      <x:c r="B4356" s="25" t="str">
        <x:v>tl_coverage_complete</x:v>
      </x:c>
      <x:c r="C4356" s="36" t="b">
        <x:v>1</x:v>
      </x:c>
      <x:c r="D4356" s="25" t="str">
        <x:v>boolean</x:v>
      </x:c>
    </x:row>
    <x:row r="4357" ht="18" customHeight="1">
      <x:c r="A4357" s="25" t="str">
        <x:v>EEZ_876</x:v>
      </x:c>
      <x:c r="B4357" s="25" t="str">
        <x:v>group_ppr_within_convexity_bound</x:v>
      </x:c>
      <x:c r="C4357" s="36" t="b">
        <x:v>1</x:v>
      </x:c>
      <x:c r="D4357" s="25" t="str">
        <x:v>boolean</x:v>
      </x:c>
    </x:row>
    <x:row r="4358" ht="18" customHeight="1">
      <x:c r="A4358" s="25" t="str">
        <x:v>EEZ_882</x:v>
      </x:c>
      <x:c r="B4358" s="25" t="str">
        <x:v>tl_coverage_complete</x:v>
      </x:c>
      <x:c r="C4358" s="36" t="b">
        <x:v>1</x:v>
      </x:c>
      <x:c r="D4358" s="25" t="str">
        <x:v>boolean</x:v>
      </x:c>
    </x:row>
    <x:row r="4359" ht="18" customHeight="1">
      <x:c r="A4359" s="25" t="str">
        <x:v>EEZ_882</x:v>
      </x:c>
      <x:c r="B4359" s="25" t="str">
        <x:v>group_ppr_within_convexity_bound</x:v>
      </x:c>
      <x:c r="C4359" s="36" t="b">
        <x:v>1</x:v>
      </x:c>
      <x:c r="D4359" s="25" t="str">
        <x:v>boolean</x:v>
      </x:c>
    </x:row>
    <x:row r="4360" ht="18" customHeight="1">
      <x:c r="A4360" s="25" t="str">
        <x:v>EEZ_891</x:v>
      </x:c>
      <x:c r="B4360" s="25" t="str">
        <x:v>tl_coverage_complete</x:v>
      </x:c>
      <x:c r="C4360" s="36" t="b">
        <x:v>1</x:v>
      </x:c>
      <x:c r="D4360" s="25" t="str">
        <x:v>boolean</x:v>
      </x:c>
    </x:row>
    <x:row r="4361" ht="18" customHeight="1">
      <x:c r="A4361" s="25" t="str">
        <x:v>EEZ_891</x:v>
      </x:c>
      <x:c r="B4361" s="25" t="str">
        <x:v>group_ppr_within_convexity_bound</x:v>
      </x:c>
      <x:c r="C4361" s="36" t="b">
        <x:v>1</x:v>
      </x:c>
      <x:c r="D4361" s="25" t="str">
        <x:v>boolean</x:v>
      </x:c>
    </x:row>
    <x:row r="4362" ht="18" customHeight="1">
      <x:c r="A4362" s="25" t="str">
        <x:v>EEZ_895</x:v>
      </x:c>
      <x:c r="B4362" s="25" t="str">
        <x:v>tl_coverage_complete</x:v>
      </x:c>
      <x:c r="C4362" s="36" t="b">
        <x:v>1</x:v>
      </x:c>
      <x:c r="D4362" s="25" t="str">
        <x:v>boolean</x:v>
      </x:c>
    </x:row>
    <x:row r="4363" ht="18" customHeight="1">
      <x:c r="A4363" s="25" t="str">
        <x:v>EEZ_895</x:v>
      </x:c>
      <x:c r="B4363" s="25" t="str">
        <x:v>group_ppr_within_convexity_bound</x:v>
      </x:c>
      <x:c r="C4363" s="36" t="b">
        <x:v>1</x:v>
      </x:c>
      <x:c r="D4363" s="25" t="str">
        <x:v>boolean</x:v>
      </x:c>
    </x:row>
    <x:row r="4364" ht="18" customHeight="1">
      <x:c r="A4364" s="25" t="str">
        <x:v>EEZ_896</x:v>
      </x:c>
      <x:c r="B4364" s="25" t="str">
        <x:v>tl_coverage_complete</x:v>
      </x:c>
      <x:c r="C4364" s="36" t="b">
        <x:v>1</x:v>
      </x:c>
      <x:c r="D4364" s="25" t="str">
        <x:v>boolean</x:v>
      </x:c>
    </x:row>
    <x:row r="4365" ht="18" customHeight="1">
      <x:c r="A4365" s="25" t="str">
        <x:v>EEZ_896</x:v>
      </x:c>
      <x:c r="B4365" s="25" t="str">
        <x:v>group_ppr_within_convexity_bound</x:v>
      </x:c>
      <x:c r="C4365" s="36" t="b">
        <x:v>1</x:v>
      </x:c>
      <x:c r="D4365" s="25" t="str">
        <x:v>boolean</x:v>
      </x:c>
    </x:row>
    <x:row r="4366" ht="18" customHeight="1">
      <x:c r="A4366" s="25" t="str">
        <x:v>EEZ_897</x:v>
      </x:c>
      <x:c r="B4366" s="25" t="str">
        <x:v>tl_coverage_complete</x:v>
      </x:c>
      <x:c r="C4366" s="36" t="b">
        <x:v>1</x:v>
      </x:c>
      <x:c r="D4366" s="25" t="str">
        <x:v>boolean</x:v>
      </x:c>
    </x:row>
    <x:row r="4367" ht="18" customHeight="1">
      <x:c r="A4367" s="25" t="str">
        <x:v>EEZ_897</x:v>
      </x:c>
      <x:c r="B4367" s="25" t="str">
        <x:v>group_ppr_within_convexity_bound</x:v>
      </x:c>
      <x:c r="C4367" s="36" t="b">
        <x:v>1</x:v>
      </x:c>
      <x:c r="D4367" s="25" t="str">
        <x:v>boolean</x:v>
      </x:c>
    </x:row>
    <x:row r="4368" ht="18" customHeight="1">
      <x:c r="A4368" s="25" t="str">
        <x:v>EEZ_898</x:v>
      </x:c>
      <x:c r="B4368" s="25" t="str">
        <x:v>tl_coverage_complete</x:v>
      </x:c>
      <x:c r="C4368" s="36" t="b">
        <x:v>1</x:v>
      </x:c>
      <x:c r="D4368" s="25" t="str">
        <x:v>boolean</x:v>
      </x:c>
    </x:row>
    <x:row r="4369" ht="18" customHeight="1">
      <x:c r="A4369" s="25" t="str">
        <x:v>EEZ_898</x:v>
      </x:c>
      <x:c r="B4369" s="25" t="str">
        <x:v>group_ppr_within_convexity_bound</x:v>
      </x:c>
      <x:c r="C4369" s="36" t="b">
        <x:v>1</x:v>
      </x:c>
      <x:c r="D4369" s="25" t="str">
        <x:v>boolean</x:v>
      </x:c>
    </x:row>
    <x:row r="4370" ht="18" customHeight="1">
      <x:c r="A4370" s="25" t="str">
        <x:v>EEZ_899</x:v>
      </x:c>
      <x:c r="B4370" s="25" t="str">
        <x:v>tl_coverage_complete</x:v>
      </x:c>
      <x:c r="C4370" s="36" t="b">
        <x:v>1</x:v>
      </x:c>
      <x:c r="D4370" s="25" t="str">
        <x:v>boolean</x:v>
      </x:c>
    </x:row>
    <x:row r="4371" ht="18" customHeight="1">
      <x:c r="A4371" s="25" t="str">
        <x:v>EEZ_899</x:v>
      </x:c>
      <x:c r="B4371" s="25" t="str">
        <x:v>group_ppr_within_convexity_bound</x:v>
      </x:c>
      <x:c r="C4371" s="36" t="b">
        <x:v>1</x:v>
      </x:c>
      <x:c r="D4371" s="25" t="str">
        <x:v>boolean</x:v>
      </x:c>
    </x:row>
    <x:row r="4372" ht="18" customHeight="1">
      <x:c r="A4372" s="25" t="str">
        <x:v>EEZ_900</x:v>
      </x:c>
      <x:c r="B4372" s="25" t="str">
        <x:v>tl_coverage_complete</x:v>
      </x:c>
      <x:c r="C4372" s="36" t="b">
        <x:v>1</x:v>
      </x:c>
      <x:c r="D4372" s="25" t="str">
        <x:v>boolean</x:v>
      </x:c>
    </x:row>
    <x:row r="4373" ht="18" customHeight="1">
      <x:c r="A4373" s="25" t="str">
        <x:v>EEZ_900</x:v>
      </x:c>
      <x:c r="B4373" s="25" t="str">
        <x:v>group_ppr_within_convexity_bound</x:v>
      </x:c>
      <x:c r="C4373" s="36" t="b">
        <x:v>1</x:v>
      </x:c>
      <x:c r="D4373" s="25" t="str">
        <x:v>boolean</x:v>
      </x:c>
    </x:row>
    <x:row r="4374" ht="18" customHeight="1">
      <x:c r="A4374" s="25" t="str">
        <x:v>EEZ_901</x:v>
      </x:c>
      <x:c r="B4374" s="25" t="str">
        <x:v>tl_coverage_complete</x:v>
      </x:c>
      <x:c r="C4374" s="36" t="b">
        <x:v>1</x:v>
      </x:c>
      <x:c r="D4374" s="25" t="str">
        <x:v>boolean</x:v>
      </x:c>
    </x:row>
    <x:row r="4375" ht="18" customHeight="1">
      <x:c r="A4375" s="25" t="str">
        <x:v>EEZ_901</x:v>
      </x:c>
      <x:c r="B4375" s="25" t="str">
        <x:v>group_ppr_within_convexity_bound</x:v>
      </x:c>
      <x:c r="C4375" s="36" t="b">
        <x:v>1</x:v>
      </x:c>
      <x:c r="D4375" s="25" t="str">
        <x:v>boolean</x:v>
      </x:c>
    </x:row>
    <x:row r="4376" ht="18" customHeight="1">
      <x:c r="A4376" s="25" t="str">
        <x:v>EEZ_902</x:v>
      </x:c>
      <x:c r="B4376" s="25" t="str">
        <x:v>tl_coverage_complete</x:v>
      </x:c>
      <x:c r="C4376" s="36" t="b">
        <x:v>1</x:v>
      </x:c>
      <x:c r="D4376" s="25" t="str">
        <x:v>boolean</x:v>
      </x:c>
    </x:row>
    <x:row r="4377" ht="18" customHeight="1">
      <x:c r="A4377" s="25" t="str">
        <x:v>EEZ_902</x:v>
      </x:c>
      <x:c r="B4377" s="25" t="str">
        <x:v>group_ppr_within_convexity_bound</x:v>
      </x:c>
      <x:c r="C4377" s="36" t="b">
        <x:v>1</x:v>
      </x:c>
      <x:c r="D4377" s="25" t="str">
        <x:v>boolean</x:v>
      </x:c>
    </x:row>
    <x:row r="4378" ht="18" customHeight="1">
      <x:c r="A4378" s="25" t="str">
        <x:v>EEZ_903</x:v>
      </x:c>
      <x:c r="B4378" s="25" t="str">
        <x:v>tl_coverage_complete</x:v>
      </x:c>
      <x:c r="C4378" s="36" t="b">
        <x:v>1</x:v>
      </x:c>
      <x:c r="D4378" s="25" t="str">
        <x:v>boolean</x:v>
      </x:c>
    </x:row>
    <x:row r="4379" ht="18" customHeight="1">
      <x:c r="A4379" s="25" t="str">
        <x:v>EEZ_903</x:v>
      </x:c>
      <x:c r="B4379" s="25" t="str">
        <x:v>group_ppr_within_convexity_bound</x:v>
      </x:c>
      <x:c r="C4379" s="36" t="b">
        <x:v>1</x:v>
      </x:c>
      <x:c r="D4379" s="25" t="str">
        <x:v>boolean</x:v>
      </x:c>
    </x:row>
    <x:row r="4380" ht="18" customHeight="1">
      <x:c r="A4380" s="25" t="str">
        <x:v>EEZ_904</x:v>
      </x:c>
      <x:c r="B4380" s="25" t="str">
        <x:v>tl_coverage_complete</x:v>
      </x:c>
      <x:c r="C4380" s="36" t="b">
        <x:v>1</x:v>
      </x:c>
      <x:c r="D4380" s="25" t="str">
        <x:v>boolean</x:v>
      </x:c>
    </x:row>
    <x:row r="4381" ht="18" customHeight="1">
      <x:c r="A4381" s="25" t="str">
        <x:v>EEZ_904</x:v>
      </x:c>
      <x:c r="B4381" s="25" t="str">
        <x:v>group_ppr_within_convexity_bound</x:v>
      </x:c>
      <x:c r="C4381" s="36" t="b">
        <x:v>1</x:v>
      </x:c>
      <x:c r="D4381" s="25" t="str">
        <x:v>boolean</x:v>
      </x:c>
    </x:row>
    <x:row r="4382" ht="18" customHeight="1">
      <x:c r="A4382" s="25" t="str">
        <x:v>EEZ_905</x:v>
      </x:c>
      <x:c r="B4382" s="25" t="str">
        <x:v>tl_coverage_complete</x:v>
      </x:c>
      <x:c r="C4382" s="36" t="b">
        <x:v>1</x:v>
      </x:c>
      <x:c r="D4382" s="25" t="str">
        <x:v>boolean</x:v>
      </x:c>
    </x:row>
    <x:row r="4383" ht="18" customHeight="1">
      <x:c r="A4383" s="25" t="str">
        <x:v>EEZ_905</x:v>
      </x:c>
      <x:c r="B4383" s="25" t="str">
        <x:v>group_ppr_within_convexity_bound</x:v>
      </x:c>
      <x:c r="C4383" s="36" t="b">
        <x:v>1</x:v>
      </x:c>
      <x:c r="D4383" s="25" t="str">
        <x:v>boolean</x:v>
      </x:c>
    </x:row>
    <x:row r="4384" ht="18" customHeight="1">
      <x:c r="A4384" s="25" t="str">
        <x:v>EEZ_906</x:v>
      </x:c>
      <x:c r="B4384" s="25" t="str">
        <x:v>tl_coverage_complete</x:v>
      </x:c>
      <x:c r="C4384" s="36" t="b">
        <x:v>1</x:v>
      </x:c>
      <x:c r="D4384" s="25" t="str">
        <x:v>boolean</x:v>
      </x:c>
    </x:row>
    <x:row r="4385" ht="18" customHeight="1">
      <x:c r="A4385" s="25" t="str">
        <x:v>EEZ_906</x:v>
      </x:c>
      <x:c r="B4385" s="25" t="str">
        <x:v>group_ppr_within_convexity_bound</x:v>
      </x:c>
      <x:c r="C4385" s="36" t="b">
        <x:v>1</x:v>
      </x:c>
      <x:c r="D4385" s="25" t="str">
        <x:v>boolean</x:v>
      </x:c>
    </x:row>
    <x:row r="4386" ht="18" customHeight="1">
      <x:c r="A4386" s="25" t="str">
        <x:v>EEZ_907</x:v>
      </x:c>
      <x:c r="B4386" s="25" t="str">
        <x:v>tl_coverage_complete</x:v>
      </x:c>
      <x:c r="C4386" s="36" t="b">
        <x:v>1</x:v>
      </x:c>
      <x:c r="D4386" s="25" t="str">
        <x:v>boolean</x:v>
      </x:c>
    </x:row>
    <x:row r="4387" ht="18" customHeight="1">
      <x:c r="A4387" s="25" t="str">
        <x:v>EEZ_907</x:v>
      </x:c>
      <x:c r="B4387" s="25" t="str">
        <x:v>group_ppr_within_convexity_bound</x:v>
      </x:c>
      <x:c r="C4387" s="36" t="b">
        <x:v>1</x:v>
      </x:c>
      <x:c r="D4387" s="25" t="str">
        <x:v>boolean</x:v>
      </x:c>
    </x:row>
    <x:row r="4388" ht="18" customHeight="1">
      <x:c r="A4388" s="25" t="str">
        <x:v>EEZ_908</x:v>
      </x:c>
      <x:c r="B4388" s="25" t="str">
        <x:v>tl_coverage_complete</x:v>
      </x:c>
      <x:c r="C4388" s="36" t="b">
        <x:v>1</x:v>
      </x:c>
      <x:c r="D4388" s="25" t="str">
        <x:v>boolean</x:v>
      </x:c>
    </x:row>
    <x:row r="4389" ht="18" customHeight="1">
      <x:c r="A4389" s="25" t="str">
        <x:v>EEZ_908</x:v>
      </x:c>
      <x:c r="B4389" s="25" t="str">
        <x:v>group_ppr_within_convexity_bound</x:v>
      </x:c>
      <x:c r="C4389" s="36" t="b">
        <x:v>1</x:v>
      </x:c>
      <x:c r="D4389" s="25" t="str">
        <x:v>boolean</x:v>
      </x:c>
    </x:row>
    <x:row r="4390" ht="18" customHeight="1">
      <x:c r="A4390" s="25" t="str">
        <x:v>EEZ_909</x:v>
      </x:c>
      <x:c r="B4390" s="25" t="str">
        <x:v>tl_coverage_complete</x:v>
      </x:c>
      <x:c r="C4390" s="36" t="b">
        <x:v>1</x:v>
      </x:c>
      <x:c r="D4390" s="25" t="str">
        <x:v>boolean</x:v>
      </x:c>
    </x:row>
    <x:row r="4391" ht="18" customHeight="1">
      <x:c r="A4391" s="25" t="str">
        <x:v>EEZ_909</x:v>
      </x:c>
      <x:c r="B4391" s="25" t="str">
        <x:v>group_ppr_within_convexity_bound</x:v>
      </x:c>
      <x:c r="C4391" s="36" t="b">
        <x:v>1</x:v>
      </x:c>
      <x:c r="D4391" s="25" t="str">
        <x:v>boolean</x:v>
      </x:c>
    </x:row>
    <x:row r="4392" ht="18" customHeight="1">
      <x:c r="A4392" s="25" t="str">
        <x:v>EEZ_910</x:v>
      </x:c>
      <x:c r="B4392" s="25" t="str">
        <x:v>tl_coverage_complete</x:v>
      </x:c>
      <x:c r="C4392" s="36" t="b">
        <x:v>1</x:v>
      </x:c>
      <x:c r="D4392" s="25" t="str">
        <x:v>boolean</x:v>
      </x:c>
    </x:row>
    <x:row r="4393" ht="18" customHeight="1">
      <x:c r="A4393" s="25" t="str">
        <x:v>EEZ_910</x:v>
      </x:c>
      <x:c r="B4393" s="25" t="str">
        <x:v>group_ppr_within_convexity_bound</x:v>
      </x:c>
      <x:c r="C4393" s="36" t="b">
        <x:v>1</x:v>
      </x:c>
      <x:c r="D4393" s="25" t="str">
        <x:v>boolean</x:v>
      </x:c>
    </x:row>
    <x:row r="4394" ht="18" customHeight="1">
      <x:c r="A4394" s="25" t="str">
        <x:v>EEZ_911</x:v>
      </x:c>
      <x:c r="B4394" s="25" t="str">
        <x:v>tl_coverage_complete</x:v>
      </x:c>
      <x:c r="C4394" s="36" t="b">
        <x:v>1</x:v>
      </x:c>
      <x:c r="D4394" s="25" t="str">
        <x:v>boolean</x:v>
      </x:c>
    </x:row>
    <x:row r="4395" ht="18" customHeight="1">
      <x:c r="A4395" s="25" t="str">
        <x:v>EEZ_911</x:v>
      </x:c>
      <x:c r="B4395" s="25" t="str">
        <x:v>group_ppr_within_convexity_bound</x:v>
      </x:c>
      <x:c r="C4395" s="36" t="b">
        <x:v>1</x:v>
      </x:c>
      <x:c r="D4395" s="25" t="str">
        <x:v>boolean</x:v>
      </x:c>
    </x:row>
    <x:row r="4396" ht="18" customHeight="1">
      <x:c r="A4396" s="25" t="str">
        <x:v>EEZ_912</x:v>
      </x:c>
      <x:c r="B4396" s="25" t="str">
        <x:v>tl_coverage_complete</x:v>
      </x:c>
      <x:c r="C4396" s="36" t="b">
        <x:v>1</x:v>
      </x:c>
      <x:c r="D4396" s="25" t="str">
        <x:v>boolean</x:v>
      </x:c>
    </x:row>
    <x:row r="4397" ht="18" customHeight="1">
      <x:c r="A4397" s="25" t="str">
        <x:v>EEZ_912</x:v>
      </x:c>
      <x:c r="B4397" s="25" t="str">
        <x:v>group_ppr_within_convexity_bound</x:v>
      </x:c>
      <x:c r="C4397" s="36" t="b">
        <x:v>1</x:v>
      </x:c>
      <x:c r="D4397" s="25" t="str">
        <x:v>boolean</x:v>
      </x:c>
    </x:row>
    <x:row r="4398" ht="18" customHeight="1">
      <x:c r="A4398" s="25" t="str">
        <x:v>EEZ_913</x:v>
      </x:c>
      <x:c r="B4398" s="25" t="str">
        <x:v>tl_coverage_complete</x:v>
      </x:c>
      <x:c r="C4398" s="36" t="b">
        <x:v>1</x:v>
      </x:c>
      <x:c r="D4398" s="25" t="str">
        <x:v>boolean</x:v>
      </x:c>
    </x:row>
    <x:row r="4399" ht="18" customHeight="1">
      <x:c r="A4399" s="25" t="str">
        <x:v>EEZ_913</x:v>
      </x:c>
      <x:c r="B4399" s="25" t="str">
        <x:v>group_ppr_within_convexity_bound</x:v>
      </x:c>
      <x:c r="C4399" s="36" t="b">
        <x:v>1</x:v>
      </x:c>
      <x:c r="D4399" s="25" t="str">
        <x:v>boolean</x:v>
      </x:c>
    </x:row>
    <x:row r="4400" ht="18" customHeight="1">
      <x:c r="A4400" s="25" t="str">
        <x:v>EEZ_914</x:v>
      </x:c>
      <x:c r="B4400" s="25" t="str">
        <x:v>tl_coverage_complete</x:v>
      </x:c>
      <x:c r="C4400" s="36" t="b">
        <x:v>1</x:v>
      </x:c>
      <x:c r="D4400" s="25" t="str">
        <x:v>boolean</x:v>
      </x:c>
    </x:row>
    <x:row r="4401" ht="18" customHeight="1">
      <x:c r="A4401" s="25" t="str">
        <x:v>EEZ_914</x:v>
      </x:c>
      <x:c r="B4401" s="25" t="str">
        <x:v>group_ppr_within_convexity_bound</x:v>
      </x:c>
      <x:c r="C4401" s="36" t="b">
        <x:v>1</x:v>
      </x:c>
      <x:c r="D4401" s="25" t="str">
        <x:v>boolean</x:v>
      </x:c>
    </x:row>
    <x:row r="4402" ht="18" customHeight="1">
      <x:c r="A4402" s="25" t="str">
        <x:v>EEZ_915</x:v>
      </x:c>
      <x:c r="B4402" s="25" t="str">
        <x:v>tl_coverage_complete</x:v>
      </x:c>
      <x:c r="C4402" s="36" t="b">
        <x:v>1</x:v>
      </x:c>
      <x:c r="D4402" s="25" t="str">
        <x:v>boolean</x:v>
      </x:c>
    </x:row>
    <x:row r="4403" ht="18" customHeight="1">
      <x:c r="A4403" s="25" t="str">
        <x:v>EEZ_915</x:v>
      </x:c>
      <x:c r="B4403" s="25" t="str">
        <x:v>group_ppr_within_convexity_bound</x:v>
      </x:c>
      <x:c r="C4403" s="36" t="b">
        <x:v>1</x:v>
      </x:c>
      <x:c r="D4403" s="25" t="str">
        <x:v>boolean</x:v>
      </x:c>
    </x:row>
    <x:row r="4404" ht="18" customHeight="1">
      <x:c r="A4404" s="25" t="str">
        <x:v>EEZ_916</x:v>
      </x:c>
      <x:c r="B4404" s="25" t="str">
        <x:v>tl_coverage_complete</x:v>
      </x:c>
      <x:c r="C4404" s="36" t="b">
        <x:v>1</x:v>
      </x:c>
      <x:c r="D4404" s="25" t="str">
        <x:v>boolean</x:v>
      </x:c>
    </x:row>
    <x:row r="4405" ht="18" customHeight="1">
      <x:c r="A4405" s="25" t="str">
        <x:v>EEZ_916</x:v>
      </x:c>
      <x:c r="B4405" s="25" t="str">
        <x:v>group_ppr_within_convexity_bound</x:v>
      </x:c>
      <x:c r="C4405" s="36" t="b">
        <x:v>1</x:v>
      </x:c>
      <x:c r="D4405" s="25" t="str">
        <x:v>boolean</x:v>
      </x:c>
    </x:row>
    <x:row r="4406" ht="18" customHeight="1">
      <x:c r="A4406" s="25" t="str">
        <x:v>EEZ_917</x:v>
      </x:c>
      <x:c r="B4406" s="25" t="str">
        <x:v>tl_coverage_complete</x:v>
      </x:c>
      <x:c r="C4406" s="36" t="b">
        <x:v>1</x:v>
      </x:c>
      <x:c r="D4406" s="25" t="str">
        <x:v>boolean</x:v>
      </x:c>
    </x:row>
    <x:row r="4407" ht="18" customHeight="1">
      <x:c r="A4407" s="25" t="str">
        <x:v>EEZ_917</x:v>
      </x:c>
      <x:c r="B4407" s="25" t="str">
        <x:v>group_ppr_within_convexity_bound</x:v>
      </x:c>
      <x:c r="C4407" s="36" t="b">
        <x:v>1</x:v>
      </x:c>
      <x:c r="D4407" s="25" t="str">
        <x:v>boolean</x:v>
      </x:c>
    </x:row>
    <x:row r="4408" ht="18" customHeight="1">
      <x:c r="A4408" s="25" t="str">
        <x:v>EEZ_918</x:v>
      </x:c>
      <x:c r="B4408" s="25" t="str">
        <x:v>tl_coverage_complete</x:v>
      </x:c>
      <x:c r="C4408" s="36" t="b">
        <x:v>1</x:v>
      </x:c>
      <x:c r="D4408" s="25" t="str">
        <x:v>boolean</x:v>
      </x:c>
    </x:row>
    <x:row r="4409" ht="18" customHeight="1">
      <x:c r="A4409" s="25" t="str">
        <x:v>EEZ_918</x:v>
      </x:c>
      <x:c r="B4409" s="25" t="str">
        <x:v>group_ppr_within_convexity_bound</x:v>
      </x:c>
      <x:c r="C4409" s="36" t="b">
        <x:v>1</x:v>
      </x:c>
      <x:c r="D4409" s="25" t="str">
        <x:v>boolean</x:v>
      </x:c>
    </x:row>
    <x:row r="4410" ht="18" customHeight="1">
      <x:c r="A4410" s="25" t="str">
        <x:v>EEZ_919</x:v>
      </x:c>
      <x:c r="B4410" s="25" t="str">
        <x:v>tl_coverage_complete</x:v>
      </x:c>
      <x:c r="C4410" s="36" t="b">
        <x:v>1</x:v>
      </x:c>
      <x:c r="D4410" s="25" t="str">
        <x:v>boolean</x:v>
      </x:c>
    </x:row>
    <x:row r="4411" ht="18" customHeight="1">
      <x:c r="A4411" s="25" t="str">
        <x:v>EEZ_919</x:v>
      </x:c>
      <x:c r="B4411" s="25" t="str">
        <x:v>group_ppr_within_convexity_bound</x:v>
      </x:c>
      <x:c r="C4411" s="36" t="b">
        <x:v>1</x:v>
      </x:c>
      <x:c r="D4411" s="25" t="str">
        <x:v>boolean</x:v>
      </x:c>
    </x:row>
    <x:row r="4412" ht="18" customHeight="1">
      <x:c r="A4412" s="25" t="str">
        <x:v>EEZ_920</x:v>
      </x:c>
      <x:c r="B4412" s="25" t="str">
        <x:v>tl_coverage_complete</x:v>
      </x:c>
      <x:c r="C4412" s="36" t="b">
        <x:v>1</x:v>
      </x:c>
      <x:c r="D4412" s="25" t="str">
        <x:v>boolean</x:v>
      </x:c>
    </x:row>
    <x:row r="4413" ht="18" customHeight="1">
      <x:c r="A4413" s="25" t="str">
        <x:v>EEZ_920</x:v>
      </x:c>
      <x:c r="B4413" s="25" t="str">
        <x:v>group_ppr_within_convexity_bound</x:v>
      </x:c>
      <x:c r="C4413" s="36" t="b">
        <x:v>1</x:v>
      </x:c>
      <x:c r="D4413" s="25" t="str">
        <x:v>boolean</x:v>
      </x:c>
    </x:row>
    <x:row r="4414" ht="18" customHeight="1">
      <x:c r="A4414" s="25" t="str">
        <x:v>EEZ_921</x:v>
      </x:c>
      <x:c r="B4414" s="25" t="str">
        <x:v>tl_coverage_complete</x:v>
      </x:c>
      <x:c r="C4414" s="36" t="b">
        <x:v>1</x:v>
      </x:c>
      <x:c r="D4414" s="25" t="str">
        <x:v>boolean</x:v>
      </x:c>
    </x:row>
    <x:row r="4415" ht="18" customHeight="1">
      <x:c r="A4415" s="25" t="str">
        <x:v>EEZ_921</x:v>
      </x:c>
      <x:c r="B4415" s="25" t="str">
        <x:v>group_ppr_within_convexity_bound</x:v>
      </x:c>
      <x:c r="C4415" s="36" t="b">
        <x:v>1</x:v>
      </x:c>
      <x:c r="D4415" s="25" t="str">
        <x:v>boolean</x:v>
      </x:c>
    </x:row>
    <x:row r="4416" ht="18" customHeight="1">
      <x:c r="A4416" s="25" t="str">
        <x:v>EEZ_922</x:v>
      </x:c>
      <x:c r="B4416" s="25" t="str">
        <x:v>tl_coverage_complete</x:v>
      </x:c>
      <x:c r="C4416" s="36" t="b">
        <x:v>1</x:v>
      </x:c>
      <x:c r="D4416" s="25" t="str">
        <x:v>boolean</x:v>
      </x:c>
    </x:row>
    <x:row r="4417" ht="18" customHeight="1">
      <x:c r="A4417" s="25" t="str">
        <x:v>EEZ_922</x:v>
      </x:c>
      <x:c r="B4417" s="25" t="str">
        <x:v>group_ppr_within_convexity_bound</x:v>
      </x:c>
      <x:c r="C4417" s="36" t="b">
        <x:v>1</x:v>
      </x:c>
      <x:c r="D4417" s="25" t="str">
        <x:v>boolean</x:v>
      </x:c>
    </x:row>
    <x:row r="4418" ht="18" customHeight="1">
      <x:c r="A4418" s="25" t="str">
        <x:v>EEZ_923</x:v>
      </x:c>
      <x:c r="B4418" s="25" t="str">
        <x:v>tl_coverage_complete</x:v>
      </x:c>
      <x:c r="C4418" s="36" t="b">
        <x:v>1</x:v>
      </x:c>
      <x:c r="D4418" s="25" t="str">
        <x:v>boolean</x:v>
      </x:c>
    </x:row>
    <x:row r="4419" ht="18" customHeight="1">
      <x:c r="A4419" s="25" t="str">
        <x:v>EEZ_923</x:v>
      </x:c>
      <x:c r="B4419" s="25" t="str">
        <x:v>group_ppr_within_convexity_bound</x:v>
      </x:c>
      <x:c r="C4419" s="36" t="b">
        <x:v>1</x:v>
      </x:c>
      <x:c r="D4419" s="25" t="str">
        <x:v>boolean</x:v>
      </x:c>
    </x:row>
    <x:row r="4420" ht="18" customHeight="1">
      <x:c r="A4420" s="25" t="str">
        <x:v>EEZ_924</x:v>
      </x:c>
      <x:c r="B4420" s="25" t="str">
        <x:v>tl_coverage_complete</x:v>
      </x:c>
      <x:c r="C4420" s="36" t="b">
        <x:v>1</x:v>
      </x:c>
      <x:c r="D4420" s="25" t="str">
        <x:v>boolean</x:v>
      </x:c>
    </x:row>
    <x:row r="4421" ht="18" customHeight="1">
      <x:c r="A4421" s="25" t="str">
        <x:v>EEZ_924</x:v>
      </x:c>
      <x:c r="B4421" s="25" t="str">
        <x:v>group_ppr_within_convexity_bound</x:v>
      </x:c>
      <x:c r="C4421" s="36" t="b">
        <x:v>1</x:v>
      </x:c>
      <x:c r="D4421" s="25" t="str">
        <x:v>boolean</x:v>
      </x:c>
    </x:row>
    <x:row r="4422" ht="18" customHeight="1">
      <x:c r="A4422" s="25" t="str">
        <x:v>EEZ_925</x:v>
      </x:c>
      <x:c r="B4422" s="25" t="str">
        <x:v>tl_coverage_complete</x:v>
      </x:c>
      <x:c r="C4422" s="36" t="b">
        <x:v>1</x:v>
      </x:c>
      <x:c r="D4422" s="25" t="str">
        <x:v>boolean</x:v>
      </x:c>
    </x:row>
    <x:row r="4423" ht="18" customHeight="1">
      <x:c r="A4423" s="25" t="str">
        <x:v>EEZ_925</x:v>
      </x:c>
      <x:c r="B4423" s="25" t="str">
        <x:v>group_ppr_within_convexity_bound</x:v>
      </x:c>
      <x:c r="C4423" s="36" t="b">
        <x:v>1</x:v>
      </x:c>
      <x:c r="D4423" s="25" t="str">
        <x:v>boolean</x:v>
      </x:c>
    </x:row>
    <x:row r="4424" ht="18" customHeight="1">
      <x:c r="A4424" s="25" t="str">
        <x:v>EEZ_926</x:v>
      </x:c>
      <x:c r="B4424" s="25" t="str">
        <x:v>tl_coverage_complete</x:v>
      </x:c>
      <x:c r="C4424" s="36" t="b">
        <x:v>1</x:v>
      </x:c>
      <x:c r="D4424" s="25" t="str">
        <x:v>boolean</x:v>
      </x:c>
    </x:row>
    <x:row r="4425" ht="18" customHeight="1">
      <x:c r="A4425" s="25" t="str">
        <x:v>EEZ_926</x:v>
      </x:c>
      <x:c r="B4425" s="25" t="str">
        <x:v>group_ppr_within_convexity_bound</x:v>
      </x:c>
      <x:c r="C4425" s="36" t="b">
        <x:v>1</x:v>
      </x:c>
      <x:c r="D4425" s="25" t="str">
        <x:v>boolean</x:v>
      </x:c>
    </x:row>
    <x:row r="4426" ht="18" customHeight="1">
      <x:c r="A4426" s="25" t="str">
        <x:v>EEZ_927</x:v>
      </x:c>
      <x:c r="B4426" s="25" t="str">
        <x:v>tl_coverage_complete</x:v>
      </x:c>
      <x:c r="C4426" s="36" t="b">
        <x:v>1</x:v>
      </x:c>
      <x:c r="D4426" s="25" t="str">
        <x:v>boolean</x:v>
      </x:c>
    </x:row>
    <x:row r="4427" ht="18" customHeight="1">
      <x:c r="A4427" s="25" t="str">
        <x:v>EEZ_927</x:v>
      </x:c>
      <x:c r="B4427" s="25" t="str">
        <x:v>group_ppr_within_convexity_bound</x:v>
      </x:c>
      <x:c r="C4427" s="36" t="b">
        <x:v>1</x:v>
      </x:c>
      <x:c r="D4427" s="25" t="str">
        <x:v>boolean</x:v>
      </x:c>
    </x:row>
    <x:row r="4428" ht="18" customHeight="1">
      <x:c r="A4428" s="25" t="str">
        <x:v>EEZ_928</x:v>
      </x:c>
      <x:c r="B4428" s="25" t="str">
        <x:v>tl_coverage_complete</x:v>
      </x:c>
      <x:c r="C4428" s="36" t="b">
        <x:v>1</x:v>
      </x:c>
      <x:c r="D4428" s="25" t="str">
        <x:v>boolean</x:v>
      </x:c>
    </x:row>
    <x:row r="4429" ht="18" customHeight="1">
      <x:c r="A4429" s="25" t="str">
        <x:v>EEZ_928</x:v>
      </x:c>
      <x:c r="B4429" s="25" t="str">
        <x:v>group_ppr_within_convexity_bound</x:v>
      </x:c>
      <x:c r="C4429" s="36" t="b">
        <x:v>1</x:v>
      </x:c>
      <x:c r="D4429" s="25" t="str">
        <x:v>boolean</x:v>
      </x:c>
    </x:row>
    <x:row r="4430" ht="18" customHeight="1">
      <x:c r="A4430" s="25" t="str">
        <x:v>EEZ_929</x:v>
      </x:c>
      <x:c r="B4430" s="25" t="str">
        <x:v>tl_coverage_complete</x:v>
      </x:c>
      <x:c r="C4430" s="36" t="b">
        <x:v>1</x:v>
      </x:c>
      <x:c r="D4430" s="25" t="str">
        <x:v>boolean</x:v>
      </x:c>
    </x:row>
    <x:row r="4431" ht="18" customHeight="1">
      <x:c r="A4431" s="25" t="str">
        <x:v>EEZ_929</x:v>
      </x:c>
      <x:c r="B4431" s="25" t="str">
        <x:v>group_ppr_within_convexity_bound</x:v>
      </x:c>
      <x:c r="C4431" s="36" t="b">
        <x:v>1</x:v>
      </x:c>
      <x:c r="D4431" s="25" t="str">
        <x:v>boolean</x:v>
      </x:c>
    </x:row>
    <x:row r="4432" ht="18" customHeight="1">
      <x:c r="A4432" s="25" t="str">
        <x:v>EEZ_930</x:v>
      </x:c>
      <x:c r="B4432" s="25" t="str">
        <x:v>tl_coverage_complete</x:v>
      </x:c>
      <x:c r="C4432" s="36" t="b">
        <x:v>1</x:v>
      </x:c>
      <x:c r="D4432" s="25" t="str">
        <x:v>boolean</x:v>
      </x:c>
    </x:row>
    <x:row r="4433" ht="18" customHeight="1">
      <x:c r="A4433" s="25" t="str">
        <x:v>EEZ_930</x:v>
      </x:c>
      <x:c r="B4433" s="25" t="str">
        <x:v>group_ppr_within_convexity_bound</x:v>
      </x:c>
      <x:c r="C4433" s="36" t="b">
        <x:v>1</x:v>
      </x:c>
      <x:c r="D4433" s="25" t="str">
        <x:v>boolean</x:v>
      </x:c>
    </x:row>
    <x:row r="4434" ht="18" customHeight="1">
      <x:c r="A4434" s="25" t="str">
        <x:v>EEZ_931</x:v>
      </x:c>
      <x:c r="B4434" s="25" t="str">
        <x:v>tl_coverage_complete</x:v>
      </x:c>
      <x:c r="C4434" s="36" t="b">
        <x:v>1</x:v>
      </x:c>
      <x:c r="D4434" s="25" t="str">
        <x:v>boolean</x:v>
      </x:c>
    </x:row>
    <x:row r="4435" ht="18" customHeight="1">
      <x:c r="A4435" s="25" t="str">
        <x:v>EEZ_931</x:v>
      </x:c>
      <x:c r="B4435" s="25" t="str">
        <x:v>group_ppr_within_convexity_bound</x:v>
      </x:c>
      <x:c r="C4435" s="36" t="b">
        <x:v>1</x:v>
      </x:c>
      <x:c r="D4435" s="25" t="str">
        <x:v>boolean</x:v>
      </x:c>
    </x:row>
    <x:row r="4436" ht="18" customHeight="1">
      <x:c r="A4436" s="25" t="str">
        <x:v>EEZ_932</x:v>
      </x:c>
      <x:c r="B4436" s="25" t="str">
        <x:v>tl_coverage_complete</x:v>
      </x:c>
      <x:c r="C4436" s="36" t="b">
        <x:v>1</x:v>
      </x:c>
      <x:c r="D4436" s="25" t="str">
        <x:v>boolean</x:v>
      </x:c>
    </x:row>
    <x:row r="4437" ht="18" customHeight="1">
      <x:c r="A4437" s="25" t="str">
        <x:v>EEZ_932</x:v>
      </x:c>
      <x:c r="B4437" s="25" t="str">
        <x:v>group_ppr_within_convexity_bound</x:v>
      </x:c>
      <x:c r="C4437" s="36" t="b">
        <x:v>1</x:v>
      </x:c>
      <x:c r="D4437" s="25" t="str">
        <x:v>boolean</x:v>
      </x:c>
    </x:row>
    <x:row r="4438" ht="18" customHeight="1">
      <x:c r="A4438" s="25" t="str">
        <x:v>EEZ_933</x:v>
      </x:c>
      <x:c r="B4438" s="25" t="str">
        <x:v>tl_coverage_complete</x:v>
      </x:c>
      <x:c r="C4438" s="36" t="b">
        <x:v>1</x:v>
      </x:c>
      <x:c r="D4438" s="25" t="str">
        <x:v>boolean</x:v>
      </x:c>
    </x:row>
    <x:row r="4439" ht="18" customHeight="1">
      <x:c r="A4439" s="25" t="str">
        <x:v>EEZ_933</x:v>
      </x:c>
      <x:c r="B4439" s="25" t="str">
        <x:v>group_ppr_within_convexity_bound</x:v>
      </x:c>
      <x:c r="C4439" s="36" t="b">
        <x:v>1</x:v>
      </x:c>
      <x:c r="D4439" s="25" t="str">
        <x:v>boolean</x:v>
      </x:c>
    </x:row>
    <x:row r="4440" ht="18" customHeight="1">
      <x:c r="A4440" s="25" t="str">
        <x:v>EEZ_934</x:v>
      </x:c>
      <x:c r="B4440" s="25" t="str">
        <x:v>tl_coverage_complete</x:v>
      </x:c>
      <x:c r="C4440" s="36" t="b">
        <x:v>1</x:v>
      </x:c>
      <x:c r="D4440" s="25" t="str">
        <x:v>boolean</x:v>
      </x:c>
    </x:row>
    <x:row r="4441" ht="18" customHeight="1">
      <x:c r="A4441" s="25" t="str">
        <x:v>EEZ_934</x:v>
      </x:c>
      <x:c r="B4441" s="25" t="str">
        <x:v>group_ppr_within_convexity_bound</x:v>
      </x:c>
      <x:c r="C4441" s="36" t="b">
        <x:v>1</x:v>
      </x:c>
      <x:c r="D4441" s="25" t="str">
        <x:v>boolean</x:v>
      </x:c>
    </x:row>
    <x:row r="4442" ht="18" customHeight="1">
      <x:c r="A4442" s="25" t="str">
        <x:v>EEZ_935</x:v>
      </x:c>
      <x:c r="B4442" s="25" t="str">
        <x:v>tl_coverage_complete</x:v>
      </x:c>
      <x:c r="C4442" s="36" t="b">
        <x:v>1</x:v>
      </x:c>
      <x:c r="D4442" s="25" t="str">
        <x:v>boolean</x:v>
      </x:c>
    </x:row>
    <x:row r="4443" ht="18" customHeight="1">
      <x:c r="A4443" s="25" t="str">
        <x:v>EEZ_935</x:v>
      </x:c>
      <x:c r="B4443" s="25" t="str">
        <x:v>group_ppr_within_convexity_bound</x:v>
      </x:c>
      <x:c r="C4443" s="36" t="b">
        <x:v>1</x:v>
      </x:c>
      <x:c r="D4443" s="25" t="str">
        <x:v>boolean</x:v>
      </x:c>
    </x:row>
    <x:row r="4444" ht="18" customHeight="1">
      <x:c r="A4444" s="25" t="str">
        <x:v>EEZ_936</x:v>
      </x:c>
      <x:c r="B4444" s="25" t="str">
        <x:v>tl_coverage_complete</x:v>
      </x:c>
      <x:c r="C4444" s="36" t="b">
        <x:v>1</x:v>
      </x:c>
      <x:c r="D4444" s="25" t="str">
        <x:v>boolean</x:v>
      </x:c>
    </x:row>
    <x:row r="4445" ht="18" customHeight="1">
      <x:c r="A4445" s="25" t="str">
        <x:v>EEZ_936</x:v>
      </x:c>
      <x:c r="B4445" s="25" t="str">
        <x:v>group_ppr_within_convexity_bound</x:v>
      </x:c>
      <x:c r="C4445" s="36" t="b">
        <x:v>1</x:v>
      </x:c>
      <x:c r="D4445" s="25" t="str">
        <x:v>boolean</x:v>
      </x:c>
    </x:row>
    <x:row r="4446" ht="18" customHeight="1">
      <x:c r="A4446" s="25" t="str">
        <x:v>EEZ_937</x:v>
      </x:c>
      <x:c r="B4446" s="25" t="str">
        <x:v>tl_coverage_complete</x:v>
      </x:c>
      <x:c r="C4446" s="36" t="b">
        <x:v>1</x:v>
      </x:c>
      <x:c r="D4446" s="25" t="str">
        <x:v>boolean</x:v>
      </x:c>
    </x:row>
    <x:row r="4447" ht="18" customHeight="1">
      <x:c r="A4447" s="25" t="str">
        <x:v>EEZ_937</x:v>
      </x:c>
      <x:c r="B4447" s="25" t="str">
        <x:v>group_ppr_within_convexity_bound</x:v>
      </x:c>
      <x:c r="C4447" s="36" t="b">
        <x:v>1</x:v>
      </x:c>
      <x:c r="D4447" s="25" t="str">
        <x:v>boolean</x:v>
      </x:c>
    </x:row>
    <x:row r="4448" ht="18" customHeight="1">
      <x:c r="A4448" s="25" t="str">
        <x:v>EEZ_938</x:v>
      </x:c>
      <x:c r="B4448" s="25" t="str">
        <x:v>tl_coverage_complete</x:v>
      </x:c>
      <x:c r="C4448" s="36" t="b">
        <x:v>1</x:v>
      </x:c>
      <x:c r="D4448" s="25" t="str">
        <x:v>boolean</x:v>
      </x:c>
    </x:row>
    <x:row r="4449" ht="18" customHeight="1">
      <x:c r="A4449" s="25" t="str">
        <x:v>EEZ_938</x:v>
      </x:c>
      <x:c r="B4449" s="25" t="str">
        <x:v>group_ppr_within_convexity_bound</x:v>
      </x:c>
      <x:c r="C4449" s="36" t="b">
        <x:v>1</x:v>
      </x:c>
      <x:c r="D4449" s="25" t="str">
        <x:v>boolean</x:v>
      </x:c>
    </x:row>
    <x:row r="4450" ht="18" customHeight="1">
      <x:c r="A4450" s="25" t="str">
        <x:v>EEZ_939</x:v>
      </x:c>
      <x:c r="B4450" s="25" t="str">
        <x:v>tl_coverage_complete</x:v>
      </x:c>
      <x:c r="C4450" s="36" t="b">
        <x:v>1</x:v>
      </x:c>
      <x:c r="D4450" s="25" t="str">
        <x:v>boolean</x:v>
      </x:c>
    </x:row>
    <x:row r="4451" ht="18" customHeight="1">
      <x:c r="A4451" s="25" t="str">
        <x:v>EEZ_939</x:v>
      </x:c>
      <x:c r="B4451" s="25" t="str">
        <x:v>group_ppr_within_convexity_bound</x:v>
      </x:c>
      <x:c r="C4451" s="36" t="b">
        <x:v>1</x:v>
      </x:c>
      <x:c r="D4451" s="25" t="str">
        <x:v>boolean</x:v>
      </x:c>
    </x:row>
    <x:row r="4452" ht="18" customHeight="1">
      <x:c r="A4452" s="25" t="str">
        <x:v>EEZ_940</x:v>
      </x:c>
      <x:c r="B4452" s="25" t="str">
        <x:v>tl_coverage_complete</x:v>
      </x:c>
      <x:c r="C4452" s="36" t="b">
        <x:v>1</x:v>
      </x:c>
      <x:c r="D4452" s="25" t="str">
        <x:v>boolean</x:v>
      </x:c>
    </x:row>
    <x:row r="4453" ht="18" customHeight="1">
      <x:c r="A4453" s="25" t="str">
        <x:v>EEZ_940</x:v>
      </x:c>
      <x:c r="B4453" s="25" t="str">
        <x:v>group_ppr_within_convexity_bound</x:v>
      </x:c>
      <x:c r="C4453" s="36" t="b">
        <x:v>1</x:v>
      </x:c>
      <x:c r="D4453" s="25" t="str">
        <x:v>boolean</x:v>
      </x:c>
    </x:row>
    <x:row r="4454" ht="18" customHeight="1">
      <x:c r="A4454" s="25" t="str">
        <x:v>EEZ_941</x:v>
      </x:c>
      <x:c r="B4454" s="25" t="str">
        <x:v>tl_coverage_complete</x:v>
      </x:c>
      <x:c r="C4454" s="36" t="b">
        <x:v>1</x:v>
      </x:c>
      <x:c r="D4454" s="25" t="str">
        <x:v>boolean</x:v>
      </x:c>
    </x:row>
    <x:row r="4455" ht="18" customHeight="1">
      <x:c r="A4455" s="25" t="str">
        <x:v>EEZ_941</x:v>
      </x:c>
      <x:c r="B4455" s="25" t="str">
        <x:v>group_ppr_within_convexity_bound</x:v>
      </x:c>
      <x:c r="C4455" s="36" t="b">
        <x:v>1</x:v>
      </x:c>
      <x:c r="D4455" s="25" t="str">
        <x:v>boolean</x:v>
      </x:c>
    </x:row>
    <x:row r="4456" ht="18" customHeight="1">
      <x:c r="A4456" s="25" t="str">
        <x:v>EEZ_942</x:v>
      </x:c>
      <x:c r="B4456" s="25" t="str">
        <x:v>tl_coverage_complete</x:v>
      </x:c>
      <x:c r="C4456" s="36" t="b">
        <x:v>1</x:v>
      </x:c>
      <x:c r="D4456" s="25" t="str">
        <x:v>boolean</x:v>
      </x:c>
    </x:row>
    <x:row r="4457" ht="18" customHeight="1">
      <x:c r="A4457" s="25" t="str">
        <x:v>EEZ_942</x:v>
      </x:c>
      <x:c r="B4457" s="25" t="str">
        <x:v>group_ppr_within_convexity_bound</x:v>
      </x:c>
      <x:c r="C4457" s="36" t="b">
        <x:v>1</x:v>
      </x:c>
      <x:c r="D4457" s="25" t="str">
        <x:v>boolean</x:v>
      </x:c>
    </x:row>
    <x:row r="4458" ht="18" customHeight="1">
      <x:c r="A4458" s="25" t="str">
        <x:v>EEZ_943</x:v>
      </x:c>
      <x:c r="B4458" s="25" t="str">
        <x:v>tl_coverage_complete</x:v>
      </x:c>
      <x:c r="C4458" s="36" t="b">
        <x:v>1</x:v>
      </x:c>
      <x:c r="D4458" s="25" t="str">
        <x:v>boolean</x:v>
      </x:c>
    </x:row>
    <x:row r="4459" ht="18" customHeight="1">
      <x:c r="A4459" s="25" t="str">
        <x:v>EEZ_943</x:v>
      </x:c>
      <x:c r="B4459" s="25" t="str">
        <x:v>group_ppr_within_convexity_bound</x:v>
      </x:c>
      <x:c r="C4459" s="36" t="b">
        <x:v>1</x:v>
      </x:c>
      <x:c r="D4459" s="25" t="str">
        <x:v>boolean</x:v>
      </x:c>
    </x:row>
    <x:row r="4460" ht="18" customHeight="1">
      <x:c r="A4460" s="25" t="str">
        <x:v>EEZ_944</x:v>
      </x:c>
      <x:c r="B4460" s="25" t="str">
        <x:v>tl_coverage_complete</x:v>
      </x:c>
      <x:c r="C4460" s="36" t="b">
        <x:v>1</x:v>
      </x:c>
      <x:c r="D4460" s="25" t="str">
        <x:v>boolean</x:v>
      </x:c>
    </x:row>
    <x:row r="4461" ht="18" customHeight="1">
      <x:c r="A4461" s="25" t="str">
        <x:v>EEZ_944</x:v>
      </x:c>
      <x:c r="B4461" s="25" t="str">
        <x:v>group_ppr_within_convexity_bound</x:v>
      </x:c>
      <x:c r="C4461" s="36" t="b">
        <x:v>1</x:v>
      </x:c>
      <x:c r="D4461" s="25" t="str">
        <x:v>boolean</x:v>
      </x:c>
    </x:row>
    <x:row r="4462" ht="18" customHeight="1">
      <x:c r="A4462" s="25" t="str">
        <x:v>EEZ_945</x:v>
      </x:c>
      <x:c r="B4462" s="25" t="str">
        <x:v>tl_coverage_complete</x:v>
      </x:c>
      <x:c r="C4462" s="36" t="b">
        <x:v>1</x:v>
      </x:c>
      <x:c r="D4462" s="25" t="str">
        <x:v>boolean</x:v>
      </x:c>
    </x:row>
    <x:row r="4463" ht="18" customHeight="1">
      <x:c r="A4463" s="25" t="str">
        <x:v>EEZ_945</x:v>
      </x:c>
      <x:c r="B4463" s="25" t="str">
        <x:v>group_ppr_within_convexity_bound</x:v>
      </x:c>
      <x:c r="C4463" s="36" t="b">
        <x:v>1</x:v>
      </x:c>
      <x:c r="D4463" s="25" t="str">
        <x:v>boolean</x:v>
      </x:c>
    </x:row>
    <x:row r="4464" ht="18" customHeight="1">
      <x:c r="A4464" s="25" t="str">
        <x:v>EEZ_946</x:v>
      </x:c>
      <x:c r="B4464" s="25" t="str">
        <x:v>tl_coverage_complete</x:v>
      </x:c>
      <x:c r="C4464" s="36" t="b">
        <x:v>1</x:v>
      </x:c>
      <x:c r="D4464" s="25" t="str">
        <x:v>boolean</x:v>
      </x:c>
    </x:row>
    <x:row r="4465" ht="18" customHeight="1">
      <x:c r="A4465" s="25" t="str">
        <x:v>EEZ_946</x:v>
      </x:c>
      <x:c r="B4465" s="25" t="str">
        <x:v>group_ppr_within_convexity_bound</x:v>
      </x:c>
      <x:c r="C4465" s="36" t="b">
        <x:v>1</x:v>
      </x:c>
      <x:c r="D4465" s="25" t="str">
        <x:v>boolean</x:v>
      </x:c>
    </x:row>
    <x:row r="4466" ht="18" customHeight="1">
      <x:c r="A4466" s="25" t="str">
        <x:v>EEZ_947</x:v>
      </x:c>
      <x:c r="B4466" s="25" t="str">
        <x:v>tl_coverage_complete</x:v>
      </x:c>
      <x:c r="C4466" s="36" t="b">
        <x:v>1</x:v>
      </x:c>
      <x:c r="D4466" s="25" t="str">
        <x:v>boolean</x:v>
      </x:c>
    </x:row>
    <x:row r="4467" ht="18" customHeight="1">
      <x:c r="A4467" s="25" t="str">
        <x:v>EEZ_947</x:v>
      </x:c>
      <x:c r="B4467" s="25" t="str">
        <x:v>group_ppr_within_convexity_bound</x:v>
      </x:c>
      <x:c r="C4467" s="36" t="b">
        <x:v>1</x:v>
      </x:c>
      <x:c r="D4467" s="25" t="str">
        <x:v>boolean</x:v>
      </x:c>
    </x:row>
    <x:row r="4468" ht="18" customHeight="1">
      <x:c r="A4468" s="25" t="str">
        <x:v>EEZ_948</x:v>
      </x:c>
      <x:c r="B4468" s="25" t="str">
        <x:v>tl_coverage_complete</x:v>
      </x:c>
      <x:c r="C4468" s="36" t="b">
        <x:v>1</x:v>
      </x:c>
      <x:c r="D4468" s="25" t="str">
        <x:v>boolean</x:v>
      </x:c>
    </x:row>
    <x:row r="4469" ht="18" customHeight="1">
      <x:c r="A4469" s="25" t="str">
        <x:v>EEZ_948</x:v>
      </x:c>
      <x:c r="B4469" s="25" t="str">
        <x:v>group_ppr_within_convexity_bound</x:v>
      </x:c>
      <x:c r="C4469" s="36" t="b">
        <x:v>1</x:v>
      </x:c>
      <x:c r="D4469" s="25" t="str">
        <x:v>boolean</x:v>
      </x:c>
    </x:row>
    <x:row r="4470" ht="18" customHeight="1">
      <x:c r="A4470" s="25" t="str">
        <x:v>EEZ_949</x:v>
      </x:c>
      <x:c r="B4470" s="25" t="str">
        <x:v>tl_coverage_complete</x:v>
      </x:c>
      <x:c r="C4470" s="36" t="b">
        <x:v>1</x:v>
      </x:c>
      <x:c r="D4470" s="25" t="str">
        <x:v>boolean</x:v>
      </x:c>
    </x:row>
    <x:row r="4471" ht="18" customHeight="1">
      <x:c r="A4471" s="25" t="str">
        <x:v>EEZ_949</x:v>
      </x:c>
      <x:c r="B4471" s="25" t="str">
        <x:v>group_ppr_within_convexity_bound</x:v>
      </x:c>
      <x:c r="C4471" s="36" t="b">
        <x:v>1</x:v>
      </x:c>
      <x:c r="D4471" s="25" t="str">
        <x:v>boolean</x:v>
      </x:c>
    </x:row>
    <x:row r="4472" ht="18" customHeight="1">
      <x:c r="A4472" s="25" t="str">
        <x:v>EEZ_950</x:v>
      </x:c>
      <x:c r="B4472" s="25" t="str">
        <x:v>tl_coverage_complete</x:v>
      </x:c>
      <x:c r="C4472" s="36" t="b">
        <x:v>1</x:v>
      </x:c>
      <x:c r="D4472" s="25" t="str">
        <x:v>boolean</x:v>
      </x:c>
    </x:row>
    <x:row r="4473" ht="18" customHeight="1">
      <x:c r="A4473" s="25" t="str">
        <x:v>EEZ_950</x:v>
      </x:c>
      <x:c r="B4473" s="25" t="str">
        <x:v>group_ppr_within_convexity_bound</x:v>
      </x:c>
      <x:c r="C4473" s="36" t="b">
        <x:v>1</x:v>
      </x:c>
      <x:c r="D4473" s="25" t="str">
        <x:v>boolean</x:v>
      </x:c>
    </x:row>
    <x:row r="4474" ht="18" customHeight="1">
      <x:c r="A4474" s="25" t="str">
        <x:v>EEZ_951</x:v>
      </x:c>
      <x:c r="B4474" s="25" t="str">
        <x:v>tl_coverage_complete</x:v>
      </x:c>
      <x:c r="C4474" s="36" t="b">
        <x:v>1</x:v>
      </x:c>
      <x:c r="D4474" s="25" t="str">
        <x:v>boolean</x:v>
      </x:c>
    </x:row>
    <x:row r="4475" ht="18" customHeight="1">
      <x:c r="A4475" s="25" t="str">
        <x:v>EEZ_951</x:v>
      </x:c>
      <x:c r="B4475" s="25" t="str">
        <x:v>group_ppr_within_convexity_bound</x:v>
      </x:c>
      <x:c r="C4475" s="36" t="b">
        <x:v>1</x:v>
      </x:c>
      <x:c r="D4475" s="25" t="str">
        <x:v>boolean</x:v>
      </x:c>
    </x:row>
    <x:row r="4476" ht="18" customHeight="1">
      <x:c r="A4476" s="25" t="str">
        <x:v>EEZ_952</x:v>
      </x:c>
      <x:c r="B4476" s="25" t="str">
        <x:v>tl_coverage_complete</x:v>
      </x:c>
      <x:c r="C4476" s="36" t="b">
        <x:v>1</x:v>
      </x:c>
      <x:c r="D4476" s="25" t="str">
        <x:v>boolean</x:v>
      </x:c>
    </x:row>
    <x:row r="4477" ht="18" customHeight="1">
      <x:c r="A4477" s="25" t="str">
        <x:v>EEZ_952</x:v>
      </x:c>
      <x:c r="B4477" s="25" t="str">
        <x:v>group_ppr_within_convexity_bound</x:v>
      </x:c>
      <x:c r="C4477" s="36" t="b">
        <x:v>1</x:v>
      </x:c>
      <x:c r="D4477" s="25" t="str">
        <x:v>boolean</x:v>
      </x:c>
    </x:row>
    <x:row r="4478" ht="18" customHeight="1">
      <x:c r="A4478" s="25" t="str">
        <x:v>EEZ_953</x:v>
      </x:c>
      <x:c r="B4478" s="25" t="str">
        <x:v>tl_coverage_complete</x:v>
      </x:c>
      <x:c r="C4478" s="36" t="b">
        <x:v>1</x:v>
      </x:c>
      <x:c r="D4478" s="25" t="str">
        <x:v>boolean</x:v>
      </x:c>
    </x:row>
    <x:row r="4479" ht="18" customHeight="1">
      <x:c r="A4479" s="25" t="str">
        <x:v>EEZ_953</x:v>
      </x:c>
      <x:c r="B4479" s="25" t="str">
        <x:v>group_ppr_within_convexity_bound</x:v>
      </x:c>
      <x:c r="C4479" s="36" t="b">
        <x:v>1</x:v>
      </x:c>
      <x:c r="D4479" s="25" t="str">
        <x:v>boolean</x:v>
      </x:c>
    </x:row>
    <x:row r="4480" ht="18" customHeight="1">
      <x:c r="A4480" s="25" t="str">
        <x:v>EEZ_954</x:v>
      </x:c>
      <x:c r="B4480" s="25" t="str">
        <x:v>tl_coverage_complete</x:v>
      </x:c>
      <x:c r="C4480" s="36" t="b">
        <x:v>1</x:v>
      </x:c>
      <x:c r="D4480" s="25" t="str">
        <x:v>boolean</x:v>
      </x:c>
    </x:row>
    <x:row r="4481" ht="18" customHeight="1">
      <x:c r="A4481" s="25" t="str">
        <x:v>EEZ_954</x:v>
      </x:c>
      <x:c r="B4481" s="25" t="str">
        <x:v>group_ppr_within_convexity_bound</x:v>
      </x:c>
      <x:c r="C4481" s="36" t="b">
        <x:v>1</x:v>
      </x:c>
      <x:c r="D4481" s="25" t="str">
        <x:v>boolean</x:v>
      </x:c>
    </x:row>
    <x:row r="4482" ht="18" customHeight="1">
      <x:c r="A4482" s="25" t="str">
        <x:v>EEZ_956</x:v>
      </x:c>
      <x:c r="B4482" s="25" t="str">
        <x:v>tl_coverage_complete</x:v>
      </x:c>
      <x:c r="C4482" s="36" t="b">
        <x:v>1</x:v>
      </x:c>
      <x:c r="D4482" s="25" t="str">
        <x:v>boolean</x:v>
      </x:c>
    </x:row>
    <x:row r="4483" ht="18" customHeight="1">
      <x:c r="A4483" s="25" t="str">
        <x:v>EEZ_956</x:v>
      </x:c>
      <x:c r="B4483" s="25" t="str">
        <x:v>group_ppr_within_convexity_bound</x:v>
      </x:c>
      <x:c r="C4483" s="36" t="b">
        <x:v>1</x:v>
      </x:c>
      <x:c r="D4483" s="25" t="str">
        <x:v>boolean</x:v>
      </x:c>
    </x:row>
    <x:row r="4484" ht="18" customHeight="1">
      <x:c r="A4484" s="25" t="str">
        <x:v>EEZ_957</x:v>
      </x:c>
      <x:c r="B4484" s="25" t="str">
        <x:v>tl_coverage_complete</x:v>
      </x:c>
      <x:c r="C4484" s="36" t="b">
        <x:v>1</x:v>
      </x:c>
      <x:c r="D4484" s="25" t="str">
        <x:v>boolean</x:v>
      </x:c>
    </x:row>
    <x:row r="4485" ht="18" customHeight="1">
      <x:c r="A4485" s="25" t="str">
        <x:v>EEZ_957</x:v>
      </x:c>
      <x:c r="B4485" s="25" t="str">
        <x:v>group_ppr_within_convexity_bound</x:v>
      </x:c>
      <x:c r="C4485" s="36" t="b">
        <x:v>1</x:v>
      </x:c>
      <x:c r="D4485" s="25" t="str">
        <x:v>boolean</x:v>
      </x:c>
    </x:row>
    <x:row r="4486" ht="18" customHeight="1">
      <x:c r="A4486" s="25" t="str">
        <x:v>EEZ_958</x:v>
      </x:c>
      <x:c r="B4486" s="25" t="str">
        <x:v>tl_coverage_complete</x:v>
      </x:c>
      <x:c r="C4486" s="36" t="b">
        <x:v>1</x:v>
      </x:c>
      <x:c r="D4486" s="25" t="str">
        <x:v>boolean</x:v>
      </x:c>
    </x:row>
    <x:row r="4487" ht="18" customHeight="1">
      <x:c r="A4487" s="25" t="str">
        <x:v>EEZ_958</x:v>
      </x:c>
      <x:c r="B4487" s="25" t="str">
        <x:v>group_ppr_within_convexity_bound</x:v>
      </x:c>
      <x:c r="C4487" s="36" t="b">
        <x:v>1</x:v>
      </x:c>
      <x:c r="D4487" s="25" t="str">
        <x:v>boolean</x:v>
      </x:c>
    </x:row>
    <x:row r="4488" ht="18" customHeight="1">
      <x:c r="A4488" s="25" t="str">
        <x:v>EEZ_959</x:v>
      </x:c>
      <x:c r="B4488" s="25" t="str">
        <x:v>tl_coverage_complete</x:v>
      </x:c>
      <x:c r="C4488" s="36" t="b">
        <x:v>1</x:v>
      </x:c>
      <x:c r="D4488" s="25" t="str">
        <x:v>boolean</x:v>
      </x:c>
    </x:row>
    <x:row r="4489" ht="18" customHeight="1">
      <x:c r="A4489" s="25" t="str">
        <x:v>EEZ_959</x:v>
      </x:c>
      <x:c r="B4489" s="25" t="str">
        <x:v>group_ppr_within_convexity_bound</x:v>
      </x:c>
      <x:c r="C4489" s="36" t="b">
        <x:v>1</x:v>
      </x:c>
      <x:c r="D4489" s="25" t="str">
        <x:v>boolean</x:v>
      </x:c>
    </x:row>
    <x:row r="4490" ht="18" customHeight="1">
      <x:c r="A4490" s="25" t="str">
        <x:v>EEZ_962</x:v>
      </x:c>
      <x:c r="B4490" s="25" t="str">
        <x:v>tl_coverage_complete</x:v>
      </x:c>
      <x:c r="C4490" s="36" t="b">
        <x:v>1</x:v>
      </x:c>
      <x:c r="D4490" s="25" t="str">
        <x:v>boolean</x:v>
      </x:c>
    </x:row>
    <x:row r="4491" ht="18" customHeight="1">
      <x:c r="A4491" s="25" t="str">
        <x:v>EEZ_962</x:v>
      </x:c>
      <x:c r="B4491" s="25" t="str">
        <x:v>group_ppr_within_convexity_bound</x:v>
      </x:c>
      <x:c r="C4491" s="36" t="b">
        <x:v>1</x:v>
      </x:c>
      <x:c r="D4491" s="25" t="str">
        <x:v>boolean</x:v>
      </x:c>
    </x:row>
    <x:row r="4492" ht="18" customHeight="1">
      <x:c r="A4492" s="25" t="str">
        <x:v>EEZ_963</x:v>
      </x:c>
      <x:c r="B4492" s="25" t="str">
        <x:v>tl_coverage_complete</x:v>
      </x:c>
      <x:c r="C4492" s="36" t="b">
        <x:v>1</x:v>
      </x:c>
      <x:c r="D4492" s="25" t="str">
        <x:v>boolean</x:v>
      </x:c>
    </x:row>
    <x:row r="4493" ht="18" customHeight="1">
      <x:c r="A4493" s="25" t="str">
        <x:v>EEZ_963</x:v>
      </x:c>
      <x:c r="B4493" s="25" t="str">
        <x:v>group_ppr_within_convexity_bound</x:v>
      </x:c>
      <x:c r="C4493" s="36" t="b">
        <x:v>1</x:v>
      </x:c>
      <x:c r="D4493" s="25" t="str">
        <x:v>boolean</x:v>
      </x:c>
    </x:row>
    <x:row r="4494" ht="18" customHeight="1">
      <x:c r="A4494" s="25" t="str">
        <x:v>EEZ_966</x:v>
      </x:c>
      <x:c r="B4494" s="25" t="str">
        <x:v>tl_coverage_complete</x:v>
      </x:c>
      <x:c r="C4494" s="36" t="b">
        <x:v>1</x:v>
      </x:c>
      <x:c r="D4494" s="25" t="str">
        <x:v>boolean</x:v>
      </x:c>
    </x:row>
    <x:row r="4495" ht="18" customHeight="1">
      <x:c r="A4495" s="25" t="str">
        <x:v>EEZ_966</x:v>
      </x:c>
      <x:c r="B4495" s="25" t="str">
        <x:v>group_ppr_within_convexity_bound</x:v>
      </x:c>
      <x:c r="C4495" s="36" t="b">
        <x:v>1</x:v>
      </x:c>
      <x:c r="D4495" s="25" t="str">
        <x:v>boolean</x:v>
      </x:c>
    </x:row>
    <x:row r="4496" ht="18" customHeight="1">
      <x:c r="A4496" s="25" t="str">
        <x:v>EEZ_967</x:v>
      </x:c>
      <x:c r="B4496" s="25" t="str">
        <x:v>tl_coverage_complete</x:v>
      </x:c>
      <x:c r="C4496" s="36" t="b">
        <x:v>1</x:v>
      </x:c>
      <x:c r="D4496" s="25" t="str">
        <x:v>boolean</x:v>
      </x:c>
    </x:row>
    <x:row r="4497" ht="18" customHeight="1">
      <x:c r="A4497" s="25" t="str">
        <x:v>EEZ_967</x:v>
      </x:c>
      <x:c r="B4497" s="25" t="str">
        <x:v>group_ppr_within_convexity_bound</x:v>
      </x:c>
      <x:c r="C4497" s="36" t="b">
        <x:v>1</x:v>
      </x:c>
      <x:c r="D4497" s="25" t="str">
        <x:v>boolean</x:v>
      </x:c>
    </x:row>
    <x:row r="4498" ht="18" customHeight="1">
      <x:c r="A4498" s="25" t="str">
        <x:v>EEZ_968</x:v>
      </x:c>
      <x:c r="B4498" s="25" t="str">
        <x:v>tl_coverage_complete</x:v>
      </x:c>
      <x:c r="C4498" s="36" t="b">
        <x:v>1</x:v>
      </x:c>
      <x:c r="D4498" s="25" t="str">
        <x:v>boolean</x:v>
      </x:c>
    </x:row>
    <x:row r="4499" ht="18" customHeight="1">
      <x:c r="A4499" s="25" t="str">
        <x:v>EEZ_968</x:v>
      </x:c>
      <x:c r="B4499" s="25" t="str">
        <x:v>group_ppr_within_convexity_bound</x:v>
      </x:c>
      <x:c r="C4499" s="36" t="b">
        <x:v>1</x:v>
      </x:c>
      <x:c r="D4499" s="25" t="str">
        <x:v>boolean</x:v>
      </x:c>
    </x:row>
    <x:row r="4500" ht="18" customHeight="1">
      <x:c r="A4500" s="25" t="str">
        <x:v>EEZ_969</x:v>
      </x:c>
      <x:c r="B4500" s="25" t="str">
        <x:v>tl_coverage_complete</x:v>
      </x:c>
      <x:c r="C4500" s="36" t="b">
        <x:v>1</x:v>
      </x:c>
      <x:c r="D4500" s="25" t="str">
        <x:v>boolean</x:v>
      </x:c>
    </x:row>
    <x:row r="4501" ht="18" customHeight="1">
      <x:c r="A4501" s="25" t="str">
        <x:v>EEZ_969</x:v>
      </x:c>
      <x:c r="B4501" s="25" t="str">
        <x:v>group_ppr_within_convexity_bound</x:v>
      </x:c>
      <x:c r="C4501" s="36" t="b">
        <x:v>1</x:v>
      </x:c>
      <x:c r="D4501" s="25" t="str">
        <x:v>boolean</x:v>
      </x:c>
    </x:row>
    <x:row r="4502" ht="18" customHeight="1">
      <x:c r="A4502" s="25" t="str">
        <x:v>EEZ_970</x:v>
      </x:c>
      <x:c r="B4502" s="25" t="str">
        <x:v>tl_coverage_complete</x:v>
      </x:c>
      <x:c r="C4502" s="36" t="b">
        <x:v>1</x:v>
      </x:c>
      <x:c r="D4502" s="25" t="str">
        <x:v>boolean</x:v>
      </x:c>
    </x:row>
    <x:row r="4503" ht="18" customHeight="1">
      <x:c r="A4503" s="25" t="str">
        <x:v>EEZ_970</x:v>
      </x:c>
      <x:c r="B4503" s="25" t="str">
        <x:v>group_ppr_within_convexity_bound</x:v>
      </x:c>
      <x:c r="C4503" s="36" t="b">
        <x:v>1</x:v>
      </x:c>
      <x:c r="D4503" s="25" t="str">
        <x:v>boolean</x:v>
      </x:c>
    </x:row>
    <x:row r="4504" ht="18" customHeight="1">
      <x:c r="A4504" s="25" t="str">
        <x:v>EEZ_971</x:v>
      </x:c>
      <x:c r="B4504" s="25" t="str">
        <x:v>tl_coverage_complete</x:v>
      </x:c>
      <x:c r="C4504" s="36" t="b">
        <x:v>1</x:v>
      </x:c>
      <x:c r="D4504" s="25" t="str">
        <x:v>boolean</x:v>
      </x:c>
    </x:row>
    <x:row r="4505" ht="18" customHeight="1">
      <x:c r="A4505" s="25" t="str">
        <x:v>EEZ_971</x:v>
      </x:c>
      <x:c r="B4505" s="25" t="str">
        <x:v>group_ppr_within_convexity_bound</x:v>
      </x:c>
      <x:c r="C4505" s="36" t="b">
        <x:v>1</x:v>
      </x:c>
      <x:c r="D4505" s="25" t="str">
        <x:v>boolean</x:v>
      </x:c>
    </x:row>
    <x:row r="4506" ht="18" customHeight="1">
      <x:c r="A4506" s="25" t="str">
        <x:v>EEZ_972</x:v>
      </x:c>
      <x:c r="B4506" s="25" t="str">
        <x:v>tl_coverage_complete</x:v>
      </x:c>
      <x:c r="C4506" s="36" t="b">
        <x:v>1</x:v>
      </x:c>
      <x:c r="D4506" s="25" t="str">
        <x:v>boolean</x:v>
      </x:c>
    </x:row>
    <x:row r="4507" ht="18" customHeight="1">
      <x:c r="A4507" s="25" t="str">
        <x:v>EEZ_972</x:v>
      </x:c>
      <x:c r="B4507" s="25" t="str">
        <x:v>group_ppr_within_convexity_bound</x:v>
      </x:c>
      <x:c r="C4507" s="36" t="b">
        <x:v>1</x:v>
      </x:c>
      <x:c r="D4507" s="25" t="str">
        <x:v>boolean</x:v>
      </x:c>
    </x:row>
    <x:row r="4508" ht="18" customHeight="1">
      <x:c r="A4508" s="25" t="str">
        <x:v>EEZ_973</x:v>
      </x:c>
      <x:c r="B4508" s="25" t="str">
        <x:v>tl_coverage_complete</x:v>
      </x:c>
      <x:c r="C4508" s="36" t="b">
        <x:v>1</x:v>
      </x:c>
      <x:c r="D4508" s="25" t="str">
        <x:v>boolean</x:v>
      </x:c>
    </x:row>
    <x:row r="4509" ht="18" customHeight="1">
      <x:c r="A4509" s="25" t="str">
        <x:v>EEZ_973</x:v>
      </x:c>
      <x:c r="B4509" s="25" t="str">
        <x:v>group_ppr_within_convexity_bound</x:v>
      </x:c>
      <x:c r="C4509" s="36" t="b">
        <x:v>1</x:v>
      </x:c>
      <x:c r="D4509" s="25" t="str">
        <x:v>boolean</x:v>
      </x:c>
    </x:row>
    <x:row r="4510" ht="18" customHeight="1">
      <x:c r="A4510" s="25" t="str">
        <x:v>EEZ_974</x:v>
      </x:c>
      <x:c r="B4510" s="25" t="str">
        <x:v>tl_coverage_complete</x:v>
      </x:c>
      <x:c r="C4510" s="36" t="b">
        <x:v>1</x:v>
      </x:c>
      <x:c r="D4510" s="25" t="str">
        <x:v>boolean</x:v>
      </x:c>
    </x:row>
    <x:row r="4511" ht="18" customHeight="1">
      <x:c r="A4511" s="25" t="str">
        <x:v>EEZ_974</x:v>
      </x:c>
      <x:c r="B4511" s="25" t="str">
        <x:v>group_ppr_within_convexity_bound</x:v>
      </x:c>
      <x:c r="C4511" s="36" t="b">
        <x:v>1</x:v>
      </x:c>
      <x:c r="D4511" s="25" t="str">
        <x:v>boolean</x:v>
      </x:c>
    </x:row>
    <x:row r="4512" ht="18" customHeight="1">
      <x:c r="A4512" s="25" t="str">
        <x:v>EEZ_977</x:v>
      </x:c>
      <x:c r="B4512" s="25" t="str">
        <x:v>tl_coverage_complete</x:v>
      </x:c>
      <x:c r="C4512" s="36" t="b">
        <x:v>1</x:v>
      </x:c>
      <x:c r="D4512" s="25" t="str">
        <x:v>boolean</x:v>
      </x:c>
    </x:row>
    <x:row r="4513" ht="18" customHeight="1">
      <x:c r="A4513" s="25" t="str">
        <x:v>EEZ_977</x:v>
      </x:c>
      <x:c r="B4513" s="25" t="str">
        <x:v>group_ppr_within_convexity_bound</x:v>
      </x:c>
      <x:c r="C4513" s="36" t="b">
        <x:v>1</x:v>
      </x:c>
      <x:c r="D4513" s="25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3e89e3fd77547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15" hidden="0" customWidth="1"/>
    <x:col min="6" max="6" width="18" hidden="0" customWidth="1"/>
    <x:col min="7" max="7" width="18" hidden="0" customWidth="1"/>
    <x:col min="8" max="8" width="22" hidden="0" customWidth="1"/>
    <x:col min="9" max="9" width="16" hidden="0" customWidth="1"/>
    <x:col min="10" max="10" width="16" hidden="0" customWidth="1"/>
  </x:cols>
  <x:sheetData>
    <x:row r="1" ht="32" customHeight="1">
      <x:c r="A1" s="30" t="str">
        <x:v>unit_id</x:v>
      </x:c>
      <x:c r="B1" s="30" t="str">
        <x:v>match_method</x:v>
      </x:c>
      <x:c r="C1" s="30" t="str">
        <x:v>tl_source</x:v>
      </x:c>
      <x:c r="D1" s="30" t="str">
        <x:v>match_confidence</x:v>
      </x:c>
      <x:c r="E1" s="30" t="str">
        <x:v>taxa_count</x:v>
      </x:c>
      <x:c r="F1" s="30" t="str">
        <x:v>catch_tonnes</x:v>
      </x:c>
      <x:c r="G1" s="30" t="str">
        <x:v>unit_catch_tonnes</x:v>
      </x:c>
      <x:c r="H1" s="30" t="str">
        <x:v>unit_taxa</x:v>
      </x:c>
      <x:c r="I1" s="30" t="str">
        <x:v>taxa_fraction</x:v>
      </x:c>
      <x:c r="J1" s="30" t="str">
        <x:v>catch_fraction</x:v>
      </x:c>
    </x:row>
    <x:row r="2" ht="18" customHeight="1">
      <x:c r="A2" s="25" t="str">
        <x:v>EEZ_008</x:v>
      </x:c>
      <x:c r="B2" s="25" t="str">
        <x:v>exact_sea_around_us</x:v>
      </x:c>
      <x:c r="C2" s="33" t="str">
        <x:v>Sea Around Us exploited organisms</x:v>
      </x:c>
      <x:c r="D2" s="25" t="str">
        <x:v>high</x:v>
      </x:c>
      <x:c r="E2" s="35" t="n">
        <x:v>4</x:v>
      </x:c>
      <x:c r="F2" s="32" t="n">
        <x:v>6614.600603791</x:v>
      </x:c>
      <x:c r="G2" s="32" t="n">
        <x:v>7591.6342411198</x:v>
      </x:c>
      <x:c r="H2" s="25" t="n">
        <x:v>16</x:v>
      </x:c>
      <x:c r="I2" s="34" t="n">
        <x:v>0.25</x:v>
      </x:c>
      <x:c r="J2" s="34" t="n">
        <x:v>0.8713012763395879</x:v>
      </x:c>
    </x:row>
    <x:row r="3" ht="18" customHeight="1">
      <x:c r="A3" s="25" t="str">
        <x:v>EEZ_008</x:v>
      </x:c>
      <x:c r="B3" s="25" t="str">
        <x:v>exact_2020_supplement</x:v>
      </x:c>
      <x:c r="C3" s="33" t="str">
        <x:v>2020 supplement MeanTL</x:v>
      </x:c>
      <x:c r="D3" s="25" t="str">
        <x:v>high</x:v>
      </x:c>
      <x:c r="E3" s="35" t="n">
        <x:v>12</x:v>
      </x:c>
      <x:c r="F3" s="32" t="n">
        <x:v>977.0336373288001</x:v>
      </x:c>
      <x:c r="G3" s="32" t="n">
        <x:v>7591.6342411198</x:v>
      </x:c>
      <x:c r="H3" s="25" t="n">
        <x:v>16</x:v>
      </x:c>
      <x:c r="I3" s="34" t="n">
        <x:v>0.75</x:v>
      </x:c>
      <x:c r="J3" s="34" t="n">
        <x:v>0.12869872366041218</x:v>
      </x:c>
    </x:row>
    <x:row r="4" ht="18" customHeight="1">
      <x:c r="A4" s="25" t="str">
        <x:v>EEZ_012</x:v>
      </x:c>
      <x:c r="B4" s="25" t="str">
        <x:v>exact_2020_supplement</x:v>
      </x:c>
      <x:c r="C4" s="33" t="str">
        <x:v>2020 supplement MeanTL</x:v>
      </x:c>
      <x:c r="D4" s="25" t="str">
        <x:v>high</x:v>
      </x:c>
      <x:c r="E4" s="35" t="n">
        <x:v>116</x:v>
      </x:c>
      <x:c r="F4" s="32" t="n">
        <x:v>129594.07623864</x:v>
      </x:c>
      <x:c r="G4" s="32" t="n">
        <x:v>236644.15639922052</x:v>
      </x:c>
      <x:c r="H4" s="25" t="n">
        <x:v>187</x:v>
      </x:c>
      <x:c r="I4" s="34" t="n">
        <x:v>0.6203208556149733</x:v>
      </x:c>
      <x:c r="J4" s="34" t="n">
        <x:v>0.5476326912548553</x:v>
      </x:c>
    </x:row>
    <x:row r="5" ht="18" customHeight="1">
      <x:c r="A5" s="25" t="str">
        <x:v>EEZ_012</x:v>
      </x:c>
      <x:c r="B5" s="25" t="str">
        <x:v>exact_sea_around_us</x:v>
      </x:c>
      <x:c r="C5" s="33" t="str">
        <x:v>Sea Around Us exploited organisms</x:v>
      </x:c>
      <x:c r="D5" s="25" t="str">
        <x:v>high</x:v>
      </x:c>
      <x:c r="E5" s="35" t="n">
        <x:v>71</x:v>
      </x:c>
      <x:c r="F5" s="32" t="n">
        <x:v>107050.0801605805</x:v>
      </x:c>
      <x:c r="G5" s="32" t="n">
        <x:v>236644.15639922052</x:v>
      </x:c>
      <x:c r="H5" s="25" t="n">
        <x:v>187</x:v>
      </x:c>
      <x:c r="I5" s="34" t="n">
        <x:v>0.37967914438502676</x:v>
      </x:c>
      <x:c r="J5" s="34" t="n">
        <x:v>0.4523673087451447</x:v>
      </x:c>
    </x:row>
    <x:row r="6" ht="18" customHeight="1">
      <x:c r="A6" s="25" t="str">
        <x:v>EEZ_016</x:v>
      </x:c>
      <x:c r="B6" s="25" t="str">
        <x:v>exact_2020_supplement</x:v>
      </x:c>
      <x:c r="C6" s="33" t="str">
        <x:v>2020 supplement MeanTL</x:v>
      </x:c>
      <x:c r="D6" s="25" t="str">
        <x:v>high</x:v>
      </x:c>
      <x:c r="E6" s="35" t="n">
        <x:v>58</x:v>
      </x:c>
      <x:c r="F6" s="32" t="n">
        <x:v>4791.3298358905</x:v>
      </x:c>
      <x:c r="G6" s="32" t="n">
        <x:v>5598.6723460216</x:v>
      </x:c>
      <x:c r="H6" s="25" t="n">
        <x:v>109</x:v>
      </x:c>
      <x:c r="I6" s="34" t="n">
        <x:v>0.5321100917431193</x:v>
      </x:c>
      <x:c r="J6" s="34" t="n">
        <x:v>0.855797506938445</x:v>
      </x:c>
    </x:row>
    <x:row r="7" ht="18" customHeight="1">
      <x:c r="A7" s="25" t="str">
        <x:v>EEZ_016</x:v>
      </x:c>
      <x:c r="B7" s="25" t="str">
        <x:v>exact_sea_around_us</x:v>
      </x:c>
      <x:c r="C7" s="33" t="str">
        <x:v>Sea Around Us exploited organisms</x:v>
      </x:c>
      <x:c r="D7" s="25" t="str">
        <x:v>high</x:v>
      </x:c>
      <x:c r="E7" s="35" t="n">
        <x:v>51</x:v>
      </x:c>
      <x:c r="F7" s="32" t="n">
        <x:v>807.3425101311</x:v>
      </x:c>
      <x:c r="G7" s="32" t="n">
        <x:v>5598.6723460216</x:v>
      </x:c>
      <x:c r="H7" s="25" t="n">
        <x:v>109</x:v>
      </x:c>
      <x:c r="I7" s="34" t="n">
        <x:v>0.46788990825688076</x:v>
      </x:c>
      <x:c r="J7" s="34" t="n">
        <x:v>0.14420249306155505</x:v>
      </x:c>
    </x:row>
    <x:row r="8" ht="18" customHeight="1">
      <x:c r="A8" s="25" t="str">
        <x:v>EEZ_024</x:v>
      </x:c>
      <x:c r="B8" s="25" t="str">
        <x:v>exact_sea_around_us</x:v>
      </x:c>
      <x:c r="C8" s="33" t="str">
        <x:v>Sea Around Us exploited organisms</x:v>
      </x:c>
      <x:c r="D8" s="25" t="str">
        <x:v>high</x:v>
      </x:c>
      <x:c r="E8" s="35" t="n">
        <x:v>54</x:v>
      </x:c>
      <x:c r="F8" s="32" t="n">
        <x:v>462634.5018377744</x:v>
      </x:c>
      <x:c r="G8" s="32" t="n">
        <x:v>619737.0070171057</x:v>
      </x:c>
      <x:c r="H8" s="25" t="n">
        <x:v>120</x:v>
      </x:c>
      <x:c r="I8" s="34" t="n">
        <x:v>0.45</x:v>
      </x:c>
      <x:c r="J8" s="34" t="n">
        <x:v>0.7465013329839846</x:v>
      </x:c>
    </x:row>
    <x:row r="9" ht="18" customHeight="1">
      <x:c r="A9" s="25" t="str">
        <x:v>EEZ_024</x:v>
      </x:c>
      <x:c r="B9" s="25" t="str">
        <x:v>exact_2020_supplement</x:v>
      </x:c>
      <x:c r="C9" s="33" t="str">
        <x:v>2020 supplement MeanTL</x:v>
      </x:c>
      <x:c r="D9" s="25" t="str">
        <x:v>high</x:v>
      </x:c>
      <x:c r="E9" s="35" t="n">
        <x:v>66</x:v>
      </x:c>
      <x:c r="F9" s="32" t="n">
        <x:v>157102.5051793313</x:v>
      </x:c>
      <x:c r="G9" s="32" t="n">
        <x:v>619737.0070171057</x:v>
      </x:c>
      <x:c r="H9" s="25" t="n">
        <x:v>120</x:v>
      </x:c>
      <x:c r="I9" s="34" t="n">
        <x:v>0.55</x:v>
      </x:c>
      <x:c r="J9" s="34" t="n">
        <x:v>0.2534986670160154</x:v>
      </x:c>
    </x:row>
    <x:row r="10" ht="18" customHeight="1">
      <x:c r="A10" s="25" t="str">
        <x:v>EEZ_028</x:v>
      </x:c>
      <x:c r="B10" s="25" t="str">
        <x:v>exact_sea_around_us</x:v>
      </x:c>
      <x:c r="C10" s="33" t="str">
        <x:v>Sea Around Us exploited organisms</x:v>
      </x:c>
      <x:c r="D10" s="25" t="str">
        <x:v>high</x:v>
      </x:c>
      <x:c r="E10" s="35" t="n">
        <x:v>19</x:v>
      </x:c>
      <x:c r="F10" s="32" t="n">
        <x:v>3754.3180946939997</x:v>
      </x:c>
      <x:c r="G10" s="32" t="n">
        <x:v>3754.3180946939997</x:v>
      </x:c>
      <x:c r="H10" s="25" t="n">
        <x:v>19</x:v>
      </x:c>
      <x:c r="I10" s="34" t="n">
        <x:v>1</x:v>
      </x:c>
      <x:c r="J10" s="34" t="n">
        <x:v>1</x:v>
      </x:c>
    </x:row>
    <x:row r="11" ht="18" customHeight="1">
      <x:c r="A11" s="25" t="str">
        <x:v>EEZ_032</x:v>
      </x:c>
      <x:c r="B11" s="25" t="str">
        <x:v>exact_2020_supplement</x:v>
      </x:c>
      <x:c r="C11" s="33" t="str">
        <x:v>2020 supplement MeanTL</x:v>
      </x:c>
      <x:c r="D11" s="25" t="str">
        <x:v>high</x:v>
      </x:c>
      <x:c r="E11" s="35" t="n">
        <x:v>52</x:v>
      </x:c>
      <x:c r="F11" s="32" t="n">
        <x:v>1015967.683765324</x:v>
      </x:c>
      <x:c r="G11" s="32" t="n">
        <x:v>1455579.1588488943</x:v>
      </x:c>
      <x:c r="H11" s="25" t="n">
        <x:v>86</x:v>
      </x:c>
      <x:c r="I11" s="34" t="n">
        <x:v>0.6046511627906976</x:v>
      </x:c>
      <x:c r="J11" s="34" t="n">
        <x:v>0.6979817467081452</x:v>
      </x:c>
    </x:row>
    <x:row r="12" ht="18" customHeight="1">
      <x:c r="A12" s="25" t="str">
        <x:v>EEZ_032</x:v>
      </x:c>
      <x:c r="B12" s="25" t="str">
        <x:v>exact_sea_around_us</x:v>
      </x:c>
      <x:c r="C12" s="33" t="str">
        <x:v>Sea Around Us exploited organisms</x:v>
      </x:c>
      <x:c r="D12" s="25" t="str">
        <x:v>high</x:v>
      </x:c>
      <x:c r="E12" s="35" t="n">
        <x:v>34</x:v>
      </x:c>
      <x:c r="F12" s="32" t="n">
        <x:v>439611.4750835704</x:v>
      </x:c>
      <x:c r="G12" s="32" t="n">
        <x:v>1455579.1588488943</x:v>
      </x:c>
      <x:c r="H12" s="25" t="n">
        <x:v>86</x:v>
      </x:c>
      <x:c r="I12" s="34" t="n">
        <x:v>0.3953488372093023</x:v>
      </x:c>
      <x:c r="J12" s="34" t="n">
        <x:v>0.3020182532918549</x:v>
      </x:c>
    </x:row>
    <x:row r="13" ht="18" customHeight="1">
      <x:c r="A13" s="25" t="str">
        <x:v>EEZ_036</x:v>
      </x:c>
      <x:c r="B13" s="25" t="str">
        <x:v>exact_sea_around_us</x:v>
      </x:c>
      <x:c r="C13" s="33" t="str">
        <x:v>Sea Around Us exploited organisms</x:v>
      </x:c>
      <x:c r="D13" s="25" t="str">
        <x:v>high</x:v>
      </x:c>
      <x:c r="E13" s="35" t="n">
        <x:v>245</x:v>
      </x:c>
      <x:c r="F13" s="32" t="n">
        <x:v>115219.3949726247</x:v>
      </x:c>
      <x:c r="G13" s="32" t="n">
        <x:v>228804.7535442354</x:v>
      </x:c>
      <x:c r="H13" s="25" t="n">
        <x:v>529</x:v>
      </x:c>
      <x:c r="I13" s="34" t="n">
        <x:v>0.46313799621928164</x:v>
      </x:c>
      <x:c r="J13" s="34" t="n">
        <x:v>0.5035708095564065</x:v>
      </x:c>
    </x:row>
    <x:row r="14" ht="18" customHeight="1">
      <x:c r="A14" s="25" t="str">
        <x:v>EEZ_036</x:v>
      </x:c>
      <x:c r="B14" s="25" t="str">
        <x:v>exact_2020_supplement</x:v>
      </x:c>
      <x:c r="C14" s="33" t="str">
        <x:v>2020 supplement MeanTL</x:v>
      </x:c>
      <x:c r="D14" s="25" t="str">
        <x:v>high</x:v>
      </x:c>
      <x:c r="E14" s="35" t="n">
        <x:v>284</x:v>
      </x:c>
      <x:c r="F14" s="32" t="n">
        <x:v>113585.3585716107</x:v>
      </x:c>
      <x:c r="G14" s="32" t="n">
        <x:v>228804.7535442354</x:v>
      </x:c>
      <x:c r="H14" s="25" t="n">
        <x:v>529</x:v>
      </x:c>
      <x:c r="I14" s="34" t="n">
        <x:v>0.5368620037807184</x:v>
      </x:c>
      <x:c r="J14" s="34" t="n">
        <x:v>0.49642919044359346</x:v>
      </x:c>
    </x:row>
    <x:row r="15" ht="18" customHeight="1">
      <x:c r="A15" s="25" t="str">
        <x:v>EEZ_037</x:v>
      </x:c>
      <x:c r="B15" s="25" t="str">
        <x:v>exact_2020_supplement</x:v>
      </x:c>
      <x:c r="C15" s="33" t="str">
        <x:v>2020 supplement MeanTL</x:v>
      </x:c>
      <x:c r="D15" s="25" t="str">
        <x:v>high</x:v>
      </x:c>
      <x:c r="E15" s="35" t="n">
        <x:v>1</x:v>
      </x:c>
      <x:c r="F15" s="32" t="n">
        <x:v>434.33</x:v>
      </x:c>
      <x:c r="G15" s="32" t="n">
        <x:v>434.33</x:v>
      </x:c>
      <x:c r="H15" s="25" t="n">
        <x:v>1</x:v>
      </x:c>
      <x:c r="I15" s="34" t="n">
        <x:v>1</x:v>
      </x:c>
      <x:c r="J15" s="34" t="n">
        <x:v>1</x:v>
      </x:c>
    </x:row>
    <x:row r="16" ht="18" customHeight="1">
      <x:c r="A16" s="25" t="str">
        <x:v>EEZ_038</x:v>
      </x:c>
      <x:c r="B16" s="25" t="str">
        <x:v>exact_2020_supplement</x:v>
      </x:c>
      <x:c r="C16" s="33" t="str">
        <x:v>2020 supplement MeanTL</x:v>
      </x:c>
      <x:c r="D16" s="25" t="str">
        <x:v>high</x:v>
      </x:c>
      <x:c r="E16" s="35" t="n">
        <x:v>14</x:v>
      </x:c>
      <x:c r="F16" s="32" t="n">
        <x:v>96.5683866883</x:v>
      </x:c>
      <x:c r="G16" s="32" t="n">
        <x:v>111.5646524811</x:v>
      </x:c>
      <x:c r="H16" s="25" t="n">
        <x:v>18</x:v>
      </x:c>
      <x:c r="I16" s="34" t="n">
        <x:v>0.7777777777777778</x:v>
      </x:c>
      <x:c r="J16" s="34" t="n">
        <x:v>0.8655822838211189</x:v>
      </x:c>
    </x:row>
    <x:row r="17" ht="18" customHeight="1">
      <x:c r="A17" s="25" t="str">
        <x:v>EEZ_038</x:v>
      </x:c>
      <x:c r="B17" s="25" t="str">
        <x:v>exact_sea_around_us</x:v>
      </x:c>
      <x:c r="C17" s="33" t="str">
        <x:v>Sea Around Us exploited organisms</x:v>
      </x:c>
      <x:c r="D17" s="25" t="str">
        <x:v>high</x:v>
      </x:c>
      <x:c r="E17" s="35" t="n">
        <x:v>4</x:v>
      </x:c>
      <x:c r="F17" s="32" t="n">
        <x:v>14.996265792800001</x:v>
      </x:c>
      <x:c r="G17" s="32" t="n">
        <x:v>111.5646524811</x:v>
      </x:c>
      <x:c r="H17" s="25" t="n">
        <x:v>18</x:v>
      </x:c>
      <x:c r="I17" s="34" t="n">
        <x:v>0.2222222222222222</x:v>
      </x:c>
      <x:c r="J17" s="34" t="n">
        <x:v>0.1344177161788811</x:v>
      </x:c>
    </x:row>
    <x:row r="18" ht="18" customHeight="1">
      <x:c r="A18" s="25" t="str">
        <x:v>EEZ_044</x:v>
      </x:c>
      <x:c r="B18" s="25" t="str">
        <x:v>exact_sea_around_us</x:v>
      </x:c>
      <x:c r="C18" s="33" t="str">
        <x:v>Sea Around Us exploited organisms</x:v>
      </x:c>
      <x:c r="D18" s="25" t="str">
        <x:v>high</x:v>
      </x:c>
      <x:c r="E18" s="35" t="n">
        <x:v>13</x:v>
      </x:c>
      <x:c r="F18" s="32" t="n">
        <x:v>13464.9610659419</x:v>
      </x:c>
      <x:c r="G18" s="32" t="n">
        <x:v>18392.7135678369</x:v>
      </x:c>
      <x:c r="H18" s="25" t="n">
        <x:v>43</x:v>
      </x:c>
      <x:c r="I18" s="34" t="n">
        <x:v>0.3023255813953488</x:v>
      </x:c>
      <x:c r="J18" s="34" t="n">
        <x:v>0.7320812677411506</x:v>
      </x:c>
    </x:row>
    <x:row r="19" ht="18" customHeight="1">
      <x:c r="A19" s="25" t="str">
        <x:v>EEZ_044</x:v>
      </x:c>
      <x:c r="B19" s="25" t="str">
        <x:v>exact_2020_supplement</x:v>
      </x:c>
      <x:c r="C19" s="33" t="str">
        <x:v>2020 supplement MeanTL</x:v>
      </x:c>
      <x:c r="D19" s="25" t="str">
        <x:v>high</x:v>
      </x:c>
      <x:c r="E19" s="35" t="n">
        <x:v>30</x:v>
      </x:c>
      <x:c r="F19" s="32" t="n">
        <x:v>4927.752501895</x:v>
      </x:c>
      <x:c r="G19" s="32" t="n">
        <x:v>18392.7135678369</x:v>
      </x:c>
      <x:c r="H19" s="25" t="n">
        <x:v>43</x:v>
      </x:c>
      <x:c r="I19" s="34" t="n">
        <x:v>0.6976744186046512</x:v>
      </x:c>
      <x:c r="J19" s="34" t="n">
        <x:v>0.2679187322588493</x:v>
      </x:c>
    </x:row>
    <x:row r="20" ht="18" customHeight="1">
      <x:c r="A20" s="25" t="str">
        <x:v>EEZ_048</x:v>
      </x:c>
      <x:c r="B20" s="25" t="str">
        <x:v>exact_sea_around_us</x:v>
      </x:c>
      <x:c r="C20" s="33" t="str">
        <x:v>Sea Around Us exploited organisms</x:v>
      </x:c>
      <x:c r="D20" s="25" t="str">
        <x:v>high</x:v>
      </x:c>
      <x:c r="E20" s="35" t="n">
        <x:v>29</x:v>
      </x:c>
      <x:c r="F20" s="32" t="n">
        <x:v>29843.09947728</x:v>
      </x:c>
      <x:c r="G20" s="32" t="n">
        <x:v>40820.826476503</x:v>
      </x:c>
      <x:c r="H20" s="25" t="n">
        <x:v>55</x:v>
      </x:c>
      <x:c r="I20" s="34" t="n">
        <x:v>0.5272727272727272</x:v>
      </x:c>
      <x:c r="J20" s="34" t="n">
        <x:v>0.7310753371066133</x:v>
      </x:c>
    </x:row>
    <x:row r="21" ht="18" customHeight="1">
      <x:c r="A21" s="25" t="str">
        <x:v>EEZ_048</x:v>
      </x:c>
      <x:c r="B21" s="25" t="str">
        <x:v>exact_2020_supplement</x:v>
      </x:c>
      <x:c r="C21" s="33" t="str">
        <x:v>2020 supplement MeanTL</x:v>
      </x:c>
      <x:c r="D21" s="25" t="str">
        <x:v>high</x:v>
      </x:c>
      <x:c r="E21" s="35" t="n">
        <x:v>26</x:v>
      </x:c>
      <x:c r="F21" s="32" t="n">
        <x:v>10977.726999223</x:v>
      </x:c>
      <x:c r="G21" s="32" t="n">
        <x:v>40820.826476503</x:v>
      </x:c>
      <x:c r="H21" s="25" t="n">
        <x:v>55</x:v>
      </x:c>
      <x:c r="I21" s="34" t="n">
        <x:v>0.4727272727272727</x:v>
      </x:c>
      <x:c r="J21" s="34" t="n">
        <x:v>0.26892466289338657</x:v>
      </x:c>
    </x:row>
    <x:row r="22" ht="18" customHeight="1">
      <x:c r="A22" s="25" t="str">
        <x:v>EEZ_050</x:v>
      </x:c>
      <x:c r="B22" s="25" t="str">
        <x:v>exact_2020_supplement</x:v>
      </x:c>
      <x:c r="C22" s="33" t="str">
        <x:v>2020 supplement MeanTL</x:v>
      </x:c>
      <x:c r="D22" s="25" t="str">
        <x:v>high</x:v>
      </x:c>
      <x:c r="E22" s="35" t="n">
        <x:v>47</x:v>
      </x:c>
      <x:c r="F22" s="32" t="n">
        <x:v>569232.9680145009</x:v>
      </x:c>
      <x:c r="G22" s="32" t="n">
        <x:v>1114582.7199230574</x:v>
      </x:c>
      <x:c r="H22" s="25" t="n">
        <x:v>116</x:v>
      </x:c>
      <x:c r="I22" s="34" t="n">
        <x:v>0.4051724137931034</x:v>
      </x:c>
      <x:c r="J22" s="34" t="n">
        <x:v>0.5107139720000294</x:v>
      </x:c>
    </x:row>
    <x:row r="23" ht="18" customHeight="1">
      <x:c r="A23" s="25" t="str">
        <x:v>EEZ_050</x:v>
      </x:c>
      <x:c r="B23" s="25" t="str">
        <x:v>exact_sea_around_us</x:v>
      </x:c>
      <x:c r="C23" s="33" t="str">
        <x:v>Sea Around Us exploited organisms</x:v>
      </x:c>
      <x:c r="D23" s="25" t="str">
        <x:v>high</x:v>
      </x:c>
      <x:c r="E23" s="35" t="n">
        <x:v>69</x:v>
      </x:c>
      <x:c r="F23" s="32" t="n">
        <x:v>545349.7519085566</x:v>
      </x:c>
      <x:c r="G23" s="32" t="n">
        <x:v>1114582.7199230574</x:v>
      </x:c>
      <x:c r="H23" s="25" t="n">
        <x:v>116</x:v>
      </x:c>
      <x:c r="I23" s="34" t="n">
        <x:v>0.5948275862068966</x:v>
      </x:c>
      <x:c r="J23" s="34" t="n">
        <x:v>0.48928602799997073</x:v>
      </x:c>
    </x:row>
    <x:row r="24" ht="18" customHeight="1">
      <x:c r="A24" s="25" t="str">
        <x:v>EEZ_052</x:v>
      </x:c>
      <x:c r="B24" s="25" t="str">
        <x:v>exact_sea_around_us</x:v>
      </x:c>
      <x:c r="C24" s="33" t="str">
        <x:v>Sea Around Us exploited organisms</x:v>
      </x:c>
      <x:c r="D24" s="25" t="str">
        <x:v>high</x:v>
      </x:c>
      <x:c r="E24" s="35" t="n">
        <x:v>25</x:v>
      </x:c>
      <x:c r="F24" s="32" t="n">
        <x:v>2668.8700587697</x:v>
      </x:c>
      <x:c r="G24" s="32" t="n">
        <x:v>3109.8835019505</x:v>
      </x:c>
      <x:c r="H24" s="25" t="n">
        <x:v>47</x:v>
      </x:c>
      <x:c r="I24" s="34" t="n">
        <x:v>0.5319148936170213</x:v>
      </x:c>
      <x:c r="J24" s="34" t="n">
        <x:v>0.8581897222503032</x:v>
      </x:c>
    </x:row>
    <x:row r="25" ht="18" customHeight="1">
      <x:c r="A25" s="25" t="str">
        <x:v>EEZ_052</x:v>
      </x:c>
      <x:c r="B25" s="25" t="str">
        <x:v>exact_2020_supplement</x:v>
      </x:c>
      <x:c r="C25" s="33" t="str">
        <x:v>2020 supplement MeanTL</x:v>
      </x:c>
      <x:c r="D25" s="25" t="str">
        <x:v>high</x:v>
      </x:c>
      <x:c r="E25" s="35" t="n">
        <x:v>22</x:v>
      </x:c>
      <x:c r="F25" s="32" t="n">
        <x:v>441.0134431808</x:v>
      </x:c>
      <x:c r="G25" s="32" t="n">
        <x:v>3109.8835019505</x:v>
      </x:c>
      <x:c r="H25" s="25" t="n">
        <x:v>47</x:v>
      </x:c>
      <x:c r="I25" s="34" t="n">
        <x:v>0.46808510638297873</x:v>
      </x:c>
      <x:c r="J25" s="34" t="n">
        <x:v>0.14181027774969673</x:v>
      </x:c>
    </x:row>
    <x:row r="26" ht="18" customHeight="1">
      <x:c r="A26" s="25" t="str">
        <x:v>EEZ_056</x:v>
      </x:c>
      <x:c r="B26" s="25" t="str">
        <x:v>exact_2020_supplement</x:v>
      </x:c>
      <x:c r="C26" s="33" t="str">
        <x:v>2020 supplement MeanTL</x:v>
      </x:c>
      <x:c r="D26" s="25" t="str">
        <x:v>high</x:v>
      </x:c>
      <x:c r="E26" s="35" t="n">
        <x:v>84</x:v>
      </x:c>
      <x:c r="F26" s="32" t="n">
        <x:v>4099.5541987521</x:v>
      </x:c>
      <x:c r="G26" s="32" t="n">
        <x:v>4482.8223030263</x:v>
      </x:c>
      <x:c r="H26" s="25" t="n">
        <x:v>153</x:v>
      </x:c>
      <x:c r="I26" s="34" t="n">
        <x:v>0.5490196078431373</x:v>
      </x:c>
      <x:c r="J26" s="34" t="n">
        <x:v>0.9145029451612525</x:v>
      </x:c>
    </x:row>
    <x:row r="27" ht="18" customHeight="1">
      <x:c r="A27" s="25" t="str">
        <x:v>EEZ_056</x:v>
      </x:c>
      <x:c r="B27" s="25" t="str">
        <x:v>exact_sea_around_us</x:v>
      </x:c>
      <x:c r="C27" s="33" t="str">
        <x:v>Sea Around Us exploited organisms</x:v>
      </x:c>
      <x:c r="D27" s="25" t="str">
        <x:v>high</x:v>
      </x:c>
      <x:c r="E27" s="35" t="n">
        <x:v>69</x:v>
      </x:c>
      <x:c r="F27" s="32" t="n">
        <x:v>383.2681042742</x:v>
      </x:c>
      <x:c r="G27" s="32" t="n">
        <x:v>4482.8223030263</x:v>
      </x:c>
      <x:c r="H27" s="25" t="n">
        <x:v>153</x:v>
      </x:c>
      <x:c r="I27" s="34" t="n">
        <x:v>0.45098039215686275</x:v>
      </x:c>
      <x:c r="J27" s="34" t="n">
        <x:v>0.08549705483874752</x:v>
      </x:c>
    </x:row>
    <x:row r="28" ht="18" customHeight="1">
      <x:c r="A28" s="25" t="str">
        <x:v>EEZ_060</x:v>
      </x:c>
      <x:c r="B28" s="25" t="str">
        <x:v>exact_2020_supplement</x:v>
      </x:c>
      <x:c r="C28" s="33" t="str">
        <x:v>2020 supplement MeanTL</x:v>
      </x:c>
      <x:c r="D28" s="25" t="str">
        <x:v>high</x:v>
      </x:c>
      <x:c r="E28" s="35" t="n">
        <x:v>23</x:v>
      </x:c>
      <x:c r="F28" s="32" t="n">
        <x:v>669.3747326074</x:v>
      </x:c>
      <x:c r="G28" s="32" t="n">
        <x:v>873.7608096846</x:v>
      </x:c>
      <x:c r="H28" s="25" t="n">
        <x:v>37</x:v>
      </x:c>
      <x:c r="I28" s="34" t="n">
        <x:v>0.6216216216216216</x:v>
      </x:c>
      <x:c r="J28" s="34" t="n">
        <x:v>0.7660846368802271</x:v>
      </x:c>
    </x:row>
    <x:row r="29" ht="18" customHeight="1">
      <x:c r="A29" s="25" t="str">
        <x:v>EEZ_060</x:v>
      </x:c>
      <x:c r="B29" s="25" t="str">
        <x:v>exact_sea_around_us</x:v>
      </x:c>
      <x:c r="C29" s="33" t="str">
        <x:v>Sea Around Us exploited organisms</x:v>
      </x:c>
      <x:c r="D29" s="25" t="str">
        <x:v>high</x:v>
      </x:c>
      <x:c r="E29" s="35" t="n">
        <x:v>14</x:v>
      </x:c>
      <x:c r="F29" s="32" t="n">
        <x:v>204.3860770772</x:v>
      </x:c>
      <x:c r="G29" s="32" t="n">
        <x:v>873.7608096846</x:v>
      </x:c>
      <x:c r="H29" s="25" t="n">
        <x:v>37</x:v>
      </x:c>
      <x:c r="I29" s="34" t="n">
        <x:v>0.3783783783783784</x:v>
      </x:c>
      <x:c r="J29" s="34" t="n">
        <x:v>0.23391536311977293</x:v>
      </x:c>
    </x:row>
    <x:row r="30" ht="18" customHeight="1">
      <x:c r="A30" s="25" t="str">
        <x:v>EEZ_070</x:v>
      </x:c>
      <x:c r="B30" s="25" t="str">
        <x:v>exact_sea_around_us</x:v>
      </x:c>
      <x:c r="C30" s="33" t="str">
        <x:v>Sea Around Us exploited organisms</x:v>
      </x:c>
      <x:c r="D30" s="25" t="str">
        <x:v>high</x:v>
      </x:c>
      <x:c r="E30" s="35" t="n">
        <x:v>25</x:v>
      </x:c>
      <x:c r="F30" s="32" t="n">
        <x:v>54.29205287</x:v>
      </x:c>
      <x:c r="G30" s="32" t="n">
        <x:v>61.020557292999996</x:v>
      </x:c>
      <x:c r="H30" s="25" t="n">
        <x:v>45</x:v>
      </x:c>
      <x:c r="I30" s="34" t="n">
        <x:v>0.5555555555555556</x:v>
      </x:c>
      <x:c r="J30" s="34" t="n">
        <x:v>0.8897338090392718</x:v>
      </x:c>
    </x:row>
    <x:row r="31" ht="18" customHeight="1">
      <x:c r="A31" s="25" t="str">
        <x:v>EEZ_070</x:v>
      </x:c>
      <x:c r="B31" s="25" t="str">
        <x:v>exact_2020_supplement</x:v>
      </x:c>
      <x:c r="C31" s="33" t="str">
        <x:v>2020 supplement MeanTL</x:v>
      </x:c>
      <x:c r="D31" s="25" t="str">
        <x:v>high</x:v>
      </x:c>
      <x:c r="E31" s="35" t="n">
        <x:v>20</x:v>
      </x:c>
      <x:c r="F31" s="32" t="n">
        <x:v>6.728504423</x:v>
      </x:c>
      <x:c r="G31" s="32" t="n">
        <x:v>61.020557292999996</x:v>
      </x:c>
      <x:c r="H31" s="25" t="n">
        <x:v>45</x:v>
      </x:c>
      <x:c r="I31" s="34" t="n">
        <x:v>0.4444444444444444</x:v>
      </x:c>
      <x:c r="J31" s="34" t="n">
        <x:v>0.11026619096072832</x:v>
      </x:c>
    </x:row>
    <x:row r="32" ht="18" customHeight="1">
      <x:c r="A32" s="25" t="str">
        <x:v>EEZ_074</x:v>
      </x:c>
      <x:c r="B32" s="25" t="str">
        <x:v>exact_sea_around_us</x:v>
      </x:c>
      <x:c r="C32" s="33" t="str">
        <x:v>Sea Around Us exploited organisms</x:v>
      </x:c>
      <x:c r="D32" s="25" t="str">
        <x:v>high</x:v>
      </x:c>
      <x:c r="E32" s="35" t="n">
        <x:v>7</x:v>
      </x:c>
      <x:c r="F32" s="32" t="n">
        <x:v>133.2458818532</x:v>
      </x:c>
      <x:c r="G32" s="32" t="n">
        <x:v>133.56110065549998</x:v>
      </x:c>
      <x:c r="H32" s="25" t="n">
        <x:v>10</x:v>
      </x:c>
      <x:c r="I32" s="34" t="n">
        <x:v>0.7</x:v>
      </x:c>
      <x:c r="J32" s="34" t="n">
        <x:v>0.9976398906511481</x:v>
      </x:c>
    </x:row>
    <x:row r="33" ht="18" customHeight="1">
      <x:c r="A33" s="25" t="str">
        <x:v>EEZ_074</x:v>
      </x:c>
      <x:c r="B33" s="25" t="str">
        <x:v>exact_2020_supplement</x:v>
      </x:c>
      <x:c r="C33" s="33" t="str">
        <x:v>2020 supplement MeanTL</x:v>
      </x:c>
      <x:c r="D33" s="25" t="str">
        <x:v>high</x:v>
      </x:c>
      <x:c r="E33" s="35" t="n">
        <x:v>3</x:v>
      </x:c>
      <x:c r="F33" s="32" t="n">
        <x:v>0.3152188023</x:v>
      </x:c>
      <x:c r="G33" s="32" t="n">
        <x:v>133.56110065549998</x:v>
      </x:c>
      <x:c r="H33" s="25" t="n">
        <x:v>10</x:v>
      </x:c>
      <x:c r="I33" s="34" t="n">
        <x:v>0.3</x:v>
      </x:c>
      <x:c r="J33" s="34" t="n">
        <x:v>0.0023601093488519365</x:v>
      </x:c>
    </x:row>
    <x:row r="34" ht="18" customHeight="1">
      <x:c r="A34" s="25" t="str">
        <x:v>EEZ_076</x:v>
      </x:c>
      <x:c r="B34" s="25" t="str">
        <x:v>exact_2020_supplement</x:v>
      </x:c>
      <x:c r="C34" s="33" t="str">
        <x:v>2020 supplement MeanTL</x:v>
      </x:c>
      <x:c r="D34" s="25" t="str">
        <x:v>high</x:v>
      </x:c>
      <x:c r="E34" s="35" t="n">
        <x:v>152</x:v>
      </x:c>
      <x:c r="F34" s="32" t="n">
        <x:v>555587.4655147367</x:v>
      </x:c>
      <x:c r="G34" s="32" t="n">
        <x:v>904109.1796290667</x:v>
      </x:c>
      <x:c r="H34" s="25" t="n">
        <x:v>274</x:v>
      </x:c>
      <x:c r="I34" s="34" t="n">
        <x:v>0.5547445255474452</x:v>
      </x:c>
      <x:c r="J34" s="34" t="n">
        <x:v>0.6145136870999145</x:v>
      </x:c>
    </x:row>
    <x:row r="35" ht="18" customHeight="1">
      <x:c r="A35" s="25" t="str">
        <x:v>EEZ_076</x:v>
      </x:c>
      <x:c r="B35" s="25" t="str">
        <x:v>exact_sea_around_us</x:v>
      </x:c>
      <x:c r="C35" s="33" t="str">
        <x:v>Sea Around Us exploited organisms</x:v>
      </x:c>
      <x:c r="D35" s="25" t="str">
        <x:v>high</x:v>
      </x:c>
      <x:c r="E35" s="35" t="n">
        <x:v>122</x:v>
      </x:c>
      <x:c r="F35" s="32" t="n">
        <x:v>348521.71411433007</x:v>
      </x:c>
      <x:c r="G35" s="32" t="n">
        <x:v>904109.1796290667</x:v>
      </x:c>
      <x:c r="H35" s="25" t="n">
        <x:v>274</x:v>
      </x:c>
      <x:c r="I35" s="34" t="n">
        <x:v>0.44525547445255476</x:v>
      </x:c>
      <x:c r="J35" s="34" t="n">
        <x:v>0.38548631290008556</x:v>
      </x:c>
    </x:row>
    <x:row r="36" ht="18" customHeight="1">
      <x:c r="A36" s="25" t="str">
        <x:v>EEZ_077</x:v>
      </x:c>
      <x:c r="B36" s="25" t="str">
        <x:v>exact_sea_around_us</x:v>
      </x:c>
      <x:c r="C36" s="33" t="str">
        <x:v>Sea Around Us exploited organisms</x:v>
      </x:c>
      <x:c r="D36" s="25" t="str">
        <x:v>high</x:v>
      </x:c>
      <x:c r="E36" s="35" t="n">
        <x:v>4</x:v>
      </x:c>
      <x:c r="F36" s="32" t="n">
        <x:v>5352.195167221299</x:v>
      </x:c>
      <x:c r="G36" s="32" t="n">
        <x:v>6471.8616207145</x:v>
      </x:c>
      <x:c r="H36" s="25" t="n">
        <x:v>17</x:v>
      </x:c>
      <x:c r="I36" s="34" t="n">
        <x:v>0.23529411764705882</x:v>
      </x:c>
      <x:c r="J36" s="34" t="n">
        <x:v>0.8269946857470681</x:v>
      </x:c>
    </x:row>
    <x:row r="37" ht="18" customHeight="1">
      <x:c r="A37" s="25" t="str">
        <x:v>EEZ_077</x:v>
      </x:c>
      <x:c r="B37" s="25" t="str">
        <x:v>exact_2020_supplement</x:v>
      </x:c>
      <x:c r="C37" s="33" t="str">
        <x:v>2020 supplement MeanTL</x:v>
      </x:c>
      <x:c r="D37" s="25" t="str">
        <x:v>high</x:v>
      </x:c>
      <x:c r="E37" s="35" t="n">
        <x:v>13</x:v>
      </x:c>
      <x:c r="F37" s="32" t="n">
        <x:v>1119.6664534932</x:v>
      </x:c>
      <x:c r="G37" s="32" t="n">
        <x:v>6471.8616207145</x:v>
      </x:c>
      <x:c r="H37" s="25" t="n">
        <x:v>17</x:v>
      </x:c>
      <x:c r="I37" s="34" t="n">
        <x:v>0.7647058823529411</x:v>
      </x:c>
      <x:c r="J37" s="34" t="n">
        <x:v>0.1730053142529317</x:v>
      </x:c>
    </x:row>
    <x:row r="38" ht="18" customHeight="1">
      <x:c r="A38" s="25" t="str">
        <x:v>EEZ_084</x:v>
      </x:c>
      <x:c r="B38" s="25" t="str">
        <x:v>exact_sea_around_us</x:v>
      </x:c>
      <x:c r="C38" s="33" t="str">
        <x:v>Sea Around Us exploited organisms</x:v>
      </x:c>
      <x:c r="D38" s="25" t="str">
        <x:v>high</x:v>
      </x:c>
      <x:c r="E38" s="35" t="n">
        <x:v>10</x:v>
      </x:c>
      <x:c r="F38" s="32" t="n">
        <x:v>5987.2432819653</x:v>
      </x:c>
      <x:c r="G38" s="32" t="n">
        <x:v>7918.6908172125</x:v>
      </x:c>
      <x:c r="H38" s="25" t="n">
        <x:v>54</x:v>
      </x:c>
      <x:c r="I38" s="34" t="n">
        <x:v>0.18518518518518517</x:v>
      </x:c>
      <x:c r="J38" s="34" t="n">
        <x:v>0.7560900431863181</x:v>
      </x:c>
    </x:row>
    <x:row r="39" ht="18" customHeight="1">
      <x:c r="A39" s="25" t="str">
        <x:v>EEZ_084</x:v>
      </x:c>
      <x:c r="B39" s="25" t="str">
        <x:v>exact_2020_supplement</x:v>
      </x:c>
      <x:c r="C39" s="33" t="str">
        <x:v>2020 supplement MeanTL</x:v>
      </x:c>
      <x:c r="D39" s="25" t="str">
        <x:v>high</x:v>
      </x:c>
      <x:c r="E39" s="35" t="n">
        <x:v>44</x:v>
      </x:c>
      <x:c r="F39" s="32" t="n">
        <x:v>1931.4475352472</x:v>
      </x:c>
      <x:c r="G39" s="32" t="n">
        <x:v>7918.6908172125</x:v>
      </x:c>
      <x:c r="H39" s="25" t="n">
        <x:v>54</x:v>
      </x:c>
      <x:c r="I39" s="34" t="n">
        <x:v>0.8148148148148148</x:v>
      </x:c>
      <x:c r="J39" s="34" t="n">
        <x:v>0.24390995681368186</x:v>
      </x:c>
    </x:row>
    <x:row r="40" ht="18" customHeight="1">
      <x:c r="A40" s="25" t="str">
        <x:v>EEZ_086</x:v>
      </x:c>
      <x:c r="B40" s="25" t="str">
        <x:v>exact_2020_supplement</x:v>
      </x:c>
      <x:c r="C40" s="33" t="str">
        <x:v>2020 supplement MeanTL</x:v>
      </x:c>
      <x:c r="D40" s="25" t="str">
        <x:v>high</x:v>
      </x:c>
      <x:c r="E40" s="35" t="n">
        <x:v>15</x:v>
      </x:c>
      <x:c r="F40" s="32" t="n">
        <x:v>71.4181178595</x:v>
      </x:c>
      <x:c r="G40" s="32" t="n">
        <x:v>135.2489756326</x:v>
      </x:c>
      <x:c r="H40" s="25" t="n">
        <x:v>22</x:v>
      </x:c>
      <x:c r="I40" s="34" t="n">
        <x:v>0.6818181818181818</x:v>
      </x:c>
      <x:c r="J40" s="34" t="n">
        <x:v>0.5280492330936781</x:v>
      </x:c>
    </x:row>
    <x:row r="41" ht="18" customHeight="1">
      <x:c r="A41" s="25" t="str">
        <x:v>EEZ_086</x:v>
      </x:c>
      <x:c r="B41" s="25" t="str">
        <x:v>exact_sea_around_us</x:v>
      </x:c>
      <x:c r="C41" s="33" t="str">
        <x:v>Sea Around Us exploited organisms</x:v>
      </x:c>
      <x:c r="D41" s="25" t="str">
        <x:v>high</x:v>
      </x:c>
      <x:c r="E41" s="35" t="n">
        <x:v>7</x:v>
      </x:c>
      <x:c r="F41" s="32" t="n">
        <x:v>63.8308577731</x:v>
      </x:c>
      <x:c r="G41" s="32" t="n">
        <x:v>135.2489756326</x:v>
      </x:c>
      <x:c r="H41" s="25" t="n">
        <x:v>22</x:v>
      </x:c>
      <x:c r="I41" s="34" t="n">
        <x:v>0.3181818181818182</x:v>
      </x:c>
      <x:c r="J41" s="34" t="n">
        <x:v>0.47195076690632176</x:v>
      </x:c>
    </x:row>
    <x:row r="42" ht="18" customHeight="1">
      <x:c r="A42" s="25" t="str">
        <x:v>EEZ_090</x:v>
      </x:c>
      <x:c r="B42" s="25" t="str">
        <x:v>exact_2020_supplement</x:v>
      </x:c>
      <x:c r="C42" s="33" t="str">
        <x:v>2020 supplement MeanTL</x:v>
      </x:c>
      <x:c r="D42" s="25" t="str">
        <x:v>high</x:v>
      </x:c>
      <x:c r="E42" s="35" t="n">
        <x:v>26</x:v>
      </x:c>
      <x:c r="F42" s="32" t="n">
        <x:v>104201.6976580416</x:v>
      </x:c>
      <x:c r="G42" s="32" t="n">
        <x:v>142760.9815038889</x:v>
      </x:c>
      <x:c r="H42" s="25" t="n">
        <x:v>52</x:v>
      </x:c>
      <x:c r="I42" s="34" t="n">
        <x:v>0.5</x:v>
      </x:c>
      <x:c r="J42" s="34" t="n">
        <x:v>0.7299032029644814</x:v>
      </x:c>
    </x:row>
    <x:row r="43" ht="18" customHeight="1">
      <x:c r="A43" s="25" t="str">
        <x:v>EEZ_090</x:v>
      </x:c>
      <x:c r="B43" s="25" t="str">
        <x:v>exact_sea_around_us</x:v>
      </x:c>
      <x:c r="C43" s="33" t="str">
        <x:v>Sea Around Us exploited organisms</x:v>
      </x:c>
      <x:c r="D43" s="25" t="str">
        <x:v>high</x:v>
      </x:c>
      <x:c r="E43" s="35" t="n">
        <x:v>26</x:v>
      </x:c>
      <x:c r="F43" s="32" t="n">
        <x:v>38559.2838458473</x:v>
      </x:c>
      <x:c r="G43" s="32" t="n">
        <x:v>142760.9815038889</x:v>
      </x:c>
      <x:c r="H43" s="25" t="n">
        <x:v>52</x:v>
      </x:c>
      <x:c r="I43" s="34" t="n">
        <x:v>0.5</x:v>
      </x:c>
      <x:c r="J43" s="34" t="n">
        <x:v>0.27009679703551853</x:v>
      </x:c>
    </x:row>
    <x:row r="44" ht="18" customHeight="1">
      <x:c r="A44" s="25" t="str">
        <x:v>EEZ_092</x:v>
      </x:c>
      <x:c r="B44" s="25" t="str">
        <x:v>exact_sea_around_us</x:v>
      </x:c>
      <x:c r="C44" s="33" t="str">
        <x:v>Sea Around Us exploited organisms</x:v>
      </x:c>
      <x:c r="D44" s="25" t="str">
        <x:v>high</x:v>
      </x:c>
      <x:c r="E44" s="35" t="n">
        <x:v>26</x:v>
      </x:c>
      <x:c r="F44" s="32" t="n">
        <x:v>2530.2372738941</x:v>
      </x:c>
      <x:c r="G44" s="32" t="n">
        <x:v>4102.3911591021</x:v>
      </x:c>
      <x:c r="H44" s="25" t="n">
        <x:v>32</x:v>
      </x:c>
      <x:c r="I44" s="34" t="n">
        <x:v>0.8125</x:v>
      </x:c>
      <x:c r="J44" s="34" t="n">
        <x:v>0.61677133548813</x:v>
      </x:c>
    </x:row>
    <x:row r="45" ht="18" customHeight="1">
      <x:c r="A45" s="25" t="str">
        <x:v>EEZ_092</x:v>
      </x:c>
      <x:c r="B45" s="25" t="str">
        <x:v>exact_2020_supplement</x:v>
      </x:c>
      <x:c r="C45" s="33" t="str">
        <x:v>2020 supplement MeanTL</x:v>
      </x:c>
      <x:c r="D45" s="25" t="str">
        <x:v>high</x:v>
      </x:c>
      <x:c r="E45" s="35" t="n">
        <x:v>6</x:v>
      </x:c>
      <x:c r="F45" s="32" t="n">
        <x:v>1572.1538852079998</x:v>
      </x:c>
      <x:c r="G45" s="32" t="n">
        <x:v>4102.3911591021</x:v>
      </x:c>
      <x:c r="H45" s="25" t="n">
        <x:v>32</x:v>
      </x:c>
      <x:c r="I45" s="34" t="n">
        <x:v>0.1875</x:v>
      </x:c>
      <x:c r="J45" s="34" t="n">
        <x:v>0.38322866451186993</x:v>
      </x:c>
    </x:row>
    <x:row r="46" ht="18" customHeight="1">
      <x:c r="A46" s="25" t="str">
        <x:v>EEZ_096</x:v>
      </x:c>
      <x:c r="B46" s="25" t="str">
        <x:v>exact_sea_around_us</x:v>
      </x:c>
      <x:c r="C46" s="33" t="str">
        <x:v>Sea Around Us exploited organisms</x:v>
      </x:c>
      <x:c r="D46" s="25" t="str">
        <x:v>high</x:v>
      </x:c>
      <x:c r="E46" s="35" t="n">
        <x:v>69</x:v>
      </x:c>
      <x:c r="F46" s="32" t="n">
        <x:v>13623.7390078923</x:v>
      </x:c>
      <x:c r="G46" s="32" t="n">
        <x:v>16692.4609859602</x:v>
      </x:c>
      <x:c r="H46" s="25" t="n">
        <x:v>97</x:v>
      </x:c>
      <x:c r="I46" s="34" t="n">
        <x:v>0.711340206185567</x:v>
      </x:c>
      <x:c r="J46" s="34" t="n">
        <x:v>0.8161612011165424</x:v>
      </x:c>
    </x:row>
    <x:row r="47" ht="18" customHeight="1">
      <x:c r="A47" s="25" t="str">
        <x:v>EEZ_096</x:v>
      </x:c>
      <x:c r="B47" s="25" t="str">
        <x:v>exact_2020_supplement</x:v>
      </x:c>
      <x:c r="C47" s="33" t="str">
        <x:v>2020 supplement MeanTL</x:v>
      </x:c>
      <x:c r="D47" s="25" t="str">
        <x:v>high</x:v>
      </x:c>
      <x:c r="E47" s="35" t="n">
        <x:v>28</x:v>
      </x:c>
      <x:c r="F47" s="32" t="n">
        <x:v>3068.7219780678997</x:v>
      </x:c>
      <x:c r="G47" s="32" t="n">
        <x:v>16692.4609859602</x:v>
      </x:c>
      <x:c r="H47" s="25" t="n">
        <x:v>97</x:v>
      </x:c>
      <x:c r="I47" s="34" t="n">
        <x:v>0.28865979381443296</x:v>
      </x:c>
      <x:c r="J47" s="34" t="n">
        <x:v>0.1838387988834576</x:v>
      </x:c>
    </x:row>
    <x:row r="48" ht="18" customHeight="1">
      <x:c r="A48" s="25" t="str">
        <x:v>EEZ_100</x:v>
      </x:c>
      <x:c r="B48" s="25" t="str">
        <x:v>exact_sea_around_us</x:v>
      </x:c>
      <x:c r="C48" s="33" t="str">
        <x:v>Sea Around Us exploited organisms</x:v>
      </x:c>
      <x:c r="D48" s="25" t="str">
        <x:v>high</x:v>
      </x:c>
      <x:c r="E48" s="35" t="n">
        <x:v>13</x:v>
      </x:c>
      <x:c r="F48" s="32" t="n">
        <x:v>12795.629657568401</x:v>
      </x:c>
      <x:c r="G48" s="32" t="n">
        <x:v>17051.5126534866</x:v>
      </x:c>
      <x:c r="H48" s="25" t="n">
        <x:v>34</x:v>
      </x:c>
      <x:c r="I48" s="34" t="n">
        <x:v>0.38235294117647056</x:v>
      </x:c>
      <x:c r="J48" s="34" t="n">
        <x:v>0.7504102373552191</x:v>
      </x:c>
    </x:row>
    <x:row r="49" ht="18" customHeight="1">
      <x:c r="A49" s="25" t="str">
        <x:v>EEZ_100</x:v>
      </x:c>
      <x:c r="B49" s="25" t="str">
        <x:v>exact_2020_supplement</x:v>
      </x:c>
      <x:c r="C49" s="33" t="str">
        <x:v>2020 supplement MeanTL</x:v>
      </x:c>
      <x:c r="D49" s="25" t="str">
        <x:v>high</x:v>
      </x:c>
      <x:c r="E49" s="35" t="n">
        <x:v>21</x:v>
      </x:c>
      <x:c r="F49" s="32" t="n">
        <x:v>4255.8829959182</x:v>
      </x:c>
      <x:c r="G49" s="32" t="n">
        <x:v>17051.5126534866</x:v>
      </x:c>
      <x:c r="H49" s="25" t="n">
        <x:v>34</x:v>
      </x:c>
      <x:c r="I49" s="34" t="n">
        <x:v>0.6176470588235294</x:v>
      </x:c>
      <x:c r="J49" s="34" t="n">
        <x:v>0.249589762644781</x:v>
      </x:c>
    </x:row>
    <x:row r="50" ht="18" customHeight="1">
      <x:c r="A50" s="25" t="str">
        <x:v>EEZ_104</x:v>
      </x:c>
      <x:c r="B50" s="25" t="str">
        <x:v>exact_sea_around_us</x:v>
      </x:c>
      <x:c r="C50" s="33" t="str">
        <x:v>Sea Around Us exploited organisms</x:v>
      </x:c>
      <x:c r="D50" s="25" t="str">
        <x:v>high</x:v>
      </x:c>
      <x:c r="E50" s="35" t="n">
        <x:v>52</x:v>
      </x:c>
      <x:c r="F50" s="32" t="n">
        <x:v>1229384.6591821841</x:v>
      </x:c>
      <x:c r="G50" s="32" t="n">
        <x:v>1333934.8992368774</x:v>
      </x:c>
      <x:c r="H50" s="25" t="n">
        <x:v>81</x:v>
      </x:c>
      <x:c r="I50" s="34" t="n">
        <x:v>0.6419753086419753</x:v>
      </x:c>
      <x:c r="J50" s="34" t="n">
        <x:v>0.92162268180066</x:v>
      </x:c>
    </x:row>
    <x:row r="51" ht="18" customHeight="1">
      <x:c r="A51" s="25" t="str">
        <x:v>EEZ_104</x:v>
      </x:c>
      <x:c r="B51" s="25" t="str">
        <x:v>exact_2020_supplement</x:v>
      </x:c>
      <x:c r="C51" s="33" t="str">
        <x:v>2020 supplement MeanTL</x:v>
      </x:c>
      <x:c r="D51" s="25" t="str">
        <x:v>high</x:v>
      </x:c>
      <x:c r="E51" s="35" t="n">
        <x:v>29</x:v>
      </x:c>
      <x:c r="F51" s="32" t="n">
        <x:v>104550.2400546935</x:v>
      </x:c>
      <x:c r="G51" s="32" t="n">
        <x:v>1333934.8992368774</x:v>
      </x:c>
      <x:c r="H51" s="25" t="n">
        <x:v>81</x:v>
      </x:c>
      <x:c r="I51" s="34" t="n">
        <x:v>0.35802469135802467</x:v>
      </x:c>
      <x:c r="J51" s="34" t="n">
        <x:v>0.07837731819934016</x:v>
      </x:c>
    </x:row>
    <x:row r="52" ht="18" customHeight="1">
      <x:c r="A52" s="25" t="str">
        <x:v>EEZ_111</x:v>
      </x:c>
      <x:c r="B52" s="25" t="str">
        <x:v>exact_sea_around_us</x:v>
      </x:c>
      <x:c r="C52" s="33" t="str">
        <x:v>Sea Around Us exploited organisms</x:v>
      </x:c>
      <x:c r="D52" s="25" t="str">
        <x:v>high</x:v>
      </x:c>
      <x:c r="E52" s="35" t="n">
        <x:v>42</x:v>
      </x:c>
      <x:c r="F52" s="32" t="n">
        <x:v>10106.4065237149</x:v>
      </x:c>
      <x:c r="G52" s="32" t="n">
        <x:v>10673.4414939733</x:v>
      </x:c>
      <x:c r="H52" s="25" t="n">
        <x:v>58</x:v>
      </x:c>
      <x:c r="I52" s="34" t="n">
        <x:v>0.7241379310344828</x:v>
      </x:c>
      <x:c r="J52" s="34" t="n">
        <x:v>0.9468742138532757</x:v>
      </x:c>
    </x:row>
    <x:row r="53" ht="18" customHeight="1">
      <x:c r="A53" s="25" t="str">
        <x:v>EEZ_111</x:v>
      </x:c>
      <x:c r="B53" s="25" t="str">
        <x:v>exact_2020_supplement</x:v>
      </x:c>
      <x:c r="C53" s="33" t="str">
        <x:v>2020 supplement MeanTL</x:v>
      </x:c>
      <x:c r="D53" s="25" t="str">
        <x:v>high</x:v>
      </x:c>
      <x:c r="E53" s="35" t="n">
        <x:v>16</x:v>
      </x:c>
      <x:c r="F53" s="32" t="n">
        <x:v>567.0349702584</x:v>
      </x:c>
      <x:c r="G53" s="32" t="n">
        <x:v>10673.4414939733</x:v>
      </x:c>
      <x:c r="H53" s="25" t="n">
        <x:v>58</x:v>
      </x:c>
      <x:c r="I53" s="34" t="n">
        <x:v>0.27586206896551724</x:v>
      </x:c>
      <x:c r="J53" s="34" t="n">
        <x:v>0.05312578614672439</x:v>
      </x:c>
    </x:row>
    <x:row r="54" ht="18" customHeight="1">
      <x:c r="A54" s="25" t="str">
        <x:v>EEZ_116</x:v>
      </x:c>
      <x:c r="B54" s="25" t="str">
        <x:v>exact_sea_around_us</x:v>
      </x:c>
      <x:c r="C54" s="33" t="str">
        <x:v>Sea Around Us exploited organisms</x:v>
      </x:c>
      <x:c r="D54" s="25" t="str">
        <x:v>high</x:v>
      </x:c>
      <x:c r="E54" s="35" t="n">
        <x:v>73</x:v>
      </x:c>
      <x:c r="F54" s="32" t="n">
        <x:v>190901.80761698942</x:v>
      </x:c>
      <x:c r="G54" s="32" t="n">
        <x:v>211746.984487642</x:v>
      </x:c>
      <x:c r="H54" s="25" t="n">
        <x:v>110</x:v>
      </x:c>
      <x:c r="I54" s="34" t="n">
        <x:v>0.6636363636363637</x:v>
      </x:c>
      <x:c r="J54" s="34" t="n">
        <x:v>0.9015562043488314</x:v>
      </x:c>
    </x:row>
    <x:row r="55" ht="18" customHeight="1">
      <x:c r="A55" s="25" t="str">
        <x:v>EEZ_116</x:v>
      </x:c>
      <x:c r="B55" s="25" t="str">
        <x:v>exact_2020_supplement</x:v>
      </x:c>
      <x:c r="C55" s="33" t="str">
        <x:v>2020 supplement MeanTL</x:v>
      </x:c>
      <x:c r="D55" s="25" t="str">
        <x:v>high</x:v>
      </x:c>
      <x:c r="E55" s="35" t="n">
        <x:v>37</x:v>
      </x:c>
      <x:c r="F55" s="32" t="n">
        <x:v>20845.176870652598</x:v>
      </x:c>
      <x:c r="G55" s="32" t="n">
        <x:v>211746.984487642</x:v>
      </x:c>
      <x:c r="H55" s="25" t="n">
        <x:v>110</x:v>
      </x:c>
      <x:c r="I55" s="34" t="n">
        <x:v>0.33636363636363636</x:v>
      </x:c>
      <x:c r="J55" s="34" t="n">
        <x:v>0.0984437956511686</x:v>
      </x:c>
    </x:row>
    <x:row r="56" ht="18" customHeight="1">
      <x:c r="A56" s="25" t="str">
        <x:v>EEZ_120</x:v>
      </x:c>
      <x:c r="B56" s="25" t="str">
        <x:v>exact_sea_around_us</x:v>
      </x:c>
      <x:c r="C56" s="33" t="str">
        <x:v>Sea Around Us exploited organisms</x:v>
      </x:c>
      <x:c r="D56" s="25" t="str">
        <x:v>high</x:v>
      </x:c>
      <x:c r="E56" s="35" t="n">
        <x:v>26</x:v>
      </x:c>
      <x:c r="F56" s="32" t="n">
        <x:v>150270.25350209168</x:v>
      </x:c>
      <x:c r="G56" s="32" t="n">
        <x:v>280509.9182943579</x:v>
      </x:c>
      <x:c r="H56" s="25" t="n">
        <x:v>63</x:v>
      </x:c>
      <x:c r="I56" s="34" t="n">
        <x:v>0.4126984126984127</x:v>
      </x:c>
      <x:c r="J56" s="34" t="n">
        <x:v>0.5357038867495695</x:v>
      </x:c>
    </x:row>
    <x:row r="57" ht="18" customHeight="1">
      <x:c r="A57" s="25" t="str">
        <x:v>EEZ_120</x:v>
      </x:c>
      <x:c r="B57" s="25" t="str">
        <x:v>exact_2020_supplement</x:v>
      </x:c>
      <x:c r="C57" s="33" t="str">
        <x:v>2020 supplement MeanTL</x:v>
      </x:c>
      <x:c r="D57" s="25" t="str">
        <x:v>high</x:v>
      </x:c>
      <x:c r="E57" s="35" t="n">
        <x:v>37</x:v>
      </x:c>
      <x:c r="F57" s="32" t="n">
        <x:v>130239.6647922662</x:v>
      </x:c>
      <x:c r="G57" s="32" t="n">
        <x:v>280509.9182943579</x:v>
      </x:c>
      <x:c r="H57" s="25" t="n">
        <x:v>63</x:v>
      </x:c>
      <x:c r="I57" s="34" t="n">
        <x:v>0.5873015873015873</x:v>
      </x:c>
      <x:c r="J57" s="34" t="n">
        <x:v>0.46429611325043046</x:v>
      </x:c>
    </x:row>
    <x:row r="58" ht="18" customHeight="1">
      <x:c r="A58" s="25" t="str">
        <x:v>EEZ_132</x:v>
      </x:c>
      <x:c r="B58" s="25" t="str">
        <x:v>exact_2020_supplement</x:v>
      </x:c>
      <x:c r="C58" s="33" t="str">
        <x:v>2020 supplement MeanTL</x:v>
      </x:c>
      <x:c r="D58" s="25" t="str">
        <x:v>high</x:v>
      </x:c>
      <x:c r="E58" s="35" t="n">
        <x:v>56</x:v>
      </x:c>
      <x:c r="F58" s="32" t="n">
        <x:v>28534.7158921503</x:v>
      </x:c>
      <x:c r="G58" s="32" t="n">
        <x:v>41113.6989825735</x:v>
      </x:c>
      <x:c r="H58" s="25" t="n">
        <x:v>91</x:v>
      </x:c>
      <x:c r="I58" s="34" t="n">
        <x:v>0.6153846153846154</x:v>
      </x:c>
      <x:c r="J58" s="34" t="n">
        <x:v>0.6940439950257227</x:v>
      </x:c>
    </x:row>
    <x:row r="59" ht="18" customHeight="1">
      <x:c r="A59" s="25" t="str">
        <x:v>EEZ_132</x:v>
      </x:c>
      <x:c r="B59" s="25" t="str">
        <x:v>exact_sea_around_us</x:v>
      </x:c>
      <x:c r="C59" s="33" t="str">
        <x:v>Sea Around Us exploited organisms</x:v>
      </x:c>
      <x:c r="D59" s="25" t="str">
        <x:v>high</x:v>
      </x:c>
      <x:c r="E59" s="35" t="n">
        <x:v>35</x:v>
      </x:c>
      <x:c r="F59" s="32" t="n">
        <x:v>12578.9830904232</x:v>
      </x:c>
      <x:c r="G59" s="32" t="n">
        <x:v>41113.6989825735</x:v>
      </x:c>
      <x:c r="H59" s="25" t="n">
        <x:v>91</x:v>
      </x:c>
      <x:c r="I59" s="34" t="n">
        <x:v>0.38461538461538464</x:v>
      </x:c>
      <x:c r="J59" s="34" t="n">
        <x:v>0.3059560049742774</x:v>
      </x:c>
    </x:row>
    <x:row r="60" ht="18" customHeight="1">
      <x:c r="A60" s="25" t="str">
        <x:v>EEZ_136</x:v>
      </x:c>
      <x:c r="B60" s="25" t="str">
        <x:v>exact_sea_around_us</x:v>
      </x:c>
      <x:c r="C60" s="33" t="str">
        <x:v>Sea Around Us exploited organisms</x:v>
      </x:c>
      <x:c r="D60" s="25" t="str">
        <x:v>high</x:v>
      </x:c>
      <x:c r="E60" s="35" t="n">
        <x:v>5</x:v>
      </x:c>
      <x:c r="F60" s="32" t="n">
        <x:v>140.9258613105</x:v>
      </x:c>
      <x:c r="G60" s="32" t="n">
        <x:v>244.3796527111</x:v>
      </x:c>
      <x:c r="H60" s="25" t="n">
        <x:v>13</x:v>
      </x:c>
      <x:c r="I60" s="34" t="n">
        <x:v>0.38461538461538464</x:v>
      </x:c>
      <x:c r="J60" s="34" t="n">
        <x:v>0.5766677370521486</x:v>
      </x:c>
    </x:row>
    <x:row r="61" ht="18" customHeight="1">
      <x:c r="A61" s="25" t="str">
        <x:v>EEZ_136</x:v>
      </x:c>
      <x:c r="B61" s="25" t="str">
        <x:v>exact_2020_supplement</x:v>
      </x:c>
      <x:c r="C61" s="33" t="str">
        <x:v>2020 supplement MeanTL</x:v>
      </x:c>
      <x:c r="D61" s="25" t="str">
        <x:v>high</x:v>
      </x:c>
      <x:c r="E61" s="35" t="n">
        <x:v>8</x:v>
      </x:c>
      <x:c r="F61" s="32" t="n">
        <x:v>103.4537914006</x:v>
      </x:c>
      <x:c r="G61" s="32" t="n">
        <x:v>244.3796527111</x:v>
      </x:c>
      <x:c r="H61" s="25" t="n">
        <x:v>13</x:v>
      </x:c>
      <x:c r="I61" s="34" t="n">
        <x:v>0.6153846153846154</x:v>
      </x:c>
      <x:c r="J61" s="34" t="n">
        <x:v>0.4233322629478514</x:v>
      </x:c>
    </x:row>
    <x:row r="62" ht="18" customHeight="1">
      <x:c r="A62" s="25" t="str">
        <x:v>EEZ_144</x:v>
      </x:c>
      <x:c r="B62" s="25" t="str">
        <x:v>exact_sea_around_us</x:v>
      </x:c>
      <x:c r="C62" s="33" t="str">
        <x:v>Sea Around Us exploited organisms</x:v>
      </x:c>
      <x:c r="D62" s="25" t="str">
        <x:v>high</x:v>
      </x:c>
      <x:c r="E62" s="35" t="n">
        <x:v>46</x:v>
      </x:c>
      <x:c r="F62" s="32" t="n">
        <x:v>280434.3131403714</x:v>
      </x:c>
      <x:c r="G62" s="32" t="n">
        <x:v>312721.7820648597</x:v>
      </x:c>
      <x:c r="H62" s="25" t="n">
        <x:v>79</x:v>
      </x:c>
      <x:c r="I62" s="34" t="n">
        <x:v>0.5822784810126582</x:v>
      </x:c>
      <x:c r="J62" s="34" t="n">
        <x:v>0.896753373841443</x:v>
      </x:c>
    </x:row>
    <x:row r="63" ht="18" customHeight="1">
      <x:c r="A63" s="25" t="str">
        <x:v>EEZ_144</x:v>
      </x:c>
      <x:c r="B63" s="25" t="str">
        <x:v>exact_2020_supplement</x:v>
      </x:c>
      <x:c r="C63" s="33" t="str">
        <x:v>2020 supplement MeanTL</x:v>
      </x:c>
      <x:c r="D63" s="25" t="str">
        <x:v>high</x:v>
      </x:c>
      <x:c r="E63" s="35" t="n">
        <x:v>33</x:v>
      </x:c>
      <x:c r="F63" s="32" t="n">
        <x:v>32287.4689244883</x:v>
      </x:c>
      <x:c r="G63" s="32" t="n">
        <x:v>312721.7820648597</x:v>
      </x:c>
      <x:c r="H63" s="25" t="n">
        <x:v>79</x:v>
      </x:c>
      <x:c r="I63" s="34" t="n">
        <x:v>0.4177215189873418</x:v>
      </x:c>
      <x:c r="J63" s="34" t="n">
        <x:v>0.103246626158557</x:v>
      </x:c>
    </x:row>
    <x:row r="64" ht="18" customHeight="1">
      <x:c r="A64" s="25" t="str">
        <x:v>EEZ_152</x:v>
      </x:c>
      <x:c r="B64" s="25" t="str">
        <x:v>exact_2020_supplement</x:v>
      </x:c>
      <x:c r="C64" s="33" t="str">
        <x:v>2020 supplement MeanTL</x:v>
      </x:c>
      <x:c r="D64" s="25" t="str">
        <x:v>high</x:v>
      </x:c>
      <x:c r="E64" s="35" t="n">
        <x:v>50</x:v>
      </x:c>
      <x:c r="F64" s="32" t="n">
        <x:v>1176942.301379389</x:v>
      </x:c>
      <x:c r="G64" s="32" t="n">
        <x:v>1654215.5401263882</x:v>
      </x:c>
      <x:c r="H64" s="25" t="n">
        <x:v>129</x:v>
      </x:c>
      <x:c r="I64" s="34" t="n">
        <x:v>0.3875968992248062</x:v>
      </x:c>
      <x:c r="J64" s="34" t="n">
        <x:v>0.7114806219807766</x:v>
      </x:c>
    </x:row>
    <x:row r="65" ht="18" customHeight="1">
      <x:c r="A65" s="25" t="str">
        <x:v>EEZ_152</x:v>
      </x:c>
      <x:c r="B65" s="25" t="str">
        <x:v>exact_sea_around_us</x:v>
      </x:c>
      <x:c r="C65" s="33" t="str">
        <x:v>Sea Around Us exploited organisms</x:v>
      </x:c>
      <x:c r="D65" s="25" t="str">
        <x:v>high</x:v>
      </x:c>
      <x:c r="E65" s="35" t="n">
        <x:v>79</x:v>
      </x:c>
      <x:c r="F65" s="32" t="n">
        <x:v>477273.2387469994</x:v>
      </x:c>
      <x:c r="G65" s="32" t="n">
        <x:v>1654215.5401263882</x:v>
      </x:c>
      <x:c r="H65" s="25" t="n">
        <x:v>129</x:v>
      </x:c>
      <x:c r="I65" s="34" t="n">
        <x:v>0.6124031007751938</x:v>
      </x:c>
      <x:c r="J65" s="34" t="n">
        <x:v>0.2885193780192235</x:v>
      </x:c>
    </x:row>
    <x:row r="66" ht="18" customHeight="1">
      <x:c r="A66" s="25" t="str">
        <x:v>EEZ_153</x:v>
      </x:c>
      <x:c r="B66" s="25" t="str">
        <x:v>exact_2020_supplement</x:v>
      </x:c>
      <x:c r="C66" s="33" t="str">
        <x:v>2020 supplement MeanTL</x:v>
      </x:c>
      <x:c r="D66" s="25" t="str">
        <x:v>high</x:v>
      </x:c>
      <x:c r="E66" s="35" t="n">
        <x:v>22</x:v>
      </x:c>
      <x:c r="F66" s="32" t="n">
        <x:v>3193.3136120522</x:v>
      </x:c>
      <x:c r="G66" s="32" t="n">
        <x:v>3582.4039295136</x:v>
      </x:c>
      <x:c r="H66" s="25" t="n">
        <x:v>36</x:v>
      </x:c>
      <x:c r="I66" s="34" t="n">
        <x:v>0.6111111111111112</x:v>
      </x:c>
      <x:c r="J66" s="34" t="n">
        <x:v>0.8913884851856366</x:v>
      </x:c>
    </x:row>
    <x:row r="67" ht="18" customHeight="1">
      <x:c r="A67" s="25" t="str">
        <x:v>EEZ_153</x:v>
      </x:c>
      <x:c r="B67" s="25" t="str">
        <x:v>exact_sea_around_us</x:v>
      </x:c>
      <x:c r="C67" s="33" t="str">
        <x:v>Sea Around Us exploited organisms</x:v>
      </x:c>
      <x:c r="D67" s="25" t="str">
        <x:v>high</x:v>
      </x:c>
      <x:c r="E67" s="35" t="n">
        <x:v>14</x:v>
      </x:c>
      <x:c r="F67" s="32" t="n">
        <x:v>389.0903174614</x:v>
      </x:c>
      <x:c r="G67" s="32" t="n">
        <x:v>3582.4039295136</x:v>
      </x:c>
      <x:c r="H67" s="25" t="n">
        <x:v>36</x:v>
      </x:c>
      <x:c r="I67" s="34" t="n">
        <x:v>0.3888888888888889</x:v>
      </x:c>
      <x:c r="J67" s="34" t="n">
        <x:v>0.10861151481436339</x:v>
      </x:c>
    </x:row>
    <x:row r="68" ht="18" customHeight="1">
      <x:c r="A68" s="25" t="str">
        <x:v>EEZ_154</x:v>
      </x:c>
      <x:c r="B68" s="25" t="str">
        <x:v>exact_sea_around_us</x:v>
      </x:c>
      <x:c r="C68" s="33" t="str">
        <x:v>Sea Around Us exploited organisms</x:v>
      </x:c>
      <x:c r="D68" s="25" t="str">
        <x:v>high</x:v>
      </x:c>
      <x:c r="E68" s="35" t="n">
        <x:v>6</x:v>
      </x:c>
      <x:c r="F68" s="32" t="n">
        <x:v>21.2234715571</x:v>
      </x:c>
      <x:c r="G68" s="32" t="n">
        <x:v>21.535833428</x:v>
      </x:c>
      <x:c r="H68" s="25" t="n">
        <x:v>12</x:v>
      </x:c>
      <x:c r="I68" s="34" t="n">
        <x:v>0.5</x:v>
      </x:c>
      <x:c r="J68" s="34" t="n">
        <x:v>0.9854957147609678</x:v>
      </x:c>
    </x:row>
    <x:row r="69" ht="18" customHeight="1">
      <x:c r="A69" s="25" t="str">
        <x:v>EEZ_154</x:v>
      </x:c>
      <x:c r="B69" s="25" t="str">
        <x:v>exact_2020_supplement</x:v>
      </x:c>
      <x:c r="C69" s="33" t="str">
        <x:v>2020 supplement MeanTL</x:v>
      </x:c>
      <x:c r="D69" s="25" t="str">
        <x:v>high</x:v>
      </x:c>
      <x:c r="E69" s="35" t="n">
        <x:v>6</x:v>
      </x:c>
      <x:c r="F69" s="32" t="n">
        <x:v>0.3123618709</x:v>
      </x:c>
      <x:c r="G69" s="32" t="n">
        <x:v>21.535833428</x:v>
      </x:c>
      <x:c r="H69" s="25" t="n">
        <x:v>12</x:v>
      </x:c>
      <x:c r="I69" s="34" t="n">
        <x:v>0.5</x:v>
      </x:c>
      <x:c r="J69" s="34" t="n">
        <x:v>0.014504285239032357</x:v>
      </x:c>
    </x:row>
    <x:row r="70" ht="18" customHeight="1">
      <x:c r="A70" s="25" t="str">
        <x:v>EEZ_155</x:v>
      </x:c>
      <x:c r="B70" s="25" t="str">
        <x:v>exact_2020_supplement</x:v>
      </x:c>
      <x:c r="C70" s="33" t="str">
        <x:v>2020 supplement MeanTL</x:v>
      </x:c>
      <x:c r="D70" s="25" t="str">
        <x:v>high</x:v>
      </x:c>
      <x:c r="E70" s="35" t="n">
        <x:v>11</x:v>
      </x:c>
      <x:c r="F70" s="32" t="n">
        <x:v>40831.9019312323</x:v>
      </x:c>
      <x:c r="G70" s="32" t="n">
        <x:v>42555.5279449449</x:v>
      </x:c>
      <x:c r="H70" s="25" t="n">
        <x:v>22</x:v>
      </x:c>
      <x:c r="I70" s="34" t="n">
        <x:v>0.5</x:v>
      </x:c>
      <x:c r="J70" s="34" t="n">
        <x:v>0.9594970125633855</x:v>
      </x:c>
    </x:row>
    <x:row r="71" ht="18" customHeight="1">
      <x:c r="A71" s="25" t="str">
        <x:v>EEZ_155</x:v>
      </x:c>
      <x:c r="B71" s="25" t="str">
        <x:v>exact_sea_around_us</x:v>
      </x:c>
      <x:c r="C71" s="33" t="str">
        <x:v>Sea Around Us exploited organisms</x:v>
      </x:c>
      <x:c r="D71" s="25" t="str">
        <x:v>high</x:v>
      </x:c>
      <x:c r="E71" s="35" t="n">
        <x:v>11</x:v>
      </x:c>
      <x:c r="F71" s="32" t="n">
        <x:v>1723.6260137125998</x:v>
      </x:c>
      <x:c r="G71" s="32" t="n">
        <x:v>42555.5279449449</x:v>
      </x:c>
      <x:c r="H71" s="25" t="n">
        <x:v>22</x:v>
      </x:c>
      <x:c r="I71" s="34" t="n">
        <x:v>0.5</x:v>
      </x:c>
      <x:c r="J71" s="34" t="n">
        <x:v>0.040502987436614485</x:v>
      </x:c>
    </x:row>
    <x:row r="72" ht="18" customHeight="1">
      <x:c r="A72" s="25" t="str">
        <x:v>EEZ_156</x:v>
      </x:c>
      <x:c r="B72" s="25" t="str">
        <x:v>exact_sea_around_us</x:v>
      </x:c>
      <x:c r="C72" s="33" t="str">
        <x:v>Sea Around Us exploited organisms</x:v>
      </x:c>
      <x:c r="D72" s="25" t="str">
        <x:v>high</x:v>
      </x:c>
      <x:c r="E72" s="35" t="n">
        <x:v>105</x:v>
      </x:c>
      <x:c r="F72" s="32" t="n">
        <x:v>6030233.298890596</x:v>
      </x:c>
      <x:c r="G72" s="32" t="n">
        <x:v>9568140.597730292</x:v>
      </x:c>
      <x:c r="H72" s="25" t="n">
        <x:v>180</x:v>
      </x:c>
      <x:c r="I72" s="34" t="n">
        <x:v>0.5833333333333334</x:v>
      </x:c>
      <x:c r="J72" s="34" t="n">
        <x:v>0.6302408746293986</x:v>
      </x:c>
    </x:row>
    <x:row r="73" ht="18" customHeight="1">
      <x:c r="A73" s="25" t="str">
        <x:v>EEZ_156</x:v>
      </x:c>
      <x:c r="B73" s="25" t="str">
        <x:v>exact_2020_supplement</x:v>
      </x:c>
      <x:c r="C73" s="33" t="str">
        <x:v>2020 supplement MeanTL</x:v>
      </x:c>
      <x:c r="D73" s="25" t="str">
        <x:v>high</x:v>
      </x:c>
      <x:c r="E73" s="35" t="n">
        <x:v>75</x:v>
      </x:c>
      <x:c r="F73" s="32" t="n">
        <x:v>3537907.2988396953</x:v>
      </x:c>
      <x:c r="G73" s="32" t="n">
        <x:v>9568140.597730292</x:v>
      </x:c>
      <x:c r="H73" s="25" t="n">
        <x:v>180</x:v>
      </x:c>
      <x:c r="I73" s="34" t="n">
        <x:v>0.4166666666666667</x:v>
      </x:c>
      <x:c r="J73" s="34" t="n">
        <x:v>0.3697591253706013</x:v>
      </x:c>
    </x:row>
    <x:row r="74" ht="18" customHeight="1">
      <x:c r="A74" s="25" t="str">
        <x:v>EEZ_157</x:v>
      </x:c>
      <x:c r="B74" s="25" t="str">
        <x:v>exact_2020_supplement</x:v>
      </x:c>
      <x:c r="C74" s="33" t="str">
        <x:v>2020 supplement MeanTL</x:v>
      </x:c>
      <x:c r="D74" s="25" t="str">
        <x:v>high</x:v>
      </x:c>
      <x:c r="E74" s="35" t="n">
        <x:v>68</x:v>
      </x:c>
      <x:c r="F74" s="32" t="n">
        <x:v>496420.6934324989</x:v>
      </x:c>
      <x:c r="G74" s="32" t="n">
        <x:v>974842.5837373973</x:v>
      </x:c>
      <x:c r="H74" s="25" t="n">
        <x:v>149</x:v>
      </x:c>
      <x:c r="I74" s="34" t="n">
        <x:v>0.4563758389261745</x:v>
      </x:c>
      <x:c r="J74" s="34" t="n">
        <x:v>0.509231645923076</x:v>
      </x:c>
    </x:row>
    <x:row r="75" ht="18" customHeight="1">
      <x:c r="A75" s="25" t="str">
        <x:v>EEZ_157</x:v>
      </x:c>
      <x:c r="B75" s="25" t="str">
        <x:v>exact_sea_around_us</x:v>
      </x:c>
      <x:c r="C75" s="33" t="str">
        <x:v>Sea Around Us exploited organisms</x:v>
      </x:c>
      <x:c r="D75" s="25" t="str">
        <x:v>high</x:v>
      </x:c>
      <x:c r="E75" s="35" t="n">
        <x:v>81</x:v>
      </x:c>
      <x:c r="F75" s="32" t="n">
        <x:v>478421.8903048984</x:v>
      </x:c>
      <x:c r="G75" s="32" t="n">
        <x:v>974842.5837373973</x:v>
      </x:c>
      <x:c r="H75" s="25" t="n">
        <x:v>149</x:v>
      </x:c>
      <x:c r="I75" s="34" t="n">
        <x:v>0.5436241610738255</x:v>
      </x:c>
      <x:c r="J75" s="34" t="n">
        <x:v>0.49076835407692393</x:v>
      </x:c>
    </x:row>
    <x:row r="76" ht="18" customHeight="1">
      <x:c r="A76" s="25" t="str">
        <x:v>EEZ_162</x:v>
      </x:c>
      <x:c r="B76" s="25" t="str">
        <x:v>exact_sea_around_us</x:v>
      </x:c>
      <x:c r="C76" s="33" t="str">
        <x:v>Sea Around Us exploited organisms</x:v>
      </x:c>
      <x:c r="D76" s="25" t="str">
        <x:v>high</x:v>
      </x:c>
      <x:c r="E76" s="35" t="n">
        <x:v>10</x:v>
      </x:c>
      <x:c r="F76" s="32" t="n">
        <x:v>19.616903931</x:v>
      </x:c>
      <x:c r="G76" s="32" t="n">
        <x:v>25.629903931</x:v>
      </x:c>
      <x:c r="H76" s="25" t="n">
        <x:v>13</x:v>
      </x:c>
      <x:c r="I76" s="34" t="n">
        <x:v>0.7692307692307693</x:v>
      </x:c>
      <x:c r="J76" s="34" t="n">
        <x:v>0.7653912392263348</x:v>
      </x:c>
    </x:row>
    <x:row r="77" ht="18" customHeight="1">
      <x:c r="A77" s="25" t="str">
        <x:v>EEZ_162</x:v>
      </x:c>
      <x:c r="B77" s="25" t="str">
        <x:v>exact_2020_supplement</x:v>
      </x:c>
      <x:c r="C77" s="33" t="str">
        <x:v>2020 supplement MeanTL</x:v>
      </x:c>
      <x:c r="D77" s="25" t="str">
        <x:v>high</x:v>
      </x:c>
      <x:c r="E77" s="35" t="n">
        <x:v>3</x:v>
      </x:c>
      <x:c r="F77" s="32" t="n">
        <x:v>6.013</x:v>
      </x:c>
      <x:c r="G77" s="32" t="n">
        <x:v>25.629903931</x:v>
      </x:c>
      <x:c r="H77" s="25" t="n">
        <x:v>13</x:v>
      </x:c>
      <x:c r="I77" s="34" t="n">
        <x:v>0.23076923076923078</x:v>
      </x:c>
      <x:c r="J77" s="34" t="n">
        <x:v>0.23460876077366516</x:v>
      </x:c>
    </x:row>
    <x:row r="78" ht="18" customHeight="1">
      <x:c r="A78" s="25" t="str">
        <x:v>EEZ_166</x:v>
      </x:c>
      <x:c r="B78" s="25" t="str">
        <x:v>exact_sea_around_us</x:v>
      </x:c>
      <x:c r="C78" s="33" t="str">
        <x:v>Sea Around Us exploited organisms</x:v>
      </x:c>
      <x:c r="D78" s="25" t="str">
        <x:v>high</x:v>
      </x:c>
      <x:c r="E78" s="35" t="n">
        <x:v>10</x:v>
      </x:c>
      <x:c r="F78" s="32" t="n">
        <x:v>268.594720107</x:v>
      </x:c>
      <x:c r="G78" s="32" t="n">
        <x:v>268.594720107</x:v>
      </x:c>
      <x:c r="H78" s="25" t="n">
        <x:v>10</x:v>
      </x:c>
      <x:c r="I78" s="34" t="n">
        <x:v>1</x:v>
      </x:c>
      <x:c r="J78" s="34" t="n">
        <x:v>1</x:v>
      </x:c>
    </x:row>
    <x:row r="79" ht="18" customHeight="1">
      <x:c r="A79" s="25" t="str">
        <x:v>EEZ_174</x:v>
      </x:c>
      <x:c r="B79" s="25" t="str">
        <x:v>exact_2020_supplement</x:v>
      </x:c>
      <x:c r="C79" s="33" t="str">
        <x:v>2020 supplement MeanTL</x:v>
      </x:c>
      <x:c r="D79" s="25" t="str">
        <x:v>high</x:v>
      </x:c>
      <x:c r="E79" s="35" t="n">
        <x:v>23</x:v>
      </x:c>
      <x:c r="F79" s="32" t="n">
        <x:v>15112.3252153761</x:v>
      </x:c>
      <x:c r="G79" s="32" t="n">
        <x:v>20265.4402931076</x:v>
      </x:c>
      <x:c r="H79" s="25" t="n">
        <x:v>42</x:v>
      </x:c>
      <x:c r="I79" s="34" t="n">
        <x:v>0.5476190476190477</x:v>
      </x:c>
      <x:c r="J79" s="34" t="n">
        <x:v>0.7457190663908692</x:v>
      </x:c>
    </x:row>
    <x:row r="80" ht="18" customHeight="1">
      <x:c r="A80" s="25" t="str">
        <x:v>EEZ_174</x:v>
      </x:c>
      <x:c r="B80" s="25" t="str">
        <x:v>exact_sea_around_us</x:v>
      </x:c>
      <x:c r="C80" s="33" t="str">
        <x:v>Sea Around Us exploited organisms</x:v>
      </x:c>
      <x:c r="D80" s="25" t="str">
        <x:v>high</x:v>
      </x:c>
      <x:c r="E80" s="35" t="n">
        <x:v>19</x:v>
      </x:c>
      <x:c r="F80" s="32" t="n">
        <x:v>5153.1150777315</x:v>
      </x:c>
      <x:c r="G80" s="32" t="n">
        <x:v>20265.4402931076</x:v>
      </x:c>
      <x:c r="H80" s="25" t="n">
        <x:v>42</x:v>
      </x:c>
      <x:c r="I80" s="34" t="n">
        <x:v>0.4523809523809524</x:v>
      </x:c>
      <x:c r="J80" s="34" t="n">
        <x:v>0.2542809336091309</x:v>
      </x:c>
    </x:row>
    <x:row r="81" ht="18" customHeight="1">
      <x:c r="A81" s="25" t="str">
        <x:v>EEZ_175</x:v>
      </x:c>
      <x:c r="B81" s="25" t="str">
        <x:v>exact_sea_around_us</x:v>
      </x:c>
      <x:c r="C81" s="33" t="str">
        <x:v>Sea Around Us exploited organisms</x:v>
      </x:c>
      <x:c r="D81" s="25" t="str">
        <x:v>high</x:v>
      </x:c>
      <x:c r="E81" s="35" t="n">
        <x:v>55</x:v>
      </x:c>
      <x:c r="F81" s="32" t="n">
        <x:v>1345.9474723933</x:v>
      </x:c>
      <x:c r="G81" s="32" t="n">
        <x:v>2674.2376296267</x:v>
      </x:c>
      <x:c r="H81" s="25" t="n">
        <x:v>104</x:v>
      </x:c>
      <x:c r="I81" s="34" t="n">
        <x:v>0.5288461538461539</x:v>
      </x:c>
      <x:c r="J81" s="34" t="n">
        <x:v>0.5033013736259415</x:v>
      </x:c>
    </x:row>
    <x:row r="82" ht="18" customHeight="1">
      <x:c r="A82" s="25" t="str">
        <x:v>EEZ_175</x:v>
      </x:c>
      <x:c r="B82" s="25" t="str">
        <x:v>exact_2020_supplement</x:v>
      </x:c>
      <x:c r="C82" s="33" t="str">
        <x:v>2020 supplement MeanTL</x:v>
      </x:c>
      <x:c r="D82" s="25" t="str">
        <x:v>high</x:v>
      </x:c>
      <x:c r="E82" s="35" t="n">
        <x:v>49</x:v>
      </x:c>
      <x:c r="F82" s="32" t="n">
        <x:v>1328.2901572334001</x:v>
      </x:c>
      <x:c r="G82" s="32" t="n">
        <x:v>2674.2376296267</x:v>
      </x:c>
      <x:c r="H82" s="25" t="n">
        <x:v>104</x:v>
      </x:c>
      <x:c r="I82" s="34" t="n">
        <x:v>0.47115384615384615</x:v>
      </x:c>
      <x:c r="J82" s="34" t="n">
        <x:v>0.49669862637405854</x:v>
      </x:c>
    </x:row>
    <x:row r="83" ht="18" customHeight="1">
      <x:c r="A83" s="25" t="str">
        <x:v>EEZ_178</x:v>
      </x:c>
      <x:c r="B83" s="25" t="str">
        <x:v>exact_2020_supplement</x:v>
      </x:c>
      <x:c r="C83" s="33" t="str">
        <x:v>2020 supplement MeanTL</x:v>
      </x:c>
      <x:c r="D83" s="25" t="str">
        <x:v>high</x:v>
      </x:c>
      <x:c r="E83" s="35" t="n">
        <x:v>33</x:v>
      </x:c>
      <x:c r="F83" s="32" t="n">
        <x:v>32898.596062238</x:v>
      </x:c>
      <x:c r="G83" s="32" t="n">
        <x:v>43444.3810041495</x:v>
      </x:c>
      <x:c r="H83" s="25" t="n">
        <x:v>56</x:v>
      </x:c>
      <x:c r="I83" s="34" t="n">
        <x:v>0.5892857142857143</x:v>
      </x:c>
      <x:c r="J83" s="34" t="n">
        <x:v>0.7572577926497734</x:v>
      </x:c>
    </x:row>
    <x:row r="84" ht="18" customHeight="1">
      <x:c r="A84" s="25" t="str">
        <x:v>EEZ_178</x:v>
      </x:c>
      <x:c r="B84" s="25" t="str">
        <x:v>exact_sea_around_us</x:v>
      </x:c>
      <x:c r="C84" s="33" t="str">
        <x:v>Sea Around Us exploited organisms</x:v>
      </x:c>
      <x:c r="D84" s="25" t="str">
        <x:v>high</x:v>
      </x:c>
      <x:c r="E84" s="35" t="n">
        <x:v>23</x:v>
      </x:c>
      <x:c r="F84" s="32" t="n">
        <x:v>10545.7849419115</x:v>
      </x:c>
      <x:c r="G84" s="32" t="n">
        <x:v>43444.3810041495</x:v>
      </x:c>
      <x:c r="H84" s="25" t="n">
        <x:v>56</x:v>
      </x:c>
      <x:c r="I84" s="34" t="n">
        <x:v>0.4107142857142857</x:v>
      </x:c>
      <x:c r="J84" s="34" t="n">
        <x:v>0.24274220735022647</x:v>
      </x:c>
    </x:row>
    <x:row r="85" ht="18" customHeight="1">
      <x:c r="A85" s="25" t="str">
        <x:v>EEZ_180</x:v>
      </x:c>
      <x:c r="B85" s="25" t="str">
        <x:v>exact_sea_around_us</x:v>
      </x:c>
      <x:c r="C85" s="33" t="str">
        <x:v>Sea Around Us exploited organisms</x:v>
      </x:c>
      <x:c r="D85" s="25" t="str">
        <x:v>high</x:v>
      </x:c>
      <x:c r="E85" s="35" t="n">
        <x:v>21</x:v>
      </x:c>
      <x:c r="F85" s="32" t="n">
        <x:v>19163.1792790127</x:v>
      </x:c>
      <x:c r="G85" s="32" t="n">
        <x:v>23378.355883991502</x:v>
      </x:c>
      <x:c r="H85" s="25" t="n">
        <x:v>34</x:v>
      </x:c>
      <x:c r="I85" s="34" t="n">
        <x:v>0.6176470588235294</x:v>
      </x:c>
      <x:c r="J85" s="34" t="n">
        <x:v>0.8196974746258707</x:v>
      </x:c>
    </x:row>
    <x:row r="86" ht="18" customHeight="1">
      <x:c r="A86" s="25" t="str">
        <x:v>EEZ_180</x:v>
      </x:c>
      <x:c r="B86" s="25" t="str">
        <x:v>exact_2020_supplement</x:v>
      </x:c>
      <x:c r="C86" s="33" t="str">
        <x:v>2020 supplement MeanTL</x:v>
      </x:c>
      <x:c r="D86" s="25" t="str">
        <x:v>high</x:v>
      </x:c>
      <x:c r="E86" s="35" t="n">
        <x:v>13</x:v>
      </x:c>
      <x:c r="F86" s="32" t="n">
        <x:v>4215.1766049788</x:v>
      </x:c>
      <x:c r="G86" s="32" t="n">
        <x:v>23378.355883991502</x:v>
      </x:c>
      <x:c r="H86" s="25" t="n">
        <x:v>34</x:v>
      </x:c>
      <x:c r="I86" s="34" t="n">
        <x:v>0.38235294117647056</x:v>
      </x:c>
      <x:c r="J86" s="34" t="n">
        <x:v>0.1803025253741292</x:v>
      </x:c>
    </x:row>
    <x:row r="87" ht="18" customHeight="1">
      <x:c r="A87" s="25" t="str">
        <x:v>EEZ_184</x:v>
      </x:c>
      <x:c r="B87" s="25" t="str">
        <x:v>exact_2020_supplement</x:v>
      </x:c>
      <x:c r="C87" s="33" t="str">
        <x:v>2020 supplement MeanTL</x:v>
      </x:c>
      <x:c r="D87" s="25" t="str">
        <x:v>high</x:v>
      </x:c>
      <x:c r="E87" s="35" t="n">
        <x:v>15</x:v>
      </x:c>
      <x:c r="F87" s="32" t="n">
        <x:v>52414.5773213742</x:v>
      </x:c>
      <x:c r="G87" s="32" t="n">
        <x:v>57850.2090052755</x:v>
      </x:c>
      <x:c r="H87" s="25" t="n">
        <x:v>38</x:v>
      </x:c>
      <x:c r="I87" s="34" t="n">
        <x:v>0.39473684210526316</x:v>
      </x:c>
      <x:c r="J87" s="34" t="n">
        <x:v>0.906039549772316</x:v>
      </x:c>
    </x:row>
    <x:row r="88" ht="18" customHeight="1">
      <x:c r="A88" s="25" t="str">
        <x:v>EEZ_184</x:v>
      </x:c>
      <x:c r="B88" s="25" t="str">
        <x:v>exact_sea_around_us</x:v>
      </x:c>
      <x:c r="C88" s="33" t="str">
        <x:v>Sea Around Us exploited organisms</x:v>
      </x:c>
      <x:c r="D88" s="25" t="str">
        <x:v>high</x:v>
      </x:c>
      <x:c r="E88" s="35" t="n">
        <x:v>23</x:v>
      </x:c>
      <x:c r="F88" s="32" t="n">
        <x:v>5435.6316839013</x:v>
      </x:c>
      <x:c r="G88" s="32" t="n">
        <x:v>57850.2090052755</x:v>
      </x:c>
      <x:c r="H88" s="25" t="n">
        <x:v>38</x:v>
      </x:c>
      <x:c r="I88" s="34" t="n">
        <x:v>0.6052631578947368</x:v>
      </x:c>
      <x:c r="J88" s="34" t="n">
        <x:v>0.0939604502276839</x:v>
      </x:c>
    </x:row>
    <x:row r="89" ht="18" customHeight="1">
      <x:c r="A89" s="25" t="str">
        <x:v>EEZ_191</x:v>
      </x:c>
      <x:c r="B89" s="25" t="str">
        <x:v>exact_2020_supplement</x:v>
      </x:c>
      <x:c r="C89" s="33" t="str">
        <x:v>2020 supplement MeanTL</x:v>
      </x:c>
      <x:c r="D89" s="25" t="str">
        <x:v>high</x:v>
      </x:c>
      <x:c r="E89" s="35" t="n">
        <x:v>25</x:v>
      </x:c>
      <x:c r="F89" s="32" t="n">
        <x:v>62383.148655362806</x:v>
      </x:c>
      <x:c r="G89" s="32" t="n">
        <x:v>77072.9733877067</x:v>
      </x:c>
      <x:c r="H89" s="25" t="n">
        <x:v>45</x:v>
      </x:c>
      <x:c r="I89" s="34" t="n">
        <x:v>0.5555555555555556</x:v>
      </x:c>
      <x:c r="J89" s="34" t="n">
        <x:v>0.8094036847592679</x:v>
      </x:c>
    </x:row>
    <x:row r="90" ht="18" customHeight="1">
      <x:c r="A90" s="25" t="str">
        <x:v>EEZ_191</x:v>
      </x:c>
      <x:c r="B90" s="25" t="str">
        <x:v>exact_sea_around_us</x:v>
      </x:c>
      <x:c r="C90" s="33" t="str">
        <x:v>Sea Around Us exploited organisms</x:v>
      </x:c>
      <x:c r="D90" s="25" t="str">
        <x:v>high</x:v>
      </x:c>
      <x:c r="E90" s="35" t="n">
        <x:v>20</x:v>
      </x:c>
      <x:c r="F90" s="32" t="n">
        <x:v>14689.8247323439</x:v>
      </x:c>
      <x:c r="G90" s="32" t="n">
        <x:v>77072.9733877067</x:v>
      </x:c>
      <x:c r="H90" s="25" t="n">
        <x:v>45</x:v>
      </x:c>
      <x:c r="I90" s="34" t="n">
        <x:v>0.4444444444444444</x:v>
      </x:c>
      <x:c r="J90" s="34" t="n">
        <x:v>0.19059631524073206</x:v>
      </x:c>
    </x:row>
    <x:row r="91" ht="18" customHeight="1">
      <x:c r="A91" s="25" t="str">
        <x:v>EEZ_192</x:v>
      </x:c>
      <x:c r="B91" s="25" t="str">
        <x:v>exact_sea_around_us</x:v>
      </x:c>
      <x:c r="C91" s="33" t="str">
        <x:v>Sea Around Us exploited organisms</x:v>
      </x:c>
      <x:c r="D91" s="25" t="str">
        <x:v>high</x:v>
      </x:c>
      <x:c r="E91" s="35" t="n">
        <x:v>27</x:v>
      </x:c>
      <x:c r="F91" s="32" t="n">
        <x:v>21379.4789043071</x:v>
      </x:c>
      <x:c r="G91" s="32" t="n">
        <x:v>24306.839375778498</x:v>
      </x:c>
      <x:c r="H91" s="25" t="n">
        <x:v>33</x:v>
      </x:c>
      <x:c r="I91" s="34" t="n">
        <x:v>0.8181818181818182</x:v>
      </x:c>
      <x:c r="J91" s="34" t="n">
        <x:v>0.8795663876238685</x:v>
      </x:c>
    </x:row>
    <x:row r="92" ht="18" customHeight="1">
      <x:c r="A92" s="25" t="str">
        <x:v>EEZ_192</x:v>
      </x:c>
      <x:c r="B92" s="25" t="str">
        <x:v>exact_2020_supplement</x:v>
      </x:c>
      <x:c r="C92" s="33" t="str">
        <x:v>2020 supplement MeanTL</x:v>
      </x:c>
      <x:c r="D92" s="25" t="str">
        <x:v>high</x:v>
      </x:c>
      <x:c r="E92" s="35" t="n">
        <x:v>6</x:v>
      </x:c>
      <x:c r="F92" s="32" t="n">
        <x:v>2927.3604714713997</x:v>
      </x:c>
      <x:c r="G92" s="32" t="n">
        <x:v>24306.839375778498</x:v>
      </x:c>
      <x:c r="H92" s="25" t="n">
        <x:v>33</x:v>
      </x:c>
      <x:c r="I92" s="34" t="n">
        <x:v>0.18181818181818182</x:v>
      </x:c>
      <x:c r="J92" s="34" t="n">
        <x:v>0.12043361237613158</x:v>
      </x:c>
    </x:row>
    <x:row r="93" ht="18" customHeight="1">
      <x:c r="A93" s="25" t="str">
        <x:v>EEZ_197</x:v>
      </x:c>
      <x:c r="B93" s="25" t="str">
        <x:v>exact_2020_supplement</x:v>
      </x:c>
      <x:c r="C93" s="33" t="str">
        <x:v>2020 supplement MeanTL</x:v>
      </x:c>
      <x:c r="D93" s="25" t="str">
        <x:v>high</x:v>
      </x:c>
      <x:c r="E93" s="35" t="n">
        <x:v>33</x:v>
      </x:c>
      <x:c r="F93" s="32" t="n">
        <x:v>4335.7719513912</x:v>
      </x:c>
      <x:c r="G93" s="32" t="n">
        <x:v>4715.9276116986</x:v>
      </x:c>
      <x:c r="H93" s="25" t="n">
        <x:v>45</x:v>
      </x:c>
      <x:c r="I93" s="34" t="n">
        <x:v>0.7333333333333333</x:v>
      </x:c>
      <x:c r="J93" s="34" t="n">
        <x:v>0.9193889958437096</x:v>
      </x:c>
    </x:row>
    <x:row r="94" ht="18" customHeight="1">
      <x:c r="A94" s="25" t="str">
        <x:v>EEZ_197</x:v>
      </x:c>
      <x:c r="B94" s="25" t="str">
        <x:v>exact_sea_around_us</x:v>
      </x:c>
      <x:c r="C94" s="33" t="str">
        <x:v>Sea Around Us exploited organisms</x:v>
      </x:c>
      <x:c r="D94" s="25" t="str">
        <x:v>high</x:v>
      </x:c>
      <x:c r="E94" s="35" t="n">
        <x:v>12</x:v>
      </x:c>
      <x:c r="F94" s="32" t="n">
        <x:v>380.1556603074</x:v>
      </x:c>
      <x:c r="G94" s="32" t="n">
        <x:v>4715.9276116986</x:v>
      </x:c>
      <x:c r="H94" s="25" t="n">
        <x:v>45</x:v>
      </x:c>
      <x:c r="I94" s="34" t="n">
        <x:v>0.26666666666666666</x:v>
      </x:c>
      <x:c r="J94" s="34" t="n">
        <x:v>0.08061100415629029</x:v>
      </x:c>
    </x:row>
    <x:row r="95" ht="18" customHeight="1">
      <x:c r="A95" s="25" t="str">
        <x:v>EEZ_198</x:v>
      </x:c>
      <x:c r="B95" s="25" t="str">
        <x:v>exact_2020_supplement</x:v>
      </x:c>
      <x:c r="C95" s="33" t="str">
        <x:v>2020 supplement MeanTL</x:v>
      </x:c>
      <x:c r="D95" s="25" t="str">
        <x:v>high</x:v>
      </x:c>
      <x:c r="E95" s="35" t="n">
        <x:v>51</x:v>
      </x:c>
      <x:c r="F95" s="32" t="n">
        <x:v>1420.9943225066</x:v>
      </x:c>
      <x:c r="G95" s="32" t="n">
        <x:v>2236.2086502549</x:v>
      </x:c>
      <x:c r="H95" s="25" t="n">
        <x:v>90</x:v>
      </x:c>
      <x:c r="I95" s="34" t="n">
        <x:v>0.5666666666666667</x:v>
      </x:c>
      <x:c r="J95" s="34" t="n">
        <x:v>0.6354480036308885</x:v>
      </x:c>
    </x:row>
    <x:row r="96" ht="18" customHeight="1">
      <x:c r="A96" s="25" t="str">
        <x:v>EEZ_198</x:v>
      </x:c>
      <x:c r="B96" s="25" t="str">
        <x:v>exact_sea_around_us</x:v>
      </x:c>
      <x:c r="C96" s="33" t="str">
        <x:v>Sea Around Us exploited organisms</x:v>
      </x:c>
      <x:c r="D96" s="25" t="str">
        <x:v>high</x:v>
      </x:c>
      <x:c r="E96" s="35" t="n">
        <x:v>39</x:v>
      </x:c>
      <x:c r="F96" s="32" t="n">
        <x:v>815.2143277483</x:v>
      </x:c>
      <x:c r="G96" s="32" t="n">
        <x:v>2236.2086502549</x:v>
      </x:c>
      <x:c r="H96" s="25" t="n">
        <x:v>90</x:v>
      </x:c>
      <x:c r="I96" s="34" t="n">
        <x:v>0.43333333333333335</x:v>
      </x:c>
      <x:c r="J96" s="34" t="n">
        <x:v>0.36455199636911145</x:v>
      </x:c>
    </x:row>
    <x:row r="97" ht="18" customHeight="1">
      <x:c r="A97" s="25" t="str">
        <x:v>EEZ_204</x:v>
      </x:c>
      <x:c r="B97" s="25" t="str">
        <x:v>exact_2020_supplement</x:v>
      </x:c>
      <x:c r="C97" s="33" t="str">
        <x:v>2020 supplement MeanTL</x:v>
      </x:c>
      <x:c r="D97" s="25" t="str">
        <x:v>high</x:v>
      </x:c>
      <x:c r="E97" s="35" t="n">
        <x:v>53</x:v>
      </x:c>
      <x:c r="F97" s="32" t="n">
        <x:v>44852.5776421422</x:v>
      </x:c>
      <x:c r="G97" s="32" t="n">
        <x:v>83987.6435485869</x:v>
      </x:c>
      <x:c r="H97" s="25" t="n">
        <x:v>96</x:v>
      </x:c>
      <x:c r="I97" s="34" t="n">
        <x:v>0.5520833333333334</x:v>
      </x:c>
      <x:c r="J97" s="34" t="n">
        <x:v>0.5340378149339903</x:v>
      </x:c>
    </x:row>
    <x:row r="98" ht="18" customHeight="1">
      <x:c r="A98" s="25" t="str">
        <x:v>EEZ_204</x:v>
      </x:c>
      <x:c r="B98" s="25" t="str">
        <x:v>exact_sea_around_us</x:v>
      </x:c>
      <x:c r="C98" s="33" t="str">
        <x:v>Sea Around Us exploited organisms</x:v>
      </x:c>
      <x:c r="D98" s="25" t="str">
        <x:v>high</x:v>
      </x:c>
      <x:c r="E98" s="35" t="n">
        <x:v>43</x:v>
      </x:c>
      <x:c r="F98" s="32" t="n">
        <x:v>39135.0659064447</x:v>
      </x:c>
      <x:c r="G98" s="32" t="n">
        <x:v>83987.6435485869</x:v>
      </x:c>
      <x:c r="H98" s="25" t="n">
        <x:v>96</x:v>
      </x:c>
      <x:c r="I98" s="34" t="n">
        <x:v>0.4479166666666667</x:v>
      </x:c>
      <x:c r="J98" s="34" t="n">
        <x:v>0.46596218506600967</x:v>
      </x:c>
    </x:row>
    <x:row r="99" ht="18" customHeight="1">
      <x:c r="A99" s="25" t="str">
        <x:v>EEZ_212</x:v>
      </x:c>
      <x:c r="B99" s="25" t="str">
        <x:v>exact_2020_supplement</x:v>
      </x:c>
      <x:c r="C99" s="33" t="str">
        <x:v>2020 supplement MeanTL</x:v>
      </x:c>
      <x:c r="D99" s="25" t="str">
        <x:v>high</x:v>
      </x:c>
      <x:c r="E99" s="35" t="n">
        <x:v>22</x:v>
      </x:c>
      <x:c r="F99" s="32" t="n">
        <x:v>1118.3357566816</x:v>
      </x:c>
      <x:c r="G99" s="32" t="n">
        <x:v>1874.1702079981999</x:v>
      </x:c>
      <x:c r="H99" s="25" t="n">
        <x:v>40</x:v>
      </x:c>
      <x:c r="I99" s="34" t="n">
        <x:v>0.55</x:v>
      </x:c>
      <x:c r="J99" s="34" t="n">
        <x:v>0.5967098142468574</x:v>
      </x:c>
    </x:row>
    <x:row r="100" ht="18" customHeight="1">
      <x:c r="A100" s="25" t="str">
        <x:v>EEZ_212</x:v>
      </x:c>
      <x:c r="B100" s="25" t="str">
        <x:v>exact_sea_around_us</x:v>
      </x:c>
      <x:c r="C100" s="33" t="str">
        <x:v>Sea Around Us exploited organisms</x:v>
      </x:c>
      <x:c r="D100" s="25" t="str">
        <x:v>high</x:v>
      </x:c>
      <x:c r="E100" s="35" t="n">
        <x:v>18</x:v>
      </x:c>
      <x:c r="F100" s="32" t="n">
        <x:v>755.8344513165999</x:v>
      </x:c>
      <x:c r="G100" s="32" t="n">
        <x:v>1874.1702079981999</x:v>
      </x:c>
      <x:c r="H100" s="25" t="n">
        <x:v>40</x:v>
      </x:c>
      <x:c r="I100" s="34" t="n">
        <x:v>0.45</x:v>
      </x:c>
      <x:c r="J100" s="34" t="n">
        <x:v>0.4032901857531426</x:v>
      </x:c>
    </x:row>
    <x:row r="101" ht="18" customHeight="1">
      <x:c r="A101" s="25" t="str">
        <x:v>EEZ_214</x:v>
      </x:c>
      <x:c r="B101" s="25" t="str">
        <x:v>exact_sea_around_us</x:v>
      </x:c>
      <x:c r="C101" s="33" t="str">
        <x:v>Sea Around Us exploited organisms</x:v>
      </x:c>
      <x:c r="D101" s="25" t="str">
        <x:v>high</x:v>
      </x:c>
      <x:c r="E101" s="35" t="n">
        <x:v>60</x:v>
      </x:c>
      <x:c r="F101" s="32" t="n">
        <x:v>51194.453133869</x:v>
      </x:c>
      <x:c r="G101" s="32" t="n">
        <x:v>54410.016272012</x:v>
      </x:c>
      <x:c r="H101" s="25" t="n">
        <x:v>80</x:v>
      </x:c>
      <x:c r="I101" s="34" t="n">
        <x:v>0.75</x:v>
      </x:c>
      <x:c r="J101" s="34" t="n">
        <x:v>0.9409012649055748</x:v>
      </x:c>
    </x:row>
    <x:row r="102" ht="18" customHeight="1">
      <x:c r="A102" s="25" t="str">
        <x:v>EEZ_214</x:v>
      </x:c>
      <x:c r="B102" s="25" t="str">
        <x:v>exact_2020_supplement</x:v>
      </x:c>
      <x:c r="C102" s="33" t="str">
        <x:v>2020 supplement MeanTL</x:v>
      </x:c>
      <x:c r="D102" s="25" t="str">
        <x:v>high</x:v>
      </x:c>
      <x:c r="E102" s="35" t="n">
        <x:v>20</x:v>
      </x:c>
      <x:c r="F102" s="32" t="n">
        <x:v>3215.563138143</x:v>
      </x:c>
      <x:c r="G102" s="32" t="n">
        <x:v>54410.016272012</x:v>
      </x:c>
      <x:c r="H102" s="25" t="n">
        <x:v>80</x:v>
      </x:c>
      <x:c r="I102" s="34" t="n">
        <x:v>0.25</x:v>
      </x:c>
      <x:c r="J102" s="34" t="n">
        <x:v>0.05909873509442517</x:v>
      </x:c>
    </x:row>
    <x:row r="103" ht="18" customHeight="1">
      <x:c r="A103" s="25" t="str">
        <x:v>EEZ_218</x:v>
      </x:c>
      <x:c r="B103" s="25" t="str">
        <x:v>exact_2020_supplement</x:v>
      </x:c>
      <x:c r="C103" s="33" t="str">
        <x:v>2020 supplement MeanTL</x:v>
      </x:c>
      <x:c r="D103" s="25" t="str">
        <x:v>high</x:v>
      </x:c>
      <x:c r="E103" s="35" t="n">
        <x:v>33</x:v>
      </x:c>
      <x:c r="F103" s="32" t="n">
        <x:v>129953.9424855251</x:v>
      </x:c>
      <x:c r="G103" s="32" t="n">
        <x:v>227592.5966285953</x:v>
      </x:c>
      <x:c r="H103" s="25" t="n">
        <x:v>82</x:v>
      </x:c>
      <x:c r="I103" s="34" t="n">
        <x:v>0.4024390243902439</x:v>
      </x:c>
      <x:c r="J103" s="34" t="n">
        <x:v>0.5709937160108721</x:v>
      </x:c>
    </x:row>
    <x:row r="104" ht="18" customHeight="1">
      <x:c r="A104" s="25" t="str">
        <x:v>EEZ_218</x:v>
      </x:c>
      <x:c r="B104" s="25" t="str">
        <x:v>exact_sea_around_us</x:v>
      </x:c>
      <x:c r="C104" s="33" t="str">
        <x:v>Sea Around Us exploited organisms</x:v>
      </x:c>
      <x:c r="D104" s="25" t="str">
        <x:v>high</x:v>
      </x:c>
      <x:c r="E104" s="35" t="n">
        <x:v>49</x:v>
      </x:c>
      <x:c r="F104" s="32" t="n">
        <x:v>97638.65414307019</x:v>
      </x:c>
      <x:c r="G104" s="32" t="n">
        <x:v>227592.5966285953</x:v>
      </x:c>
      <x:c r="H104" s="25" t="n">
        <x:v>82</x:v>
      </x:c>
      <x:c r="I104" s="34" t="n">
        <x:v>0.5975609756097561</x:v>
      </x:c>
      <x:c r="J104" s="34" t="n">
        <x:v>0.42900628398912793</x:v>
      </x:c>
    </x:row>
    <x:row r="105" ht="18" customHeight="1">
      <x:c r="A105" s="25" t="str">
        <x:v>EEZ_219</x:v>
      </x:c>
      <x:c r="B105" s="25" t="str">
        <x:v>exact_2020_supplement</x:v>
      </x:c>
      <x:c r="C105" s="33" t="str">
        <x:v>2020 supplement MeanTL</x:v>
      </x:c>
      <x:c r="D105" s="25" t="str">
        <x:v>high</x:v>
      </x:c>
      <x:c r="E105" s="35" t="n">
        <x:v>23</x:v>
      </x:c>
      <x:c r="F105" s="32" t="n">
        <x:v>65405.6452269301</x:v>
      </x:c>
      <x:c r="G105" s="32" t="n">
        <x:v>68947.833359488</x:v>
      </x:c>
      <x:c r="H105" s="25" t="n">
        <x:v>47</x:v>
      </x:c>
      <x:c r="I105" s="34" t="n">
        <x:v>0.48936170212765956</x:v>
      </x:c>
      <x:c r="J105" s="34" t="n">
        <x:v>0.9486250987164566</x:v>
      </x:c>
    </x:row>
    <x:row r="106" ht="18" customHeight="1">
      <x:c r="A106" s="25" t="str">
        <x:v>EEZ_219</x:v>
      </x:c>
      <x:c r="B106" s="25" t="str">
        <x:v>exact_sea_around_us</x:v>
      </x:c>
      <x:c r="C106" s="33" t="str">
        <x:v>Sea Around Us exploited organisms</x:v>
      </x:c>
      <x:c r="D106" s="25" t="str">
        <x:v>high</x:v>
      </x:c>
      <x:c r="E106" s="35" t="n">
        <x:v>24</x:v>
      </x:c>
      <x:c r="F106" s="32" t="n">
        <x:v>3542.1881325579</x:v>
      </x:c>
      <x:c r="G106" s="32" t="n">
        <x:v>68947.833359488</x:v>
      </x:c>
      <x:c r="H106" s="25" t="n">
        <x:v>47</x:v>
      </x:c>
      <x:c r="I106" s="34" t="n">
        <x:v>0.5106382978723404</x:v>
      </x:c>
      <x:c r="J106" s="34" t="n">
        <x:v>0.05137490128354346</x:v>
      </x:c>
    </x:row>
    <x:row r="107" ht="18" customHeight="1">
      <x:c r="A107" s="25" t="str">
        <x:v>EEZ_222</x:v>
      </x:c>
      <x:c r="B107" s="25" t="str">
        <x:v>exact_sea_around_us</x:v>
      </x:c>
      <x:c r="C107" s="33" t="str">
        <x:v>Sea Around Us exploited organisms</x:v>
      </x:c>
      <x:c r="D107" s="25" t="str">
        <x:v>high</x:v>
      </x:c>
      <x:c r="E107" s="35" t="n">
        <x:v>31</x:v>
      </x:c>
      <x:c r="F107" s="32" t="n">
        <x:v>15494.616701933901</x:v>
      </x:c>
      <x:c r="G107" s="32" t="n">
        <x:v>19144.4662436629</x:v>
      </x:c>
      <x:c r="H107" s="25" t="n">
        <x:v>59</x:v>
      </x:c>
      <x:c r="I107" s="34" t="n">
        <x:v>0.5254237288135594</x:v>
      </x:c>
      <x:c r="J107" s="34" t="n">
        <x:v>0.8093522433440967</x:v>
      </x:c>
    </x:row>
    <x:row r="108" ht="18" customHeight="1">
      <x:c r="A108" s="25" t="str">
        <x:v>EEZ_222</x:v>
      </x:c>
      <x:c r="B108" s="25" t="str">
        <x:v>exact_2020_supplement</x:v>
      </x:c>
      <x:c r="C108" s="33" t="str">
        <x:v>2020 supplement MeanTL</x:v>
      </x:c>
      <x:c r="D108" s="25" t="str">
        <x:v>high</x:v>
      </x:c>
      <x:c r="E108" s="35" t="n">
        <x:v>28</x:v>
      </x:c>
      <x:c r="F108" s="32" t="n">
        <x:v>3649.849541729</x:v>
      </x:c>
      <x:c r="G108" s="32" t="n">
        <x:v>19144.4662436629</x:v>
      </x:c>
      <x:c r="H108" s="25" t="n">
        <x:v>59</x:v>
      </x:c>
      <x:c r="I108" s="34" t="n">
        <x:v>0.4745762711864407</x:v>
      </x:c>
      <x:c r="J108" s="34" t="n">
        <x:v>0.1906477566559033</x:v>
      </x:c>
    </x:row>
    <x:row r="109" ht="18" customHeight="1">
      <x:c r="A109" s="25" t="str">
        <x:v>EEZ_226</x:v>
      </x:c>
      <x:c r="B109" s="25" t="str">
        <x:v>exact_sea_around_us</x:v>
      </x:c>
      <x:c r="C109" s="33" t="str">
        <x:v>Sea Around Us exploited organisms</x:v>
      </x:c>
      <x:c r="D109" s="25" t="str">
        <x:v>high</x:v>
      </x:c>
      <x:c r="E109" s="35" t="n">
        <x:v>30</x:v>
      </x:c>
      <x:c r="F109" s="32" t="n">
        <x:v>16763.278106248697</x:v>
      </x:c>
      <x:c r="G109" s="32" t="n">
        <x:v>23094.192527557498</x:v>
      </x:c>
      <x:c r="H109" s="25" t="n">
        <x:v>66</x:v>
      </x:c>
      <x:c r="I109" s="34" t="n">
        <x:v>0.45454545454545453</x:v>
      </x:c>
      <x:c r="J109" s="34" t="n">
        <x:v>0.7258655216563931</x:v>
      </x:c>
    </x:row>
    <x:row r="110" ht="18" customHeight="1">
      <x:c r="A110" s="25" t="str">
        <x:v>EEZ_226</x:v>
      </x:c>
      <x:c r="B110" s="25" t="str">
        <x:v>exact_2020_supplement</x:v>
      </x:c>
      <x:c r="C110" s="33" t="str">
        <x:v>2020 supplement MeanTL</x:v>
      </x:c>
      <x:c r="D110" s="25" t="str">
        <x:v>high</x:v>
      </x:c>
      <x:c r="E110" s="35" t="n">
        <x:v>36</x:v>
      </x:c>
      <x:c r="F110" s="32" t="n">
        <x:v>6330.9144213088</x:v>
      </x:c>
      <x:c r="G110" s="32" t="n">
        <x:v>23094.192527557498</x:v>
      </x:c>
      <x:c r="H110" s="25" t="n">
        <x:v>66</x:v>
      </x:c>
      <x:c r="I110" s="34" t="n">
        <x:v>0.5454545454545454</x:v>
      </x:c>
      <x:c r="J110" s="34" t="n">
        <x:v>0.27413447834360694</x:v>
      </x:c>
    </x:row>
    <x:row r="111" ht="18" customHeight="1">
      <x:c r="A111" s="25" t="str">
        <x:v>EEZ_233</x:v>
      </x:c>
      <x:c r="B111" s="25" t="str">
        <x:v>exact_2020_supplement</x:v>
      </x:c>
      <x:c r="C111" s="33" t="str">
        <x:v>2020 supplement MeanTL</x:v>
      </x:c>
      <x:c r="D111" s="25" t="str">
        <x:v>high</x:v>
      </x:c>
      <x:c r="E111" s="35" t="n">
        <x:v>33</x:v>
      </x:c>
      <x:c r="F111" s="32" t="n">
        <x:v>79267.3306052244</x:v>
      </x:c>
      <x:c r="G111" s="32" t="n">
        <x:v>79757.3063875073</x:v>
      </x:c>
      <x:c r="H111" s="25" t="n">
        <x:v>46</x:v>
      </x:c>
      <x:c r="I111" s="34" t="n">
        <x:v>0.717391304347826</x:v>
      </x:c>
      <x:c r="J111" s="34" t="n">
        <x:v>0.9938566658720606</x:v>
      </x:c>
    </x:row>
    <x:row r="112" ht="18" customHeight="1">
      <x:c r="A112" s="25" t="str">
        <x:v>EEZ_233</x:v>
      </x:c>
      <x:c r="B112" s="25" t="str">
        <x:v>exact_sea_around_us</x:v>
      </x:c>
      <x:c r="C112" s="33" t="str">
        <x:v>Sea Around Us exploited organisms</x:v>
      </x:c>
      <x:c r="D112" s="25" t="str">
        <x:v>high</x:v>
      </x:c>
      <x:c r="E112" s="35" t="n">
        <x:v>13</x:v>
      </x:c>
      <x:c r="F112" s="32" t="n">
        <x:v>489.9757822829</x:v>
      </x:c>
      <x:c r="G112" s="32" t="n">
        <x:v>79757.3063875073</x:v>
      </x:c>
      <x:c r="H112" s="25" t="n">
        <x:v>46</x:v>
      </x:c>
      <x:c r="I112" s="34" t="n">
        <x:v>0.2826086956521739</x:v>
      </x:c>
      <x:c r="J112" s="34" t="n">
        <x:v>0.006143334127939492</x:v>
      </x:c>
    </x:row>
    <x:row r="113" ht="18" customHeight="1">
      <x:c r="A113" s="25" t="str">
        <x:v>EEZ_234</x:v>
      </x:c>
      <x:c r="B113" s="25" t="str">
        <x:v>exact_2020_supplement</x:v>
      </x:c>
      <x:c r="C113" s="33" t="str">
        <x:v>2020 supplement MeanTL</x:v>
      </x:c>
      <x:c r="D113" s="25" t="str">
        <x:v>high</x:v>
      </x:c>
      <x:c r="E113" s="35" t="n">
        <x:v>61</x:v>
      </x:c>
      <x:c r="F113" s="32" t="n">
        <x:v>527774.3518079042</x:v>
      </x:c>
      <x:c r="G113" s="32" t="n">
        <x:v>573325.9947069994</x:v>
      </x:c>
      <x:c r="H113" s="25" t="n">
        <x:v>104</x:v>
      </x:c>
      <x:c r="I113" s="34" t="n">
        <x:v>0.5865384615384616</x:v>
      </x:c>
      <x:c r="J113" s="34" t="n">
        <x:v>0.9205484430853784</x:v>
      </x:c>
    </x:row>
    <x:row r="114" ht="18" customHeight="1">
      <x:c r="A114" s="25" t="str">
        <x:v>EEZ_234</x:v>
      </x:c>
      <x:c r="B114" s="25" t="str">
        <x:v>exact_sea_around_us</x:v>
      </x:c>
      <x:c r="C114" s="33" t="str">
        <x:v>Sea Around Us exploited organisms</x:v>
      </x:c>
      <x:c r="D114" s="25" t="str">
        <x:v>high</x:v>
      </x:c>
      <x:c r="E114" s="35" t="n">
        <x:v>43</x:v>
      </x:c>
      <x:c r="F114" s="32" t="n">
        <x:v>45551.6428990952</x:v>
      </x:c>
      <x:c r="G114" s="32" t="n">
        <x:v>573325.9947069994</x:v>
      </x:c>
      <x:c r="H114" s="25" t="n">
        <x:v>104</x:v>
      </x:c>
      <x:c r="I114" s="34" t="n">
        <x:v>0.41346153846153844</x:v>
      </x:c>
      <x:c r="J114" s="34" t="n">
        <x:v>0.0794515569146216</x:v>
      </x:c>
    </x:row>
    <x:row r="115" ht="18" customHeight="1">
      <x:c r="A115" s="25" t="str">
        <x:v>EEZ_238</x:v>
      </x:c>
      <x:c r="B115" s="25" t="str">
        <x:v>exact_2020_supplement</x:v>
      </x:c>
      <x:c r="C115" s="33" t="str">
        <x:v>2020 supplement MeanTL</x:v>
      </x:c>
      <x:c r="D115" s="25" t="str">
        <x:v>high</x:v>
      </x:c>
      <x:c r="E115" s="35" t="n">
        <x:v>18</x:v>
      </x:c>
      <x:c r="F115" s="32" t="n">
        <x:v>265760.4030519035</x:v>
      </x:c>
      <x:c r="G115" s="32" t="n">
        <x:v>278214.98085805017</x:v>
      </x:c>
      <x:c r="H115" s="25" t="n">
        <x:v>33</x:v>
      </x:c>
      <x:c r="I115" s="34" t="n">
        <x:v>0.5454545454545454</x:v>
      </x:c>
      <x:c r="J115" s="34" t="n">
        <x:v>0.9552339785307923</x:v>
      </x:c>
    </x:row>
    <x:row r="116" ht="18" customHeight="1">
      <x:c r="A116" s="25" t="str">
        <x:v>EEZ_238</x:v>
      </x:c>
      <x:c r="B116" s="25" t="str">
        <x:v>exact_sea_around_us</x:v>
      </x:c>
      <x:c r="C116" s="33" t="str">
        <x:v>Sea Around Us exploited organisms</x:v>
      </x:c>
      <x:c r="D116" s="25" t="str">
        <x:v>high</x:v>
      </x:c>
      <x:c r="E116" s="35" t="n">
        <x:v>15</x:v>
      </x:c>
      <x:c r="F116" s="32" t="n">
        <x:v>12454.5778061467</x:v>
      </x:c>
      <x:c r="G116" s="32" t="n">
        <x:v>278214.98085805017</x:v>
      </x:c>
      <x:c r="H116" s="25" t="n">
        <x:v>33</x:v>
      </x:c>
      <x:c r="I116" s="34" t="n">
        <x:v>0.45454545454545453</x:v>
      </x:c>
      <x:c r="J116" s="34" t="n">
        <x:v>0.044766021469207766</x:v>
      </x:c>
    </x:row>
    <x:row r="117" ht="18" customHeight="1">
      <x:c r="A117" s="25" t="str">
        <x:v>EEZ_239</x:v>
      </x:c>
      <x:c r="B117" s="25" t="str">
        <x:v>exact_2020_supplement</x:v>
      </x:c>
      <x:c r="C117" s="33" t="str">
        <x:v>2020 supplement MeanTL</x:v>
      </x:c>
      <x:c r="D117" s="25" t="str">
        <x:v>high</x:v>
      </x:c>
      <x:c r="E117" s="35" t="n">
        <x:v>18</x:v>
      </x:c>
      <x:c r="F117" s="32" t="n">
        <x:v>142699.6517859942</x:v>
      </x:c>
      <x:c r="G117" s="32" t="n">
        <x:v>142823.9584061877</x:v>
      </x:c>
      <x:c r="H117" s="25" t="n">
        <x:v>33</x:v>
      </x:c>
      <x:c r="I117" s="34" t="n">
        <x:v>0.5454545454545454</x:v>
      </x:c>
      <x:c r="J117" s="34" t="n">
        <x:v>0.999129651484382</x:v>
      </x:c>
    </x:row>
    <x:row r="118" ht="18" customHeight="1">
      <x:c r="A118" s="25" t="str">
        <x:v>EEZ_239</x:v>
      </x:c>
      <x:c r="B118" s="25" t="str">
        <x:v>exact_sea_around_us</x:v>
      </x:c>
      <x:c r="C118" s="33" t="str">
        <x:v>Sea Around Us exploited organisms</x:v>
      </x:c>
      <x:c r="D118" s="25" t="str">
        <x:v>high</x:v>
      </x:c>
      <x:c r="E118" s="35" t="n">
        <x:v>15</x:v>
      </x:c>
      <x:c r="F118" s="32" t="n">
        <x:v>124.3066201935</x:v>
      </x:c>
      <x:c r="G118" s="32" t="n">
        <x:v>142823.9584061877</x:v>
      </x:c>
      <x:c r="H118" s="25" t="n">
        <x:v>33</x:v>
      </x:c>
      <x:c r="I118" s="34" t="n">
        <x:v>0.45454545454545453</x:v>
      </x:c>
      <x:c r="J118" s="34" t="n">
        <x:v>0.0008703485156179128</x:v>
      </x:c>
    </x:row>
    <x:row r="119" ht="18" customHeight="1">
      <x:c r="A119" s="25" t="str">
        <x:v>EEZ_242</x:v>
      </x:c>
      <x:c r="B119" s="25" t="str">
        <x:v>exact_sea_around_us</x:v>
      </x:c>
      <x:c r="C119" s="33" t="str">
        <x:v>Sea Around Us exploited organisms</x:v>
      </x:c>
      <x:c r="D119" s="25" t="str">
        <x:v>high</x:v>
      </x:c>
      <x:c r="E119" s="35" t="n">
        <x:v>37</x:v>
      </x:c>
      <x:c r="F119" s="32" t="n">
        <x:v>30491.4721024238</x:v>
      </x:c>
      <x:c r="G119" s="32" t="n">
        <x:v>57561.827748763695</x:v>
      </x:c>
      <x:c r="H119" s="25" t="n">
        <x:v>57</x:v>
      </x:c>
      <x:c r="I119" s="34" t="n">
        <x:v>0.6491228070175439</x:v>
      </x:c>
      <x:c r="J119" s="34" t="n">
        <x:v>0.5297168852161525</x:v>
      </x:c>
    </x:row>
    <x:row r="120" ht="18" customHeight="1">
      <x:c r="A120" s="25" t="str">
        <x:v>EEZ_242</x:v>
      </x:c>
      <x:c r="B120" s="25" t="str">
        <x:v>exact_2020_supplement</x:v>
      </x:c>
      <x:c r="C120" s="33" t="str">
        <x:v>2020 supplement MeanTL</x:v>
      </x:c>
      <x:c r="D120" s="25" t="str">
        <x:v>high</x:v>
      </x:c>
      <x:c r="E120" s="35" t="n">
        <x:v>20</x:v>
      </x:c>
      <x:c r="F120" s="32" t="n">
        <x:v>27070.3556463399</x:v>
      </x:c>
      <x:c r="G120" s="32" t="n">
        <x:v>57561.827748763695</x:v>
      </x:c>
      <x:c r="H120" s="25" t="n">
        <x:v>57</x:v>
      </x:c>
      <x:c r="I120" s="34" t="n">
        <x:v>0.3508771929824561</x:v>
      </x:c>
      <x:c r="J120" s="34" t="n">
        <x:v>0.4702831147838476</x:v>
      </x:c>
    </x:row>
    <x:row r="121" ht="18" customHeight="1">
      <x:c r="A121" s="25" t="str">
        <x:v>EEZ_246</x:v>
      </x:c>
      <x:c r="B121" s="25" t="str">
        <x:v>exact_2020_supplement</x:v>
      </x:c>
      <x:c r="C121" s="33" t="str">
        <x:v>2020 supplement MeanTL</x:v>
      </x:c>
      <x:c r="D121" s="25" t="str">
        <x:v>high</x:v>
      </x:c>
      <x:c r="E121" s="35" t="n">
        <x:v>29</x:v>
      </x:c>
      <x:c r="F121" s="32" t="n">
        <x:v>120621.1302146397</x:v>
      </x:c>
      <x:c r="G121" s="32" t="n">
        <x:v>122751.58946063151</x:v>
      </x:c>
      <x:c r="H121" s="25" t="n">
        <x:v>43</x:v>
      </x:c>
      <x:c r="I121" s="34" t="n">
        <x:v>0.6744186046511628</x:v>
      </x:c>
      <x:c r="J121" s="34" t="n">
        <x:v>0.9826441412664959</x:v>
      </x:c>
    </x:row>
    <x:row r="122" ht="18" customHeight="1">
      <x:c r="A122" s="25" t="str">
        <x:v>EEZ_246</x:v>
      </x:c>
      <x:c r="B122" s="25" t="str">
        <x:v>exact_sea_around_us</x:v>
      </x:c>
      <x:c r="C122" s="33" t="str">
        <x:v>Sea Around Us exploited organisms</x:v>
      </x:c>
      <x:c r="D122" s="25" t="str">
        <x:v>high</x:v>
      </x:c>
      <x:c r="E122" s="35" t="n">
        <x:v>14</x:v>
      </x:c>
      <x:c r="F122" s="32" t="n">
        <x:v>2130.4592459918</x:v>
      </x:c>
      <x:c r="G122" s="32" t="n">
        <x:v>122751.58946063151</x:v>
      </x:c>
      <x:c r="H122" s="25" t="n">
        <x:v>43</x:v>
      </x:c>
      <x:c r="I122" s="34" t="n">
        <x:v>0.32558139534883723</x:v>
      </x:c>
      <x:c r="J122" s="34" t="n">
        <x:v>0.017355858733504006</x:v>
      </x:c>
    </x:row>
    <x:row r="123" ht="18" customHeight="1">
      <x:c r="A123" s="25" t="str">
        <x:v>EEZ_251</x:v>
      </x:c>
      <x:c r="B123" s="25" t="str">
        <x:v>exact_2020_supplement</x:v>
      </x:c>
      <x:c r="C123" s="33" t="str">
        <x:v>2020 supplement MeanTL</x:v>
      </x:c>
      <x:c r="D123" s="25" t="str">
        <x:v>high</x:v>
      </x:c>
      <x:c r="E123" s="35" t="n">
        <x:v>16</x:v>
      </x:c>
      <x:c r="F123" s="32" t="n">
        <x:v>3695.9193643505</x:v>
      </x:c>
      <x:c r="G123" s="32" t="n">
        <x:v>3801.8421879603998</x:v>
      </x:c>
      <x:c r="H123" s="25" t="n">
        <x:v>27</x:v>
      </x:c>
      <x:c r="I123" s="34" t="n">
        <x:v>0.5925925925925926</x:v>
      </x:c>
      <x:c r="J123" s="34" t="n">
        <x:v>0.9721390793270341</x:v>
      </x:c>
    </x:row>
    <x:row r="124" ht="18" customHeight="1">
      <x:c r="A124" s="25" t="str">
        <x:v>EEZ_251</x:v>
      </x:c>
      <x:c r="B124" s="25" t="str">
        <x:v>exact_sea_around_us</x:v>
      </x:c>
      <x:c r="C124" s="33" t="str">
        <x:v>Sea Around Us exploited organisms</x:v>
      </x:c>
      <x:c r="D124" s="25" t="str">
        <x:v>high</x:v>
      </x:c>
      <x:c r="E124" s="35" t="n">
        <x:v>11</x:v>
      </x:c>
      <x:c r="F124" s="32" t="n">
        <x:v>105.92282360990001</x:v>
      </x:c>
      <x:c r="G124" s="32" t="n">
        <x:v>3801.8421879603998</x:v>
      </x:c>
      <x:c r="H124" s="25" t="n">
        <x:v>27</x:v>
      </x:c>
      <x:c r="I124" s="34" t="n">
        <x:v>0.4074074074074074</x:v>
      </x:c>
      <x:c r="J124" s="34" t="n">
        <x:v>0.02786092067296595</x:v>
      </x:c>
    </x:row>
    <x:row r="125" ht="18" customHeight="1">
      <x:c r="A125" s="25" t="str">
        <x:v>EEZ_252</x:v>
      </x:c>
      <x:c r="B125" s="25" t="str">
        <x:v>exact_sea_around_us</x:v>
      </x:c>
      <x:c r="C125" s="33" t="str">
        <x:v>Sea Around Us exploited organisms</x:v>
      </x:c>
      <x:c r="D125" s="25" t="str">
        <x:v>high</x:v>
      </x:c>
      <x:c r="E125" s="35" t="n">
        <x:v>4</x:v>
      </x:c>
      <x:c r="F125" s="32" t="n">
        <x:v>10.2538128372</x:v>
      </x:c>
      <x:c r="G125" s="32" t="n">
        <x:v>20.057971261</x:v>
      </x:c>
      <x:c r="H125" s="25" t="n">
        <x:v>16</x:v>
      </x:c>
      <x:c r="I125" s="34" t="n">
        <x:v>0.25</x:v>
      </x:c>
      <x:c r="J125" s="34" t="n">
        <x:v>0.5112088707165089</x:v>
      </x:c>
    </x:row>
    <x:row r="126" ht="18" customHeight="1">
      <x:c r="A126" s="25" t="str">
        <x:v>EEZ_252</x:v>
      </x:c>
      <x:c r="B126" s="25" t="str">
        <x:v>exact_2020_supplement</x:v>
      </x:c>
      <x:c r="C126" s="33" t="str">
        <x:v>2020 supplement MeanTL</x:v>
      </x:c>
      <x:c r="D126" s="25" t="str">
        <x:v>high</x:v>
      </x:c>
      <x:c r="E126" s="35" t="n">
        <x:v>12</x:v>
      </x:c>
      <x:c r="F126" s="32" t="n">
        <x:v>9.8041584238</x:v>
      </x:c>
      <x:c r="G126" s="32" t="n">
        <x:v>20.057971261</x:v>
      </x:c>
      <x:c r="H126" s="25" t="n">
        <x:v>16</x:v>
      </x:c>
      <x:c r="I126" s="34" t="n">
        <x:v>0.75</x:v>
      </x:c>
      <x:c r="J126" s="34" t="n">
        <x:v>0.48879112928349117</x:v>
      </x:c>
    </x:row>
    <x:row r="127" ht="18" customHeight="1">
      <x:c r="A127" s="25" t="str">
        <x:v>EEZ_254</x:v>
      </x:c>
      <x:c r="B127" s="25" t="str">
        <x:v>exact_sea_around_us</x:v>
      </x:c>
      <x:c r="C127" s="33" t="str">
        <x:v>Sea Around Us exploited organisms</x:v>
      </x:c>
      <x:c r="D127" s="25" t="str">
        <x:v>high</x:v>
      </x:c>
      <x:c r="E127" s="35" t="n">
        <x:v>32</x:v>
      </x:c>
      <x:c r="F127" s="32" t="n">
        <x:v>3725.6236757526003</x:v>
      </x:c>
      <x:c r="G127" s="32" t="n">
        <x:v>6463.6550972397</x:v>
      </x:c>
      <x:c r="H127" s="25" t="n">
        <x:v>65</x:v>
      </x:c>
      <x:c r="I127" s="34" t="n">
        <x:v>0.49230769230769234</x:v>
      </x:c>
      <x:c r="J127" s="34" t="n">
        <x:v>0.5763958038762969</x:v>
      </x:c>
    </x:row>
    <x:row r="128" ht="18" customHeight="1">
      <x:c r="A128" s="25" t="str">
        <x:v>EEZ_254</x:v>
      </x:c>
      <x:c r="B128" s="25" t="str">
        <x:v>exact_2020_supplement</x:v>
      </x:c>
      <x:c r="C128" s="33" t="str">
        <x:v>2020 supplement MeanTL</x:v>
      </x:c>
      <x:c r="D128" s="25" t="str">
        <x:v>high</x:v>
      </x:c>
      <x:c r="E128" s="35" t="n">
        <x:v>33</x:v>
      </x:c>
      <x:c r="F128" s="32" t="n">
        <x:v>2738.0314214871</x:v>
      </x:c>
      <x:c r="G128" s="32" t="n">
        <x:v>6463.6550972397</x:v>
      </x:c>
      <x:c r="H128" s="25" t="n">
        <x:v>65</x:v>
      </x:c>
      <x:c r="I128" s="34" t="n">
        <x:v>0.5076923076923077</x:v>
      </x:c>
      <x:c r="J128" s="34" t="n">
        <x:v>0.42360419612370326</x:v>
      </x:c>
    </x:row>
    <x:row r="129" ht="18" customHeight="1">
      <x:c r="A129" s="25" t="str">
        <x:v>EEZ_258</x:v>
      </x:c>
      <x:c r="B129" s="25" t="str">
        <x:v>exact_2020_supplement</x:v>
      </x:c>
      <x:c r="C129" s="33" t="str">
        <x:v>2020 supplement MeanTL</x:v>
      </x:c>
      <x:c r="D129" s="25" t="str">
        <x:v>high</x:v>
      </x:c>
      <x:c r="E129" s="35" t="n">
        <x:v>37</x:v>
      </x:c>
      <x:c r="F129" s="32" t="n">
        <x:v>21593.2645095443</x:v>
      </x:c>
      <x:c r="G129" s="32" t="n">
        <x:v>30503.777685111698</x:v>
      </x:c>
      <x:c r="H129" s="25" t="n">
        <x:v>63</x:v>
      </x:c>
      <x:c r="I129" s="34" t="n">
        <x:v>0.5873015873015873</x:v>
      </x:c>
      <x:c r="J129" s="34" t="n">
        <x:v>0.707888207567273</x:v>
      </x:c>
    </x:row>
    <x:row r="130" ht="18" customHeight="1">
      <x:c r="A130" s="25" t="str">
        <x:v>EEZ_258</x:v>
      </x:c>
      <x:c r="B130" s="25" t="str">
        <x:v>exact_sea_around_us</x:v>
      </x:c>
      <x:c r="C130" s="33" t="str">
        <x:v>Sea Around Us exploited organisms</x:v>
      </x:c>
      <x:c r="D130" s="25" t="str">
        <x:v>high</x:v>
      </x:c>
      <x:c r="E130" s="35" t="n">
        <x:v>26</x:v>
      </x:c>
      <x:c r="F130" s="32" t="n">
        <x:v>8910.5131755674</x:v>
      </x:c>
      <x:c r="G130" s="32" t="n">
        <x:v>30503.777685111698</x:v>
      </x:c>
      <x:c r="H130" s="25" t="n">
        <x:v>63</x:v>
      </x:c>
      <x:c r="I130" s="34" t="n">
        <x:v>0.4126984126984127</x:v>
      </x:c>
      <x:c r="J130" s="34" t="n">
        <x:v>0.29211179243272706</x:v>
      </x:c>
    </x:row>
    <x:row r="131" ht="18" customHeight="1">
      <x:c r="A131" s="25" t="str">
        <x:v>EEZ_262</x:v>
      </x:c>
      <x:c r="B131" s="25" t="str">
        <x:v>exact_sea_around_us</x:v>
      </x:c>
      <x:c r="C131" s="33" t="str">
        <x:v>Sea Around Us exploited organisms</x:v>
      </x:c>
      <x:c r="D131" s="25" t="str">
        <x:v>high</x:v>
      </x:c>
      <x:c r="E131" s="35" t="n">
        <x:v>23</x:v>
      </x:c>
      <x:c r="F131" s="32" t="n">
        <x:v>2050.1183890351</x:v>
      </x:c>
      <x:c r="G131" s="32" t="n">
        <x:v>3605.053587344</x:v>
      </x:c>
      <x:c r="H131" s="25" t="n">
        <x:v>41</x:v>
      </x:c>
      <x:c r="I131" s="34" t="n">
        <x:v>0.5609756097560976</x:v>
      </x:c>
      <x:c r="J131" s="34" t="n">
        <x:v>0.5686790332971199</x:v>
      </x:c>
    </x:row>
    <x:row r="132" ht="18" customHeight="1">
      <x:c r="A132" s="25" t="str">
        <x:v>EEZ_262</x:v>
      </x:c>
      <x:c r="B132" s="25" t="str">
        <x:v>exact_2020_supplement</x:v>
      </x:c>
      <x:c r="C132" s="33" t="str">
        <x:v>2020 supplement MeanTL</x:v>
      </x:c>
      <x:c r="D132" s="25" t="str">
        <x:v>high</x:v>
      </x:c>
      <x:c r="E132" s="35" t="n">
        <x:v>18</x:v>
      </x:c>
      <x:c r="F132" s="32" t="n">
        <x:v>1554.9351983089</x:v>
      </x:c>
      <x:c r="G132" s="32" t="n">
        <x:v>3605.053587344</x:v>
      </x:c>
      <x:c r="H132" s="25" t="n">
        <x:v>41</x:v>
      </x:c>
      <x:c r="I132" s="34" t="n">
        <x:v>0.43902439024390244</x:v>
      </x:c>
      <x:c r="J132" s="34" t="n">
        <x:v>0.43132096670288017</x:v>
      </x:c>
    </x:row>
    <x:row r="133" ht="18" customHeight="1">
      <x:c r="A133" s="25" t="str">
        <x:v>EEZ_266</x:v>
      </x:c>
      <x:c r="B133" s="25" t="str">
        <x:v>exact_sea_around_us</x:v>
      </x:c>
      <x:c r="C133" s="33" t="str">
        <x:v>Sea Around Us exploited organisms</x:v>
      </x:c>
      <x:c r="D133" s="25" t="str">
        <x:v>high</x:v>
      </x:c>
      <x:c r="E133" s="35" t="n">
        <x:v>80</x:v>
      </x:c>
      <x:c r="F133" s="32" t="n">
        <x:v>102276.9232815629</x:v>
      </x:c>
      <x:c r="G133" s="32" t="n">
        <x:v>158907.5327978865</x:v>
      </x:c>
      <x:c r="H133" s="25" t="n">
        <x:v>184</x:v>
      </x:c>
      <x:c r="I133" s="34" t="n">
        <x:v>0.43478260869565216</x:v>
      </x:c>
      <x:c r="J133" s="34" t="n">
        <x:v>0.6436253932130975</x:v>
      </x:c>
    </x:row>
    <x:row r="134" ht="18" customHeight="1">
      <x:c r="A134" s="25" t="str">
        <x:v>EEZ_266</x:v>
      </x:c>
      <x:c r="B134" s="25" t="str">
        <x:v>exact_2020_supplement</x:v>
      </x:c>
      <x:c r="C134" s="33" t="str">
        <x:v>2020 supplement MeanTL</x:v>
      </x:c>
      <x:c r="D134" s="25" t="str">
        <x:v>high</x:v>
      </x:c>
      <x:c r="E134" s="35" t="n">
        <x:v>104</x:v>
      </x:c>
      <x:c r="F134" s="32" t="n">
        <x:v>56630.6095163236</x:v>
      </x:c>
      <x:c r="G134" s="32" t="n">
        <x:v>158907.5327978865</x:v>
      </x:c>
      <x:c r="H134" s="25" t="n">
        <x:v>184</x:v>
      </x:c>
      <x:c r="I134" s="34" t="n">
        <x:v>0.5652173913043478</x:v>
      </x:c>
      <x:c r="J134" s="34" t="n">
        <x:v>0.3563746067869024</x:v>
      </x:c>
    </x:row>
    <x:row r="135" ht="18" customHeight="1">
      <x:c r="A135" s="25" t="str">
        <x:v>EEZ_268</x:v>
      </x:c>
      <x:c r="B135" s="25" t="str">
        <x:v>exact_2020_supplement</x:v>
      </x:c>
      <x:c r="C135" s="33" t="str">
        <x:v>2020 supplement MeanTL</x:v>
      </x:c>
      <x:c r="D135" s="25" t="str">
        <x:v>high</x:v>
      </x:c>
      <x:c r="E135" s="35" t="n">
        <x:v>12</x:v>
      </x:c>
      <x:c r="F135" s="32" t="n">
        <x:v>328008.70647812146</x:v>
      </x:c>
      <x:c r="G135" s="32" t="n">
        <x:v>350092.2854428537</x:v>
      </x:c>
      <x:c r="H135" s="25" t="n">
        <x:v>29</x:v>
      </x:c>
      <x:c r="I135" s="34" t="n">
        <x:v>0.41379310344827586</x:v>
      </x:c>
      <x:c r="J135" s="34" t="n">
        <x:v>0.9369206923917294</x:v>
      </x:c>
    </x:row>
    <x:row r="136" ht="18" customHeight="1">
      <x:c r="A136" s="25" t="str">
        <x:v>EEZ_268</x:v>
      </x:c>
      <x:c r="B136" s="25" t="str">
        <x:v>exact_sea_around_us</x:v>
      </x:c>
      <x:c r="C136" s="33" t="str">
        <x:v>Sea Around Us exploited organisms</x:v>
      </x:c>
      <x:c r="D136" s="25" t="str">
        <x:v>high</x:v>
      </x:c>
      <x:c r="E136" s="35" t="n">
        <x:v>17</x:v>
      </x:c>
      <x:c r="F136" s="32" t="n">
        <x:v>22083.5789647322</x:v>
      </x:c>
      <x:c r="G136" s="32" t="n">
        <x:v>350092.2854428537</x:v>
      </x:c>
      <x:c r="H136" s="25" t="n">
        <x:v>29</x:v>
      </x:c>
      <x:c r="I136" s="34" t="n">
        <x:v>0.5862068965517241</x:v>
      </x:c>
      <x:c r="J136" s="34" t="n">
        <x:v>0.06307930760827048</x:v>
      </x:c>
    </x:row>
    <x:row r="137" ht="18" customHeight="1">
      <x:c r="A137" s="25" t="str">
        <x:v>EEZ_270</x:v>
      </x:c>
      <x:c r="B137" s="25" t="str">
        <x:v>exact_2020_supplement</x:v>
      </x:c>
      <x:c r="C137" s="33" t="str">
        <x:v>2020 supplement MeanTL</x:v>
      </x:c>
      <x:c r="D137" s="25" t="str">
        <x:v>high</x:v>
      </x:c>
      <x:c r="E137" s="35" t="n">
        <x:v>133</x:v>
      </x:c>
      <x:c r="F137" s="32" t="n">
        <x:v>91923.4737612689</x:v>
      </x:c>
      <x:c r="G137" s="32" t="n">
        <x:v>168306.3027997336</x:v>
      </x:c>
      <x:c r="H137" s="25" t="n">
        <x:v>238</x:v>
      </x:c>
      <x:c r="I137" s="34" t="n">
        <x:v>0.5588235294117647</x:v>
      </x:c>
      <x:c r="J137" s="34" t="n">
        <x:v>0.5461677443574289</x:v>
      </x:c>
    </x:row>
    <x:row r="138" ht="18" customHeight="1">
      <x:c r="A138" s="25" t="str">
        <x:v>EEZ_270</x:v>
      </x:c>
      <x:c r="B138" s="25" t="str">
        <x:v>exact_sea_around_us</x:v>
      </x:c>
      <x:c r="C138" s="33" t="str">
        <x:v>Sea Around Us exploited organisms</x:v>
      </x:c>
      <x:c r="D138" s="25" t="str">
        <x:v>high</x:v>
      </x:c>
      <x:c r="E138" s="35" t="n">
        <x:v>105</x:v>
      </x:c>
      <x:c r="F138" s="32" t="n">
        <x:v>76382.8290384647</x:v>
      </x:c>
      <x:c r="G138" s="32" t="n">
        <x:v>168306.3027997336</x:v>
      </x:c>
      <x:c r="H138" s="25" t="n">
        <x:v>238</x:v>
      </x:c>
      <x:c r="I138" s="34" t="n">
        <x:v>0.4411764705882353</x:v>
      </x:c>
      <x:c r="J138" s="34" t="n">
        <x:v>0.45383225564257124</x:v>
      </x:c>
    </x:row>
    <x:row r="139" ht="18" customHeight="1">
      <x:c r="A139" s="25" t="str">
        <x:v>EEZ_274</x:v>
      </x:c>
      <x:c r="B139" s="25" t="str">
        <x:v>exact_sea_around_us</x:v>
      </x:c>
      <x:c r="C139" s="33" t="str">
        <x:v>Sea Around Us exploited organisms</x:v>
      </x:c>
      <x:c r="D139" s="25" t="str">
        <x:v>high</x:v>
      </x:c>
      <x:c r="E139" s="35" t="n">
        <x:v>19</x:v>
      </x:c>
      <x:c r="F139" s="32" t="n">
        <x:v>5040.30801541</x:v>
      </x:c>
      <x:c r="G139" s="32" t="n">
        <x:v>6410.774318524001</x:v>
      </x:c>
      <x:c r="H139" s="25" t="n">
        <x:v>36</x:v>
      </x:c>
      <x:c r="I139" s="34" t="n">
        <x:v>0.5277777777777778</x:v>
      </x:c>
      <x:c r="J139" s="34" t="n">
        <x:v>0.7862245284233413</x:v>
      </x:c>
    </x:row>
    <x:row r="140" ht="18" customHeight="1">
      <x:c r="A140" s="25" t="str">
        <x:v>EEZ_274</x:v>
      </x:c>
      <x:c r="B140" s="25" t="str">
        <x:v>exact_2020_supplement</x:v>
      </x:c>
      <x:c r="C140" s="33" t="str">
        <x:v>2020 supplement MeanTL</x:v>
      </x:c>
      <x:c r="D140" s="25" t="str">
        <x:v>high</x:v>
      </x:c>
      <x:c r="E140" s="35" t="n">
        <x:v>17</x:v>
      </x:c>
      <x:c r="F140" s="32" t="n">
        <x:v>1370.466303114</x:v>
      </x:c>
      <x:c r="G140" s="32" t="n">
        <x:v>6410.774318524001</x:v>
      </x:c>
      <x:c r="H140" s="25" t="n">
        <x:v>36</x:v>
      </x:c>
      <x:c r="I140" s="34" t="n">
        <x:v>0.4722222222222222</x:v>
      </x:c>
      <x:c r="J140" s="34" t="n">
        <x:v>0.21377547157665855</x:v>
      </x:c>
    </x:row>
    <x:row r="141" ht="18" customHeight="1">
      <x:c r="A141" s="25" t="str">
        <x:v>EEZ_277</x:v>
      </x:c>
      <x:c r="B141" s="25" t="str">
        <x:v>exact_2020_supplement</x:v>
      </x:c>
      <x:c r="C141" s="33" t="str">
        <x:v>2020 supplement MeanTL</x:v>
      </x:c>
      <x:c r="D141" s="25" t="str">
        <x:v>high</x:v>
      </x:c>
      <x:c r="E141" s="35" t="n">
        <x:v>99</x:v>
      </x:c>
      <x:c r="F141" s="32" t="n">
        <x:v>70792.4565026224</x:v>
      </x:c>
      <x:c r="G141" s="32" t="n">
        <x:v>93934.3963977611</x:v>
      </x:c>
      <x:c r="H141" s="25" t="n">
        <x:v>181</x:v>
      </x:c>
      <x:c r="I141" s="34" t="n">
        <x:v>0.5469613259668509</x:v>
      </x:c>
      <x:c r="J141" s="34" t="n">
        <x:v>0.7536372108344087</x:v>
      </x:c>
    </x:row>
    <x:row r="142" ht="18" customHeight="1">
      <x:c r="A142" s="25" t="str">
        <x:v>EEZ_277</x:v>
      </x:c>
      <x:c r="B142" s="25" t="str">
        <x:v>exact_sea_around_us</x:v>
      </x:c>
      <x:c r="C142" s="33" t="str">
        <x:v>Sea Around Us exploited organisms</x:v>
      </x:c>
      <x:c r="D142" s="25" t="str">
        <x:v>high</x:v>
      </x:c>
      <x:c r="E142" s="35" t="n">
        <x:v>82</x:v>
      </x:c>
      <x:c r="F142" s="32" t="n">
        <x:v>23141.9398951387</x:v>
      </x:c>
      <x:c r="G142" s="32" t="n">
        <x:v>93934.3963977611</x:v>
      </x:c>
      <x:c r="H142" s="25" t="n">
        <x:v>181</x:v>
      </x:c>
      <x:c r="I142" s="34" t="n">
        <x:v>0.4530386740331492</x:v>
      </x:c>
      <x:c r="J142" s="34" t="n">
        <x:v>0.24636278916559134</x:v>
      </x:c>
    </x:row>
    <x:row r="143" ht="18" customHeight="1">
      <x:c r="A143" s="25" t="str">
        <x:v>EEZ_278</x:v>
      </x:c>
      <x:c r="B143" s="25" t="str">
        <x:v>exact_2020_supplement</x:v>
      </x:c>
      <x:c r="C143" s="33" t="str">
        <x:v>2020 supplement MeanTL</x:v>
      </x:c>
      <x:c r="D143" s="25" t="str">
        <x:v>high</x:v>
      </x:c>
      <x:c r="E143" s="35" t="n">
        <x:v>46</x:v>
      </x:c>
      <x:c r="F143" s="32" t="n">
        <x:v>25676.636533986402</x:v>
      </x:c>
      <x:c r="G143" s="32" t="n">
        <x:v>26188.512849154402</x:v>
      </x:c>
      <x:c r="H143" s="25" t="n">
        <x:v>59</x:v>
      </x:c>
      <x:c r="I143" s="34" t="n">
        <x:v>0.7796610169491526</x:v>
      </x:c>
      <x:c r="J143" s="34" t="n">
        <x:v>0.98045416636995</x:v>
      </x:c>
    </x:row>
    <x:row r="144" ht="18" customHeight="1">
      <x:c r="A144" s="25" t="str">
        <x:v>EEZ_278</x:v>
      </x:c>
      <x:c r="B144" s="25" t="str">
        <x:v>exact_sea_around_us</x:v>
      </x:c>
      <x:c r="C144" s="33" t="str">
        <x:v>Sea Around Us exploited organisms</x:v>
      </x:c>
      <x:c r="D144" s="25" t="str">
        <x:v>high</x:v>
      </x:c>
      <x:c r="E144" s="35" t="n">
        <x:v>13</x:v>
      </x:c>
      <x:c r="F144" s="32" t="n">
        <x:v>511.876315168</x:v>
      </x:c>
      <x:c r="G144" s="32" t="n">
        <x:v>26188.512849154402</x:v>
      </x:c>
      <x:c r="H144" s="25" t="n">
        <x:v>59</x:v>
      </x:c>
      <x:c r="I144" s="34" t="n">
        <x:v>0.22033898305084745</x:v>
      </x:c>
      <x:c r="J144" s="34" t="n">
        <x:v>0.019545833630050052</x:v>
      </x:c>
    </x:row>
    <x:row r="145" ht="18" customHeight="1">
      <x:c r="A145" s="25" t="str">
        <x:v>EEZ_288</x:v>
      </x:c>
      <x:c r="B145" s="25" t="str">
        <x:v>exact_2020_supplement</x:v>
      </x:c>
      <x:c r="C145" s="33" t="str">
        <x:v>2020 supplement MeanTL</x:v>
      </x:c>
      <x:c r="D145" s="25" t="str">
        <x:v>high</x:v>
      </x:c>
      <x:c r="E145" s="35" t="n">
        <x:v>51</x:v>
      </x:c>
      <x:c r="F145" s="32" t="n">
        <x:v>313710.9388593471</x:v>
      </x:c>
      <x:c r="G145" s="32" t="n">
        <x:v>476804.0080210729</x:v>
      </x:c>
      <x:c r="H145" s="25" t="n">
        <x:v>103</x:v>
      </x:c>
      <x:c r="I145" s="34" t="n">
        <x:v>0.49514563106796117</x:v>
      </x:c>
      <x:c r="J145" s="34" t="n">
        <x:v>0.6579452638440956</x:v>
      </x:c>
    </x:row>
    <x:row r="146" ht="18" customHeight="1">
      <x:c r="A146" s="25" t="str">
        <x:v>EEZ_288</x:v>
      </x:c>
      <x:c r="B146" s="25" t="str">
        <x:v>exact_sea_around_us</x:v>
      </x:c>
      <x:c r="C146" s="33" t="str">
        <x:v>Sea Around Us exploited organisms</x:v>
      </x:c>
      <x:c r="D146" s="25" t="str">
        <x:v>high</x:v>
      </x:c>
      <x:c r="E146" s="35" t="n">
        <x:v>52</x:v>
      </x:c>
      <x:c r="F146" s="32" t="n">
        <x:v>163093.0691617258</x:v>
      </x:c>
      <x:c r="G146" s="32" t="n">
        <x:v>476804.0080210729</x:v>
      </x:c>
      <x:c r="H146" s="25" t="n">
        <x:v>103</x:v>
      </x:c>
      <x:c r="I146" s="34" t="n">
        <x:v>0.5048543689320388</x:v>
      </x:c>
      <x:c r="J146" s="34" t="n">
        <x:v>0.34205473615590437</x:v>
      </x:c>
    </x:row>
    <x:row r="147" ht="18" customHeight="1">
      <x:c r="A147" s="25" t="str">
        <x:v>EEZ_300</x:v>
      </x:c>
      <x:c r="B147" s="25" t="str">
        <x:v>exact_2020_supplement</x:v>
      </x:c>
      <x:c r="C147" s="33" t="str">
        <x:v>2020 supplement MeanTL</x:v>
      </x:c>
      <x:c r="D147" s="25" t="str">
        <x:v>high</x:v>
      </x:c>
      <x:c r="E147" s="35" t="n">
        <x:v>103</x:v>
      </x:c>
      <x:c r="F147" s="32" t="n">
        <x:v>73566.1022209741</x:v>
      </x:c>
      <x:c r="G147" s="32" t="n">
        <x:v>108516.7645129038</x:v>
      </x:c>
      <x:c r="H147" s="25" t="n">
        <x:v>155</x:v>
      </x:c>
      <x:c r="I147" s="34" t="n">
        <x:v>0.6645161290322581</x:v>
      </x:c>
      <x:c r="J147" s="34" t="n">
        <x:v>0.6779238447735539</x:v>
      </x:c>
    </x:row>
    <x:row r="148" ht="18" customHeight="1">
      <x:c r="A148" s="25" t="str">
        <x:v>EEZ_300</x:v>
      </x:c>
      <x:c r="B148" s="25" t="str">
        <x:v>exact_sea_around_us</x:v>
      </x:c>
      <x:c r="C148" s="33" t="str">
        <x:v>Sea Around Us exploited organisms</x:v>
      </x:c>
      <x:c r="D148" s="25" t="str">
        <x:v>high</x:v>
      </x:c>
      <x:c r="E148" s="35" t="n">
        <x:v>52</x:v>
      </x:c>
      <x:c r="F148" s="32" t="n">
        <x:v>34950.6622919297</x:v>
      </x:c>
      <x:c r="G148" s="32" t="n">
        <x:v>108516.7645129038</x:v>
      </x:c>
      <x:c r="H148" s="25" t="n">
        <x:v>155</x:v>
      </x:c>
      <x:c r="I148" s="34" t="n">
        <x:v>0.33548387096774196</x:v>
      </x:c>
      <x:c r="J148" s="34" t="n">
        <x:v>0.3220761552264461</x:v>
      </x:c>
    </x:row>
    <x:row r="149" ht="18" customHeight="1">
      <x:c r="A149" s="25" t="str">
        <x:v>EEZ_304</x:v>
      </x:c>
      <x:c r="B149" s="25" t="str">
        <x:v>exact_2020_supplement</x:v>
      </x:c>
      <x:c r="C149" s="33" t="str">
        <x:v>2020 supplement MeanTL</x:v>
      </x:c>
      <x:c r="D149" s="25" t="str">
        <x:v>high</x:v>
      </x:c>
      <x:c r="E149" s="35" t="n">
        <x:v>23</x:v>
      </x:c>
      <x:c r="F149" s="32" t="n">
        <x:v>202687.7358042626</x:v>
      </x:c>
      <x:c r="G149" s="32" t="n">
        <x:v>262286.0841378048</x:v>
      </x:c>
      <x:c r="H149" s="25" t="n">
        <x:v>54</x:v>
      </x:c>
      <x:c r="I149" s="34" t="n">
        <x:v>0.42592592592592593</x:v>
      </x:c>
      <x:c r="J149" s="34" t="n">
        <x:v>0.7727735021495487</x:v>
      </x:c>
    </x:row>
    <x:row r="150" ht="18" customHeight="1">
      <x:c r="A150" s="25" t="str">
        <x:v>EEZ_304</x:v>
      </x:c>
      <x:c r="B150" s="25" t="str">
        <x:v>exact_sea_around_us</x:v>
      </x:c>
      <x:c r="C150" s="33" t="str">
        <x:v>Sea Around Us exploited organisms</x:v>
      </x:c>
      <x:c r="D150" s="25" t="str">
        <x:v>high</x:v>
      </x:c>
      <x:c r="E150" s="35" t="n">
        <x:v>31</x:v>
      </x:c>
      <x:c r="F150" s="32" t="n">
        <x:v>59598.3483335422</x:v>
      </x:c>
      <x:c r="G150" s="32" t="n">
        <x:v>262286.0841378048</x:v>
      </x:c>
      <x:c r="H150" s="25" t="n">
        <x:v>54</x:v>
      </x:c>
      <x:c r="I150" s="34" t="n">
        <x:v>0.5740740740740741</x:v>
      </x:c>
      <x:c r="J150" s="34" t="n">
        <x:v>0.22722649785045132</x:v>
      </x:c>
    </x:row>
    <x:row r="151" ht="18" customHeight="1">
      <x:c r="A151" s="25" t="str">
        <x:v>EEZ_308</x:v>
      </x:c>
      <x:c r="B151" s="25" t="str">
        <x:v>exact_2020_supplement</x:v>
      </x:c>
      <x:c r="C151" s="33" t="str">
        <x:v>2020 supplement MeanTL</x:v>
      </x:c>
      <x:c r="D151" s="25" t="str">
        <x:v>high</x:v>
      </x:c>
      <x:c r="E151" s="35" t="n">
        <x:v>34</x:v>
      </x:c>
      <x:c r="F151" s="32" t="n">
        <x:v>3102.922605454</x:v>
      </x:c>
      <x:c r="G151" s="32" t="n">
        <x:v>3717.1043054866</x:v>
      </x:c>
      <x:c r="H151" s="25" t="n">
        <x:v>60</x:v>
      </x:c>
      <x:c r="I151" s="34" t="n">
        <x:v>0.5666666666666667</x:v>
      </x:c>
      <x:c r="J151" s="34" t="n">
        <x:v>0.834768774412372</x:v>
      </x:c>
    </x:row>
    <x:row r="152" ht="18" customHeight="1">
      <x:c r="A152" s="25" t="str">
        <x:v>EEZ_308</x:v>
      </x:c>
      <x:c r="B152" s="25" t="str">
        <x:v>exact_sea_around_us</x:v>
      </x:c>
      <x:c r="C152" s="33" t="str">
        <x:v>Sea Around Us exploited organisms</x:v>
      </x:c>
      <x:c r="D152" s="25" t="str">
        <x:v>high</x:v>
      </x:c>
      <x:c r="E152" s="35" t="n">
        <x:v>26</x:v>
      </x:c>
      <x:c r="F152" s="32" t="n">
        <x:v>614.1817000326</x:v>
      </x:c>
      <x:c r="G152" s="32" t="n">
        <x:v>3717.1043054866</x:v>
      </x:c>
      <x:c r="H152" s="25" t="n">
        <x:v>60</x:v>
      </x:c>
      <x:c r="I152" s="34" t="n">
        <x:v>0.43333333333333335</x:v>
      </x:c>
      <x:c r="J152" s="34" t="n">
        <x:v>0.1652312255876281</x:v>
      </x:c>
    </x:row>
    <x:row r="153" ht="18" customHeight="1">
      <x:c r="A153" s="25" t="str">
        <x:v>EEZ_312</x:v>
      </x:c>
      <x:c r="B153" s="25" t="str">
        <x:v>exact_sea_around_us</x:v>
      </x:c>
      <x:c r="C153" s="33" t="str">
        <x:v>Sea Around Us exploited organisms</x:v>
      </x:c>
      <x:c r="D153" s="25" t="str">
        <x:v>high</x:v>
      </x:c>
      <x:c r="E153" s="35" t="n">
        <x:v>19</x:v>
      </x:c>
      <x:c r="F153" s="32" t="n">
        <x:v>4753.942585249701</x:v>
      </x:c>
      <x:c r="G153" s="32" t="n">
        <x:v>5032.7505711547</x:v>
      </x:c>
      <x:c r="H153" s="25" t="n">
        <x:v>23</x:v>
      </x:c>
      <x:c r="I153" s="34" t="n">
        <x:v>0.8260869565217391</x:v>
      </x:c>
      <x:c r="J153" s="34" t="n">
        <x:v>0.944601270823356</x:v>
      </x:c>
    </x:row>
    <x:row r="154" ht="18" customHeight="1">
      <x:c r="A154" s="25" t="str">
        <x:v>EEZ_312</x:v>
      </x:c>
      <x:c r="B154" s="25" t="str">
        <x:v>exact_2020_supplement</x:v>
      </x:c>
      <x:c r="C154" s="33" t="str">
        <x:v>2020 supplement MeanTL</x:v>
      </x:c>
      <x:c r="D154" s="25" t="str">
        <x:v>high</x:v>
      </x:c>
      <x:c r="E154" s="35" t="n">
        <x:v>4</x:v>
      </x:c>
      <x:c r="F154" s="32" t="n">
        <x:v>278.807985905</x:v>
      </x:c>
      <x:c r="G154" s="32" t="n">
        <x:v>5032.7505711547</x:v>
      </x:c>
      <x:c r="H154" s="25" t="n">
        <x:v>23</x:v>
      </x:c>
      <x:c r="I154" s="34" t="n">
        <x:v>0.17391304347826086</x:v>
      </x:c>
      <x:c r="J154" s="34" t="n">
        <x:v>0.055398729176644075</x:v>
      </x:c>
    </x:row>
    <x:row r="155" ht="18" customHeight="1">
      <x:c r="A155" s="25" t="str">
        <x:v>EEZ_316</x:v>
      </x:c>
      <x:c r="B155" s="25" t="str">
        <x:v>exact_2020_supplement</x:v>
      </x:c>
      <x:c r="C155" s="33" t="str">
        <x:v>2020 supplement MeanTL</x:v>
      </x:c>
      <x:c r="D155" s="25" t="str">
        <x:v>high</x:v>
      </x:c>
      <x:c r="E155" s="35" t="n">
        <x:v>20</x:v>
      </x:c>
      <x:c r="F155" s="32" t="n">
        <x:v>1144.1257284223998</x:v>
      </x:c>
      <x:c r="G155" s="32" t="n">
        <x:v>1385.0534596170999</x:v>
      </x:c>
      <x:c r="H155" s="25" t="n">
        <x:v>90</x:v>
      </x:c>
      <x:c r="I155" s="34" t="n">
        <x:v>0.2222222222222222</x:v>
      </x:c>
      <x:c r="J155" s="34" t="n">
        <x:v>0.8260516736579215</x:v>
      </x:c>
    </x:row>
    <x:row r="156" ht="18" customHeight="1">
      <x:c r="A156" s="25" t="str">
        <x:v>EEZ_316</x:v>
      </x:c>
      <x:c r="B156" s="25" t="str">
        <x:v>exact_sea_around_us</x:v>
      </x:c>
      <x:c r="C156" s="33" t="str">
        <x:v>Sea Around Us exploited organisms</x:v>
      </x:c>
      <x:c r="D156" s="25" t="str">
        <x:v>high</x:v>
      </x:c>
      <x:c r="E156" s="35" t="n">
        <x:v>70</x:v>
      </x:c>
      <x:c r="F156" s="32" t="n">
        <x:v>240.9277311947</x:v>
      </x:c>
      <x:c r="G156" s="32" t="n">
        <x:v>1385.0534596170999</x:v>
      </x:c>
      <x:c r="H156" s="25" t="n">
        <x:v>90</x:v>
      </x:c>
      <x:c r="I156" s="34" t="n">
        <x:v>0.7777777777777778</x:v>
      </x:c>
      <x:c r="J156" s="34" t="n">
        <x:v>0.1739483263420784</x:v>
      </x:c>
    </x:row>
    <x:row r="157" ht="18" customHeight="1">
      <x:c r="A157" s="25" t="str">
        <x:v>EEZ_324</x:v>
      </x:c>
      <x:c r="B157" s="25" t="str">
        <x:v>exact_sea_around_us</x:v>
      </x:c>
      <x:c r="C157" s="33" t="str">
        <x:v>Sea Around Us exploited organisms</x:v>
      </x:c>
      <x:c r="D157" s="25" t="str">
        <x:v>high</x:v>
      </x:c>
      <x:c r="E157" s="35" t="n">
        <x:v>90</x:v>
      </x:c>
      <x:c r="F157" s="32" t="n">
        <x:v>771528.6685826203</x:v>
      </x:c>
      <x:c r="G157" s="32" t="n">
        <x:v>1012636.6535959236</x:v>
      </x:c>
      <x:c r="H157" s="25" t="n">
        <x:v>201</x:v>
      </x:c>
      <x:c r="I157" s="34" t="n">
        <x:v>0.44776119402985076</x:v>
      </x:c>
      <x:c r="J157" s="34" t="n">
        <x:v>0.761900792197165</x:v>
      </x:c>
    </x:row>
    <x:row r="158" ht="18" customHeight="1">
      <x:c r="A158" s="25" t="str">
        <x:v>EEZ_324</x:v>
      </x:c>
      <x:c r="B158" s="25" t="str">
        <x:v>exact_2020_supplement</x:v>
      </x:c>
      <x:c r="C158" s="33" t="str">
        <x:v>2020 supplement MeanTL</x:v>
      </x:c>
      <x:c r="D158" s="25" t="str">
        <x:v>high</x:v>
      </x:c>
      <x:c r="E158" s="35" t="n">
        <x:v>111</x:v>
      </x:c>
      <x:c r="F158" s="32" t="n">
        <x:v>241107.9850133032</x:v>
      </x:c>
      <x:c r="G158" s="32" t="n">
        <x:v>1012636.6535959236</x:v>
      </x:c>
      <x:c r="H158" s="25" t="n">
        <x:v>201</x:v>
      </x:c>
      <x:c r="I158" s="34" t="n">
        <x:v>0.5522388059701493</x:v>
      </x:c>
      <x:c r="J158" s="34" t="n">
        <x:v>0.23809920780283494</x:v>
      </x:c>
    </x:row>
    <x:row r="159" ht="18" customHeight="1">
      <x:c r="A159" s="25" t="str">
        <x:v>EEZ_328</x:v>
      </x:c>
      <x:c r="B159" s="25" t="str">
        <x:v>exact_sea_around_us</x:v>
      </x:c>
      <x:c r="C159" s="33" t="str">
        <x:v>Sea Around Us exploited organisms</x:v>
      </x:c>
      <x:c r="D159" s="25" t="str">
        <x:v>high</x:v>
      </x:c>
      <x:c r="E159" s="35" t="n">
        <x:v>22</x:v>
      </x:c>
      <x:c r="F159" s="32" t="n">
        <x:v>38478.2610153556</x:v>
      </x:c>
      <x:c r="G159" s="32" t="n">
        <x:v>57488.0008723285</x:v>
      </x:c>
      <x:c r="H159" s="25" t="n">
        <x:v>73</x:v>
      </x:c>
      <x:c r="I159" s="34" t="n">
        <x:v>0.3013698630136986</x:v>
      </x:c>
      <x:c r="J159" s="34" t="n">
        <x:v>0.6693268235367857</x:v>
      </x:c>
    </x:row>
    <x:row r="160" ht="18" customHeight="1">
      <x:c r="A160" s="25" t="str">
        <x:v>EEZ_328</x:v>
      </x:c>
      <x:c r="B160" s="25" t="str">
        <x:v>exact_2020_supplement</x:v>
      </x:c>
      <x:c r="C160" s="33" t="str">
        <x:v>2020 supplement MeanTL</x:v>
      </x:c>
      <x:c r="D160" s="25" t="str">
        <x:v>high</x:v>
      </x:c>
      <x:c r="E160" s="35" t="n">
        <x:v>51</x:v>
      </x:c>
      <x:c r="F160" s="32" t="n">
        <x:v>19009.7398569729</x:v>
      </x:c>
      <x:c r="G160" s="32" t="n">
        <x:v>57488.0008723285</x:v>
      </x:c>
      <x:c r="H160" s="25" t="n">
        <x:v>73</x:v>
      </x:c>
      <x:c r="I160" s="34" t="n">
        <x:v>0.6986301369863014</x:v>
      </x:c>
      <x:c r="J160" s="34" t="n">
        <x:v>0.3306731764632143</x:v>
      </x:c>
    </x:row>
    <x:row r="161" ht="18" customHeight="1">
      <x:c r="A161" s="25" t="str">
        <x:v>EEZ_332</x:v>
      </x:c>
      <x:c r="B161" s="25" t="str">
        <x:v>exact_sea_around_us</x:v>
      </x:c>
      <x:c r="C161" s="33" t="str">
        <x:v>Sea Around Us exploited organisms</x:v>
      </x:c>
      <x:c r="D161" s="25" t="str">
        <x:v>high</x:v>
      </x:c>
      <x:c r="E161" s="35" t="n">
        <x:v>32</x:v>
      </x:c>
      <x:c r="F161" s="32" t="n">
        <x:v>16186.577742704</x:v>
      </x:c>
      <x:c r="G161" s="32" t="n">
        <x:v>25123.6699543932</x:v>
      </x:c>
      <x:c r="H161" s="25" t="n">
        <x:v>57</x:v>
      </x:c>
      <x:c r="I161" s="34" t="n">
        <x:v>0.5614035087719298</x:v>
      </x:c>
      <x:c r="J161" s="34" t="n">
        <x:v>0.6442760063353549</x:v>
      </x:c>
    </x:row>
    <x:row r="162" ht="18" customHeight="1">
      <x:c r="A162" s="25" t="str">
        <x:v>EEZ_332</x:v>
      </x:c>
      <x:c r="B162" s="25" t="str">
        <x:v>exact_2020_supplement</x:v>
      </x:c>
      <x:c r="C162" s="33" t="str">
        <x:v>2020 supplement MeanTL</x:v>
      </x:c>
      <x:c r="D162" s="25" t="str">
        <x:v>high</x:v>
      </x:c>
      <x:c r="E162" s="35" t="n">
        <x:v>25</x:v>
      </x:c>
      <x:c r="F162" s="32" t="n">
        <x:v>8937.0922116892</x:v>
      </x:c>
      <x:c r="G162" s="32" t="n">
        <x:v>25123.6699543932</x:v>
      </x:c>
      <x:c r="H162" s="25" t="n">
        <x:v>57</x:v>
      </x:c>
      <x:c r="I162" s="34" t="n">
        <x:v>0.43859649122807015</x:v>
      </x:c>
      <x:c r="J162" s="34" t="n">
        <x:v>0.355723993664645</x:v>
      </x:c>
    </x:row>
    <x:row r="163" ht="18" customHeight="1">
      <x:c r="A163" s="25" t="str">
        <x:v>EEZ_334</x:v>
      </x:c>
      <x:c r="B163" s="25" t="str">
        <x:v>exact_2020_supplement</x:v>
      </x:c>
      <x:c r="C163" s="33" t="str">
        <x:v>2020 supplement MeanTL</x:v>
      </x:c>
      <x:c r="D163" s="25" t="str">
        <x:v>high</x:v>
      </x:c>
      <x:c r="E163" s="35" t="n">
        <x:v>9</x:v>
      </x:c>
      <x:c r="F163" s="32" t="n">
        <x:v>3822.6634329584</x:v>
      </x:c>
      <x:c r="G163" s="32" t="n">
        <x:v>4250.4902151652</x:v>
      </x:c>
      <x:c r="H163" s="25" t="n">
        <x:v>33</x:v>
      </x:c>
      <x:c r="I163" s="34" t="n">
        <x:v>0.2727272727272727</x:v>
      </x:c>
      <x:c r="J163" s="34" t="n">
        <x:v>0.8993464846289094</x:v>
      </x:c>
    </x:row>
    <x:row r="164" ht="18" customHeight="1">
      <x:c r="A164" s="25" t="str">
        <x:v>EEZ_334</x:v>
      </x:c>
      <x:c r="B164" s="25" t="str">
        <x:v>exact_sea_around_us</x:v>
      </x:c>
      <x:c r="C164" s="33" t="str">
        <x:v>Sea Around Us exploited organisms</x:v>
      </x:c>
      <x:c r="D164" s="25" t="str">
        <x:v>high</x:v>
      </x:c>
      <x:c r="E164" s="35" t="n">
        <x:v>24</x:v>
      </x:c>
      <x:c r="F164" s="32" t="n">
        <x:v>427.82678220680003</x:v>
      </x:c>
      <x:c r="G164" s="32" t="n">
        <x:v>4250.4902151652</x:v>
      </x:c>
      <x:c r="H164" s="25" t="n">
        <x:v>33</x:v>
      </x:c>
      <x:c r="I164" s="34" t="n">
        <x:v>0.7272727272727273</x:v>
      </x:c>
      <x:c r="J164" s="34" t="n">
        <x:v>0.10065351537109045</x:v>
      </x:c>
    </x:row>
    <x:row r="165" ht="18" customHeight="1">
      <x:c r="A165" s="25" t="str">
        <x:v>EEZ_344</x:v>
      </x:c>
      <x:c r="B165" s="25" t="str">
        <x:v>exact_sea_around_us</x:v>
      </x:c>
      <x:c r="C165" s="33" t="str">
        <x:v>Sea Around Us exploited organisms</x:v>
      </x:c>
      <x:c r="D165" s="25" t="str">
        <x:v>high</x:v>
      </x:c>
      <x:c r="E165" s="35" t="n">
        <x:v>38</x:v>
      </x:c>
      <x:c r="F165" s="32" t="n">
        <x:v>12181.1887130839</x:v>
      </x:c>
      <x:c r="G165" s="32" t="n">
        <x:v>13460.8509304212</x:v>
      </x:c>
      <x:c r="H165" s="25" t="n">
        <x:v>49</x:v>
      </x:c>
      <x:c r="I165" s="34" t="n">
        <x:v>0.7755102040816326</x:v>
      </x:c>
      <x:c r="J165" s="34" t="n">
        <x:v>0.9049345227911786</x:v>
      </x:c>
    </x:row>
    <x:row r="166" ht="18" customHeight="1">
      <x:c r="A166" s="25" t="str">
        <x:v>EEZ_344</x:v>
      </x:c>
      <x:c r="B166" s="25" t="str">
        <x:v>exact_2020_supplement</x:v>
      </x:c>
      <x:c r="C166" s="33" t="str">
        <x:v>2020 supplement MeanTL</x:v>
      </x:c>
      <x:c r="D166" s="25" t="str">
        <x:v>high</x:v>
      </x:c>
      <x:c r="E166" s="35" t="n">
        <x:v>11</x:v>
      </x:c>
      <x:c r="F166" s="32" t="n">
        <x:v>1279.6622173373</x:v>
      </x:c>
      <x:c r="G166" s="32" t="n">
        <x:v>13460.8509304212</x:v>
      </x:c>
      <x:c r="H166" s="25" t="n">
        <x:v>49</x:v>
      </x:c>
      <x:c r="I166" s="34" t="n">
        <x:v>0.22448979591836735</x:v>
      </x:c>
      <x:c r="J166" s="34" t="n">
        <x:v>0.09506547720882148</x:v>
      </x:c>
    </x:row>
    <x:row r="167" ht="18" customHeight="1">
      <x:c r="A167" s="25" t="str">
        <x:v>EEZ_352</x:v>
      </x:c>
      <x:c r="B167" s="25" t="str">
        <x:v>exact_2020_supplement</x:v>
      </x:c>
      <x:c r="C167" s="33" t="str">
        <x:v>2020 supplement MeanTL</x:v>
      </x:c>
      <x:c r="D167" s="25" t="str">
        <x:v>high</x:v>
      </x:c>
      <x:c r="E167" s="35" t="n">
        <x:v>49</x:v>
      </x:c>
      <x:c r="F167" s="32" t="n">
        <x:v>606866.8336325896</x:v>
      </x:c>
      <x:c r="G167" s="32" t="n">
        <x:v>755890.0550702652</x:v>
      </x:c>
      <x:c r="H167" s="25" t="n">
        <x:v>79</x:v>
      </x:c>
      <x:c r="I167" s="34" t="n">
        <x:v>0.620253164556962</x:v>
      </x:c>
      <x:c r="J167" s="34" t="n">
        <x:v>0.8028506653340969</x:v>
      </x:c>
    </x:row>
    <x:row r="168" ht="18" customHeight="1">
      <x:c r="A168" s="25" t="str">
        <x:v>EEZ_352</x:v>
      </x:c>
      <x:c r="B168" s="25" t="str">
        <x:v>exact_sea_around_us</x:v>
      </x:c>
      <x:c r="C168" s="33" t="str">
        <x:v>Sea Around Us exploited organisms</x:v>
      </x:c>
      <x:c r="D168" s="25" t="str">
        <x:v>high</x:v>
      </x:c>
      <x:c r="E168" s="35" t="n">
        <x:v>30</x:v>
      </x:c>
      <x:c r="F168" s="32" t="n">
        <x:v>149023.2214376757</x:v>
      </x:c>
      <x:c r="G168" s="32" t="n">
        <x:v>755890.0550702652</x:v>
      </x:c>
      <x:c r="H168" s="25" t="n">
        <x:v>79</x:v>
      </x:c>
      <x:c r="I168" s="34" t="n">
        <x:v>0.379746835443038</x:v>
      </x:c>
      <x:c r="J168" s="34" t="n">
        <x:v>0.19714933466590318</x:v>
      </x:c>
    </x:row>
    <x:row r="169" ht="18" customHeight="1">
      <x:c r="A169" s="25" t="str">
        <x:v>EEZ_356</x:v>
      </x:c>
      <x:c r="B169" s="25" t="str">
        <x:v>exact_sea_around_us</x:v>
      </x:c>
      <x:c r="C169" s="33" t="str">
        <x:v>Sea Around Us exploited organisms</x:v>
      </x:c>
      <x:c r="D169" s="25" t="str">
        <x:v>high</x:v>
      </x:c>
      <x:c r="E169" s="35" t="n">
        <x:v>90</x:v>
      </x:c>
      <x:c r="F169" s="32" t="n">
        <x:v>3433196.1834450867</x:v>
      </x:c>
      <x:c r="G169" s="32" t="n">
        <x:v>4344032.198932858</x:v>
      </x:c>
      <x:c r="H169" s="25" t="n">
        <x:v>151</x:v>
      </x:c>
      <x:c r="I169" s="34" t="n">
        <x:v>0.5960264900662252</x:v>
      </x:c>
      <x:c r="J169" s="34" t="n">
        <x:v>0.7903247550256361</x:v>
      </x:c>
    </x:row>
    <x:row r="170" ht="18" customHeight="1">
      <x:c r="A170" s="25" t="str">
        <x:v>EEZ_356</x:v>
      </x:c>
      <x:c r="B170" s="25" t="str">
        <x:v>exact_2020_supplement</x:v>
      </x:c>
      <x:c r="C170" s="33" t="str">
        <x:v>2020 supplement MeanTL</x:v>
      </x:c>
      <x:c r="D170" s="25" t="str">
        <x:v>high</x:v>
      </x:c>
      <x:c r="E170" s="35" t="n">
        <x:v>61</x:v>
      </x:c>
      <x:c r="F170" s="32" t="n">
        <x:v>910836.0154877716</x:v>
      </x:c>
      <x:c r="G170" s="32" t="n">
        <x:v>4344032.198932858</x:v>
      </x:c>
      <x:c r="H170" s="25" t="n">
        <x:v>151</x:v>
      </x:c>
      <x:c r="I170" s="34" t="n">
        <x:v>0.40397350993377484</x:v>
      </x:c>
      <x:c r="J170" s="34" t="n">
        <x:v>0.20967524497436388</x:v>
      </x:c>
    </x:row>
    <x:row r="171" ht="18" customHeight="1">
      <x:c r="A171" s="25" t="str">
        <x:v>EEZ_357</x:v>
      </x:c>
      <x:c r="B171" s="25" t="str">
        <x:v>exact_sea_around_us</x:v>
      </x:c>
      <x:c r="C171" s="33" t="str">
        <x:v>Sea Around Us exploited organisms</x:v>
      </x:c>
      <x:c r="D171" s="25" t="str">
        <x:v>high</x:v>
      </x:c>
      <x:c r="E171" s="35" t="n">
        <x:v>52</x:v>
      </x:c>
      <x:c r="F171" s="32" t="n">
        <x:v>48460.5453017897</x:v>
      </x:c>
      <x:c r="G171" s="32" t="n">
        <x:v>61303.310995657004</x:v>
      </x:c>
      <x:c r="H171" s="25" t="n">
        <x:v>90</x:v>
      </x:c>
      <x:c r="I171" s="34" t="n">
        <x:v>0.5777777777777777</x:v>
      </x:c>
      <x:c r="J171" s="34" t="n">
        <x:v>0.7905045341714554</x:v>
      </x:c>
    </x:row>
    <x:row r="172" ht="18" customHeight="1">
      <x:c r="A172" s="25" t="str">
        <x:v>EEZ_357</x:v>
      </x:c>
      <x:c r="B172" s="25" t="str">
        <x:v>exact_2020_supplement</x:v>
      </x:c>
      <x:c r="C172" s="33" t="str">
        <x:v>2020 supplement MeanTL</x:v>
      </x:c>
      <x:c r="D172" s="25" t="str">
        <x:v>high</x:v>
      </x:c>
      <x:c r="E172" s="35" t="n">
        <x:v>38</x:v>
      </x:c>
      <x:c r="F172" s="32" t="n">
        <x:v>12842.7656938673</x:v>
      </x:c>
      <x:c r="G172" s="32" t="n">
        <x:v>61303.310995657004</x:v>
      </x:c>
      <x:c r="H172" s="25" t="n">
        <x:v>90</x:v>
      </x:c>
      <x:c r="I172" s="34" t="n">
        <x:v>0.4222222222222222</x:v>
      </x:c>
      <x:c r="J172" s="34" t="n">
        <x:v>0.20949546582854453</x:v>
      </x:c>
    </x:row>
    <x:row r="173" ht="18" customHeight="1">
      <x:c r="A173" s="25" t="str">
        <x:v>EEZ_361</x:v>
      </x:c>
      <x:c r="B173" s="25" t="str">
        <x:v>exact_sea_around_us</x:v>
      </x:c>
      <x:c r="C173" s="33" t="str">
        <x:v>Sea Around Us exploited organisms</x:v>
      </x:c>
      <x:c r="D173" s="25" t="str">
        <x:v>high</x:v>
      </x:c>
      <x:c r="E173" s="35" t="n">
        <x:v>94</x:v>
      </x:c>
      <x:c r="F173" s="32" t="n">
        <x:v>2269466.9849990797</x:v>
      </x:c>
      <x:c r="G173" s="32" t="n">
        <x:v>3382553.534088444</x:v>
      </x:c>
      <x:c r="H173" s="25" t="n">
        <x:v>146</x:v>
      </x:c>
      <x:c r="I173" s="34" t="n">
        <x:v>0.6438356164383562</x:v>
      </x:c>
      <x:c r="J173" s="34" t="n">
        <x:v>0.6709330575637653</x:v>
      </x:c>
    </x:row>
    <x:row r="174" ht="18" customHeight="1">
      <x:c r="A174" s="25" t="str">
        <x:v>EEZ_361</x:v>
      </x:c>
      <x:c r="B174" s="25" t="str">
        <x:v>exact_2020_supplement</x:v>
      </x:c>
      <x:c r="C174" s="33" t="str">
        <x:v>2020 supplement MeanTL</x:v>
      </x:c>
      <x:c r="D174" s="25" t="str">
        <x:v>high</x:v>
      </x:c>
      <x:c r="E174" s="35" t="n">
        <x:v>52</x:v>
      </x:c>
      <x:c r="F174" s="32" t="n">
        <x:v>1113086.549089364</x:v>
      </x:c>
      <x:c r="G174" s="32" t="n">
        <x:v>3382553.534088444</x:v>
      </x:c>
      <x:c r="H174" s="25" t="n">
        <x:v>146</x:v>
      </x:c>
      <x:c r="I174" s="34" t="n">
        <x:v>0.3561643835616438</x:v>
      </x:c>
      <x:c r="J174" s="34" t="n">
        <x:v>0.32906694243623463</x:v>
      </x:c>
    </x:row>
    <x:row r="175" ht="18" customHeight="1">
      <x:c r="A175" s="25" t="str">
        <x:v>EEZ_368</x:v>
      </x:c>
      <x:c r="B175" s="25" t="str">
        <x:v>exact_sea_around_us</x:v>
      </x:c>
      <x:c r="C175" s="33" t="str">
        <x:v>Sea Around Us exploited organisms</x:v>
      </x:c>
      <x:c r="D175" s="25" t="str">
        <x:v>high</x:v>
      </x:c>
      <x:c r="E175" s="35" t="n">
        <x:v>29</x:v>
      </x:c>
      <x:c r="F175" s="32" t="n">
        <x:v>10139.254554080999</x:v>
      </x:c>
      <x:c r="G175" s="32" t="n">
        <x:v>17378.277221608998</x:v>
      </x:c>
      <x:c r="H175" s="25" t="n">
        <x:v>50</x:v>
      </x:c>
      <x:c r="I175" s="34" t="n">
        <x:v>0.58</x:v>
      </x:c>
      <x:c r="J175" s="34" t="n">
        <x:v>0.5834441714091978</x:v>
      </x:c>
    </x:row>
    <x:row r="176" ht="18" customHeight="1">
      <x:c r="A176" s="25" t="str">
        <x:v>EEZ_368</x:v>
      </x:c>
      <x:c r="B176" s="25" t="str">
        <x:v>exact_2020_supplement</x:v>
      </x:c>
      <x:c r="C176" s="33" t="str">
        <x:v>2020 supplement MeanTL</x:v>
      </x:c>
      <x:c r="D176" s="25" t="str">
        <x:v>high</x:v>
      </x:c>
      <x:c r="E176" s="35" t="n">
        <x:v>21</x:v>
      </x:c>
      <x:c r="F176" s="32" t="n">
        <x:v>7239.022667528</x:v>
      </x:c>
      <x:c r="G176" s="32" t="n">
        <x:v>17378.277221608998</x:v>
      </x:c>
      <x:c r="H176" s="25" t="n">
        <x:v>50</x:v>
      </x:c>
      <x:c r="I176" s="34" t="n">
        <x:v>0.42</x:v>
      </x:c>
      <x:c r="J176" s="34" t="n">
        <x:v>0.4165558285908022</x:v>
      </x:c>
    </x:row>
    <x:row r="177" ht="18" customHeight="1">
      <x:c r="A177" s="25" t="str">
        <x:v>EEZ_372</x:v>
      </x:c>
      <x:c r="B177" s="25" t="str">
        <x:v>exact_2020_supplement</x:v>
      </x:c>
      <x:c r="C177" s="33" t="str">
        <x:v>2020 supplement MeanTL</x:v>
      </x:c>
      <x:c r="D177" s="25" t="str">
        <x:v>high</x:v>
      </x:c>
      <x:c r="E177" s="35" t="n">
        <x:v>151</x:v>
      </x:c>
      <x:c r="F177" s="32" t="n">
        <x:v>365654.6402461105</x:v>
      </x:c>
      <x:c r="G177" s="32" t="n">
        <x:v>408364.46193380206</x:v>
      </x:c>
      <x:c r="H177" s="25" t="n">
        <x:v>287</x:v>
      </x:c>
      <x:c r="I177" s="34" t="n">
        <x:v>0.5261324041811847</x:v>
      </x:c>
      <x:c r="J177" s="34" t="n">
        <x:v>0.8954124913675396</x:v>
      </x:c>
    </x:row>
    <x:row r="178" ht="18" customHeight="1">
      <x:c r="A178" s="25" t="str">
        <x:v>EEZ_372</x:v>
      </x:c>
      <x:c r="B178" s="25" t="str">
        <x:v>exact_sea_around_us</x:v>
      </x:c>
      <x:c r="C178" s="33" t="str">
        <x:v>Sea Around Us exploited organisms</x:v>
      </x:c>
      <x:c r="D178" s="25" t="str">
        <x:v>high</x:v>
      </x:c>
      <x:c r="E178" s="35" t="n">
        <x:v>136</x:v>
      </x:c>
      <x:c r="F178" s="32" t="n">
        <x:v>42709.8216876916</x:v>
      </x:c>
      <x:c r="G178" s="32" t="n">
        <x:v>408364.46193380206</x:v>
      </x:c>
      <x:c r="H178" s="25" t="n">
        <x:v>287</x:v>
      </x:c>
      <x:c r="I178" s="34" t="n">
        <x:v>0.4738675958188153</x:v>
      </x:c>
      <x:c r="J178" s="34" t="n">
        <x:v>0.10458750863246047</x:v>
      </x:c>
    </x:row>
    <x:row r="179" ht="18" customHeight="1">
      <x:c r="A179" s="25" t="str">
        <x:v>EEZ_380</x:v>
      </x:c>
      <x:c r="B179" s="25" t="str">
        <x:v>exact_2020_supplement</x:v>
      </x:c>
      <x:c r="C179" s="33" t="str">
        <x:v>2020 supplement MeanTL</x:v>
      </x:c>
      <x:c r="D179" s="25" t="str">
        <x:v>high</x:v>
      </x:c>
      <x:c r="E179" s="35" t="n">
        <x:v>102</x:v>
      </x:c>
      <x:c r="F179" s="32" t="n">
        <x:v>159377.0386910262</x:v>
      </x:c>
      <x:c r="G179" s="32" t="n">
        <x:v>234477.5946714614</x:v>
      </x:c>
      <x:c r="H179" s="25" t="n">
        <x:v>159</x:v>
      </x:c>
      <x:c r="I179" s="34" t="n">
        <x:v>0.6415094339622641</x:v>
      </x:c>
      <x:c r="J179" s="34" t="n">
        <x:v>0.6797111635094071</x:v>
      </x:c>
    </x:row>
    <x:row r="180" ht="18" customHeight="1">
      <x:c r="A180" s="25" t="str">
        <x:v>EEZ_380</x:v>
      </x:c>
      <x:c r="B180" s="25" t="str">
        <x:v>exact_sea_around_us</x:v>
      </x:c>
      <x:c r="C180" s="33" t="str">
        <x:v>Sea Around Us exploited organisms</x:v>
      </x:c>
      <x:c r="D180" s="25" t="str">
        <x:v>high</x:v>
      </x:c>
      <x:c r="E180" s="35" t="n">
        <x:v>57</x:v>
      </x:c>
      <x:c r="F180" s="32" t="n">
        <x:v>75100.5559804352</x:v>
      </x:c>
      <x:c r="G180" s="32" t="n">
        <x:v>234477.5946714614</x:v>
      </x:c>
      <x:c r="H180" s="25" t="n">
        <x:v>159</x:v>
      </x:c>
      <x:c r="I180" s="34" t="n">
        <x:v>0.3584905660377358</x:v>
      </x:c>
      <x:c r="J180" s="34" t="n">
        <x:v>0.3202888364905928</x:v>
      </x:c>
    </x:row>
    <x:row r="181" ht="18" customHeight="1">
      <x:c r="A181" s="25" t="str">
        <x:v>EEZ_384</x:v>
      </x:c>
      <x:c r="B181" s="25" t="str">
        <x:v>exact_sea_around_us</x:v>
      </x:c>
      <x:c r="C181" s="33" t="str">
        <x:v>Sea Around Us exploited organisms</x:v>
      </x:c>
      <x:c r="D181" s="25" t="str">
        <x:v>high</x:v>
      </x:c>
      <x:c r="E181" s="35" t="n">
        <x:v>84</x:v>
      </x:c>
      <x:c r="F181" s="32" t="n">
        <x:v>155320.7769711512</x:v>
      </x:c>
      <x:c r="G181" s="32" t="n">
        <x:v>239562.6386320301</x:v>
      </x:c>
      <x:c r="H181" s="25" t="n">
        <x:v>194</x:v>
      </x:c>
      <x:c r="I181" s="34" t="n">
        <x:v>0.4329896907216495</x:v>
      </x:c>
      <x:c r="J181" s="34" t="n">
        <x:v>0.6483514201466324</x:v>
      </x:c>
    </x:row>
    <x:row r="182" ht="18" customHeight="1">
      <x:c r="A182" s="25" t="str">
        <x:v>EEZ_384</x:v>
      </x:c>
      <x:c r="B182" s="25" t="str">
        <x:v>exact_2020_supplement</x:v>
      </x:c>
      <x:c r="C182" s="33" t="str">
        <x:v>2020 supplement MeanTL</x:v>
      </x:c>
      <x:c r="D182" s="25" t="str">
        <x:v>high</x:v>
      </x:c>
      <x:c r="E182" s="35" t="n">
        <x:v>110</x:v>
      </x:c>
      <x:c r="F182" s="32" t="n">
        <x:v>84241.8616608789</x:v>
      </x:c>
      <x:c r="G182" s="32" t="n">
        <x:v>239562.6386320301</x:v>
      </x:c>
      <x:c r="H182" s="25" t="n">
        <x:v>194</x:v>
      </x:c>
      <x:c r="I182" s="34" t="n">
        <x:v>0.5670103092783505</x:v>
      </x:c>
      <x:c r="J182" s="34" t="n">
        <x:v>0.35164857985336767</x:v>
      </x:c>
    </x:row>
    <x:row r="183" ht="18" customHeight="1">
      <x:c r="A183" s="25" t="str">
        <x:v>EEZ_388</x:v>
      </x:c>
      <x:c r="B183" s="25" t="str">
        <x:v>exact_sea_around_us</x:v>
      </x:c>
      <x:c r="C183" s="33" t="str">
        <x:v>Sea Around Us exploited organisms</x:v>
      </x:c>
      <x:c r="D183" s="25" t="str">
        <x:v>high</x:v>
      </x:c>
      <x:c r="E183" s="35" t="n">
        <x:v>22</x:v>
      </x:c>
      <x:c r="F183" s="32" t="n">
        <x:v>21046.247639762998</x:v>
      </x:c>
      <x:c r="G183" s="32" t="n">
        <x:v>24803.119502512</x:v>
      </x:c>
      <x:c r="H183" s="25" t="n">
        <x:v>58</x:v>
      </x:c>
      <x:c r="I183" s="34" t="n">
        <x:v>0.3793103448275862</x:v>
      </x:c>
      <x:c r="J183" s="34" t="n">
        <x:v>0.8485322839182179</x:v>
      </x:c>
    </x:row>
    <x:row r="184" ht="18" customHeight="1">
      <x:c r="A184" s="25" t="str">
        <x:v>EEZ_388</x:v>
      </x:c>
      <x:c r="B184" s="25" t="str">
        <x:v>exact_2020_supplement</x:v>
      </x:c>
      <x:c r="C184" s="33" t="str">
        <x:v>2020 supplement MeanTL</x:v>
      </x:c>
      <x:c r="D184" s="25" t="str">
        <x:v>high</x:v>
      </x:c>
      <x:c r="E184" s="35" t="n">
        <x:v>36</x:v>
      </x:c>
      <x:c r="F184" s="32" t="n">
        <x:v>3756.8718627490002</x:v>
      </x:c>
      <x:c r="G184" s="32" t="n">
        <x:v>24803.119502512</x:v>
      </x:c>
      <x:c r="H184" s="25" t="n">
        <x:v>58</x:v>
      </x:c>
      <x:c r="I184" s="34" t="n">
        <x:v>0.6206896551724138</x:v>
      </x:c>
      <x:c r="J184" s="34" t="n">
        <x:v>0.1514677160817821</x:v>
      </x:c>
    </x:row>
    <x:row r="185" ht="18" customHeight="1">
      <x:c r="A185" s="25" t="str">
        <x:v>EEZ_390</x:v>
      </x:c>
      <x:c r="B185" s="25" t="str">
        <x:v>exact_sea_around_us</x:v>
      </x:c>
      <x:c r="C185" s="33" t="str">
        <x:v>Sea Around Us exploited organisms</x:v>
      </x:c>
      <x:c r="D185" s="25" t="str">
        <x:v>high</x:v>
      </x:c>
      <x:c r="E185" s="35" t="n">
        <x:v>105</x:v>
      </x:c>
      <x:c r="F185" s="32" t="n">
        <x:v>3160875.224929346</x:v>
      </x:c>
      <x:c r="G185" s="32" t="n">
        <x:v>5962290.328495036</x:v>
      </x:c>
      <x:c r="H185" s="25" t="n">
        <x:v>178</x:v>
      </x:c>
      <x:c r="I185" s="34" t="n">
        <x:v>0.5898876404494382</x:v>
      </x:c>
      <x:c r="J185" s="34" t="n">
        <x:v>0.5301444664347961</x:v>
      </x:c>
    </x:row>
    <x:row r="186" ht="18" customHeight="1">
      <x:c r="A186" s="25" t="str">
        <x:v>EEZ_390</x:v>
      </x:c>
      <x:c r="B186" s="25" t="str">
        <x:v>exact_2020_supplement</x:v>
      </x:c>
      <x:c r="C186" s="33" t="str">
        <x:v>2020 supplement MeanTL</x:v>
      </x:c>
      <x:c r="D186" s="25" t="str">
        <x:v>high</x:v>
      </x:c>
      <x:c r="E186" s="35" t="n">
        <x:v>73</x:v>
      </x:c>
      <x:c r="F186" s="32" t="n">
        <x:v>2801415.1035656906</x:v>
      </x:c>
      <x:c r="G186" s="32" t="n">
        <x:v>5962290.328495036</x:v>
      </x:c>
      <x:c r="H186" s="25" t="n">
        <x:v>178</x:v>
      </x:c>
      <x:c r="I186" s="34" t="n">
        <x:v>0.4101123595505618</x:v>
      </x:c>
      <x:c r="J186" s="34" t="n">
        <x:v>0.469855533565204</x:v>
      </x:c>
    </x:row>
    <x:row r="187" ht="18" customHeight="1">
      <x:c r="A187" s="25" t="str">
        <x:v>EEZ_393</x:v>
      </x:c>
      <x:c r="B187" s="25" t="str">
        <x:v>exact_2020_supplement</x:v>
      </x:c>
      <x:c r="C187" s="33" t="str">
        <x:v>2020 supplement MeanTL</x:v>
      </x:c>
      <x:c r="D187" s="25" t="str">
        <x:v>high</x:v>
      </x:c>
      <x:c r="E187" s="35" t="n">
        <x:v>16</x:v>
      </x:c>
      <x:c r="F187" s="32" t="n">
        <x:v>11268.8835163761</x:v>
      </x:c>
      <x:c r="G187" s="32" t="n">
        <x:v>17808.0982513882</x:v>
      </x:c>
      <x:c r="H187" s="25" t="n">
        <x:v>29</x:v>
      </x:c>
      <x:c r="I187" s="34" t="n">
        <x:v>0.5517241379310345</x:v>
      </x:c>
      <x:c r="J187" s="34" t="n">
        <x:v>0.6327954483010364</x:v>
      </x:c>
    </x:row>
    <x:row r="188" ht="18" customHeight="1">
      <x:c r="A188" s="25" t="str">
        <x:v>EEZ_393</x:v>
      </x:c>
      <x:c r="B188" s="25" t="str">
        <x:v>exact_sea_around_us</x:v>
      </x:c>
      <x:c r="C188" s="33" t="str">
        <x:v>Sea Around Us exploited organisms</x:v>
      </x:c>
      <x:c r="D188" s="25" t="str">
        <x:v>high</x:v>
      </x:c>
      <x:c r="E188" s="35" t="n">
        <x:v>13</x:v>
      </x:c>
      <x:c r="F188" s="32" t="n">
        <x:v>6539.2147350121</x:v>
      </x:c>
      <x:c r="G188" s="32" t="n">
        <x:v>17808.0982513882</x:v>
      </x:c>
      <x:c r="H188" s="25" t="n">
        <x:v>29</x:v>
      </x:c>
      <x:c r="I188" s="34" t="n">
        <x:v>0.4482758620689655</x:v>
      </x:c>
      <x:c r="J188" s="34" t="n">
        <x:v>0.3672045516989635</x:v>
      </x:c>
    </x:row>
    <x:row r="189" ht="18" customHeight="1">
      <x:c r="A189" s="25" t="str">
        <x:v>EEZ_396</x:v>
      </x:c>
      <x:c r="B189" s="25" t="str">
        <x:v>exact_2020_supplement</x:v>
      </x:c>
      <x:c r="C189" s="33" t="str">
        <x:v>2020 supplement MeanTL</x:v>
      </x:c>
      <x:c r="D189" s="25" t="str">
        <x:v>high</x:v>
      </x:c>
      <x:c r="E189" s="35" t="n">
        <x:v>12</x:v>
      </x:c>
      <x:c r="F189" s="32" t="n">
        <x:v>245.62613557790002</x:v>
      </x:c>
      <x:c r="G189" s="32" t="n">
        <x:v>308.29794792170003</x:v>
      </x:c>
      <x:c r="H189" s="25" t="n">
        <x:v>19</x:v>
      </x:c>
      <x:c r="I189" s="34" t="n">
        <x:v>0.631578947368421</x:v>
      </x:c>
      <x:c r="J189" s="34" t="n">
        <x:v>0.7967167385761611</x:v>
      </x:c>
    </x:row>
    <x:row r="190" ht="18" customHeight="1">
      <x:c r="A190" s="25" t="str">
        <x:v>EEZ_396</x:v>
      </x:c>
      <x:c r="B190" s="25" t="str">
        <x:v>exact_sea_around_us</x:v>
      </x:c>
      <x:c r="C190" s="33" t="str">
        <x:v>Sea Around Us exploited organisms</x:v>
      </x:c>
      <x:c r="D190" s="25" t="str">
        <x:v>high</x:v>
      </x:c>
      <x:c r="E190" s="35" t="n">
        <x:v>7</x:v>
      </x:c>
      <x:c r="F190" s="32" t="n">
        <x:v>62.6718123438</x:v>
      </x:c>
      <x:c r="G190" s="32" t="n">
        <x:v>308.29794792170003</x:v>
      </x:c>
      <x:c r="H190" s="25" t="n">
        <x:v>19</x:v>
      </x:c>
      <x:c r="I190" s="34" t="n">
        <x:v>0.3684210526315789</x:v>
      </x:c>
      <x:c r="J190" s="34" t="n">
        <x:v>0.20328326142383885</x:v>
      </x:c>
    </x:row>
    <x:row r="191" ht="18" customHeight="1">
      <x:c r="A191" s="25" t="str">
        <x:v>EEZ_400</x:v>
      </x:c>
      <x:c r="B191" s="25" t="str">
        <x:v>exact_sea_around_us</x:v>
      </x:c>
      <x:c r="C191" s="33" t="str">
        <x:v>Sea Around Us exploited organisms</x:v>
      </x:c>
      <x:c r="D191" s="25" t="str">
        <x:v>high</x:v>
      </x:c>
      <x:c r="E191" s="35" t="n">
        <x:v>9</x:v>
      </x:c>
      <x:c r="F191" s="32" t="n">
        <x:v>302.759999999</x:v>
      </x:c>
      <x:c r="G191" s="32" t="n">
        <x:v>387.759999999</x:v>
      </x:c>
      <x:c r="H191" s="25" t="n">
        <x:v>12</x:v>
      </x:c>
      <x:c r="I191" s="34" t="n">
        <x:v>0.75</x:v>
      </x:c>
      <x:c r="J191" s="34" t="n">
        <x:v>0.7807922426237384</x:v>
      </x:c>
    </x:row>
    <x:row r="192" ht="18" customHeight="1">
      <x:c r="A192" s="25" t="str">
        <x:v>EEZ_400</x:v>
      </x:c>
      <x:c r="B192" s="25" t="str">
        <x:v>exact_2020_supplement</x:v>
      </x:c>
      <x:c r="C192" s="33" t="str">
        <x:v>2020 supplement MeanTL</x:v>
      </x:c>
      <x:c r="D192" s="25" t="str">
        <x:v>high</x:v>
      </x:c>
      <x:c r="E192" s="35" t="n">
        <x:v>3</x:v>
      </x:c>
      <x:c r="F192" s="32" t="n">
        <x:v>85</x:v>
      </x:c>
      <x:c r="G192" s="32" t="n">
        <x:v>387.759999999</x:v>
      </x:c>
      <x:c r="H192" s="25" t="n">
        <x:v>12</x:v>
      </x:c>
      <x:c r="I192" s="34" t="n">
        <x:v>0.25</x:v>
      </x:c>
      <x:c r="J192" s="34" t="n">
        <x:v>0.21920775737626164</x:v>
      </x:c>
    </x:row>
    <x:row r="193" ht="18" customHeight="1">
      <x:c r="A193" s="25" t="str">
        <x:v>EEZ_404</x:v>
      </x:c>
      <x:c r="B193" s="25" t="str">
        <x:v>exact_sea_around_us</x:v>
      </x:c>
      <x:c r="C193" s="33" t="str">
        <x:v>Sea Around Us exploited organisms</x:v>
      </x:c>
      <x:c r="D193" s="25" t="str">
        <x:v>high</x:v>
      </x:c>
      <x:c r="E193" s="35" t="n">
        <x:v>74</x:v>
      </x:c>
      <x:c r="F193" s="32" t="n">
        <x:v>27788.748491897</x:v>
      </x:c>
      <x:c r="G193" s="32" t="n">
        <x:v>30334.3358525884</x:v>
      </x:c>
      <x:c r="H193" s="25" t="n">
        <x:v>120</x:v>
      </x:c>
      <x:c r="I193" s="34" t="n">
        <x:v>0.6166666666666667</x:v>
      </x:c>
      <x:c r="J193" s="34" t="n">
        <x:v>0.9160823110464049</x:v>
      </x:c>
    </x:row>
    <x:row r="194" ht="18" customHeight="1">
      <x:c r="A194" s="25" t="str">
        <x:v>EEZ_404</x:v>
      </x:c>
      <x:c r="B194" s="25" t="str">
        <x:v>exact_2020_supplement</x:v>
      </x:c>
      <x:c r="C194" s="33" t="str">
        <x:v>2020 supplement MeanTL</x:v>
      </x:c>
      <x:c r="D194" s="25" t="str">
        <x:v>high</x:v>
      </x:c>
      <x:c r="E194" s="35" t="n">
        <x:v>46</x:v>
      </x:c>
      <x:c r="F194" s="32" t="n">
        <x:v>2545.5873606914</x:v>
      </x:c>
      <x:c r="G194" s="32" t="n">
        <x:v>30334.3358525884</x:v>
      </x:c>
      <x:c r="H194" s="25" t="n">
        <x:v>120</x:v>
      </x:c>
      <x:c r="I194" s="34" t="n">
        <x:v>0.38333333333333336</x:v>
      </x:c>
      <x:c r="J194" s="34" t="n">
        <x:v>0.08391768895359505</x:v>
      </x:c>
    </x:row>
    <x:row r="195" ht="18" customHeight="1">
      <x:c r="A195" s="25" t="str">
        <x:v>EEZ_410</x:v>
      </x:c>
      <x:c r="B195" s="25" t="str">
        <x:v>exact_sea_around_us</x:v>
      </x:c>
      <x:c r="C195" s="33" t="str">
        <x:v>Sea Around Us exploited organisms</x:v>
      </x:c>
      <x:c r="D195" s="25" t="str">
        <x:v>high</x:v>
      </x:c>
      <x:c r="E195" s="35" t="n">
        <x:v>77</x:v>
      </x:c>
      <x:c r="F195" s="32" t="n">
        <x:v>882101.9571737977</x:v>
      </x:c>
      <x:c r="G195" s="32" t="n">
        <x:v>1692138.9147849</x:v>
      </x:c>
      <x:c r="H195" s="25" t="n">
        <x:v>118</x:v>
      </x:c>
      <x:c r="I195" s="34" t="n">
        <x:v>0.652542372881356</x:v>
      </x:c>
      <x:c r="J195" s="34" t="n">
        <x:v>0.521294055391385</x:v>
      </x:c>
    </x:row>
    <x:row r="196" ht="18" customHeight="1">
      <x:c r="A196" s="25" t="str">
        <x:v>EEZ_410</x:v>
      </x:c>
      <x:c r="B196" s="25" t="str">
        <x:v>exact_2020_supplement</x:v>
      </x:c>
      <x:c r="C196" s="33" t="str">
        <x:v>2020 supplement MeanTL</x:v>
      </x:c>
      <x:c r="D196" s="25" t="str">
        <x:v>high</x:v>
      </x:c>
      <x:c r="E196" s="35" t="n">
        <x:v>41</x:v>
      </x:c>
      <x:c r="F196" s="32" t="n">
        <x:v>810036.9576111024</x:v>
      </x:c>
      <x:c r="G196" s="32" t="n">
        <x:v>1692138.9147849</x:v>
      </x:c>
      <x:c r="H196" s="25" t="n">
        <x:v>118</x:v>
      </x:c>
      <x:c r="I196" s="34" t="n">
        <x:v>0.3474576271186441</x:v>
      </x:c>
      <x:c r="J196" s="34" t="n">
        <x:v>0.4787059446086151</x:v>
      </x:c>
    </x:row>
    <x:row r="197" ht="18" customHeight="1">
      <x:c r="A197" s="25" t="str">
        <x:v>EEZ_414</x:v>
      </x:c>
      <x:c r="B197" s="25" t="str">
        <x:v>exact_sea_around_us</x:v>
      </x:c>
      <x:c r="C197" s="33" t="str">
        <x:v>Sea Around Us exploited organisms</x:v>
      </x:c>
      <x:c r="D197" s="25" t="str">
        <x:v>high</x:v>
      </x:c>
      <x:c r="E197" s="35" t="n">
        <x:v>14</x:v>
      </x:c>
      <x:c r="F197" s="32" t="n">
        <x:v>16901.235542696</x:v>
      </x:c>
      <x:c r="G197" s="32" t="n">
        <x:v>23587.724537113</x:v>
      </x:c>
      <x:c r="H197" s="25" t="n">
        <x:v>22</x:v>
      </x:c>
      <x:c r="I197" s="34" t="n">
        <x:v>0.6363636363636364</x:v>
      </x:c>
      <x:c r="J197" s="34" t="n">
        <x:v>0.7165267474657651</x:v>
      </x:c>
    </x:row>
    <x:row r="198" ht="18" customHeight="1">
      <x:c r="A198" s="25" t="str">
        <x:v>EEZ_414</x:v>
      </x:c>
      <x:c r="B198" s="25" t="str">
        <x:v>exact_2020_supplement</x:v>
      </x:c>
      <x:c r="C198" s="33" t="str">
        <x:v>2020 supplement MeanTL</x:v>
      </x:c>
      <x:c r="D198" s="25" t="str">
        <x:v>high</x:v>
      </x:c>
      <x:c r="E198" s="35" t="n">
        <x:v>8</x:v>
      </x:c>
      <x:c r="F198" s="32" t="n">
        <x:v>6686.488994417</x:v>
      </x:c>
      <x:c r="G198" s="32" t="n">
        <x:v>23587.724537113</x:v>
      </x:c>
      <x:c r="H198" s="25" t="n">
        <x:v>22</x:v>
      </x:c>
      <x:c r="I198" s="34" t="n">
        <x:v>0.36363636363636365</x:v>
      </x:c>
      <x:c r="J198" s="34" t="n">
        <x:v>0.2834732525342348</x:v>
      </x:c>
    </x:row>
    <x:row r="199" ht="18" customHeight="1">
      <x:c r="A199" s="25" t="str">
        <x:v>EEZ_422</x:v>
      </x:c>
      <x:c r="B199" s="25" t="str">
        <x:v>exact_sea_around_us</x:v>
      </x:c>
      <x:c r="C199" s="33" t="str">
        <x:v>Sea Around Us exploited organisms</x:v>
      </x:c>
      <x:c r="D199" s="25" t="str">
        <x:v>high</x:v>
      </x:c>
      <x:c r="E199" s="35" t="n">
        <x:v>50</x:v>
      </x:c>
      <x:c r="F199" s="32" t="n">
        <x:v>3825.8890872270003</x:v>
      </x:c>
      <x:c r="G199" s="32" t="n">
        <x:v>6487.446754114901</x:v>
      </x:c>
      <x:c r="H199" s="25" t="n">
        <x:v>107</x:v>
      </x:c>
      <x:c r="I199" s="34" t="n">
        <x:v>0.4672897196261682</x:v>
      </x:c>
      <x:c r="J199" s="34" t="n">
        <x:v>0.5897372621671677</x:v>
      </x:c>
    </x:row>
    <x:row r="200" ht="18" customHeight="1">
      <x:c r="A200" s="25" t="str">
        <x:v>EEZ_422</x:v>
      </x:c>
      <x:c r="B200" s="25" t="str">
        <x:v>exact_2020_supplement</x:v>
      </x:c>
      <x:c r="C200" s="33" t="str">
        <x:v>2020 supplement MeanTL</x:v>
      </x:c>
      <x:c r="D200" s="25" t="str">
        <x:v>high</x:v>
      </x:c>
      <x:c r="E200" s="35" t="n">
        <x:v>57</x:v>
      </x:c>
      <x:c r="F200" s="32" t="n">
        <x:v>2661.5576668879003</x:v>
      </x:c>
      <x:c r="G200" s="32" t="n">
        <x:v>6487.446754114901</x:v>
      </x:c>
      <x:c r="H200" s="25" t="n">
        <x:v>107</x:v>
      </x:c>
      <x:c r="I200" s="34" t="n">
        <x:v>0.5327102803738317</x:v>
      </x:c>
      <x:c r="J200" s="34" t="n">
        <x:v>0.4102627378328323</x:v>
      </x:c>
    </x:row>
    <x:row r="201" ht="18" customHeight="1">
      <x:c r="A201" s="25" t="str">
        <x:v>EEZ_428</x:v>
      </x:c>
      <x:c r="B201" s="25" t="str">
        <x:v>exact_2020_supplement</x:v>
      </x:c>
      <x:c r="C201" s="33" t="str">
        <x:v>2020 supplement MeanTL</x:v>
      </x:c>
      <x:c r="D201" s="25" t="str">
        <x:v>high</x:v>
      </x:c>
      <x:c r="E201" s="35" t="n">
        <x:v>34</x:v>
      </x:c>
      <x:c r="F201" s="32" t="n">
        <x:v>99384.9508148265</x:v>
      </x:c>
      <x:c r="G201" s="32" t="n">
        <x:v>100360.1351648573</x:v>
      </x:c>
      <x:c r="H201" s="25" t="n">
        <x:v>45</x:v>
      </x:c>
      <x:c r="I201" s="34" t="n">
        <x:v>0.7555555555555555</x:v>
      </x:c>
      <x:c r="J201" s="34" t="n">
        <x:v>0.9902831502924053</x:v>
      </x:c>
    </x:row>
    <x:row r="202" ht="18" customHeight="1">
      <x:c r="A202" s="25" t="str">
        <x:v>EEZ_428</x:v>
      </x:c>
      <x:c r="B202" s="25" t="str">
        <x:v>exact_sea_around_us</x:v>
      </x:c>
      <x:c r="C202" s="33" t="str">
        <x:v>Sea Around Us exploited organisms</x:v>
      </x:c>
      <x:c r="D202" s="25" t="str">
        <x:v>high</x:v>
      </x:c>
      <x:c r="E202" s="35" t="n">
        <x:v>11</x:v>
      </x:c>
      <x:c r="F202" s="32" t="n">
        <x:v>975.1843500308</x:v>
      </x:c>
      <x:c r="G202" s="32" t="n">
        <x:v>100360.1351648573</x:v>
      </x:c>
      <x:c r="H202" s="25" t="n">
        <x:v>45</x:v>
      </x:c>
      <x:c r="I202" s="34" t="n">
        <x:v>0.24444444444444444</x:v>
      </x:c>
      <x:c r="J202" s="34" t="n">
        <x:v>0.009716849707594618</x:v>
      </x:c>
    </x:row>
    <x:row r="203" ht="18" customHeight="1">
      <x:c r="A203" s="25" t="str">
        <x:v>EEZ_430</x:v>
      </x:c>
      <x:c r="B203" s="25" t="str">
        <x:v>exact_sea_around_us</x:v>
      </x:c>
      <x:c r="C203" s="33" t="str">
        <x:v>Sea Around Us exploited organisms</x:v>
      </x:c>
      <x:c r="D203" s="25" t="str">
        <x:v>high</x:v>
      </x:c>
      <x:c r="E203" s="35" t="n">
        <x:v>103</x:v>
      </x:c>
      <x:c r="F203" s="32" t="n">
        <x:v>128242.8344647439</x:v>
      </x:c>
      <x:c r="G203" s="32" t="n">
        <x:v>179043.0926542068</x:v>
      </x:c>
      <x:c r="H203" s="25" t="n">
        <x:v>239</x:v>
      </x:c>
      <x:c r="I203" s="34" t="n">
        <x:v>0.4309623430962343</x:v>
      </x:c>
      <x:c r="J203" s="34" t="n">
        <x:v>0.7162679808733224</x:v>
      </x:c>
    </x:row>
    <x:row r="204" ht="18" customHeight="1">
      <x:c r="A204" s="25" t="str">
        <x:v>EEZ_430</x:v>
      </x:c>
      <x:c r="B204" s="25" t="str">
        <x:v>exact_2020_supplement</x:v>
      </x:c>
      <x:c r="C204" s="33" t="str">
        <x:v>2020 supplement MeanTL</x:v>
      </x:c>
      <x:c r="D204" s="25" t="str">
        <x:v>high</x:v>
      </x:c>
      <x:c r="E204" s="35" t="n">
        <x:v>136</x:v>
      </x:c>
      <x:c r="F204" s="32" t="n">
        <x:v>50800.258189462904</x:v>
      </x:c>
      <x:c r="G204" s="32" t="n">
        <x:v>179043.0926542068</x:v>
      </x:c>
      <x:c r="H204" s="25" t="n">
        <x:v>239</x:v>
      </x:c>
      <x:c r="I204" s="34" t="n">
        <x:v>0.5690376569037657</x:v>
      </x:c>
      <x:c r="J204" s="34" t="n">
        <x:v>0.28373201912667756</x:v>
      </x:c>
    </x:row>
    <x:row r="205" ht="18" customHeight="1">
      <x:c r="A205" s="25" t="str">
        <x:v>EEZ_434</x:v>
      </x:c>
      <x:c r="B205" s="25" t="str">
        <x:v>exact_sea_around_us</x:v>
      </x:c>
      <x:c r="C205" s="33" t="str">
        <x:v>Sea Around Us exploited organisms</x:v>
      </x:c>
      <x:c r="D205" s="25" t="str">
        <x:v>high</x:v>
      </x:c>
      <x:c r="E205" s="35" t="n">
        <x:v>44</x:v>
      </x:c>
      <x:c r="F205" s="32" t="n">
        <x:v>30162.3263571694</x:v>
      </x:c>
      <x:c r="G205" s="32" t="n">
        <x:v>46065.4690766525</x:v>
      </x:c>
      <x:c r="H205" s="25" t="n">
        <x:v>147</x:v>
      </x:c>
      <x:c r="I205" s="34" t="n">
        <x:v>0.29931972789115646</x:v>
      </x:c>
      <x:c r="J205" s="34" t="n">
        <x:v>0.6547708503082771</x:v>
      </x:c>
    </x:row>
    <x:row r="206" ht="18" customHeight="1">
      <x:c r="A206" s="25" t="str">
        <x:v>EEZ_434</x:v>
      </x:c>
      <x:c r="B206" s="25" t="str">
        <x:v>exact_2020_supplement</x:v>
      </x:c>
      <x:c r="C206" s="33" t="str">
        <x:v>2020 supplement MeanTL</x:v>
      </x:c>
      <x:c r="D206" s="25" t="str">
        <x:v>high</x:v>
      </x:c>
      <x:c r="E206" s="35" t="n">
        <x:v>103</x:v>
      </x:c>
      <x:c r="F206" s="32" t="n">
        <x:v>15903.142719483101</x:v>
      </x:c>
      <x:c r="G206" s="32" t="n">
        <x:v>46065.4690766525</x:v>
      </x:c>
      <x:c r="H206" s="25" t="n">
        <x:v>147</x:v>
      </x:c>
      <x:c r="I206" s="34" t="n">
        <x:v>0.7006802721088435</x:v>
      </x:c>
      <x:c r="J206" s="34" t="n">
        <x:v>0.34522914969172297</x:v>
      </x:c>
    </x:row>
    <x:row r="207" ht="18" customHeight="1">
      <x:c r="A207" s="25" t="str">
        <x:v>EEZ_440</x:v>
      </x:c>
      <x:c r="B207" s="25" t="str">
        <x:v>exact_2020_supplement</x:v>
      </x:c>
      <x:c r="C207" s="33" t="str">
        <x:v>2020 supplement MeanTL</x:v>
      </x:c>
      <x:c r="D207" s="25" t="str">
        <x:v>high</x:v>
      </x:c>
      <x:c r="E207" s="35" t="n">
        <x:v>32</x:v>
      </x:c>
      <x:c r="F207" s="32" t="n">
        <x:v>33964.6844489235</x:v>
      </x:c>
      <x:c r="G207" s="32" t="n">
        <x:v>34707.5616911521</x:v>
      </x:c>
      <x:c r="H207" s="25" t="n">
        <x:v>43</x:v>
      </x:c>
      <x:c r="I207" s="34" t="n">
        <x:v>0.7441860465116279</x:v>
      </x:c>
      <x:c r="J207" s="34" t="n">
        <x:v>0.9785960981978755</x:v>
      </x:c>
    </x:row>
    <x:row r="208" ht="18" customHeight="1">
      <x:c r="A208" s="25" t="str">
        <x:v>EEZ_440</x:v>
      </x:c>
      <x:c r="B208" s="25" t="str">
        <x:v>exact_sea_around_us</x:v>
      </x:c>
      <x:c r="C208" s="33" t="str">
        <x:v>Sea Around Us exploited organisms</x:v>
      </x:c>
      <x:c r="D208" s="25" t="str">
        <x:v>high</x:v>
      </x:c>
      <x:c r="E208" s="35" t="n">
        <x:v>11</x:v>
      </x:c>
      <x:c r="F208" s="32" t="n">
        <x:v>742.8772422286</x:v>
      </x:c>
      <x:c r="G208" s="32" t="n">
        <x:v>34707.5616911521</x:v>
      </x:c>
      <x:c r="H208" s="25" t="n">
        <x:v>43</x:v>
      </x:c>
      <x:c r="I208" s="34" t="n">
        <x:v>0.2558139534883721</x:v>
      </x:c>
      <x:c r="J208" s="34" t="n">
        <x:v>0.021403901802124568</x:v>
      </x:c>
    </x:row>
    <x:row r="209" ht="18" customHeight="1">
      <x:c r="A209" s="25" t="str">
        <x:v>EEZ_450</x:v>
      </x:c>
      <x:c r="B209" s="25" t="str">
        <x:v>exact_sea_around_us</x:v>
      </x:c>
      <x:c r="C209" s="33" t="str">
        <x:v>Sea Around Us exploited organisms</x:v>
      </x:c>
      <x:c r="D209" s="25" t="str">
        <x:v>high</x:v>
      </x:c>
      <x:c r="E209" s="35" t="n">
        <x:v>48</x:v>
      </x:c>
      <x:c r="F209" s="32" t="n">
        <x:v>131818.7777846242</x:v>
      </x:c>
      <x:c r="G209" s="32" t="n">
        <x:v>159996.6862093224</x:v>
      </x:c>
      <x:c r="H209" s="25" t="n">
        <x:v>96</x:v>
      </x:c>
      <x:c r="I209" s="34" t="n">
        <x:v>0.5</x:v>
      </x:c>
      <x:c r="J209" s="34" t="n">
        <x:v>0.8238844247821904</x:v>
      </x:c>
    </x:row>
    <x:row r="210" ht="18" customHeight="1">
      <x:c r="A210" s="25" t="str">
        <x:v>EEZ_450</x:v>
      </x:c>
      <x:c r="B210" s="25" t="str">
        <x:v>exact_2020_supplement</x:v>
      </x:c>
      <x:c r="C210" s="33" t="str">
        <x:v>2020 supplement MeanTL</x:v>
      </x:c>
      <x:c r="D210" s="25" t="str">
        <x:v>high</x:v>
      </x:c>
      <x:c r="E210" s="35" t="n">
        <x:v>48</x:v>
      </x:c>
      <x:c r="F210" s="32" t="n">
        <x:v>28177.908424698202</x:v>
      </x:c>
      <x:c r="G210" s="32" t="n">
        <x:v>159996.6862093224</x:v>
      </x:c>
      <x:c r="H210" s="25" t="n">
        <x:v>96</x:v>
      </x:c>
      <x:c r="I210" s="34" t="n">
        <x:v>0.5</x:v>
      </x:c>
      <x:c r="J210" s="34" t="n">
        <x:v>0.17611557521780963</x:v>
      </x:c>
    </x:row>
    <x:row r="211" ht="18" customHeight="1">
      <x:c r="A211" s="25" t="str">
        <x:v>EEZ_459</x:v>
      </x:c>
      <x:c r="B211" s="25" t="str">
        <x:v>exact_sea_around_us</x:v>
      </x:c>
      <x:c r="C211" s="33" t="str">
        <x:v>Sea Around Us exploited organisms</x:v>
      </x:c>
      <x:c r="D211" s="25" t="str">
        <x:v>high</x:v>
      </x:c>
      <x:c r="E211" s="35" t="n">
        <x:v>107</x:v>
      </x:c>
      <x:c r="F211" s="32" t="n">
        <x:v>996304.6294351567</x:v>
      </x:c>
      <x:c r="G211" s="32" t="n">
        <x:v>1109839.2864373182</x:v>
      </x:c>
      <x:c r="H211" s="25" t="n">
        <x:v>153</x:v>
      </x:c>
      <x:c r="I211" s="34" t="n">
        <x:v>0.6993464052287581</x:v>
      </x:c>
      <x:c r="J211" s="34" t="n">
        <x:v>0.8977017137619828</x:v>
      </x:c>
    </x:row>
    <x:row r="212" ht="18" customHeight="1">
      <x:c r="A212" s="25" t="str">
        <x:v>EEZ_459</x:v>
      </x:c>
      <x:c r="B212" s="25" t="str">
        <x:v>exact_2020_supplement</x:v>
      </x:c>
      <x:c r="C212" s="33" t="str">
        <x:v>2020 supplement MeanTL</x:v>
      </x:c>
      <x:c r="D212" s="25" t="str">
        <x:v>high</x:v>
      </x:c>
      <x:c r="E212" s="35" t="n">
        <x:v>46</x:v>
      </x:c>
      <x:c r="F212" s="32" t="n">
        <x:v>113534.6570021615</x:v>
      </x:c>
      <x:c r="G212" s="32" t="n">
        <x:v>1109839.2864373182</x:v>
      </x:c>
      <x:c r="H212" s="25" t="n">
        <x:v>153</x:v>
      </x:c>
      <x:c r="I212" s="34" t="n">
        <x:v>0.3006535947712418</x:v>
      </x:c>
      <x:c r="J212" s="34" t="n">
        <x:v>0.10229828623801716</x:v>
      </x:c>
    </x:row>
    <x:row r="213" ht="18" customHeight="1">
      <x:c r="A213" s="25" t="str">
        <x:v>EEZ_460</x:v>
      </x:c>
      <x:c r="B213" s="25" t="str">
        <x:v>exact_sea_around_us</x:v>
      </x:c>
      <x:c r="C213" s="33" t="str">
        <x:v>Sea Around Us exploited organisms</x:v>
      </x:c>
      <x:c r="D213" s="25" t="str">
        <x:v>high</x:v>
      </x:c>
      <x:c r="E213" s="35" t="n">
        <x:v>113</x:v>
      </x:c>
      <x:c r="F213" s="32" t="n">
        <x:v>429882.8934904345</x:v>
      </x:c>
      <x:c r="G213" s="32" t="n">
        <x:v>493489.5345653823</x:v>
      </x:c>
      <x:c r="H213" s="25" t="n">
        <x:v>157</x:v>
      </x:c>
      <x:c r="I213" s="34" t="n">
        <x:v>0.7197452229299363</x:v>
      </x:c>
      <x:c r="J213" s="34" t="n">
        <x:v>0.871108429622593</x:v>
      </x:c>
    </x:row>
    <x:row r="214" ht="18" customHeight="1">
      <x:c r="A214" s="25" t="str">
        <x:v>EEZ_460</x:v>
      </x:c>
      <x:c r="B214" s="25" t="str">
        <x:v>exact_2020_supplement</x:v>
      </x:c>
      <x:c r="C214" s="33" t="str">
        <x:v>2020 supplement MeanTL</x:v>
      </x:c>
      <x:c r="D214" s="25" t="str">
        <x:v>high</x:v>
      </x:c>
      <x:c r="E214" s="35" t="n">
        <x:v>44</x:v>
      </x:c>
      <x:c r="F214" s="32" t="n">
        <x:v>63606.6410749478</x:v>
      </x:c>
      <x:c r="G214" s="32" t="n">
        <x:v>493489.5345653823</x:v>
      </x:c>
      <x:c r="H214" s="25" t="n">
        <x:v>157</x:v>
      </x:c>
      <x:c r="I214" s="34" t="n">
        <x:v>0.2802547770700637</x:v>
      </x:c>
      <x:c r="J214" s="34" t="n">
        <x:v>0.128891570377407</x:v>
      </x:c>
    </x:row>
    <x:row r="215" ht="18" customHeight="1">
      <x:c r="A215" s="25" t="str">
        <x:v>EEZ_461</x:v>
      </x:c>
      <x:c r="B215" s="25" t="str">
        <x:v>exact_sea_around_us</x:v>
      </x:c>
      <x:c r="C215" s="33" t="str">
        <x:v>Sea Around Us exploited organisms</x:v>
      </x:c>
      <x:c r="D215" s="25" t="str">
        <x:v>high</x:v>
      </x:c>
      <x:c r="E215" s="35" t="n">
        <x:v>89</x:v>
      </x:c>
      <x:c r="F215" s="32" t="n">
        <x:v>390525.7065746771</x:v>
      </x:c>
      <x:c r="G215" s="32" t="n">
        <x:v>490558.9572648807</x:v>
      </x:c>
      <x:c r="H215" s="25" t="n">
        <x:v>114</x:v>
      </x:c>
      <x:c r="I215" s="34" t="n">
        <x:v>0.7807017543859649</x:v>
      </x:c>
      <x:c r="J215" s="34" t="n">
        <x:v>0.7960831227138515</x:v>
      </x:c>
    </x:row>
    <x:row r="216" ht="18" customHeight="1">
      <x:c r="A216" s="25" t="str">
        <x:v>EEZ_461</x:v>
      </x:c>
      <x:c r="B216" s="25" t="str">
        <x:v>exact_2020_supplement</x:v>
      </x:c>
      <x:c r="C216" s="33" t="str">
        <x:v>2020 supplement MeanTL</x:v>
      </x:c>
      <x:c r="D216" s="25" t="str">
        <x:v>high</x:v>
      </x:c>
      <x:c r="E216" s="35" t="n">
        <x:v>25</x:v>
      </x:c>
      <x:c r="F216" s="32" t="n">
        <x:v>100033.2506902036</x:v>
      </x:c>
      <x:c r="G216" s="32" t="n">
        <x:v>490558.9572648807</x:v>
      </x:c>
      <x:c r="H216" s="25" t="n">
        <x:v>114</x:v>
      </x:c>
      <x:c r="I216" s="34" t="n">
        <x:v>0.21929824561403508</x:v>
      </x:c>
      <x:c r="J216" s="34" t="n">
        <x:v>0.2039168772861484</x:v>
      </x:c>
    </x:row>
    <x:row r="217" ht="18" customHeight="1">
      <x:c r="A217" s="25" t="str">
        <x:v>EEZ_462</x:v>
      </x:c>
      <x:c r="B217" s="25" t="str">
        <x:v>exact_2020_supplement</x:v>
      </x:c>
      <x:c r="C217" s="33" t="str">
        <x:v>2020 supplement MeanTL</x:v>
      </x:c>
      <x:c r="D217" s="25" t="str">
        <x:v>high</x:v>
      </x:c>
      <x:c r="E217" s="35" t="n">
        <x:v>46</x:v>
      </x:c>
      <x:c r="F217" s="32" t="n">
        <x:v>45271.2708581088</x:v>
      </x:c>
      <x:c r="G217" s="32" t="n">
        <x:v>51028.4249362374</x:v>
      </x:c>
      <x:c r="H217" s="25" t="n">
        <x:v>72</x:v>
      </x:c>
      <x:c r="I217" s="34" t="n">
        <x:v>0.6388888888888888</x:v>
      </x:c>
      <x:c r="J217" s="34" t="n">
        <x:v>0.8871775077258909</x:v>
      </x:c>
    </x:row>
    <x:row r="218" ht="18" customHeight="1">
      <x:c r="A218" s="25" t="str">
        <x:v>EEZ_462</x:v>
      </x:c>
      <x:c r="B218" s="25" t="str">
        <x:v>exact_sea_around_us</x:v>
      </x:c>
      <x:c r="C218" s="33" t="str">
        <x:v>Sea Around Us exploited organisms</x:v>
      </x:c>
      <x:c r="D218" s="25" t="str">
        <x:v>high</x:v>
      </x:c>
      <x:c r="E218" s="35" t="n">
        <x:v>26</x:v>
      </x:c>
      <x:c r="F218" s="32" t="n">
        <x:v>5757.154078128599</x:v>
      </x:c>
      <x:c r="G218" s="32" t="n">
        <x:v>51028.4249362374</x:v>
      </x:c>
      <x:c r="H218" s="25" t="n">
        <x:v>72</x:v>
      </x:c>
      <x:c r="I218" s="34" t="n">
        <x:v>0.3611111111111111</x:v>
      </x:c>
      <x:c r="J218" s="34" t="n">
        <x:v>0.11282249227410908</x:v>
      </x:c>
    </x:row>
    <x:row r="219" ht="18" customHeight="1">
      <x:c r="A219" s="25" t="str">
        <x:v>EEZ_463</x:v>
      </x:c>
      <x:c r="B219" s="25" t="str">
        <x:v>exact_sea_around_us</x:v>
      </x:c>
      <x:c r="C219" s="33" t="str">
        <x:v>Sea Around Us exploited organisms</x:v>
      </x:c>
      <x:c r="D219" s="25" t="str">
        <x:v>high</x:v>
      </x:c>
      <x:c r="E219" s="35" t="n">
        <x:v>102</x:v>
      </x:c>
      <x:c r="F219" s="32" t="n">
        <x:v>150292.25868328148</x:v>
      </x:c>
      <x:c r="G219" s="32" t="n">
        <x:v>172418.003123827</x:v>
      </x:c>
      <x:c r="H219" s="25" t="n">
        <x:v>142</x:v>
      </x:c>
      <x:c r="I219" s="34" t="n">
        <x:v>0.7183098591549296</x:v>
      </x:c>
      <x:c r="J219" s="34" t="n">
        <x:v>0.8716738157287713</x:v>
      </x:c>
    </x:row>
    <x:row r="220" ht="18" customHeight="1">
      <x:c r="A220" s="25" t="str">
        <x:v>EEZ_463</x:v>
      </x:c>
      <x:c r="B220" s="25" t="str">
        <x:v>exact_2020_supplement</x:v>
      </x:c>
      <x:c r="C220" s="33" t="str">
        <x:v>2020 supplement MeanTL</x:v>
      </x:c>
      <x:c r="D220" s="25" t="str">
        <x:v>high</x:v>
      </x:c>
      <x:c r="E220" s="35" t="n">
        <x:v>40</x:v>
      </x:c>
      <x:c r="F220" s="32" t="n">
        <x:v>22125.7444405455</x:v>
      </x:c>
      <x:c r="G220" s="32" t="n">
        <x:v>172418.003123827</x:v>
      </x:c>
      <x:c r="H220" s="25" t="n">
        <x:v>142</x:v>
      </x:c>
      <x:c r="I220" s="34" t="n">
        <x:v>0.28169014084507044</x:v>
      </x:c>
      <x:c r="J220" s="34" t="n">
        <x:v>0.12832618427122866</x:v>
      </x:c>
    </x:row>
    <x:row r="221" ht="18" customHeight="1">
      <x:c r="A221" s="25" t="str">
        <x:v>EEZ_470</x:v>
      </x:c>
      <x:c r="B221" s="25" t="str">
        <x:v>exact_2020_supplement</x:v>
      </x:c>
      <x:c r="C221" s="33" t="str">
        <x:v>2020 supplement MeanTL</x:v>
      </x:c>
      <x:c r="D221" s="25" t="str">
        <x:v>high</x:v>
      </x:c>
      <x:c r="E221" s="35" t="n">
        <x:v>120</x:v>
      </x:c>
      <x:c r="F221" s="32" t="n">
        <x:v>6675.6036505982</x:v>
      </x:c>
      <x:c r="G221" s="32" t="n">
        <x:v>7732.9980884831</x:v>
      </x:c>
      <x:c r="H221" s="25" t="n">
        <x:v>213</x:v>
      </x:c>
      <x:c r="I221" s="34" t="n">
        <x:v>0.5633802816901409</x:v>
      </x:c>
      <x:c r="J221" s="34" t="n">
        <x:v>0.8632620329416999</x:v>
      </x:c>
    </x:row>
    <x:row r="222" ht="18" customHeight="1">
      <x:c r="A222" s="25" t="str">
        <x:v>EEZ_470</x:v>
      </x:c>
      <x:c r="B222" s="25" t="str">
        <x:v>exact_sea_around_us</x:v>
      </x:c>
      <x:c r="C222" s="33" t="str">
        <x:v>Sea Around Us exploited organisms</x:v>
      </x:c>
      <x:c r="D222" s="25" t="str">
        <x:v>high</x:v>
      </x:c>
      <x:c r="E222" s="35" t="n">
        <x:v>93</x:v>
      </x:c>
      <x:c r="F222" s="32" t="n">
        <x:v>1057.3944378849</x:v>
      </x:c>
      <x:c r="G222" s="32" t="n">
        <x:v>7732.9980884831</x:v>
      </x:c>
      <x:c r="H222" s="25" t="n">
        <x:v>213</x:v>
      </x:c>
      <x:c r="I222" s="34" t="n">
        <x:v>0.43661971830985913</x:v>
      </x:c>
      <x:c r="J222" s="34" t="n">
        <x:v>0.13673796705830013</x:v>
      </x:c>
    </x:row>
    <x:row r="223" ht="18" customHeight="1">
      <x:c r="A223" s="25" t="str">
        <x:v>EEZ_474</x:v>
      </x:c>
      <x:c r="B223" s="25" t="str">
        <x:v>exact_sea_around_us</x:v>
      </x:c>
      <x:c r="C223" s="33" t="str">
        <x:v>Sea Around Us exploited organisms</x:v>
      </x:c>
      <x:c r="D223" s="25" t="str">
        <x:v>high</x:v>
      </x:c>
      <x:c r="E223" s="35" t="n">
        <x:v>46</x:v>
      </x:c>
      <x:c r="F223" s="32" t="n">
        <x:v>2052.3465672365</x:v>
      </x:c>
      <x:c r="G223" s="32" t="n">
        <x:v>2440.9497922337</x:v>
      </x:c>
      <x:c r="H223" s="25" t="n">
        <x:v>65</x:v>
      </x:c>
      <x:c r="I223" s="34" t="n">
        <x:v>0.7076923076923077</x:v>
      </x:c>
      <x:c r="J223" s="34" t="n">
        <x:v>0.8407983538892903</x:v>
      </x:c>
    </x:row>
    <x:row r="224" ht="18" customHeight="1">
      <x:c r="A224" s="25" t="str">
        <x:v>EEZ_474</x:v>
      </x:c>
      <x:c r="B224" s="25" t="str">
        <x:v>exact_2020_supplement</x:v>
      </x:c>
      <x:c r="C224" s="33" t="str">
        <x:v>2020 supplement MeanTL</x:v>
      </x:c>
      <x:c r="D224" s="25" t="str">
        <x:v>high</x:v>
      </x:c>
      <x:c r="E224" s="35" t="n">
        <x:v>19</x:v>
      </x:c>
      <x:c r="F224" s="32" t="n">
        <x:v>388.6032249972</x:v>
      </x:c>
      <x:c r="G224" s="32" t="n">
        <x:v>2440.9497922337</x:v>
      </x:c>
      <x:c r="H224" s="25" t="n">
        <x:v>65</x:v>
      </x:c>
      <x:c r="I224" s="34" t="n">
        <x:v>0.2923076923076923</x:v>
      </x:c>
      <x:c r="J224" s="34" t="n">
        <x:v>0.15920164611070975</x:v>
      </x:c>
    </x:row>
    <x:row r="225" ht="18" customHeight="1">
      <x:c r="A225" s="25" t="str">
        <x:v>EEZ_478</x:v>
      </x:c>
      <x:c r="B225" s="25" t="str">
        <x:v>exact_2020_supplement</x:v>
      </x:c>
      <x:c r="C225" s="33" t="str">
        <x:v>2020 supplement MeanTL</x:v>
      </x:c>
      <x:c r="D225" s="25" t="str">
        <x:v>high</x:v>
      </x:c>
      <x:c r="E225" s="35" t="n">
        <x:v>137</x:v>
      </x:c>
      <x:c r="F225" s="32" t="n">
        <x:v>1295437.783212087</x:v>
      </x:c>
      <x:c r="G225" s="32" t="n">
        <x:v>2210253.937882072</x:v>
      </x:c>
      <x:c r="H225" s="25" t="n">
        <x:v>229</x:v>
      </x:c>
      <x:c r="I225" s="34" t="n">
        <x:v>0.5982532751091703</x:v>
      </x:c>
      <x:c r="J225" s="34" t="n">
        <x:v>0.5861035969710395</x:v>
      </x:c>
    </x:row>
    <x:row r="226" ht="18" customHeight="1">
      <x:c r="A226" s="25" t="str">
        <x:v>EEZ_478</x:v>
      </x:c>
      <x:c r="B226" s="25" t="str">
        <x:v>exact_sea_around_us</x:v>
      </x:c>
      <x:c r="C226" s="33" t="str">
        <x:v>Sea Around Us exploited organisms</x:v>
      </x:c>
      <x:c r="D226" s="25" t="str">
        <x:v>high</x:v>
      </x:c>
      <x:c r="E226" s="35" t="n">
        <x:v>92</x:v>
      </x:c>
      <x:c r="F226" s="32" t="n">
        <x:v>914816.154669985</x:v>
      </x:c>
      <x:c r="G226" s="32" t="n">
        <x:v>2210253.937882072</x:v>
      </x:c>
      <x:c r="H226" s="25" t="n">
        <x:v>229</x:v>
      </x:c>
      <x:c r="I226" s="34" t="n">
        <x:v>0.4017467248908297</x:v>
      </x:c>
      <x:c r="J226" s="34" t="n">
        <x:v>0.41389640302896047</x:v>
      </x:c>
    </x:row>
    <x:row r="227" ht="18" customHeight="1">
      <x:c r="A227" s="25" t="str">
        <x:v>EEZ_480</x:v>
      </x:c>
      <x:c r="B227" s="25" t="str">
        <x:v>exact_2020_supplement</x:v>
      </x:c>
      <x:c r="C227" s="33" t="str">
        <x:v>2020 supplement MeanTL</x:v>
      </x:c>
      <x:c r="D227" s="25" t="str">
        <x:v>high</x:v>
      </x:c>
      <x:c r="E227" s="35" t="n">
        <x:v>41</x:v>
      </x:c>
      <x:c r="F227" s="32" t="n">
        <x:v>8479.7021565899</x:v>
      </x:c>
      <x:c r="G227" s="32" t="n">
        <x:v>15255.3620353874</x:v>
      </x:c>
      <x:c r="H227" s="25" t="n">
        <x:v>70</x:v>
      </x:c>
      <x:c r="I227" s="34" t="n">
        <x:v>0.5857142857142857</x:v>
      </x:c>
      <x:c r="J227" s="34" t="n">
        <x:v>0.5558506010489814</x:v>
      </x:c>
    </x:row>
    <x:row r="228" ht="18" customHeight="1">
      <x:c r="A228" s="25" t="str">
        <x:v>EEZ_480</x:v>
      </x:c>
      <x:c r="B228" s="25" t="str">
        <x:v>exact_sea_around_us</x:v>
      </x:c>
      <x:c r="C228" s="33" t="str">
        <x:v>Sea Around Us exploited organisms</x:v>
      </x:c>
      <x:c r="D228" s="25" t="str">
        <x:v>high</x:v>
      </x:c>
      <x:c r="E228" s="35" t="n">
        <x:v>29</x:v>
      </x:c>
      <x:c r="F228" s="32" t="n">
        <x:v>6775.6598787975</x:v>
      </x:c>
      <x:c r="G228" s="32" t="n">
        <x:v>15255.3620353874</x:v>
      </x:c>
      <x:c r="H228" s="25" t="n">
        <x:v>70</x:v>
      </x:c>
      <x:c r="I228" s="34" t="n">
        <x:v>0.4142857142857143</x:v>
      </x:c>
      <x:c r="J228" s="34" t="n">
        <x:v>0.4441493989510185</x:v>
      </x:c>
    </x:row>
    <x:row r="229" ht="18" customHeight="1">
      <x:c r="A229" s="25" t="str">
        <x:v>EEZ_488</x:v>
      </x:c>
      <x:c r="B229" s="25" t="str">
        <x:v>exact_2020_supplement</x:v>
      </x:c>
      <x:c r="C229" s="33" t="str">
        <x:v>2020 supplement MeanTL</x:v>
      </x:c>
      <x:c r="D229" s="25" t="str">
        <x:v>high</x:v>
      </x:c>
      <x:c r="E229" s="35" t="n">
        <x:v>11</x:v>
      </x:c>
      <x:c r="F229" s="32" t="n">
        <x:v>363.685834629</x:v>
      </x:c>
      <x:c r="G229" s="32" t="n">
        <x:v>456.1205398731</x:v>
      </x:c>
      <x:c r="H229" s="25" t="n">
        <x:v>16</x:v>
      </x:c>
      <x:c r="I229" s="34" t="n">
        <x:v>0.6875</x:v>
      </x:c>
      <x:c r="J229" s="34" t="n">
        <x:v>0.7973458830207103</x:v>
      </x:c>
    </x:row>
    <x:row r="230" ht="18" customHeight="1">
      <x:c r="A230" s="25" t="str">
        <x:v>EEZ_488</x:v>
      </x:c>
      <x:c r="B230" s="25" t="str">
        <x:v>exact_sea_around_us</x:v>
      </x:c>
      <x:c r="C230" s="33" t="str">
        <x:v>Sea Around Us exploited organisms</x:v>
      </x:c>
      <x:c r="D230" s="25" t="str">
        <x:v>high</x:v>
      </x:c>
      <x:c r="E230" s="35" t="n">
        <x:v>5</x:v>
      </x:c>
      <x:c r="F230" s="32" t="n">
        <x:v>92.43470524409999</x:v>
      </x:c>
      <x:c r="G230" s="32" t="n">
        <x:v>456.1205398731</x:v>
      </x:c>
      <x:c r="H230" s="25" t="n">
        <x:v>16</x:v>
      </x:c>
      <x:c r="I230" s="34" t="n">
        <x:v>0.3125</x:v>
      </x:c>
      <x:c r="J230" s="34" t="n">
        <x:v>0.20265411697928973</x:v>
      </x:c>
    </x:row>
    <x:row r="231" ht="18" customHeight="1">
      <x:c r="A231" s="25" t="str">
        <x:v>EEZ_500</x:v>
      </x:c>
      <x:c r="B231" s="25" t="str">
        <x:v>exact_sea_around_us</x:v>
      </x:c>
      <x:c r="C231" s="33" t="str">
        <x:v>Sea Around Us exploited organisms</x:v>
      </x:c>
      <x:c r="D231" s="25" t="str">
        <x:v>high</x:v>
      </x:c>
      <x:c r="E231" s="35" t="n">
        <x:v>32</x:v>
      </x:c>
      <x:c r="F231" s="32" t="n">
        <x:v>32.957459117</x:v>
      </x:c>
      <x:c r="G231" s="32" t="n">
        <x:v>49.412650412999994</x:v>
      </x:c>
      <x:c r="H231" s="25" t="n">
        <x:v>87</x:v>
      </x:c>
      <x:c r="I231" s="34" t="n">
        <x:v>0.367816091954023</x:v>
      </x:c>
      <x:c r="J231" s="34" t="n">
        <x:v>0.666984240706287</x:v>
      </x:c>
    </x:row>
    <x:row r="232" ht="18" customHeight="1">
      <x:c r="A232" s="25" t="str">
        <x:v>EEZ_500</x:v>
      </x:c>
      <x:c r="B232" s="25" t="str">
        <x:v>exact_2020_supplement</x:v>
      </x:c>
      <x:c r="C232" s="33" t="str">
        <x:v>2020 supplement MeanTL</x:v>
      </x:c>
      <x:c r="D232" s="25" t="str">
        <x:v>high</x:v>
      </x:c>
      <x:c r="E232" s="35" t="n">
        <x:v>55</x:v>
      </x:c>
      <x:c r="F232" s="32" t="n">
        <x:v>16.455191296</x:v>
      </x:c>
      <x:c r="G232" s="32" t="n">
        <x:v>49.412650412999994</x:v>
      </x:c>
      <x:c r="H232" s="25" t="n">
        <x:v>87</x:v>
      </x:c>
      <x:c r="I232" s="34" t="n">
        <x:v>0.632183908045977</x:v>
      </x:c>
      <x:c r="J232" s="34" t="n">
        <x:v>0.3330157592937131</x:v>
      </x:c>
    </x:row>
    <x:row r="233" ht="18" customHeight="1">
      <x:c r="A233" s="25" t="str">
        <x:v>EEZ_508</x:v>
      </x:c>
      <x:c r="B233" s="25" t="str">
        <x:v>exact_sea_around_us</x:v>
      </x:c>
      <x:c r="C233" s="33" t="str">
        <x:v>Sea Around Us exploited organisms</x:v>
      </x:c>
      <x:c r="D233" s="25" t="str">
        <x:v>high</x:v>
      </x:c>
      <x:c r="E233" s="35" t="n">
        <x:v>53</x:v>
      </x:c>
      <x:c r="F233" s="32" t="n">
        <x:v>293293.7662784519</x:v>
      </x:c>
      <x:c r="G233" s="32" t="n">
        <x:v>296238.5541224728</x:v>
      </x:c>
      <x:c r="H233" s="25" t="n">
        <x:v>90</x:v>
      </x:c>
      <x:c r="I233" s="34" t="n">
        <x:v>0.5888888888888889</x:v>
      </x:c>
      <x:c r="J233" s="34" t="n">
        <x:v>0.9900594038046666</x:v>
      </x:c>
    </x:row>
    <x:row r="234" ht="18" customHeight="1">
      <x:c r="A234" s="25" t="str">
        <x:v>EEZ_508</x:v>
      </x:c>
      <x:c r="B234" s="25" t="str">
        <x:v>exact_2020_supplement</x:v>
      </x:c>
      <x:c r="C234" s="33" t="str">
        <x:v>2020 supplement MeanTL</x:v>
      </x:c>
      <x:c r="D234" s="25" t="str">
        <x:v>high</x:v>
      </x:c>
      <x:c r="E234" s="35" t="n">
        <x:v>37</x:v>
      </x:c>
      <x:c r="F234" s="32" t="n">
        <x:v>2944.7878440209</x:v>
      </x:c>
      <x:c r="G234" s="32" t="n">
        <x:v>296238.5541224728</x:v>
      </x:c>
      <x:c r="H234" s="25" t="n">
        <x:v>90</x:v>
      </x:c>
      <x:c r="I234" s="34" t="n">
        <x:v>0.4111111111111111</x:v>
      </x:c>
      <x:c r="J234" s="34" t="n">
        <x:v>0.00994059619533333</x:v>
      </x:c>
    </x:row>
    <x:row r="235" ht="18" customHeight="1">
      <x:c r="A235" s="25" t="str">
        <x:v>EEZ_512</x:v>
      </x:c>
      <x:c r="B235" s="25" t="str">
        <x:v>exact_2020_supplement</x:v>
      </x:c>
      <x:c r="C235" s="33" t="str">
        <x:v>2020 supplement MeanTL</x:v>
      </x:c>
      <x:c r="D235" s="25" t="str">
        <x:v>high</x:v>
      </x:c>
      <x:c r="E235" s="35" t="n">
        <x:v>32</x:v>
      </x:c>
      <x:c r="F235" s="32" t="n">
        <x:v>185033.66162441386</x:v>
      </x:c>
      <x:c r="G235" s="32" t="n">
        <x:v>304318.4417161079</x:v>
      </x:c>
      <x:c r="H235" s="25" t="n">
        <x:v>66</x:v>
      </x:c>
      <x:c r="I235" s="34" t="n">
        <x:v>0.48484848484848486</x:v>
      </x:c>
      <x:c r="J235" s="34" t="n">
        <x:v>0.6080264494684412</x:v>
      </x:c>
    </x:row>
    <x:row r="236" ht="18" customHeight="1">
      <x:c r="A236" s="25" t="str">
        <x:v>EEZ_512</x:v>
      </x:c>
      <x:c r="B236" s="25" t="str">
        <x:v>exact_sea_around_us</x:v>
      </x:c>
      <x:c r="C236" s="33" t="str">
        <x:v>Sea Around Us exploited organisms</x:v>
      </x:c>
      <x:c r="D236" s="25" t="str">
        <x:v>high</x:v>
      </x:c>
      <x:c r="E236" s="35" t="n">
        <x:v>34</x:v>
      </x:c>
      <x:c r="F236" s="32" t="n">
        <x:v>119284.780091694</x:v>
      </x:c>
      <x:c r="G236" s="32" t="n">
        <x:v>304318.4417161079</x:v>
      </x:c>
      <x:c r="H236" s="25" t="n">
        <x:v>66</x:v>
      </x:c>
      <x:c r="I236" s="34" t="n">
        <x:v>0.5151515151515151</x:v>
      </x:c>
      <x:c r="J236" s="34" t="n">
        <x:v>0.39197355053155863</x:v>
      </x:c>
    </x:row>
    <x:row r="237" ht="18" customHeight="1">
      <x:c r="A237" s="25" t="str">
        <x:v>EEZ_516</x:v>
      </x:c>
      <x:c r="B237" s="25" t="str">
        <x:v>exact_2020_supplement</x:v>
      </x:c>
      <x:c r="C237" s="33" t="str">
        <x:v>2020 supplement MeanTL</x:v>
      </x:c>
      <x:c r="D237" s="25" t="str">
        <x:v>high</x:v>
      </x:c>
      <x:c r="E237" s="35" t="n">
        <x:v>34</x:v>
      </x:c>
      <x:c r="F237" s="32" t="n">
        <x:v>362442.3224055943</x:v>
      </x:c>
      <x:c r="G237" s="32" t="n">
        <x:v>687243.392395192</x:v>
      </x:c>
      <x:c r="H237" s="25" t="n">
        <x:v>57</x:v>
      </x:c>
      <x:c r="I237" s="34" t="n">
        <x:v>0.5964912280701754</x:v>
      </x:c>
      <x:c r="J237" s="34" t="n">
        <x:v>0.5273856779363194</x:v>
      </x:c>
    </x:row>
    <x:row r="238" ht="18" customHeight="1">
      <x:c r="A238" s="25" t="str">
        <x:v>EEZ_516</x:v>
      </x:c>
      <x:c r="B238" s="25" t="str">
        <x:v>exact_sea_around_us</x:v>
      </x:c>
      <x:c r="C238" s="33" t="str">
        <x:v>Sea Around Us exploited organisms</x:v>
      </x:c>
      <x:c r="D238" s="25" t="str">
        <x:v>high</x:v>
      </x:c>
      <x:c r="E238" s="35" t="n">
        <x:v>23</x:v>
      </x:c>
      <x:c r="F238" s="32" t="n">
        <x:v>324801.0699895977</x:v>
      </x:c>
      <x:c r="G238" s="32" t="n">
        <x:v>687243.392395192</x:v>
      </x:c>
      <x:c r="H238" s="25" t="n">
        <x:v>57</x:v>
      </x:c>
      <x:c r="I238" s="34" t="n">
        <x:v>0.40350877192982454</x:v>
      </x:c>
      <x:c r="J238" s="34" t="n">
        <x:v>0.47261432206368065</x:v>
      </x:c>
    </x:row>
    <x:row r="239" ht="18" customHeight="1">
      <x:c r="A239" s="25" t="str">
        <x:v>EEZ_520</x:v>
      </x:c>
      <x:c r="B239" s="25" t="str">
        <x:v>exact_2020_supplement</x:v>
      </x:c>
      <x:c r="C239" s="33" t="str">
        <x:v>2020 supplement MeanTL</x:v>
      </x:c>
      <x:c r="D239" s="25" t="str">
        <x:v>high</x:v>
      </x:c>
      <x:c r="E239" s="35" t="n">
        <x:v>16</x:v>
      </x:c>
      <x:c r="F239" s="32" t="n">
        <x:v>78098.7983794239</x:v>
      </x:c>
      <x:c r="G239" s="32" t="n">
        <x:v>81729.3484479404</x:v>
      </x:c>
      <x:c r="H239" s="25" t="n">
        <x:v>28</x:v>
      </x:c>
      <x:c r="I239" s="34" t="n">
        <x:v>0.5714285714285714</x:v>
      </x:c>
      <x:c r="J239" s="34" t="n">
        <x:v>0.9555783798909265</x:v>
      </x:c>
    </x:row>
    <x:row r="240" ht="18" customHeight="1">
      <x:c r="A240" s="25" t="str">
        <x:v>EEZ_520</x:v>
      </x:c>
      <x:c r="B240" s="25" t="str">
        <x:v>exact_sea_around_us</x:v>
      </x:c>
      <x:c r="C240" s="33" t="str">
        <x:v>Sea Around Us exploited organisms</x:v>
      </x:c>
      <x:c r="D240" s="25" t="str">
        <x:v>high</x:v>
      </x:c>
      <x:c r="E240" s="35" t="n">
        <x:v>12</x:v>
      </x:c>
      <x:c r="F240" s="32" t="n">
        <x:v>3630.5500685165002</x:v>
      </x:c>
      <x:c r="G240" s="32" t="n">
        <x:v>81729.3484479404</x:v>
      </x:c>
      <x:c r="H240" s="25" t="n">
        <x:v>28</x:v>
      </x:c>
      <x:c r="I240" s="34" t="n">
        <x:v>0.42857142857142855</x:v>
      </x:c>
      <x:c r="J240" s="34" t="n">
        <x:v>0.044421620109073454</x:v>
      </x:c>
    </x:row>
    <x:row r="241" ht="18" customHeight="1">
      <x:c r="A241" s="25" t="str">
        <x:v>EEZ_528</x:v>
      </x:c>
      <x:c r="B241" s="25" t="str">
        <x:v>exact_2020_supplement</x:v>
      </x:c>
      <x:c r="C241" s="33" t="str">
        <x:v>2020 supplement MeanTL</x:v>
      </x:c>
      <x:c r="D241" s="25" t="str">
        <x:v>high</x:v>
      </x:c>
      <x:c r="E241" s="35" t="n">
        <x:v>103</x:v>
      </x:c>
      <x:c r="F241" s="32" t="n">
        <x:v>79974.2587766789</x:v>
      </x:c>
      <x:c r="G241" s="32" t="n">
        <x:v>101104.7566313979</x:v>
      </x:c>
      <x:c r="H241" s="25" t="n">
        <x:v>182</x:v>
      </x:c>
      <x:c r="I241" s="34" t="n">
        <x:v>0.5659340659340659</x:v>
      </x:c>
      <x:c r="J241" s="34" t="n">
        <x:v>0.7910039195113697</x:v>
      </x:c>
    </x:row>
    <x:row r="242" ht="18" customHeight="1">
      <x:c r="A242" s="25" t="str">
        <x:v>EEZ_528</x:v>
      </x:c>
      <x:c r="B242" s="25" t="str">
        <x:v>exact_sea_around_us</x:v>
      </x:c>
      <x:c r="C242" s="33" t="str">
        <x:v>Sea Around Us exploited organisms</x:v>
      </x:c>
      <x:c r="D242" s="25" t="str">
        <x:v>high</x:v>
      </x:c>
      <x:c r="E242" s="35" t="n">
        <x:v>79</x:v>
      </x:c>
      <x:c r="F242" s="32" t="n">
        <x:v>21130.497854718997</x:v>
      </x:c>
      <x:c r="G242" s="32" t="n">
        <x:v>101104.7566313979</x:v>
      </x:c>
      <x:c r="H242" s="25" t="n">
        <x:v>182</x:v>
      </x:c>
      <x:c r="I242" s="34" t="n">
        <x:v>0.4340659340659341</x:v>
      </x:c>
      <x:c r="J242" s="34" t="n">
        <x:v>0.20899608048863014</x:v>
      </x:c>
    </x:row>
    <x:row r="243" ht="18" customHeight="1">
      <x:c r="A243" s="25" t="str">
        <x:v>EEZ_540</x:v>
      </x:c>
      <x:c r="B243" s="25" t="str">
        <x:v>exact_sea_around_us</x:v>
      </x:c>
      <x:c r="C243" s="33" t="str">
        <x:v>Sea Around Us exploited organisms</x:v>
      </x:c>
      <x:c r="D243" s="25" t="str">
        <x:v>high</x:v>
      </x:c>
      <x:c r="E243" s="35" t="n">
        <x:v>29</x:v>
      </x:c>
      <x:c r="F243" s="32" t="n">
        <x:v>7764.7059062685</x:v>
      </x:c>
      <x:c r="G243" s="32" t="n">
        <x:v>11907.6644335737</x:v>
      </x:c>
      <x:c r="H243" s="25" t="n">
        <x:v>55</x:v>
      </x:c>
      <x:c r="I243" s="34" t="n">
        <x:v>0.5272727272727272</x:v>
      </x:c>
      <x:c r="J243" s="34" t="n">
        <x:v>0.6520763118228194</x:v>
      </x:c>
    </x:row>
    <x:row r="244" ht="18" customHeight="1">
      <x:c r="A244" s="25" t="str">
        <x:v>EEZ_540</x:v>
      </x:c>
      <x:c r="B244" s="25" t="str">
        <x:v>exact_2020_supplement</x:v>
      </x:c>
      <x:c r="C244" s="33" t="str">
        <x:v>2020 supplement MeanTL</x:v>
      </x:c>
      <x:c r="D244" s="25" t="str">
        <x:v>high</x:v>
      </x:c>
      <x:c r="E244" s="35" t="n">
        <x:v>26</x:v>
      </x:c>
      <x:c r="F244" s="32" t="n">
        <x:v>4142.9585273052</x:v>
      </x:c>
      <x:c r="G244" s="32" t="n">
        <x:v>11907.6644335737</x:v>
      </x:c>
      <x:c r="H244" s="25" t="n">
        <x:v>55</x:v>
      </x:c>
      <x:c r="I244" s="34" t="n">
        <x:v>0.4727272727272727</x:v>
      </x:c>
      <x:c r="J244" s="34" t="n">
        <x:v>0.3479236881771806</x:v>
      </x:c>
    </x:row>
    <x:row r="245" ht="18" customHeight="1">
      <x:c r="A245" s="25" t="str">
        <x:v>EEZ_548</x:v>
      </x:c>
      <x:c r="B245" s="25" t="str">
        <x:v>exact_2020_supplement</x:v>
      </x:c>
      <x:c r="C245" s="33" t="str">
        <x:v>2020 supplement MeanTL</x:v>
      </x:c>
      <x:c r="D245" s="25" t="str">
        <x:v>high</x:v>
      </x:c>
      <x:c r="E245" s="35" t="n">
        <x:v>24</x:v>
      </x:c>
      <x:c r="F245" s="32" t="n">
        <x:v>12696.1562494131</x:v>
      </x:c>
      <x:c r="G245" s="32" t="n">
        <x:v>19630.8612945896</x:v>
      </x:c>
      <x:c r="H245" s="25" t="n">
        <x:v>68</x:v>
      </x:c>
      <x:c r="I245" s="34" t="n">
        <x:v>0.35294117647058826</x:v>
      </x:c>
      <x:c r="J245" s="34" t="n">
        <x:v>0.646744738240917</x:v>
      </x:c>
    </x:row>
    <x:row r="246" ht="18" customHeight="1">
      <x:c r="A246" s="25" t="str">
        <x:v>EEZ_548</x:v>
      </x:c>
      <x:c r="B246" s="25" t="str">
        <x:v>exact_sea_around_us</x:v>
      </x:c>
      <x:c r="C246" s="33" t="str">
        <x:v>Sea Around Us exploited organisms</x:v>
      </x:c>
      <x:c r="D246" s="25" t="str">
        <x:v>high</x:v>
      </x:c>
      <x:c r="E246" s="35" t="n">
        <x:v>44</x:v>
      </x:c>
      <x:c r="F246" s="32" t="n">
        <x:v>6934.7050451765</x:v>
      </x:c>
      <x:c r="G246" s="32" t="n">
        <x:v>19630.8612945896</x:v>
      </x:c>
      <x:c r="H246" s="25" t="n">
        <x:v>68</x:v>
      </x:c>
      <x:c r="I246" s="34" t="n">
        <x:v>0.6470588235294118</x:v>
      </x:c>
      <x:c r="J246" s="34" t="n">
        <x:v>0.353255261759083</x:v>
      </x:c>
    </x:row>
    <x:row r="247" ht="18" customHeight="1">
      <x:c r="A247" s="25" t="str">
        <x:v>EEZ_554</x:v>
      </x:c>
      <x:c r="B247" s="25" t="str">
        <x:v>exact_2020_supplement</x:v>
      </x:c>
      <x:c r="C247" s="33" t="str">
        <x:v>2020 supplement MeanTL</x:v>
      </x:c>
      <x:c r="D247" s="25" t="str">
        <x:v>high</x:v>
      </x:c>
      <x:c r="E247" s="35" t="n">
        <x:v>87</x:v>
      </x:c>
      <x:c r="F247" s="32" t="n">
        <x:v>327905.57095779706</x:v>
      </x:c>
      <x:c r="G247" s="32" t="n">
        <x:v>536634.0092869516</x:v>
      </x:c>
      <x:c r="H247" s="25" t="n">
        <x:v>197</x:v>
      </x:c>
      <x:c r="I247" s="34" t="n">
        <x:v>0.4416243654822335</x:v>
      </x:c>
      <x:c r="J247" s="34" t="n">
        <x:v>0.6110413527340526</x:v>
      </x:c>
    </x:row>
    <x:row r="248" ht="18" customHeight="1">
      <x:c r="A248" s="25" t="str">
        <x:v>EEZ_554</x:v>
      </x:c>
      <x:c r="B248" s="25" t="str">
        <x:v>exact_sea_around_us</x:v>
      </x:c>
      <x:c r="C248" s="33" t="str">
        <x:v>Sea Around Us exploited organisms</x:v>
      </x:c>
      <x:c r="D248" s="25" t="str">
        <x:v>high</x:v>
      </x:c>
      <x:c r="E248" s="35" t="n">
        <x:v>110</x:v>
      </x:c>
      <x:c r="F248" s="32" t="n">
        <x:v>208728.4383291545</x:v>
      </x:c>
      <x:c r="G248" s="32" t="n">
        <x:v>536634.0092869516</x:v>
      </x:c>
      <x:c r="H248" s="25" t="n">
        <x:v>197</x:v>
      </x:c>
      <x:c r="I248" s="34" t="n">
        <x:v>0.5583756345177665</x:v>
      </x:c>
      <x:c r="J248" s="34" t="n">
        <x:v>0.3889586472659473</x:v>
      </x:c>
    </x:row>
    <x:row r="249" ht="18" customHeight="1">
      <x:c r="A249" s="25" t="str">
        <x:v>EEZ_555</x:v>
      </x:c>
      <x:c r="B249" s="25" t="str">
        <x:v>exact_sea_around_us</x:v>
      </x:c>
      <x:c r="C249" s="33" t="str">
        <x:v>Sea Around Us exploited organisms</x:v>
      </x:c>
      <x:c r="D249" s="25" t="str">
        <x:v>high</x:v>
      </x:c>
      <x:c r="E249" s="35" t="n">
        <x:v>7</x:v>
      </x:c>
      <x:c r="F249" s="32" t="n">
        <x:v>37.895300602999995</x:v>
      </x:c>
      <x:c r="G249" s="32" t="n">
        <x:v>66.11770604899999</x:v>
      </x:c>
      <x:c r="H249" s="25" t="n">
        <x:v>22</x:v>
      </x:c>
      <x:c r="I249" s="34" t="n">
        <x:v>0.3181818181818182</x:v>
      </x:c>
      <x:c r="J249" s="34" t="n">
        <x:v>0.5731490529165622</x:v>
      </x:c>
    </x:row>
    <x:row r="250" ht="18" customHeight="1">
      <x:c r="A250" s="25" t="str">
        <x:v>EEZ_555</x:v>
      </x:c>
      <x:c r="B250" s="25" t="str">
        <x:v>exact_2020_supplement</x:v>
      </x:c>
      <x:c r="C250" s="33" t="str">
        <x:v>2020 supplement MeanTL</x:v>
      </x:c>
      <x:c r="D250" s="25" t="str">
        <x:v>high</x:v>
      </x:c>
      <x:c r="E250" s="35" t="n">
        <x:v>15</x:v>
      </x:c>
      <x:c r="F250" s="32" t="n">
        <x:v>28.222405446</x:v>
      </x:c>
      <x:c r="G250" s="32" t="n">
        <x:v>66.11770604899999</x:v>
      </x:c>
      <x:c r="H250" s="25" t="n">
        <x:v>22</x:v>
      </x:c>
      <x:c r="I250" s="34" t="n">
        <x:v>0.6818181818181818</x:v>
      </x:c>
      <x:c r="J250" s="34" t="n">
        <x:v>0.42685094708343796</x:v>
      </x:c>
    </x:row>
    <x:row r="251" ht="18" customHeight="1">
      <x:c r="A251" s="25" t="str">
        <x:v>EEZ_566</x:v>
      </x:c>
      <x:c r="B251" s="25" t="str">
        <x:v>exact_sea_around_us</x:v>
      </x:c>
      <x:c r="C251" s="33" t="str">
        <x:v>Sea Around Us exploited organisms</x:v>
      </x:c>
      <x:c r="D251" s="25" t="str">
        <x:v>high</x:v>
      </x:c>
      <x:c r="E251" s="35" t="n">
        <x:v>42</x:v>
      </x:c>
      <x:c r="F251" s="32" t="n">
        <x:v>386421.1575088362</x:v>
      </x:c>
      <x:c r="G251" s="32" t="n">
        <x:v>532269.8890131603</x:v>
      </x:c>
      <x:c r="H251" s="25" t="n">
        <x:v>77</x:v>
      </x:c>
      <x:c r="I251" s="34" t="n">
        <x:v>0.5454545454545454</x:v>
      </x:c>
      <x:c r="J251" s="34" t="n">
        <x:v>0.7259872585038941</x:v>
      </x:c>
    </x:row>
    <x:row r="252" ht="18" customHeight="1">
      <x:c r="A252" s="25" t="str">
        <x:v>EEZ_566</x:v>
      </x:c>
      <x:c r="B252" s="25" t="str">
        <x:v>exact_2020_supplement</x:v>
      </x:c>
      <x:c r="C252" s="33" t="str">
        <x:v>2020 supplement MeanTL</x:v>
      </x:c>
      <x:c r="D252" s="25" t="str">
        <x:v>high</x:v>
      </x:c>
      <x:c r="E252" s="35" t="n">
        <x:v>35</x:v>
      </x:c>
      <x:c r="F252" s="32" t="n">
        <x:v>145848.7315043241</x:v>
      </x:c>
      <x:c r="G252" s="32" t="n">
        <x:v>532269.8890131603</x:v>
      </x:c>
      <x:c r="H252" s="25" t="n">
        <x:v>77</x:v>
      </x:c>
      <x:c r="I252" s="34" t="n">
        <x:v>0.45454545454545453</x:v>
      </x:c>
      <x:c r="J252" s="34" t="n">
        <x:v>0.274012741496106</x:v>
      </x:c>
    </x:row>
    <x:row r="253" ht="18" customHeight="1">
      <x:c r="A253" s="25" t="str">
        <x:v>EEZ_570</x:v>
      </x:c>
      <x:c r="B253" s="25" t="str">
        <x:v>exact_2020_supplement</x:v>
      </x:c>
      <x:c r="C253" s="33" t="str">
        <x:v>2020 supplement MeanTL</x:v>
      </x:c>
      <x:c r="D253" s="25" t="str">
        <x:v>high</x:v>
      </x:c>
      <x:c r="E253" s="35" t="n">
        <x:v>40</x:v>
      </x:c>
      <x:c r="F253" s="32" t="n">
        <x:v>780.6409088538</x:v>
      </x:c>
      <x:c r="G253" s="32" t="n">
        <x:v>949.5273417068</x:v>
      </x:c>
      <x:c r="H253" s="25" t="n">
        <x:v>70</x:v>
      </x:c>
      <x:c r="I253" s="34" t="n">
        <x:v>0.5714285714285714</x:v>
      </x:c>
      <x:c r="J253" s="34" t="n">
        <x:v>0.8221363141061085</x:v>
      </x:c>
    </x:row>
    <x:row r="254" ht="18" customHeight="1">
      <x:c r="A254" s="25" t="str">
        <x:v>EEZ_570</x:v>
      </x:c>
      <x:c r="B254" s="25" t="str">
        <x:v>exact_sea_around_us</x:v>
      </x:c>
      <x:c r="C254" s="33" t="str">
        <x:v>Sea Around Us exploited organisms</x:v>
      </x:c>
      <x:c r="D254" s="25" t="str">
        <x:v>high</x:v>
      </x:c>
      <x:c r="E254" s="35" t="n">
        <x:v>30</x:v>
      </x:c>
      <x:c r="F254" s="32" t="n">
        <x:v>168.886432853</x:v>
      </x:c>
      <x:c r="G254" s="32" t="n">
        <x:v>949.5273417068</x:v>
      </x:c>
      <x:c r="H254" s="25" t="n">
        <x:v>70</x:v>
      </x:c>
      <x:c r="I254" s="34" t="n">
        <x:v>0.42857142857142855</x:v>
      </x:c>
      <x:c r="J254" s="34" t="n">
        <x:v>0.17786368589389143</x:v>
      </x:c>
    </x:row>
    <x:row r="255" ht="18" customHeight="1">
      <x:c r="A255" s="25" t="str">
        <x:v>EEZ_574</x:v>
      </x:c>
      <x:c r="B255" s="25" t="str">
        <x:v>exact_2020_supplement</x:v>
      </x:c>
      <x:c r="C255" s="33" t="str">
        <x:v>2020 supplement MeanTL</x:v>
      </x:c>
      <x:c r="D255" s="25" t="str">
        <x:v>high</x:v>
      </x:c>
      <x:c r="E255" s="35" t="n">
        <x:v>13</x:v>
      </x:c>
      <x:c r="F255" s="32" t="n">
        <x:v>13.2822456239</x:v>
      </x:c>
      <x:c r="G255" s="32" t="n">
        <x:v>17.4978128176</x:v>
      </x:c>
      <x:c r="H255" s="25" t="n">
        <x:v>17</x:v>
      </x:c>
      <x:c r="I255" s="34" t="n">
        <x:v>0.7647058823529411</x:v>
      </x:c>
      <x:c r="J255" s="34" t="n">
        <x:v>0.7590803354885696</x:v>
      </x:c>
    </x:row>
    <x:row r="256" ht="18" customHeight="1">
      <x:c r="A256" s="25" t="str">
        <x:v>EEZ_574</x:v>
      </x:c>
      <x:c r="B256" s="25" t="str">
        <x:v>exact_sea_around_us</x:v>
      </x:c>
      <x:c r="C256" s="33" t="str">
        <x:v>Sea Around Us exploited organisms</x:v>
      </x:c>
      <x:c r="D256" s="25" t="str">
        <x:v>high</x:v>
      </x:c>
      <x:c r="E256" s="35" t="n">
        <x:v>4</x:v>
      </x:c>
      <x:c r="F256" s="32" t="n">
        <x:v>4.2155671937</x:v>
      </x:c>
      <x:c r="G256" s="32" t="n">
        <x:v>17.4978128176</x:v>
      </x:c>
      <x:c r="H256" s="25" t="n">
        <x:v>17</x:v>
      </x:c>
      <x:c r="I256" s="34" t="n">
        <x:v>0.23529411764705882</x:v>
      </x:c>
      <x:c r="J256" s="34" t="n">
        <x:v>0.2409196645114305</x:v>
      </x:c>
    </x:row>
    <x:row r="257" ht="18" customHeight="1">
      <x:c r="A257" s="25" t="str">
        <x:v>EEZ_578</x:v>
      </x:c>
      <x:c r="B257" s="25" t="str">
        <x:v>exact_2020_supplement</x:v>
      </x:c>
      <x:c r="C257" s="33" t="str">
        <x:v>2020 supplement MeanTL</x:v>
      </x:c>
      <x:c r="D257" s="25" t="str">
        <x:v>high</x:v>
      </x:c>
      <x:c r="E257" s="35" t="n">
        <x:v>118</x:v>
      </x:c>
      <x:c r="F257" s="32" t="n">
        <x:v>1669420.9085204883</x:v>
      </x:c>
      <x:c r="G257" s="32" t="n">
        <x:v>1710313.5041625754</x:v>
      </x:c>
      <x:c r="H257" s="25" t="n">
        <x:v>222</x:v>
      </x:c>
      <x:c r="I257" s="34" t="n">
        <x:v>0.5315315315315315</x:v>
      </x:c>
      <x:c r="J257" s="34" t="n">
        <x:v>0.9760905848298792</x:v>
      </x:c>
    </x:row>
    <x:row r="258" ht="18" customHeight="1">
      <x:c r="A258" s="25" t="str">
        <x:v>EEZ_578</x:v>
      </x:c>
      <x:c r="B258" s="25" t="str">
        <x:v>exact_sea_around_us</x:v>
      </x:c>
      <x:c r="C258" s="33" t="str">
        <x:v>Sea Around Us exploited organisms</x:v>
      </x:c>
      <x:c r="D258" s="25" t="str">
        <x:v>high</x:v>
      </x:c>
      <x:c r="E258" s="35" t="n">
        <x:v>104</x:v>
      </x:c>
      <x:c r="F258" s="32" t="n">
        <x:v>40892.5956420871</x:v>
      </x:c>
      <x:c r="G258" s="32" t="n">
        <x:v>1710313.5041625754</x:v>
      </x:c>
      <x:c r="H258" s="25" t="n">
        <x:v>222</x:v>
      </x:c>
      <x:c r="I258" s="34" t="n">
        <x:v>0.46846846846846846</x:v>
      </x:c>
      <x:c r="J258" s="34" t="n">
        <x:v>0.023909415170120775</x:v>
      </x:c>
    </x:row>
    <x:row r="259" ht="18" customHeight="1">
      <x:c r="A259" s="25" t="str">
        <x:v>EEZ_579</x:v>
      </x:c>
      <x:c r="B259" s="25" t="str">
        <x:v>exact_2020_supplement</x:v>
      </x:c>
      <x:c r="C259" s="33" t="str">
        <x:v>2020 supplement MeanTL</x:v>
      </x:c>
      <x:c r="D259" s="25" t="str">
        <x:v>high</x:v>
      </x:c>
      <x:c r="E259" s="35" t="n">
        <x:v>3</x:v>
      </x:c>
      <x:c r="F259" s="32" t="n">
        <x:v>320.03637840920004</x:v>
      </x:c>
      <x:c r="G259" s="32" t="n">
        <x:v>534.1534584534</x:v>
      </x:c>
      <x:c r="H259" s="25" t="n">
        <x:v>6</x:v>
      </x:c>
      <x:c r="I259" s="34" t="n">
        <x:v>0.5</x:v>
      </x:c>
      <x:c r="J259" s="34" t="n">
        <x:v>0.5991468806283509</x:v>
      </x:c>
    </x:row>
    <x:row r="260" ht="18" customHeight="1">
      <x:c r="A260" s="25" t="str">
        <x:v>EEZ_579</x:v>
      </x:c>
      <x:c r="B260" s="25" t="str">
        <x:v>exact_sea_around_us</x:v>
      </x:c>
      <x:c r="C260" s="33" t="str">
        <x:v>Sea Around Us exploited organisms</x:v>
      </x:c>
      <x:c r="D260" s="25" t="str">
        <x:v>high</x:v>
      </x:c>
      <x:c r="E260" s="35" t="n">
        <x:v>3</x:v>
      </x:c>
      <x:c r="F260" s="32" t="n">
        <x:v>214.1170800442</x:v>
      </x:c>
      <x:c r="G260" s="32" t="n">
        <x:v>534.1534584534</x:v>
      </x:c>
      <x:c r="H260" s="25" t="n">
        <x:v>6</x:v>
      </x:c>
      <x:c r="I260" s="34" t="n">
        <x:v>0.5</x:v>
      </x:c>
      <x:c r="J260" s="34" t="n">
        <x:v>0.40085311937164914</x:v>
      </x:c>
    </x:row>
    <x:row r="261" ht="18" customHeight="1">
      <x:c r="A261" s="25" t="str">
        <x:v>EEZ_580</x:v>
      </x:c>
      <x:c r="B261" s="25" t="str">
        <x:v>exact_2020_supplement</x:v>
      </x:c>
      <x:c r="C261" s="33" t="str">
        <x:v>2020 supplement MeanTL</x:v>
      </x:c>
      <x:c r="D261" s="25" t="str">
        <x:v>high</x:v>
      </x:c>
      <x:c r="E261" s="35" t="n">
        <x:v>33</x:v>
      </x:c>
      <x:c r="F261" s="32" t="n">
        <x:v>373.53532589239995</x:v>
      </x:c>
      <x:c r="G261" s="32" t="n">
        <x:v>498.53144010989996</x:v>
      </x:c>
      <x:c r="H261" s="25" t="n">
        <x:v>62</x:v>
      </x:c>
      <x:c r="I261" s="34" t="n">
        <x:v>0.532258064516129</x:v>
      </x:c>
      <x:c r="J261" s="34" t="n">
        <x:v>0.7492713514920043</x:v>
      </x:c>
    </x:row>
    <x:row r="262" ht="18" customHeight="1">
      <x:c r="A262" s="25" t="str">
        <x:v>EEZ_580</x:v>
      </x:c>
      <x:c r="B262" s="25" t="str">
        <x:v>exact_sea_around_us</x:v>
      </x:c>
      <x:c r="C262" s="33" t="str">
        <x:v>Sea Around Us exploited organisms</x:v>
      </x:c>
      <x:c r="D262" s="25" t="str">
        <x:v>high</x:v>
      </x:c>
      <x:c r="E262" s="35" t="n">
        <x:v>29</x:v>
      </x:c>
      <x:c r="F262" s="32" t="n">
        <x:v>124.99611421750001</x:v>
      </x:c>
      <x:c r="G262" s="32" t="n">
        <x:v>498.53144010989996</x:v>
      </x:c>
      <x:c r="H262" s="25" t="n">
        <x:v>62</x:v>
      </x:c>
      <x:c r="I262" s="34" t="n">
        <x:v>0.46774193548387094</x:v>
      </x:c>
      <x:c r="J262" s="34" t="n">
        <x:v>0.2507286485079957</x:v>
      </x:c>
    </x:row>
    <x:row r="263" ht="18" customHeight="1">
      <x:c r="A263" s="25" t="str">
        <x:v>EEZ_583</x:v>
      </x:c>
      <x:c r="B263" s="25" t="str">
        <x:v>exact_2020_supplement</x:v>
      </x:c>
      <x:c r="C263" s="33" t="str">
        <x:v>2020 supplement MeanTL</x:v>
      </x:c>
      <x:c r="D263" s="25" t="str">
        <x:v>high</x:v>
      </x:c>
      <x:c r="E263" s="35" t="n">
        <x:v>118</x:v>
      </x:c>
      <x:c r="F263" s="32" t="n">
        <x:v>213999.5018187144</x:v>
      </x:c>
      <x:c r="G263" s="32" t="n">
        <x:v>227502.489463831</x:v>
      </x:c>
      <x:c r="H263" s="25" t="n">
        <x:v>164</x:v>
      </x:c>
      <x:c r="I263" s="34" t="n">
        <x:v>0.7195121951219512</x:v>
      </x:c>
      <x:c r="J263" s="34" t="n">
        <x:v>0.9406468576368552</x:v>
      </x:c>
    </x:row>
    <x:row r="264" ht="18" customHeight="1">
      <x:c r="A264" s="25" t="str">
        <x:v>EEZ_583</x:v>
      </x:c>
      <x:c r="B264" s="25" t="str">
        <x:v>exact_sea_around_us</x:v>
      </x:c>
      <x:c r="C264" s="33" t="str">
        <x:v>Sea Around Us exploited organisms</x:v>
      </x:c>
      <x:c r="D264" s="25" t="str">
        <x:v>high</x:v>
      </x:c>
      <x:c r="E264" s="35" t="n">
        <x:v>46</x:v>
      </x:c>
      <x:c r="F264" s="32" t="n">
        <x:v>13502.9876451166</x:v>
      </x:c>
      <x:c r="G264" s="32" t="n">
        <x:v>227502.489463831</x:v>
      </x:c>
      <x:c r="H264" s="25" t="n">
        <x:v>164</x:v>
      </x:c>
      <x:c r="I264" s="34" t="n">
        <x:v>0.2804878048780488</x:v>
      </x:c>
      <x:c r="J264" s="34" t="n">
        <x:v>0.05935314236314475</x:v>
      </x:c>
    </x:row>
    <x:row r="265" ht="18" customHeight="1">
      <x:c r="A265" s="25" t="str">
        <x:v>EEZ_584</x:v>
      </x:c>
      <x:c r="B265" s="25" t="str">
        <x:v>exact_2020_supplement</x:v>
      </x:c>
      <x:c r="C265" s="33" t="str">
        <x:v>2020 supplement MeanTL</x:v>
      </x:c>
      <x:c r="D265" s="25" t="str">
        <x:v>high</x:v>
      </x:c>
      <x:c r="E265" s="35" t="n">
        <x:v>27</x:v>
      </x:c>
      <x:c r="F265" s="32" t="n">
        <x:v>48627.8342144666</x:v>
      </x:c>
      <x:c r="G265" s="32" t="n">
        <x:v>56340.9448327468</x:v>
      </x:c>
      <x:c r="H265" s="25" t="n">
        <x:v>69</x:v>
      </x:c>
      <x:c r="I265" s="34" t="n">
        <x:v>0.391304347826087</x:v>
      </x:c>
      <x:c r="J265" s="34" t="n">
        <x:v>0.86309937397789</x:v>
      </x:c>
    </x:row>
    <x:row r="266" ht="18" customHeight="1">
      <x:c r="A266" s="25" t="str">
        <x:v>EEZ_584</x:v>
      </x:c>
      <x:c r="B266" s="25" t="str">
        <x:v>exact_sea_around_us</x:v>
      </x:c>
      <x:c r="C266" s="33" t="str">
        <x:v>Sea Around Us exploited organisms</x:v>
      </x:c>
      <x:c r="D266" s="25" t="str">
        <x:v>high</x:v>
      </x:c>
      <x:c r="E266" s="35" t="n">
        <x:v>42</x:v>
      </x:c>
      <x:c r="F266" s="32" t="n">
        <x:v>7713.1106182802005</x:v>
      </x:c>
      <x:c r="G266" s="32" t="n">
        <x:v>56340.9448327468</x:v>
      </x:c>
      <x:c r="H266" s="25" t="n">
        <x:v>69</x:v>
      </x:c>
      <x:c r="I266" s="34" t="n">
        <x:v>0.6086956521739131</x:v>
      </x:c>
      <x:c r="J266" s="34" t="n">
        <x:v>0.13690062602211</x:v>
      </x:c>
    </x:row>
    <x:row r="267" ht="18" customHeight="1">
      <x:c r="A267" s="25" t="str">
        <x:v>EEZ_585</x:v>
      </x:c>
      <x:c r="B267" s="25" t="str">
        <x:v>exact_2020_supplement</x:v>
      </x:c>
      <x:c r="C267" s="33" t="str">
        <x:v>2020 supplement MeanTL</x:v>
      </x:c>
      <x:c r="D267" s="25" t="str">
        <x:v>high</x:v>
      </x:c>
      <x:c r="E267" s="35" t="n">
        <x:v>30</x:v>
      </x:c>
      <x:c r="F267" s="32" t="n">
        <x:v>8399.5477607724</x:v>
      </x:c>
      <x:c r="G267" s="32" t="n">
        <x:v>10527.1220736951</x:v>
      </x:c>
      <x:c r="H267" s="25" t="n">
        <x:v>56</x:v>
      </x:c>
      <x:c r="I267" s="34" t="n">
        <x:v>0.5357142857142857</x:v>
      </x:c>
      <x:c r="J267" s="34" t="n">
        <x:v>0.7978959208387042</x:v>
      </x:c>
    </x:row>
    <x:row r="268" ht="18" customHeight="1">
      <x:c r="A268" s="25" t="str">
        <x:v>EEZ_585</x:v>
      </x:c>
      <x:c r="B268" s="25" t="str">
        <x:v>exact_sea_around_us</x:v>
      </x:c>
      <x:c r="C268" s="33" t="str">
        <x:v>Sea Around Us exploited organisms</x:v>
      </x:c>
      <x:c r="D268" s="25" t="str">
        <x:v>high</x:v>
      </x:c>
      <x:c r="E268" s="35" t="n">
        <x:v>26</x:v>
      </x:c>
      <x:c r="F268" s="32" t="n">
        <x:v>2127.5743129227</x:v>
      </x:c>
      <x:c r="G268" s="32" t="n">
        <x:v>10527.1220736951</x:v>
      </x:c>
      <x:c r="H268" s="25" t="n">
        <x:v>56</x:v>
      </x:c>
      <x:c r="I268" s="34" t="n">
        <x:v>0.4642857142857143</x:v>
      </x:c>
      <x:c r="J268" s="34" t="n">
        <x:v>0.20210407916129589</x:v>
      </x:c>
    </x:row>
    <x:row r="269" ht="18" customHeight="1">
      <x:c r="A269" s="25" t="str">
        <x:v>EEZ_586</x:v>
      </x:c>
      <x:c r="B269" s="25" t="str">
        <x:v>exact_2020_supplement</x:v>
      </x:c>
      <x:c r="C269" s="33" t="str">
        <x:v>2020 supplement MeanTL</x:v>
      </x:c>
      <x:c r="D269" s="25" t="str">
        <x:v>high</x:v>
      </x:c>
      <x:c r="E269" s="35" t="n">
        <x:v>69</x:v>
      </x:c>
      <x:c r="F269" s="32" t="n">
        <x:v>560516.5435989521</x:v>
      </x:c>
      <x:c r="G269" s="32" t="n">
        <x:v>930340.2931580818</x:v>
      </x:c>
      <x:c r="H269" s="25" t="n">
        <x:v>126</x:v>
      </x:c>
      <x:c r="I269" s="34" t="n">
        <x:v>0.5476190476190477</x:v>
      </x:c>
      <x:c r="J269" s="34" t="n">
        <x:v>0.6024855074225084</x:v>
      </x:c>
    </x:row>
    <x:row r="270" ht="18" customHeight="1">
      <x:c r="A270" s="25" t="str">
        <x:v>EEZ_586</x:v>
      </x:c>
      <x:c r="B270" s="25" t="str">
        <x:v>exact_sea_around_us</x:v>
      </x:c>
      <x:c r="C270" s="33" t="str">
        <x:v>Sea Around Us exploited organisms</x:v>
      </x:c>
      <x:c r="D270" s="25" t="str">
        <x:v>high</x:v>
      </x:c>
      <x:c r="E270" s="35" t="n">
        <x:v>57</x:v>
      </x:c>
      <x:c r="F270" s="32" t="n">
        <x:v>369823.74955912976</x:v>
      </x:c>
      <x:c r="G270" s="32" t="n">
        <x:v>930340.2931580818</x:v>
      </x:c>
      <x:c r="H270" s="25" t="n">
        <x:v>126</x:v>
      </x:c>
      <x:c r="I270" s="34" t="n">
        <x:v>0.4523809523809524</x:v>
      </x:c>
      <x:c r="J270" s="34" t="n">
        <x:v>0.3975144925774917</x:v>
      </x:c>
    </x:row>
    <x:row r="271" ht="18" customHeight="1">
      <x:c r="A271" s="25" t="str">
        <x:v>EEZ_598</x:v>
      </x:c>
      <x:c r="B271" s="25" t="str">
        <x:v>exact_2020_supplement</x:v>
      </x:c>
      <x:c r="C271" s="33" t="str">
        <x:v>2020 supplement MeanTL</x:v>
      </x:c>
      <x:c r="D271" s="25" t="str">
        <x:v>high</x:v>
      </x:c>
      <x:c r="E271" s="35" t="n">
        <x:v>18</x:v>
      </x:c>
      <x:c r="F271" s="32" t="n">
        <x:v>478528.9415748373</x:v>
      </x:c>
      <x:c r="G271" s="32" t="n">
        <x:v>536763.5433324721</x:v>
      </x:c>
      <x:c r="H271" s="25" t="n">
        <x:v>55</x:v>
      </x:c>
      <x:c r="I271" s="34" t="n">
        <x:v>0.32727272727272727</x:v>
      </x:c>
      <x:c r="J271" s="34" t="n">
        <x:v>0.8915079042140457</x:v>
      </x:c>
    </x:row>
    <x:row r="272" ht="18" customHeight="1">
      <x:c r="A272" s="25" t="str">
        <x:v>EEZ_598</x:v>
      </x:c>
      <x:c r="B272" s="25" t="str">
        <x:v>exact_sea_around_us</x:v>
      </x:c>
      <x:c r="C272" s="33" t="str">
        <x:v>Sea Around Us exploited organisms</x:v>
      </x:c>
      <x:c r="D272" s="25" t="str">
        <x:v>high</x:v>
      </x:c>
      <x:c r="E272" s="35" t="n">
        <x:v>37</x:v>
      </x:c>
      <x:c r="F272" s="32" t="n">
        <x:v>58234.6017576348</x:v>
      </x:c>
      <x:c r="G272" s="32" t="n">
        <x:v>536763.5433324721</x:v>
      </x:c>
      <x:c r="H272" s="25" t="n">
        <x:v>55</x:v>
      </x:c>
      <x:c r="I272" s="34" t="n">
        <x:v>0.6727272727272727</x:v>
      </x:c>
      <x:c r="J272" s="34" t="n">
        <x:v>0.10849209578595431</x:v>
      </x:c>
    </x:row>
    <x:row r="273" ht="18" customHeight="1">
      <x:c r="A273" s="25" t="str">
        <x:v>EEZ_604</x:v>
      </x:c>
      <x:c r="B273" s="25" t="str">
        <x:v>exact_2020_supplement</x:v>
      </x:c>
      <x:c r="C273" s="33" t="str">
        <x:v>2020 supplement MeanTL</x:v>
      </x:c>
      <x:c r="D273" s="25" t="str">
        <x:v>high</x:v>
      </x:c>
      <x:c r="E273" s="35" t="n">
        <x:v>55</x:v>
      </x:c>
      <x:c r="F273" s="32" t="n">
        <x:v>5552762.129043461</x:v>
      </x:c>
      <x:c r="G273" s="32" t="n">
        <x:v>6008753.148833272</x:v>
      </x:c>
      <x:c r="H273" s="25" t="n">
        <x:v>113</x:v>
      </x:c>
      <x:c r="I273" s="34" t="n">
        <x:v>0.48672566371681414</x:v>
      </x:c>
      <x:c r="J273" s="34" t="n">
        <x:v>0.924112206227285</x:v>
      </x:c>
    </x:row>
    <x:row r="274" ht="18" customHeight="1">
      <x:c r="A274" s="25" t="str">
        <x:v>EEZ_604</x:v>
      </x:c>
      <x:c r="B274" s="25" t="str">
        <x:v>exact_sea_around_us</x:v>
      </x:c>
      <x:c r="C274" s="33" t="str">
        <x:v>Sea Around Us exploited organisms</x:v>
      </x:c>
      <x:c r="D274" s="25" t="str">
        <x:v>high</x:v>
      </x:c>
      <x:c r="E274" s="35" t="n">
        <x:v>58</x:v>
      </x:c>
      <x:c r="F274" s="32" t="n">
        <x:v>455991.0197898115</x:v>
      </x:c>
      <x:c r="G274" s="32" t="n">
        <x:v>6008753.148833272</x:v>
      </x:c>
      <x:c r="H274" s="25" t="n">
        <x:v>113</x:v>
      </x:c>
      <x:c r="I274" s="34" t="n">
        <x:v>0.5132743362831859</x:v>
      </x:c>
      <x:c r="J274" s="34" t="n">
        <x:v>0.07588779377271505</x:v>
      </x:c>
    </x:row>
    <x:row r="275" ht="18" customHeight="1">
      <x:c r="A275" s="25" t="str">
        <x:v>EEZ_608</x:v>
      </x:c>
      <x:c r="B275" s="25" t="str">
        <x:v>exact_sea_around_us</x:v>
      </x:c>
      <x:c r="C275" s="33" t="str">
        <x:v>Sea Around Us exploited organisms</x:v>
      </x:c>
      <x:c r="D275" s="25" t="str">
        <x:v>high</x:v>
      </x:c>
      <x:c r="E275" s="35" t="n">
        <x:v>96</x:v>
      </x:c>
      <x:c r="F275" s="32" t="n">
        <x:v>1319421.2947001543</x:v>
      </x:c>
      <x:c r="G275" s="32" t="n">
        <x:v>2152202.0418273807</x:v>
      </x:c>
      <x:c r="H275" s="25" t="n">
        <x:v>172</x:v>
      </x:c>
      <x:c r="I275" s="34" t="n">
        <x:v>0.5581395348837209</x:v>
      </x:c>
      <x:c r="J275" s="34" t="n">
        <x:v>0.6130564273509688</x:v>
      </x:c>
    </x:row>
    <x:row r="276" ht="18" customHeight="1">
      <x:c r="A276" s="25" t="str">
        <x:v>EEZ_608</x:v>
      </x:c>
      <x:c r="B276" s="25" t="str">
        <x:v>exact_2020_supplement</x:v>
      </x:c>
      <x:c r="C276" s="33" t="str">
        <x:v>2020 supplement MeanTL</x:v>
      </x:c>
      <x:c r="D276" s="25" t="str">
        <x:v>high</x:v>
      </x:c>
      <x:c r="E276" s="35" t="n">
        <x:v>76</x:v>
      </x:c>
      <x:c r="F276" s="32" t="n">
        <x:v>832780.7471272262</x:v>
      </x:c>
      <x:c r="G276" s="32" t="n">
        <x:v>2152202.0418273807</x:v>
      </x:c>
      <x:c r="H276" s="25" t="n">
        <x:v>172</x:v>
      </x:c>
      <x:c r="I276" s="34" t="n">
        <x:v>0.4418604651162791</x:v>
      </x:c>
      <x:c r="J276" s="34" t="n">
        <x:v>0.3869435726490311</x:v>
      </x:c>
    </x:row>
    <x:row r="277" ht="18" customHeight="1">
      <x:c r="A277" s="25" t="str">
        <x:v>EEZ_612</x:v>
      </x:c>
      <x:c r="B277" s="25" t="str">
        <x:v>exact_sea_around_us</x:v>
      </x:c>
      <x:c r="C277" s="33" t="str">
        <x:v>Sea Around Us exploited organisms</x:v>
      </x:c>
      <x:c r="D277" s="25" t="str">
        <x:v>high</x:v>
      </x:c>
      <x:c r="E277" s="35" t="n">
        <x:v>2</x:v>
      </x:c>
      <x:c r="F277" s="32" t="n">
        <x:v>2.8000000000000003</x:v>
      </x:c>
      <x:c r="G277" s="32" t="n">
        <x:v>3</x:v>
      </x:c>
      <x:c r="H277" s="25" t="n">
        <x:v>3</x:v>
      </x:c>
      <x:c r="I277" s="34" t="n">
        <x:v>0.6666666666666666</x:v>
      </x:c>
      <x:c r="J277" s="34" t="n">
        <x:v>0.9333333333333335</x:v>
      </x:c>
    </x:row>
    <x:row r="278" ht="18" customHeight="1">
      <x:c r="A278" s="25" t="str">
        <x:v>EEZ_612</x:v>
      </x:c>
      <x:c r="B278" s="25" t="str">
        <x:v>exact_2020_supplement</x:v>
      </x:c>
      <x:c r="C278" s="33" t="str">
        <x:v>2020 supplement MeanTL</x:v>
      </x:c>
      <x:c r="D278" s="25" t="str">
        <x:v>high</x:v>
      </x:c>
      <x:c r="E278" s="35" t="n">
        <x:v>1</x:v>
      </x:c>
      <x:c r="F278" s="32" t="n">
        <x:v>0.2</x:v>
      </x:c>
      <x:c r="G278" s="32" t="n">
        <x:v>3</x:v>
      </x:c>
      <x:c r="H278" s="25" t="n">
        <x:v>3</x:v>
      </x:c>
      <x:c r="I278" s="34" t="n">
        <x:v>0.3333333333333333</x:v>
      </x:c>
      <x:c r="J278" s="34" t="n">
        <x:v>0.06666666666666667</x:v>
      </x:c>
    </x:row>
    <x:row r="279" ht="18" customHeight="1">
      <x:c r="A279" s="25" t="str">
        <x:v>EEZ_616</x:v>
      </x:c>
      <x:c r="B279" s="25" t="str">
        <x:v>exact_2020_supplement</x:v>
      </x:c>
      <x:c r="C279" s="33" t="str">
        <x:v>2020 supplement MeanTL</x:v>
      </x:c>
      <x:c r="D279" s="25" t="str">
        <x:v>high</x:v>
      </x:c>
      <x:c r="E279" s="35" t="n">
        <x:v>41</x:v>
      </x:c>
      <x:c r="F279" s="32" t="n">
        <x:v>148537.6229833481</x:v>
      </x:c>
      <x:c r="G279" s="32" t="n">
        <x:v>155232.7053557617</x:v>
      </x:c>
      <x:c r="H279" s="25" t="n">
        <x:v>56</x:v>
      </x:c>
      <x:c r="I279" s="34" t="n">
        <x:v>0.7321428571428571</x:v>
      </x:c>
      <x:c r="J279" s="34" t="n">
        <x:v>0.9568706713120161</x:v>
      </x:c>
    </x:row>
    <x:row r="280" ht="18" customHeight="1">
      <x:c r="A280" s="25" t="str">
        <x:v>EEZ_616</x:v>
      </x:c>
      <x:c r="B280" s="25" t="str">
        <x:v>exact_sea_around_us</x:v>
      </x:c>
      <x:c r="C280" s="33" t="str">
        <x:v>Sea Around Us exploited organisms</x:v>
      </x:c>
      <x:c r="D280" s="25" t="str">
        <x:v>high</x:v>
      </x:c>
      <x:c r="E280" s="35" t="n">
        <x:v>15</x:v>
      </x:c>
      <x:c r="F280" s="32" t="n">
        <x:v>6695.082372413599</x:v>
      </x:c>
      <x:c r="G280" s="32" t="n">
        <x:v>155232.7053557617</x:v>
      </x:c>
      <x:c r="H280" s="25" t="n">
        <x:v>56</x:v>
      </x:c>
      <x:c r="I280" s="34" t="n">
        <x:v>0.26785714285714285</x:v>
      </x:c>
      <x:c r="J280" s="34" t="n">
        <x:v>0.043129328687983866</x:v>
      </x:c>
    </x:row>
    <x:row r="281" ht="18" customHeight="1">
      <x:c r="A281" s="25" t="str">
        <x:v>EEZ_620</x:v>
      </x:c>
      <x:c r="B281" s="25" t="str">
        <x:v>exact_2020_supplement</x:v>
      </x:c>
      <x:c r="C281" s="33" t="str">
        <x:v>2020 supplement MeanTL</x:v>
      </x:c>
      <x:c r="D281" s="25" t="str">
        <x:v>high</x:v>
      </x:c>
      <x:c r="E281" s="35" t="n">
        <x:v>149</x:v>
      </x:c>
      <x:c r="F281" s="32" t="n">
        <x:v>111582.306509733</x:v>
      </x:c>
      <x:c r="G281" s="32" t="n">
        <x:v>208342.5884617398</x:v>
      </x:c>
      <x:c r="H281" s="25" t="n">
        <x:v>254</x:v>
      </x:c>
      <x:c r="I281" s="34" t="n">
        <x:v>0.5866141732283464</x:v>
      </x:c>
      <x:c r="J281" s="34" t="n">
        <x:v>0.5355712786981336</x:v>
      </x:c>
    </x:row>
    <x:row r="282" ht="18" customHeight="1">
      <x:c r="A282" s="25" t="str">
        <x:v>EEZ_620</x:v>
      </x:c>
      <x:c r="B282" s="25" t="str">
        <x:v>exact_sea_around_us</x:v>
      </x:c>
      <x:c r="C282" s="33" t="str">
        <x:v>Sea Around Us exploited organisms</x:v>
      </x:c>
      <x:c r="D282" s="25" t="str">
        <x:v>high</x:v>
      </x:c>
      <x:c r="E282" s="35" t="n">
        <x:v>105</x:v>
      </x:c>
      <x:c r="F282" s="32" t="n">
        <x:v>96760.2819520068</x:v>
      </x:c>
      <x:c r="G282" s="32" t="n">
        <x:v>208342.5884617398</x:v>
      </x:c>
      <x:c r="H282" s="25" t="n">
        <x:v>254</x:v>
      </x:c>
      <x:c r="I282" s="34" t="n">
        <x:v>0.41338582677165353</x:v>
      </x:c>
      <x:c r="J282" s="34" t="n">
        <x:v>0.4644287213018664</x:v>
      </x:c>
    </x:row>
    <x:row r="283" ht="18" customHeight="1">
      <x:c r="A283" s="25" t="str">
        <x:v>EEZ_621</x:v>
      </x:c>
      <x:c r="B283" s="25" t="str">
        <x:v>exact_2020_supplement</x:v>
      </x:c>
      <x:c r="C283" s="33" t="str">
        <x:v>2020 supplement MeanTL</x:v>
      </x:c>
      <x:c r="D283" s="25" t="str">
        <x:v>high</x:v>
      </x:c>
      <x:c r="E283" s="35" t="n">
        <x:v>48</x:v>
      </x:c>
      <x:c r="F283" s="32" t="n">
        <x:v>13842.4568852311</x:v>
      </x:c>
      <x:c r="G283" s="32" t="n">
        <x:v>14928.1451809058</x:v>
      </x:c>
      <x:c r="H283" s="25" t="n">
        <x:v>98</x:v>
      </x:c>
      <x:c r="I283" s="34" t="n">
        <x:v>0.4897959183673469</x:v>
      </x:c>
      <x:c r="J283" s="34" t="n">
        <x:v>0.9272723916790832</x:v>
      </x:c>
    </x:row>
    <x:row r="284" ht="18" customHeight="1">
      <x:c r="A284" s="25" t="str">
        <x:v>EEZ_621</x:v>
      </x:c>
      <x:c r="B284" s="25" t="str">
        <x:v>exact_sea_around_us</x:v>
      </x:c>
      <x:c r="C284" s="33" t="str">
        <x:v>Sea Around Us exploited organisms</x:v>
      </x:c>
      <x:c r="D284" s="25" t="str">
        <x:v>high</x:v>
      </x:c>
      <x:c r="E284" s="35" t="n">
        <x:v>50</x:v>
      </x:c>
      <x:c r="F284" s="32" t="n">
        <x:v>1085.6882956747</x:v>
      </x:c>
      <x:c r="G284" s="32" t="n">
        <x:v>14928.1451809058</x:v>
      </x:c>
      <x:c r="H284" s="25" t="n">
        <x:v>98</x:v>
      </x:c>
      <x:c r="I284" s="34" t="n">
        <x:v>0.5102040816326531</x:v>
      </x:c>
      <x:c r="J284" s="34" t="n">
        <x:v>0.07272760832091689</x:v>
      </x:c>
    </x:row>
    <x:row r="285" ht="18" customHeight="1">
      <x:c r="A285" s="25" t="str">
        <x:v>EEZ_622</x:v>
      </x:c>
      <x:c r="B285" s="25" t="str">
        <x:v>exact_2020_supplement</x:v>
      </x:c>
      <x:c r="C285" s="33" t="str">
        <x:v>2020 supplement MeanTL</x:v>
      </x:c>
      <x:c r="D285" s="25" t="str">
        <x:v>high</x:v>
      </x:c>
      <x:c r="E285" s="35" t="n">
        <x:v>83</x:v>
      </x:c>
      <x:c r="F285" s="32" t="n">
        <x:v>14155.7201133498</x:v>
      </x:c>
      <x:c r="G285" s="32" t="n">
        <x:v>21195.0352962868</x:v>
      </x:c>
      <x:c r="H285" s="25" t="n">
        <x:v>132</x:v>
      </x:c>
      <x:c r="I285" s="34" t="n">
        <x:v>0.6287878787878788</x:v>
      </x:c>
      <x:c r="J285" s="34" t="n">
        <x:v>0.6678790535361727</x:v>
      </x:c>
    </x:row>
    <x:row r="286" ht="18" customHeight="1">
      <x:c r="A286" s="25" t="str">
        <x:v>EEZ_622</x:v>
      </x:c>
      <x:c r="B286" s="25" t="str">
        <x:v>exact_sea_around_us</x:v>
      </x:c>
      <x:c r="C286" s="33" t="str">
        <x:v>Sea Around Us exploited organisms</x:v>
      </x:c>
      <x:c r="D286" s="25" t="str">
        <x:v>high</x:v>
      </x:c>
      <x:c r="E286" s="35" t="n">
        <x:v>49</x:v>
      </x:c>
      <x:c r="F286" s="32" t="n">
        <x:v>7039.315182937</x:v>
      </x:c>
      <x:c r="G286" s="32" t="n">
        <x:v>21195.0352962868</x:v>
      </x:c>
      <x:c r="H286" s="25" t="n">
        <x:v>132</x:v>
      </x:c>
      <x:c r="I286" s="34" t="n">
        <x:v>0.3712121212121212</x:v>
      </x:c>
      <x:c r="J286" s="34" t="n">
        <x:v>0.3321209464638274</x:v>
      </x:c>
    </x:row>
    <x:row r="287" ht="18" customHeight="1">
      <x:c r="A287" s="25" t="str">
        <x:v>EEZ_624</x:v>
      </x:c>
      <x:c r="B287" s="25" t="str">
        <x:v>exact_sea_around_us</x:v>
      </x:c>
      <x:c r="C287" s="33" t="str">
        <x:v>Sea Around Us exploited organisms</x:v>
      </x:c>
      <x:c r="D287" s="25" t="str">
        <x:v>high</x:v>
      </x:c>
      <x:c r="E287" s="35" t="n">
        <x:v>97</x:v>
      </x:c>
      <x:c r="F287" s="32" t="n">
        <x:v>786221.7167737947</x:v>
      </x:c>
      <x:c r="G287" s="32" t="n">
        <x:v>1133937.8605595871</x:v>
      </x:c>
      <x:c r="H287" s="25" t="n">
        <x:v>229</x:v>
      </x:c>
      <x:c r="I287" s="34" t="n">
        <x:v>0.42358078602620086</x:v>
      </x:c>
      <x:c r="J287" s="34" t="n">
        <x:v>0.6933552041253849</x:v>
      </x:c>
    </x:row>
    <x:row r="288" ht="18" customHeight="1">
      <x:c r="A288" s="25" t="str">
        <x:v>EEZ_624</x:v>
      </x:c>
      <x:c r="B288" s="25" t="str">
        <x:v>exact_2020_supplement</x:v>
      </x:c>
      <x:c r="C288" s="33" t="str">
        <x:v>2020 supplement MeanTL</x:v>
      </x:c>
      <x:c r="D288" s="25" t="str">
        <x:v>high</x:v>
      </x:c>
      <x:c r="E288" s="35" t="n">
        <x:v>132</x:v>
      </x:c>
      <x:c r="F288" s="32" t="n">
        <x:v>347716.14378579246</x:v>
      </x:c>
      <x:c r="G288" s="32" t="n">
        <x:v>1133937.8605595871</x:v>
      </x:c>
      <x:c r="H288" s="25" t="n">
        <x:v>229</x:v>
      </x:c>
      <x:c r="I288" s="34" t="n">
        <x:v>0.5764192139737991</x:v>
      </x:c>
      <x:c r="J288" s="34" t="n">
        <x:v>0.3066447958746152</x:v>
      </x:c>
    </x:row>
    <x:row r="289" ht="18" customHeight="1">
      <x:c r="A289" s="25" t="str">
        <x:v>EEZ_626</x:v>
      </x:c>
      <x:c r="B289" s="25" t="str">
        <x:v>exact_sea_around_us</x:v>
      </x:c>
      <x:c r="C289" s="33" t="str">
        <x:v>Sea Around Us exploited organisms</x:v>
      </x:c>
      <x:c r="D289" s="25" t="str">
        <x:v>high</x:v>
      </x:c>
      <x:c r="E289" s="35" t="n">
        <x:v>22</x:v>
      </x:c>
      <x:c r="F289" s="32" t="n">
        <x:v>4978.9389329061</x:v>
      </x:c>
      <x:c r="G289" s="32" t="n">
        <x:v>6740.4405352820995</x:v>
      </x:c>
      <x:c r="H289" s="25" t="n">
        <x:v>28</x:v>
      </x:c>
      <x:c r="I289" s="34" t="n">
        <x:v>0.7857142857142857</x:v>
      </x:c>
      <x:c r="J289" s="34" t="n">
        <x:v>0.7386666949800073</x:v>
      </x:c>
    </x:row>
    <x:row r="290" ht="18" customHeight="1">
      <x:c r="A290" s="25" t="str">
        <x:v>EEZ_626</x:v>
      </x:c>
      <x:c r="B290" s="25" t="str">
        <x:v>exact_2020_supplement</x:v>
      </x:c>
      <x:c r="C290" s="33" t="str">
        <x:v>2020 supplement MeanTL</x:v>
      </x:c>
      <x:c r="D290" s="25" t="str">
        <x:v>high</x:v>
      </x:c>
      <x:c r="E290" s="35" t="n">
        <x:v>6</x:v>
      </x:c>
      <x:c r="F290" s="32" t="n">
        <x:v>1761.501602376</x:v>
      </x:c>
      <x:c r="G290" s="32" t="n">
        <x:v>6740.4405352820995</x:v>
      </x:c>
      <x:c r="H290" s="25" t="n">
        <x:v>28</x:v>
      </x:c>
      <x:c r="I290" s="34" t="n">
        <x:v>0.21428571428571427</x:v>
      </x:c>
      <x:c r="J290" s="34" t="n">
        <x:v>0.26133330501999275</x:v>
      </x:c>
    </x:row>
    <x:row r="291" ht="18" customHeight="1">
      <x:c r="A291" s="25" t="str">
        <x:v>EEZ_630</x:v>
      </x:c>
      <x:c r="B291" s="25" t="str">
        <x:v>exact_sea_around_us</x:v>
      </x:c>
      <x:c r="C291" s="33" t="str">
        <x:v>Sea Around Us exploited organisms</x:v>
      </x:c>
      <x:c r="D291" s="25" t="str">
        <x:v>high</x:v>
      </x:c>
      <x:c r="E291" s="35" t="n">
        <x:v>17</x:v>
      </x:c>
      <x:c r="F291" s="32" t="n">
        <x:v>1513.9377572337</x:v>
      </x:c>
      <x:c r="G291" s="32" t="n">
        <x:v>1866.1053035135</x:v>
      </x:c>
      <x:c r="H291" s="25" t="n">
        <x:v>36</x:v>
      </x:c>
      <x:c r="I291" s="34" t="n">
        <x:v>0.4722222222222222</x:v>
      </x:c>
      <x:c r="J291" s="34" t="n">
        <x:v>0.8112820612980738</x:v>
      </x:c>
    </x:row>
    <x:row r="292" ht="18" customHeight="1">
      <x:c r="A292" s="25" t="str">
        <x:v>EEZ_630</x:v>
      </x:c>
      <x:c r="B292" s="25" t="str">
        <x:v>exact_2020_supplement</x:v>
      </x:c>
      <x:c r="C292" s="33" t="str">
        <x:v>2020 supplement MeanTL</x:v>
      </x:c>
      <x:c r="D292" s="25" t="str">
        <x:v>high</x:v>
      </x:c>
      <x:c r="E292" s="35" t="n">
        <x:v>19</x:v>
      </x:c>
      <x:c r="F292" s="32" t="n">
        <x:v>352.1675462798</x:v>
      </x:c>
      <x:c r="G292" s="32" t="n">
        <x:v>1866.1053035135</x:v>
      </x:c>
      <x:c r="H292" s="25" t="n">
        <x:v>36</x:v>
      </x:c>
      <x:c r="I292" s="34" t="n">
        <x:v>0.5277777777777778</x:v>
      </x:c>
      <x:c r="J292" s="34" t="n">
        <x:v>0.18871793870192613</x:v>
      </x:c>
    </x:row>
    <x:row r="293" ht="18" customHeight="1">
      <x:c r="A293" s="25" t="str">
        <x:v>EEZ_634</x:v>
      </x:c>
      <x:c r="B293" s="25" t="str">
        <x:v>exact_sea_around_us</x:v>
      </x:c>
      <x:c r="C293" s="33" t="str">
        <x:v>Sea Around Us exploited organisms</x:v>
      </x:c>
      <x:c r="D293" s="25" t="str">
        <x:v>high</x:v>
      </x:c>
      <x:c r="E293" s="35" t="n">
        <x:v>29</x:v>
      </x:c>
      <x:c r="F293" s="32" t="n">
        <x:v>12416.2778584911</x:v>
      </x:c>
      <x:c r="G293" s="32" t="n">
        <x:v>18300.1258983071</x:v>
      </x:c>
      <x:c r="H293" s="25" t="n">
        <x:v>47</x:v>
      </x:c>
      <x:c r="I293" s="34" t="n">
        <x:v>0.6170212765957447</x:v>
      </x:c>
      <x:c r="J293" s="34" t="n">
        <x:v>0.6784804611447892</x:v>
      </x:c>
    </x:row>
    <x:row r="294" ht="18" customHeight="1">
      <x:c r="A294" s="25" t="str">
        <x:v>EEZ_634</x:v>
      </x:c>
      <x:c r="B294" s="25" t="str">
        <x:v>exact_2020_supplement</x:v>
      </x:c>
      <x:c r="C294" s="33" t="str">
        <x:v>2020 supplement MeanTL</x:v>
      </x:c>
      <x:c r="D294" s="25" t="str">
        <x:v>high</x:v>
      </x:c>
      <x:c r="E294" s="35" t="n">
        <x:v>18</x:v>
      </x:c>
      <x:c r="F294" s="32" t="n">
        <x:v>5883.848039816</x:v>
      </x:c>
      <x:c r="G294" s="32" t="n">
        <x:v>18300.1258983071</x:v>
      </x:c>
      <x:c r="H294" s="25" t="n">
        <x:v>47</x:v>
      </x:c>
      <x:c r="I294" s="34" t="n">
        <x:v>0.3829787234042553</x:v>
      </x:c>
      <x:c r="J294" s="34" t="n">
        <x:v>0.3215195388552109</x:v>
      </x:c>
    </x:row>
    <x:row r="295" ht="18" customHeight="1">
      <x:c r="A295" s="25" t="str">
        <x:v>EEZ_638</x:v>
      </x:c>
      <x:c r="B295" s="25" t="str">
        <x:v>exact_2020_supplement</x:v>
      </x:c>
      <x:c r="C295" s="33" t="str">
        <x:v>2020 supplement MeanTL</x:v>
      </x:c>
      <x:c r="D295" s="25" t="str">
        <x:v>high</x:v>
      </x:c>
      <x:c r="E295" s="35" t="n">
        <x:v>13</x:v>
      </x:c>
      <x:c r="F295" s="32" t="n">
        <x:v>453.5094602146</x:v>
      </x:c>
      <x:c r="G295" s="32" t="n">
        <x:v>537.9865677244</x:v>
      </x:c>
      <x:c r="H295" s="25" t="n">
        <x:v>26</x:v>
      </x:c>
      <x:c r="I295" s="34" t="n">
        <x:v>0.5</x:v>
      </x:c>
      <x:c r="J295" s="34" t="n">
        <x:v>0.8429754336300159</x:v>
      </x:c>
    </x:row>
    <x:row r="296" ht="18" customHeight="1">
      <x:c r="A296" s="25" t="str">
        <x:v>EEZ_638</x:v>
      </x:c>
      <x:c r="B296" s="25" t="str">
        <x:v>exact_sea_around_us</x:v>
      </x:c>
      <x:c r="C296" s="33" t="str">
        <x:v>Sea Around Us exploited organisms</x:v>
      </x:c>
      <x:c r="D296" s="25" t="str">
        <x:v>high</x:v>
      </x:c>
      <x:c r="E296" s="35" t="n">
        <x:v>13</x:v>
      </x:c>
      <x:c r="F296" s="32" t="n">
        <x:v>84.47710750979999</x:v>
      </x:c>
      <x:c r="G296" s="32" t="n">
        <x:v>537.9865677244</x:v>
      </x:c>
      <x:c r="H296" s="25" t="n">
        <x:v>26</x:v>
      </x:c>
      <x:c r="I296" s="34" t="n">
        <x:v>0.5</x:v>
      </x:c>
      <x:c r="J296" s="34" t="n">
        <x:v>0.1570245663699841</x:v>
      </x:c>
    </x:row>
    <x:row r="297" ht="18" customHeight="1">
      <x:c r="A297" s="25" t="str">
        <x:v>EEZ_642</x:v>
      </x:c>
      <x:c r="B297" s="25" t="str">
        <x:v>exact_sea_around_us</x:v>
      </x:c>
      <x:c r="C297" s="33" t="str">
        <x:v>Sea Around Us exploited organisms</x:v>
      </x:c>
      <x:c r="D297" s="25" t="str">
        <x:v>high</x:v>
      </x:c>
      <x:c r="E297" s="35" t="n">
        <x:v>5</x:v>
      </x:c>
      <x:c r="F297" s="32" t="n">
        <x:v>7273.3781339672</x:v>
      </x:c>
      <x:c r="G297" s="32" t="n">
        <x:v>8116.510981319299</x:v>
      </x:c>
      <x:c r="H297" s="25" t="n">
        <x:v>16</x:v>
      </x:c>
      <x:c r="I297" s="34" t="n">
        <x:v>0.3125</x:v>
      </x:c>
      <x:c r="J297" s="34" t="n">
        <x:v>0.8961212706675779</x:v>
      </x:c>
    </x:row>
    <x:row r="298" ht="18" customHeight="1">
      <x:c r="A298" s="25" t="str">
        <x:v>EEZ_642</x:v>
      </x:c>
      <x:c r="B298" s="25" t="str">
        <x:v>exact_2020_supplement</x:v>
      </x:c>
      <x:c r="C298" s="33" t="str">
        <x:v>2020 supplement MeanTL</x:v>
      </x:c>
      <x:c r="D298" s="25" t="str">
        <x:v>high</x:v>
      </x:c>
      <x:c r="E298" s="35" t="n">
        <x:v>11</x:v>
      </x:c>
      <x:c r="F298" s="32" t="n">
        <x:v>843.1328473520999</x:v>
      </x:c>
      <x:c r="G298" s="32" t="n">
        <x:v>8116.510981319299</x:v>
      </x:c>
      <x:c r="H298" s="25" t="n">
        <x:v>16</x:v>
      </x:c>
      <x:c r="I298" s="34" t="n">
        <x:v>0.6875</x:v>
      </x:c>
      <x:c r="J298" s="34" t="n">
        <x:v>0.10387872933242219</x:v>
      </x:c>
    </x:row>
    <x:row r="299" ht="18" customHeight="1">
      <x:c r="A299" s="25" t="str">
        <x:v>EEZ_645</x:v>
      </x:c>
      <x:c r="B299" s="25" t="str">
        <x:v>exact_2020_supplement</x:v>
      </x:c>
      <x:c r="C299" s="33" t="str">
        <x:v>2020 supplement MeanTL</x:v>
      </x:c>
      <x:c r="D299" s="25" t="str">
        <x:v>high</x:v>
      </x:c>
      <x:c r="E299" s="35" t="n">
        <x:v>37</x:v>
      </x:c>
      <x:c r="F299" s="32" t="n">
        <x:v>224782.5728502042</x:v>
      </x:c>
      <x:c r="G299" s="32" t="n">
        <x:v>257638.50382026169</x:v>
      </x:c>
      <x:c r="H299" s="25" t="n">
        <x:v>86</x:v>
      </x:c>
      <x:c r="I299" s="34" t="n">
        <x:v>0.43023255813953487</x:v>
      </x:c>
      <x:c r="J299" s="34" t="n">
        <x:v>0.8724727457935441</x:v>
      </x:c>
    </x:row>
    <x:row r="300" ht="18" customHeight="1">
      <x:c r="A300" s="25" t="str">
        <x:v>EEZ_645</x:v>
      </x:c>
      <x:c r="B300" s="25" t="str">
        <x:v>exact_sea_around_us</x:v>
      </x:c>
      <x:c r="C300" s="33" t="str">
        <x:v>Sea Around Us exploited organisms</x:v>
      </x:c>
      <x:c r="D300" s="25" t="str">
        <x:v>high</x:v>
      </x:c>
      <x:c r="E300" s="35" t="n">
        <x:v>49</x:v>
      </x:c>
      <x:c r="F300" s="32" t="n">
        <x:v>32855.9309700575</x:v>
      </x:c>
      <x:c r="G300" s="32" t="n">
        <x:v>257638.50382026169</x:v>
      </x:c>
      <x:c r="H300" s="25" t="n">
        <x:v>86</x:v>
      </x:c>
      <x:c r="I300" s="34" t="n">
        <x:v>0.5697674418604651</x:v>
      </x:c>
      <x:c r="J300" s="34" t="n">
        <x:v>0.12752725420645603</x:v>
      </x:c>
    </x:row>
    <x:row r="301" ht="18" customHeight="1">
      <x:c r="A301" s="25" t="str">
        <x:v>EEZ_647</x:v>
      </x:c>
      <x:c r="B301" s="25" t="str">
        <x:v>exact_2020_supplement</x:v>
      </x:c>
      <x:c r="C301" s="33" t="str">
        <x:v>2020 supplement MeanTL</x:v>
      </x:c>
      <x:c r="D301" s="25" t="str">
        <x:v>high</x:v>
      </x:c>
      <x:c r="E301" s="35" t="n">
        <x:v>19</x:v>
      </x:c>
      <x:c r="F301" s="32" t="n">
        <x:v>111865.76923888181</x:v>
      </x:c>
      <x:c r="G301" s="32" t="n">
        <x:v>151771.45535132362</x:v>
      </x:c>
      <x:c r="H301" s="25" t="n">
        <x:v>40</x:v>
      </x:c>
      <x:c r="I301" s="34" t="n">
        <x:v>0.475</x:v>
      </x:c>
      <x:c r="J301" s="34" t="n">
        <x:v>0.7370672500960914</x:v>
      </x:c>
    </x:row>
    <x:row r="302" ht="18" customHeight="1">
      <x:c r="A302" s="25" t="str">
        <x:v>EEZ_647</x:v>
      </x:c>
      <x:c r="B302" s="25" t="str">
        <x:v>exact_sea_around_us</x:v>
      </x:c>
      <x:c r="C302" s="33" t="str">
        <x:v>Sea Around Us exploited organisms</x:v>
      </x:c>
      <x:c r="D302" s="25" t="str">
        <x:v>high</x:v>
      </x:c>
      <x:c r="E302" s="35" t="n">
        <x:v>21</x:v>
      </x:c>
      <x:c r="F302" s="32" t="n">
        <x:v>39905.6861124418</x:v>
      </x:c>
      <x:c r="G302" s="32" t="n">
        <x:v>151771.45535132362</x:v>
      </x:c>
      <x:c r="H302" s="25" t="n">
        <x:v>40</x:v>
      </x:c>
      <x:c r="I302" s="34" t="n">
        <x:v>0.525</x:v>
      </x:c>
      <x:c r="J302" s="34" t="n">
        <x:v>0.2629327499039086</x:v>
      </x:c>
    </x:row>
    <x:row r="303" ht="18" customHeight="1">
      <x:c r="A303" s="25" t="str">
        <x:v>EEZ_648</x:v>
      </x:c>
      <x:c r="B303" s="25" t="str">
        <x:v>exact_2020_supplement</x:v>
      </x:c>
      <x:c r="C303" s="33" t="str">
        <x:v>2020 supplement MeanTL</x:v>
      </x:c>
      <x:c r="D303" s="25" t="str">
        <x:v>high</x:v>
      </x:c>
      <x:c r="E303" s="35" t="n">
        <x:v>33</x:v>
      </x:c>
      <x:c r="F303" s="32" t="n">
        <x:v>107394.3512409661</x:v>
      </x:c>
      <x:c r="G303" s="32" t="n">
        <x:v>111294.2692790642</x:v>
      </x:c>
      <x:c r="H303" s="25" t="n">
        <x:v>47</x:v>
      </x:c>
      <x:c r="I303" s="34" t="n">
        <x:v>0.7021276595744681</x:v>
      </x:c>
      <x:c r="J303" s="34" t="n">
        <x:v>0.9649585008881341</x:v>
      </x:c>
    </x:row>
    <x:row r="304" ht="18" customHeight="1">
      <x:c r="A304" s="25" t="str">
        <x:v>EEZ_648</x:v>
      </x:c>
      <x:c r="B304" s="25" t="str">
        <x:v>exact_sea_around_us</x:v>
      </x:c>
      <x:c r="C304" s="33" t="str">
        <x:v>Sea Around Us exploited organisms</x:v>
      </x:c>
      <x:c r="D304" s="25" t="str">
        <x:v>high</x:v>
      </x:c>
      <x:c r="E304" s="35" t="n">
        <x:v>14</x:v>
      </x:c>
      <x:c r="F304" s="32" t="n">
        <x:v>3899.9180380980997</x:v>
      </x:c>
      <x:c r="G304" s="32" t="n">
        <x:v>111294.2692790642</x:v>
      </x:c>
      <x:c r="H304" s="25" t="n">
        <x:v>47</x:v>
      </x:c>
      <x:c r="I304" s="34" t="n">
        <x:v>0.2978723404255319</x:v>
      </x:c>
      <x:c r="J304" s="34" t="n">
        <x:v>0.035041499111865965</x:v>
      </x:c>
    </x:row>
    <x:row r="305" ht="18" customHeight="1">
      <x:c r="A305" s="25" t="str">
        <x:v>EEZ_649</x:v>
      </x:c>
      <x:c r="B305" s="25" t="str">
        <x:v>exact_sea_around_us</x:v>
      </x:c>
      <x:c r="C305" s="33" t="str">
        <x:v>Sea Around Us exploited organisms</x:v>
      </x:c>
      <x:c r="D305" s="25" t="str">
        <x:v>high</x:v>
      </x:c>
      <x:c r="E305" s="35" t="n">
        <x:v>49</x:v>
      </x:c>
      <x:c r="F305" s="32" t="n">
        <x:v>5687240.238511226</x:v>
      </x:c>
      <x:c r="G305" s="32" t="n">
        <x:v>7341976.862507815</x:v>
      </x:c>
      <x:c r="H305" s="25" t="n">
        <x:v>86</x:v>
      </x:c>
      <x:c r="I305" s="34" t="n">
        <x:v>0.5697674418604651</x:v>
      </x:c>
      <x:c r="J305" s="34" t="n">
        <x:v>0.7746197441118908</x:v>
      </x:c>
    </x:row>
    <x:row r="306" ht="18" customHeight="1">
      <x:c r="A306" s="25" t="str">
        <x:v>EEZ_649</x:v>
      </x:c>
      <x:c r="B306" s="25" t="str">
        <x:v>exact_2020_supplement</x:v>
      </x:c>
      <x:c r="C306" s="33" t="str">
        <x:v>2020 supplement MeanTL</x:v>
      </x:c>
      <x:c r="D306" s="25" t="str">
        <x:v>high</x:v>
      </x:c>
      <x:c r="E306" s="35" t="n">
        <x:v>37</x:v>
      </x:c>
      <x:c r="F306" s="32" t="n">
        <x:v>1654736.6239965886</x:v>
      </x:c>
      <x:c r="G306" s="32" t="n">
        <x:v>7341976.862507815</x:v>
      </x:c>
      <x:c r="H306" s="25" t="n">
        <x:v>86</x:v>
      </x:c>
      <x:c r="I306" s="34" t="n">
        <x:v>0.43023255813953487</x:v>
      </x:c>
      <x:c r="J306" s="34" t="n">
        <x:v>0.22538025588810923</x:v>
      </x:c>
    </x:row>
    <x:row r="307" ht="18" customHeight="1">
      <x:c r="A307" s="25" t="str">
        <x:v>EEZ_654</x:v>
      </x:c>
      <x:c r="B307" s="25" t="str">
        <x:v>exact_2020_supplement</x:v>
      </x:c>
      <x:c r="C307" s="33" t="str">
        <x:v>2020 supplement MeanTL</x:v>
      </x:c>
      <x:c r="D307" s="25" t="str">
        <x:v>high</x:v>
      </x:c>
      <x:c r="E307" s="35" t="n">
        <x:v>13</x:v>
      </x:c>
      <x:c r="F307" s="32" t="n">
        <x:v>365.5286012687</x:v>
      </x:c>
      <x:c r="G307" s="32" t="n">
        <x:v>515.4002517917</x:v>
      </x:c>
      <x:c r="H307" s="25" t="n">
        <x:v>20</x:v>
      </x:c>
      <x:c r="I307" s="34" t="n">
        <x:v>0.65</x:v>
      </x:c>
      <x:c r="J307" s="34" t="n">
        <x:v>0.7092130824500045</x:v>
      </x:c>
    </x:row>
    <x:row r="308" ht="18" customHeight="1">
      <x:c r="A308" s="25" t="str">
        <x:v>EEZ_654</x:v>
      </x:c>
      <x:c r="B308" s="25" t="str">
        <x:v>exact_sea_around_us</x:v>
      </x:c>
      <x:c r="C308" s="33" t="str">
        <x:v>Sea Around Us exploited organisms</x:v>
      </x:c>
      <x:c r="D308" s="25" t="str">
        <x:v>high</x:v>
      </x:c>
      <x:c r="E308" s="35" t="n">
        <x:v>7</x:v>
      </x:c>
      <x:c r="F308" s="32" t="n">
        <x:v>149.871650523</x:v>
      </x:c>
      <x:c r="G308" s="32" t="n">
        <x:v>515.4002517917</x:v>
      </x:c>
      <x:c r="H308" s="25" t="n">
        <x:v>20</x:v>
      </x:c>
      <x:c r="I308" s="34" t="n">
        <x:v>0.35</x:v>
      </x:c>
      <x:c r="J308" s="34" t="n">
        <x:v>0.29078691754999547</x:v>
      </x:c>
    </x:row>
    <x:row r="309" ht="18" customHeight="1">
      <x:c r="A309" s="25" t="str">
        <x:v>EEZ_659</x:v>
      </x:c>
      <x:c r="B309" s="25" t="str">
        <x:v>exact_sea_around_us</x:v>
      </x:c>
      <x:c r="C309" s="33" t="str">
        <x:v>Sea Around Us exploited organisms</x:v>
      </x:c>
      <x:c r="D309" s="25" t="str">
        <x:v>high</x:v>
      </x:c>
      <x:c r="E309" s="35" t="n">
        <x:v>13</x:v>
      </x:c>
      <x:c r="F309" s="32" t="n">
        <x:v>1427.260192848</x:v>
      </x:c>
      <x:c r="G309" s="32" t="n">
        <x:v>1724.273887369</x:v>
      </x:c>
      <x:c r="H309" s="25" t="n">
        <x:v>19</x:v>
      </x:c>
      <x:c r="I309" s="34" t="n">
        <x:v>0.6842105263157895</x:v>
      </x:c>
      <x:c r="J309" s="34" t="n">
        <x:v>0.8277456402392075</x:v>
      </x:c>
    </x:row>
    <x:row r="310" ht="18" customHeight="1">
      <x:c r="A310" s="25" t="str">
        <x:v>EEZ_659</x:v>
      </x:c>
      <x:c r="B310" s="25" t="str">
        <x:v>exact_2020_supplement</x:v>
      </x:c>
      <x:c r="C310" s="33" t="str">
        <x:v>2020 supplement MeanTL</x:v>
      </x:c>
      <x:c r="D310" s="25" t="str">
        <x:v>high</x:v>
      </x:c>
      <x:c r="E310" s="35" t="n">
        <x:v>6</x:v>
      </x:c>
      <x:c r="F310" s="32" t="n">
        <x:v>297.013694521</x:v>
      </x:c>
      <x:c r="G310" s="32" t="n">
        <x:v>1724.273887369</x:v>
      </x:c>
      <x:c r="H310" s="25" t="n">
        <x:v>19</x:v>
      </x:c>
      <x:c r="I310" s="34" t="n">
        <x:v>0.3157894736842105</x:v>
      </x:c>
      <x:c r="J310" s="34" t="n">
        <x:v>0.17225435976079254</x:v>
      </x:c>
    </x:row>
    <x:row r="311" ht="18" customHeight="1">
      <x:c r="A311" s="25" t="str">
        <x:v>EEZ_660</x:v>
      </x:c>
      <x:c r="B311" s="25" t="str">
        <x:v>exact_sea_around_us</x:v>
      </x:c>
      <x:c r="C311" s="33" t="str">
        <x:v>Sea Around Us exploited organisms</x:v>
      </x:c>
      <x:c r="D311" s="25" t="str">
        <x:v>high</x:v>
      </x:c>
      <x:c r="E311" s="35" t="n">
        <x:v>23</x:v>
      </x:c>
      <x:c r="F311" s="32" t="n">
        <x:v>1020.824165158</x:v>
      </x:c>
      <x:c r="G311" s="32" t="n">
        <x:v>1027.036715517</x:v>
      </x:c>
      <x:c r="H311" s="25" t="n">
        <x:v>24</x:v>
      </x:c>
      <x:c r="I311" s="34" t="n">
        <x:v>0.9583333333333334</x:v>
      </x:c>
      <x:c r="J311" s="34" t="n">
        <x:v>0.9939509948718118</x:v>
      </x:c>
    </x:row>
    <x:row r="312" ht="18" customHeight="1">
      <x:c r="A312" s="25" t="str">
        <x:v>EEZ_660</x:v>
      </x:c>
      <x:c r="B312" s="25" t="str">
        <x:v>exact_2020_supplement</x:v>
      </x:c>
      <x:c r="C312" s="33" t="str">
        <x:v>2020 supplement MeanTL</x:v>
      </x:c>
      <x:c r="D312" s="25" t="str">
        <x:v>high</x:v>
      </x:c>
      <x:c r="E312" s="35" t="n">
        <x:v>1</x:v>
      </x:c>
      <x:c r="F312" s="32" t="n">
        <x:v>6.212550359</x:v>
      </x:c>
      <x:c r="G312" s="32" t="n">
        <x:v>1027.036715517</x:v>
      </x:c>
      <x:c r="H312" s="25" t="n">
        <x:v>24</x:v>
      </x:c>
      <x:c r="I312" s="34" t="n">
        <x:v>0.041666666666666664</x:v>
      </x:c>
      <x:c r="J312" s="34" t="n">
        <x:v>0.006049005128188299</x:v>
      </x:c>
    </x:row>
    <x:row r="313" ht="18" customHeight="1">
      <x:c r="A313" s="25" t="str">
        <x:v>EEZ_662</x:v>
      </x:c>
      <x:c r="B313" s="25" t="str">
        <x:v>exact_sea_around_us</x:v>
      </x:c>
      <x:c r="C313" s="33" t="str">
        <x:v>Sea Around Us exploited organisms</x:v>
      </x:c>
      <x:c r="D313" s="25" t="str">
        <x:v>high</x:v>
      </x:c>
      <x:c r="E313" s="35" t="n">
        <x:v>42</x:v>
      </x:c>
      <x:c r="F313" s="32" t="n">
        <x:v>911.5198153499</x:v>
      </x:c>
      <x:c r="G313" s="32" t="n">
        <x:v>1454.7830351649</x:v>
      </x:c>
      <x:c r="H313" s="25" t="n">
        <x:v>72</x:v>
      </x:c>
      <x:c r="I313" s="34" t="n">
        <x:v>0.5833333333333334</x:v>
      </x:c>
      <x:c r="J313" s="34" t="n">
        <x:v>0.6265675315952383</x:v>
      </x:c>
    </x:row>
    <x:row r="314" ht="18" customHeight="1">
      <x:c r="A314" s="25" t="str">
        <x:v>EEZ_662</x:v>
      </x:c>
      <x:c r="B314" s="25" t="str">
        <x:v>exact_2020_supplement</x:v>
      </x:c>
      <x:c r="C314" s="33" t="str">
        <x:v>2020 supplement MeanTL</x:v>
      </x:c>
      <x:c r="D314" s="25" t="str">
        <x:v>high</x:v>
      </x:c>
      <x:c r="E314" s="35" t="n">
        <x:v>30</x:v>
      </x:c>
      <x:c r="F314" s="32" t="n">
        <x:v>543.263219815</x:v>
      </x:c>
      <x:c r="G314" s="32" t="n">
        <x:v>1454.7830351649</x:v>
      </x:c>
      <x:c r="H314" s="25" t="n">
        <x:v>72</x:v>
      </x:c>
      <x:c r="I314" s="34" t="n">
        <x:v>0.4166666666666667</x:v>
      </x:c>
      <x:c r="J314" s="34" t="n">
        <x:v>0.3734324684047618</x:v>
      </x:c>
    </x:row>
    <x:row r="315" ht="18" customHeight="1">
      <x:c r="A315" s="25" t="str">
        <x:v>EEZ_666</x:v>
      </x:c>
      <x:c r="B315" s="25" t="str">
        <x:v>exact_sea_around_us</x:v>
      </x:c>
      <x:c r="C315" s="33" t="str">
        <x:v>Sea Around Us exploited organisms</x:v>
      </x:c>
      <x:c r="D315" s="25" t="str">
        <x:v>high</x:v>
      </x:c>
      <x:c r="E315" s="35" t="n">
        <x:v>10</x:v>
      </x:c>
      <x:c r="F315" s="32" t="n">
        <x:v>1503.1096566796998</x:v>
      </x:c>
      <x:c r="G315" s="32" t="n">
        <x:v>1766.0866185219998</x:v>
      </x:c>
      <x:c r="H315" s="25" t="n">
        <x:v>21</x:v>
      </x:c>
      <x:c r="I315" s="34" t="n">
        <x:v>0.47619047619047616</x:v>
      </x:c>
      <x:c r="J315" s="34" t="n">
        <x:v>0.8510962264906464</x:v>
      </x:c>
    </x:row>
    <x:row r="316" ht="18" customHeight="1">
      <x:c r="A316" s="25" t="str">
        <x:v>EEZ_666</x:v>
      </x:c>
      <x:c r="B316" s="25" t="str">
        <x:v>exact_2020_supplement</x:v>
      </x:c>
      <x:c r="C316" s="33" t="str">
        <x:v>2020 supplement MeanTL</x:v>
      </x:c>
      <x:c r="D316" s="25" t="str">
        <x:v>high</x:v>
      </x:c>
      <x:c r="E316" s="35" t="n">
        <x:v>11</x:v>
      </x:c>
      <x:c r="F316" s="32" t="n">
        <x:v>262.9769618423</x:v>
      </x:c>
      <x:c r="G316" s="32" t="n">
        <x:v>1766.0866185219998</x:v>
      </x:c>
      <x:c r="H316" s="25" t="n">
        <x:v>21</x:v>
      </x:c>
      <x:c r="I316" s="34" t="n">
        <x:v>0.5238095238095238</x:v>
      </x:c>
      <x:c r="J316" s="34" t="n">
        <x:v>0.14890377350935358</x:v>
      </x:c>
    </x:row>
    <x:row r="317" ht="18" customHeight="1">
      <x:c r="A317" s="25" t="str">
        <x:v>EEZ_670</x:v>
      </x:c>
      <x:c r="B317" s="25" t="str">
        <x:v>exact_2020_supplement</x:v>
      </x:c>
      <x:c r="C317" s="33" t="str">
        <x:v>2020 supplement MeanTL</x:v>
      </x:c>
      <x:c r="D317" s="25" t="str">
        <x:v>high</x:v>
      </x:c>
      <x:c r="E317" s="35" t="n">
        <x:v>53</x:v>
      </x:c>
      <x:c r="F317" s="32" t="n">
        <x:v>947.8218849668</x:v>
      </x:c>
      <x:c r="G317" s="32" t="n">
        <x:v>1694.7906050879</x:v>
      </x:c>
      <x:c r="H317" s="25" t="n">
        <x:v>93</x:v>
      </x:c>
      <x:c r="I317" s="34" t="n">
        <x:v>0.5698924731182796</x:v>
      </x:c>
      <x:c r="J317" s="34" t="n">
        <x:v>0.5592560414964309</x:v>
      </x:c>
    </x:row>
    <x:row r="318" ht="18" customHeight="1">
      <x:c r="A318" s="25" t="str">
        <x:v>EEZ_670</x:v>
      </x:c>
      <x:c r="B318" s="25" t="str">
        <x:v>exact_sea_around_us</x:v>
      </x:c>
      <x:c r="C318" s="33" t="str">
        <x:v>Sea Around Us exploited organisms</x:v>
      </x:c>
      <x:c r="D318" s="25" t="str">
        <x:v>high</x:v>
      </x:c>
      <x:c r="E318" s="35" t="n">
        <x:v>40</x:v>
      </x:c>
      <x:c r="F318" s="32" t="n">
        <x:v>746.9687201211</x:v>
      </x:c>
      <x:c r="G318" s="32" t="n">
        <x:v>1694.7906050879</x:v>
      </x:c>
      <x:c r="H318" s="25" t="n">
        <x:v>93</x:v>
      </x:c>
      <x:c r="I318" s="34" t="n">
        <x:v>0.43010752688172044</x:v>
      </x:c>
      <x:c r="J318" s="34" t="n">
        <x:v>0.44074395850356896</x:v>
      </x:c>
    </x:row>
    <x:row r="319" ht="18" customHeight="1">
      <x:c r="A319" s="25" t="str">
        <x:v>EEZ_678</x:v>
      </x:c>
      <x:c r="B319" s="25" t="str">
        <x:v>exact_sea_around_us</x:v>
      </x:c>
      <x:c r="C319" s="33" t="str">
        <x:v>Sea Around Us exploited organisms</x:v>
      </x:c>
      <x:c r="D319" s="25" t="str">
        <x:v>high</x:v>
      </x:c>
      <x:c r="E319" s="35" t="n">
        <x:v>59</x:v>
      </x:c>
      <x:c r="F319" s="32" t="n">
        <x:v>6876.8564449562</x:v>
      </x:c>
      <x:c r="G319" s="32" t="n">
        <x:v>11530.3485008655</x:v>
      </x:c>
      <x:c r="H319" s="25" t="n">
        <x:v>115</x:v>
      </x:c>
      <x:c r="I319" s="34" t="n">
        <x:v>0.5130434782608696</x:v>
      </x:c>
      <x:c r="J319" s="34" t="n">
        <x:v>0.5964135814663367</x:v>
      </x:c>
    </x:row>
    <x:row r="320" ht="18" customHeight="1">
      <x:c r="A320" s="25" t="str">
        <x:v>EEZ_678</x:v>
      </x:c>
      <x:c r="B320" s="25" t="str">
        <x:v>exact_2020_supplement</x:v>
      </x:c>
      <x:c r="C320" s="33" t="str">
        <x:v>2020 supplement MeanTL</x:v>
      </x:c>
      <x:c r="D320" s="25" t="str">
        <x:v>high</x:v>
      </x:c>
      <x:c r="E320" s="35" t="n">
        <x:v>56</x:v>
      </x:c>
      <x:c r="F320" s="32" t="n">
        <x:v>4653.4920559093</x:v>
      </x:c>
      <x:c r="G320" s="32" t="n">
        <x:v>11530.3485008655</x:v>
      </x:c>
      <x:c r="H320" s="25" t="n">
        <x:v>115</x:v>
      </x:c>
      <x:c r="I320" s="34" t="n">
        <x:v>0.48695652173913045</x:v>
      </x:c>
      <x:c r="J320" s="34" t="n">
        <x:v>0.40358641853366317</x:v>
      </x:c>
    </x:row>
    <x:row r="321" ht="18" customHeight="1">
      <x:c r="A321" s="25" t="str">
        <x:v>EEZ_683</x:v>
      </x:c>
      <x:c r="B321" s="25" t="str">
        <x:v>exact_2020_supplement</x:v>
      </x:c>
      <x:c r="C321" s="33" t="str">
        <x:v>2020 supplement MeanTL</x:v>
      </x:c>
      <x:c r="D321" s="25" t="str">
        <x:v>high</x:v>
      </x:c>
      <x:c r="E321" s="35" t="n">
        <x:v>73</x:v>
      </x:c>
      <x:c r="F321" s="32" t="n">
        <x:v>22432.2561086258</x:v>
      </x:c>
      <x:c r="G321" s="32" t="n">
        <x:v>39296.8007918639</x:v>
      </x:c>
      <x:c r="H321" s="25" t="n">
        <x:v>122</x:v>
      </x:c>
      <x:c r="I321" s="34" t="n">
        <x:v>0.5983606557377049</x:v>
      </x:c>
      <x:c r="J321" s="34" t="n">
        <x:v>0.5708417900846072</x:v>
      </x:c>
    </x:row>
    <x:row r="322" ht="18" customHeight="1">
      <x:c r="A322" s="25" t="str">
        <x:v>EEZ_683</x:v>
      </x:c>
      <x:c r="B322" s="25" t="str">
        <x:v>exact_sea_around_us</x:v>
      </x:c>
      <x:c r="C322" s="33" t="str">
        <x:v>Sea Around Us exploited organisms</x:v>
      </x:c>
      <x:c r="D322" s="25" t="str">
        <x:v>high</x:v>
      </x:c>
      <x:c r="E322" s="35" t="n">
        <x:v>49</x:v>
      </x:c>
      <x:c r="F322" s="32" t="n">
        <x:v>16864.5446832381</x:v>
      </x:c>
      <x:c r="G322" s="32" t="n">
        <x:v>39296.8007918639</x:v>
      </x:c>
      <x:c r="H322" s="25" t="n">
        <x:v>122</x:v>
      </x:c>
      <x:c r="I322" s="34" t="n">
        <x:v>0.4016393442622951</x:v>
      </x:c>
      <x:c r="J322" s="34" t="n">
        <x:v>0.4291582099153927</x:v>
      </x:c>
    </x:row>
    <x:row r="323" ht="18" customHeight="1">
      <x:c r="A323" s="25" t="str">
        <x:v>EEZ_684</x:v>
      </x:c>
      <x:c r="B323" s="25" t="str">
        <x:v>exact_2020_supplement</x:v>
      </x:c>
      <x:c r="C323" s="33" t="str">
        <x:v>2020 supplement MeanTL</x:v>
      </x:c>
      <x:c r="D323" s="25" t="str">
        <x:v>high</x:v>
      </x:c>
      <x:c r="E323" s="35" t="n">
        <x:v>58</x:v>
      </x:c>
      <x:c r="F323" s="32" t="n">
        <x:v>29395.1470079933</x:v>
      </x:c>
      <x:c r="G323" s="32" t="n">
        <x:v>52003.6423239321</x:v>
      </x:c>
      <x:c r="H323" s="25" t="n">
        <x:v>101</x:v>
      </x:c>
      <x:c r="I323" s="34" t="n">
        <x:v>0.5742574257425742</x:v>
      </x:c>
      <x:c r="J323" s="34" t="n">
        <x:v>0.5652516957348896</x:v>
      </x:c>
    </x:row>
    <x:row r="324" ht="18" customHeight="1">
      <x:c r="A324" s="25" t="str">
        <x:v>EEZ_684</x:v>
      </x:c>
      <x:c r="B324" s="25" t="str">
        <x:v>exact_sea_around_us</x:v>
      </x:c>
      <x:c r="C324" s="33" t="str">
        <x:v>Sea Around Us exploited organisms</x:v>
      </x:c>
      <x:c r="D324" s="25" t="str">
        <x:v>high</x:v>
      </x:c>
      <x:c r="E324" s="35" t="n">
        <x:v>43</x:v>
      </x:c>
      <x:c r="F324" s="32" t="n">
        <x:v>22608.4953159388</x:v>
      </x:c>
      <x:c r="G324" s="32" t="n">
        <x:v>52003.6423239321</x:v>
      </x:c>
      <x:c r="H324" s="25" t="n">
        <x:v>101</x:v>
      </x:c>
      <x:c r="I324" s="34" t="n">
        <x:v>0.42574257425742573</x:v>
      </x:c>
      <x:c r="J324" s="34" t="n">
        <x:v>0.43474830426511024</x:v>
      </x:c>
    </x:row>
    <x:row r="325" ht="18" customHeight="1">
      <x:c r="A325" s="25" t="str">
        <x:v>EEZ_686</x:v>
      </x:c>
      <x:c r="B325" s="25" t="str">
        <x:v>exact_2020_supplement</x:v>
      </x:c>
      <x:c r="C325" s="33" t="str">
        <x:v>2020 supplement MeanTL</x:v>
      </x:c>
      <x:c r="D325" s="25" t="str">
        <x:v>high</x:v>
      </x:c>
      <x:c r="E325" s="35" t="n">
        <x:v>153</x:v>
      </x:c>
      <x:c r="F325" s="32" t="n">
        <x:v>296167.3459313855</x:v>
      </x:c>
      <x:c r="G325" s="32" t="n">
        <x:v>542145.3642563997</x:v>
      </x:c>
      <x:c r="H325" s="25" t="n">
        <x:v>256</x:v>
      </x:c>
      <x:c r="I325" s="34" t="n">
        <x:v>0.59765625</x:v>
      </x:c>
      <x:c r="J325" s="34" t="n">
        <x:v>0.5462877033682751</x:v>
      </x:c>
    </x:row>
    <x:row r="326" ht="18" customHeight="1">
      <x:c r="A326" s="25" t="str">
        <x:v>EEZ_686</x:v>
      </x:c>
      <x:c r="B326" s="25" t="str">
        <x:v>exact_sea_around_us</x:v>
      </x:c>
      <x:c r="C326" s="33" t="str">
        <x:v>Sea Around Us exploited organisms</x:v>
      </x:c>
      <x:c r="D326" s="25" t="str">
        <x:v>high</x:v>
      </x:c>
      <x:c r="E326" s="35" t="n">
        <x:v>103</x:v>
      </x:c>
      <x:c r="F326" s="32" t="n">
        <x:v>245978.0183250142</x:v>
      </x:c>
      <x:c r="G326" s="32" t="n">
        <x:v>542145.3642563997</x:v>
      </x:c>
      <x:c r="H326" s="25" t="n">
        <x:v>256</x:v>
      </x:c>
      <x:c r="I326" s="34" t="n">
        <x:v>0.40234375</x:v>
      </x:c>
      <x:c r="J326" s="34" t="n">
        <x:v>0.453712296631725</x:v>
      </x:c>
    </x:row>
    <x:row r="327" ht="18" customHeight="1">
      <x:c r="A327" s="25" t="str">
        <x:v>EEZ_690</x:v>
      </x:c>
      <x:c r="B327" s="25" t="str">
        <x:v>exact_2020_supplement</x:v>
      </x:c>
      <x:c r="C327" s="33" t="str">
        <x:v>2020 supplement MeanTL</x:v>
      </x:c>
      <x:c r="D327" s="25" t="str">
        <x:v>high</x:v>
      </x:c>
      <x:c r="E327" s="35" t="n">
        <x:v>68</x:v>
      </x:c>
      <x:c r="F327" s="32" t="n">
        <x:v>14357.7345428139</x:v>
      </x:c>
      <x:c r="G327" s="32" t="n">
        <x:v>18710.2372074836</x:v>
      </x:c>
      <x:c r="H327" s="25" t="n">
        <x:v>118</x:v>
      </x:c>
      <x:c r="I327" s="34" t="n">
        <x:v>0.576271186440678</x:v>
      </x:c>
      <x:c r="J327" s="34" t="n">
        <x:v>0.767373197014904</x:v>
      </x:c>
    </x:row>
    <x:row r="328" ht="18" customHeight="1">
      <x:c r="A328" s="25" t="str">
        <x:v>EEZ_690</x:v>
      </x:c>
      <x:c r="B328" s="25" t="str">
        <x:v>exact_sea_around_us</x:v>
      </x:c>
      <x:c r="C328" s="33" t="str">
        <x:v>Sea Around Us exploited organisms</x:v>
      </x:c>
      <x:c r="D328" s="25" t="str">
        <x:v>high</x:v>
      </x:c>
      <x:c r="E328" s="35" t="n">
        <x:v>50</x:v>
      </x:c>
      <x:c r="F328" s="32" t="n">
        <x:v>4352.5026646697</x:v>
      </x:c>
      <x:c r="G328" s="32" t="n">
        <x:v>18710.2372074836</x:v>
      </x:c>
      <x:c r="H328" s="25" t="n">
        <x:v>118</x:v>
      </x:c>
      <x:c r="I328" s="34" t="n">
        <x:v>0.423728813559322</x:v>
      </x:c>
      <x:c r="J328" s="34" t="n">
        <x:v>0.232626802985096</x:v>
      </x:c>
    </x:row>
    <x:row r="329" ht="18" customHeight="1">
      <x:c r="A329" s="25" t="str">
        <x:v>EEZ_694</x:v>
      </x:c>
      <x:c r="B329" s="25" t="str">
        <x:v>exact_sea_around_us</x:v>
      </x:c>
      <x:c r="C329" s="33" t="str">
        <x:v>Sea Around Us exploited organisms</x:v>
      </x:c>
      <x:c r="D329" s="25" t="str">
        <x:v>high</x:v>
      </x:c>
      <x:c r="E329" s="35" t="n">
        <x:v>96</x:v>
      </x:c>
      <x:c r="F329" s="32" t="n">
        <x:v>235949.5857641689</x:v>
      </x:c>
      <x:c r="G329" s="32" t="n">
        <x:v>442517.0067673324</x:v>
      </x:c>
      <x:c r="H329" s="25" t="n">
        <x:v>214</x:v>
      </x:c>
      <x:c r="I329" s="34" t="n">
        <x:v>0.4485981308411215</x:v>
      </x:c>
      <x:c r="J329" s="34" t="n">
        <x:v>0.5331989102245442</x:v>
      </x:c>
    </x:row>
    <x:row r="330" ht="18" customHeight="1">
      <x:c r="A330" s="25" t="str">
        <x:v>EEZ_694</x:v>
      </x:c>
      <x:c r="B330" s="25" t="str">
        <x:v>exact_2020_supplement</x:v>
      </x:c>
      <x:c r="C330" s="33" t="str">
        <x:v>2020 supplement MeanTL</x:v>
      </x:c>
      <x:c r="D330" s="25" t="str">
        <x:v>high</x:v>
      </x:c>
      <x:c r="E330" s="35" t="n">
        <x:v>118</x:v>
      </x:c>
      <x:c r="F330" s="32" t="n">
        <x:v>206567.4210031635</x:v>
      </x:c>
      <x:c r="G330" s="32" t="n">
        <x:v>442517.0067673324</x:v>
      </x:c>
      <x:c r="H330" s="25" t="n">
        <x:v>214</x:v>
      </x:c>
      <x:c r="I330" s="34" t="n">
        <x:v>0.5514018691588785</x:v>
      </x:c>
      <x:c r="J330" s="34" t="n">
        <x:v>0.4668010897754558</x:v>
      </x:c>
    </x:row>
    <x:row r="331" ht="18" customHeight="1">
      <x:c r="A331" s="25" t="str">
        <x:v>EEZ_702</x:v>
      </x:c>
      <x:c r="B331" s="25" t="str">
        <x:v>exact_sea_around_us</x:v>
      </x:c>
      <x:c r="C331" s="33" t="str">
        <x:v>Sea Around Us exploited organisms</x:v>
      </x:c>
      <x:c r="D331" s="25" t="str">
        <x:v>high</x:v>
      </x:c>
      <x:c r="E331" s="35" t="n">
        <x:v>24</x:v>
      </x:c>
      <x:c r="F331" s="32" t="n">
        <x:v>3408.1611487893</x:v>
      </x:c>
      <x:c r="G331" s="32" t="n">
        <x:v>3539.5904974153004</x:v>
      </x:c>
      <x:c r="H331" s="25" t="n">
        <x:v>28</x:v>
      </x:c>
      <x:c r="I331" s="34" t="n">
        <x:v>0.8571428571428571</x:v>
      </x:c>
      <x:c r="J331" s="34" t="n">
        <x:v>0.9628687700676184</x:v>
      </x:c>
    </x:row>
    <x:row r="332" ht="18" customHeight="1">
      <x:c r="A332" s="25" t="str">
        <x:v>EEZ_702</x:v>
      </x:c>
      <x:c r="B332" s="25" t="str">
        <x:v>exact_2020_supplement</x:v>
      </x:c>
      <x:c r="C332" s="33" t="str">
        <x:v>2020 supplement MeanTL</x:v>
      </x:c>
      <x:c r="D332" s="25" t="str">
        <x:v>high</x:v>
      </x:c>
      <x:c r="E332" s="35" t="n">
        <x:v>4</x:v>
      </x:c>
      <x:c r="F332" s="32" t="n">
        <x:v>131.429348626</x:v>
      </x:c>
      <x:c r="G332" s="32" t="n">
        <x:v>3539.5904974153004</x:v>
      </x:c>
      <x:c r="H332" s="25" t="n">
        <x:v>28</x:v>
      </x:c>
      <x:c r="I332" s="34" t="n">
        <x:v>0.14285714285714285</x:v>
      </x:c>
      <x:c r="J332" s="34" t="n">
        <x:v>0.037131229932381465</x:v>
      </x:c>
    </x:row>
    <x:row r="333" ht="18" customHeight="1">
      <x:c r="A333" s="25" t="str">
        <x:v>EEZ_704</x:v>
      </x:c>
      <x:c r="B333" s="25" t="str">
        <x:v>exact_sea_around_us</x:v>
      </x:c>
      <x:c r="C333" s="33" t="str">
        <x:v>Sea Around Us exploited organisms</x:v>
      </x:c>
      <x:c r="D333" s="25" t="str">
        <x:v>high</x:v>
      </x:c>
      <x:c r="E333" s="35" t="n">
        <x:v>46</x:v>
      </x:c>
      <x:c r="F333" s="32" t="n">
        <x:v>4899264.246805124</x:v>
      </x:c>
      <x:c r="G333" s="32" t="n">
        <x:v>5148305.136990099</x:v>
      </x:c>
      <x:c r="H333" s="25" t="n">
        <x:v>69</x:v>
      </x:c>
      <x:c r="I333" s="34" t="n">
        <x:v>0.6666666666666666</x:v>
      </x:c>
      <x:c r="J333" s="34" t="n">
        <x:v>0.9516266259364389</x:v>
      </x:c>
    </x:row>
    <x:row r="334" ht="18" customHeight="1">
      <x:c r="A334" s="25" t="str">
        <x:v>EEZ_704</x:v>
      </x:c>
      <x:c r="B334" s="25" t="str">
        <x:v>exact_2020_supplement</x:v>
      </x:c>
      <x:c r="C334" s="33" t="str">
        <x:v>2020 supplement MeanTL</x:v>
      </x:c>
      <x:c r="D334" s="25" t="str">
        <x:v>high</x:v>
      </x:c>
      <x:c r="E334" s="35" t="n">
        <x:v>23</x:v>
      </x:c>
      <x:c r="F334" s="32" t="n">
        <x:v>249040.8901849759</x:v>
      </x:c>
      <x:c r="G334" s="32" t="n">
        <x:v>5148305.136990099</x:v>
      </x:c>
      <x:c r="H334" s="25" t="n">
        <x:v>69</x:v>
      </x:c>
      <x:c r="I334" s="34" t="n">
        <x:v>0.3333333333333333</x:v>
      </x:c>
      <x:c r="J334" s="34" t="n">
        <x:v>0.04837337406356123</x:v>
      </x:c>
    </x:row>
    <x:row r="335" ht="18" customHeight="1">
      <x:c r="A335" s="25" t="str">
        <x:v>EEZ_705</x:v>
      </x:c>
      <x:c r="B335" s="25" t="str">
        <x:v>exact_sea_around_us</x:v>
      </x:c>
      <x:c r="C335" s="33" t="str">
        <x:v>Sea Around Us exploited organisms</x:v>
      </x:c>
      <x:c r="D335" s="25" t="str">
        <x:v>high</x:v>
      </x:c>
      <x:c r="E335" s="35" t="n">
        <x:v>26</x:v>
      </x:c>
      <x:c r="F335" s="32" t="n">
        <x:v>104.5297400397</x:v>
      </x:c>
      <x:c r="G335" s="32" t="n">
        <x:v>203.5210142398</x:v>
      </x:c>
      <x:c r="H335" s="25" t="n">
        <x:v>80</x:v>
      </x:c>
      <x:c r="I335" s="34" t="n">
        <x:v>0.325</x:v>
      </x:c>
      <x:c r="J335" s="34" t="n">
        <x:v>0.5136066191009501</x:v>
      </x:c>
    </x:row>
    <x:row r="336" ht="18" customHeight="1">
      <x:c r="A336" s="25" t="str">
        <x:v>EEZ_705</x:v>
      </x:c>
      <x:c r="B336" s="25" t="str">
        <x:v>exact_2020_supplement</x:v>
      </x:c>
      <x:c r="C336" s="33" t="str">
        <x:v>2020 supplement MeanTL</x:v>
      </x:c>
      <x:c r="D336" s="25" t="str">
        <x:v>high</x:v>
      </x:c>
      <x:c r="E336" s="35" t="n">
        <x:v>54</x:v>
      </x:c>
      <x:c r="F336" s="32" t="n">
        <x:v>98.9912742001</x:v>
      </x:c>
      <x:c r="G336" s="32" t="n">
        <x:v>203.5210142398</x:v>
      </x:c>
      <x:c r="H336" s="25" t="n">
        <x:v>80</x:v>
      </x:c>
      <x:c r="I336" s="34" t="n">
        <x:v>0.675</x:v>
      </x:c>
      <x:c r="J336" s="34" t="n">
        <x:v>0.4863933808990499</x:v>
      </x:c>
    </x:row>
    <x:row r="337" ht="18" customHeight="1">
      <x:c r="A337" s="25" t="str">
        <x:v>EEZ_706</x:v>
      </x:c>
      <x:c r="B337" s="25" t="str">
        <x:v>exact_sea_around_us</x:v>
      </x:c>
      <x:c r="C337" s="33" t="str">
        <x:v>Sea Around Us exploited organisms</x:v>
      </x:c>
      <x:c r="D337" s="25" t="str">
        <x:v>high</x:v>
      </x:c>
      <x:c r="E337" s="35" t="n">
        <x:v>67</x:v>
      </x:c>
      <x:c r="F337" s="32" t="n">
        <x:v>84570.8850108227</x:v>
      </x:c>
      <x:c r="G337" s="32" t="n">
        <x:v>139703.8091832829</x:v>
      </x:c>
      <x:c r="H337" s="25" t="n">
        <x:v>121</x:v>
      </x:c>
      <x:c r="I337" s="34" t="n">
        <x:v>0.5537190082644629</x:v>
      </x:c>
      <x:c r="J337" s="34" t="n">
        <x:v>0.6053584759444236</x:v>
      </x:c>
    </x:row>
    <x:row r="338" ht="18" customHeight="1">
      <x:c r="A338" s="25" t="str">
        <x:v>EEZ_706</x:v>
      </x:c>
      <x:c r="B338" s="25" t="str">
        <x:v>exact_2020_supplement</x:v>
      </x:c>
      <x:c r="C338" s="33" t="str">
        <x:v>2020 supplement MeanTL</x:v>
      </x:c>
      <x:c r="D338" s="25" t="str">
        <x:v>high</x:v>
      </x:c>
      <x:c r="E338" s="35" t="n">
        <x:v>54</x:v>
      </x:c>
      <x:c r="F338" s="32" t="n">
        <x:v>55132.9241724602</x:v>
      </x:c>
      <x:c r="G338" s="32" t="n">
        <x:v>139703.8091832829</x:v>
      </x:c>
      <x:c r="H338" s="25" t="n">
        <x:v>121</x:v>
      </x:c>
      <x:c r="I338" s="34" t="n">
        <x:v>0.4462809917355372</x:v>
      </x:c>
      <x:c r="J338" s="34" t="n">
        <x:v>0.3946415240555765</x:v>
      </x:c>
    </x:row>
    <x:row r="339" ht="18" customHeight="1">
      <x:c r="A339" s="25" t="str">
        <x:v>EEZ_711</x:v>
      </x:c>
      <x:c r="B339" s="25" t="str">
        <x:v>exact_2020_supplement</x:v>
      </x:c>
      <x:c r="C339" s="33" t="str">
        <x:v>2020 supplement MeanTL</x:v>
      </x:c>
      <x:c r="D339" s="25" t="str">
        <x:v>high</x:v>
      </x:c>
      <x:c r="E339" s="35" t="n">
        <x:v>7</x:v>
      </x:c>
      <x:c r="F339" s="32" t="n">
        <x:v>694.3674401354999</x:v>
      </x:c>
      <x:c r="G339" s="32" t="n">
        <x:v>974.4787150097</x:v>
      </x:c>
      <x:c r="H339" s="25" t="n">
        <x:v>18</x:v>
      </x:c>
      <x:c r="I339" s="34" t="n">
        <x:v>0.3888888888888889</x:v>
      </x:c>
      <x:c r="J339" s="34" t="n">
        <x:v>0.7125527006801664</x:v>
      </x:c>
    </x:row>
    <x:row r="340" ht="18" customHeight="1">
      <x:c r="A340" s="25" t="str">
        <x:v>EEZ_711</x:v>
      </x:c>
      <x:c r="B340" s="25" t="str">
        <x:v>exact_sea_around_us</x:v>
      </x:c>
      <x:c r="C340" s="33" t="str">
        <x:v>Sea Around Us exploited organisms</x:v>
      </x:c>
      <x:c r="D340" s="25" t="str">
        <x:v>high</x:v>
      </x:c>
      <x:c r="E340" s="35" t="n">
        <x:v>11</x:v>
      </x:c>
      <x:c r="F340" s="32" t="n">
        <x:v>280.1112748742</x:v>
      </x:c>
      <x:c r="G340" s="32" t="n">
        <x:v>974.4787150097</x:v>
      </x:c>
      <x:c r="H340" s="25" t="n">
        <x:v>18</x:v>
      </x:c>
      <x:c r="I340" s="34" t="n">
        <x:v>0.6111111111111112</x:v>
      </x:c>
      <x:c r="J340" s="34" t="n">
        <x:v>0.28744729931983354</x:v>
      </x:c>
    </x:row>
    <x:row r="341" ht="18" customHeight="1">
      <x:c r="A341" s="25" t="str">
        <x:v>EEZ_723</x:v>
      </x:c>
      <x:c r="B341" s="25" t="str">
        <x:v>exact_2020_supplement</x:v>
      </x:c>
      <x:c r="C341" s="33" t="str">
        <x:v>2020 supplement MeanTL</x:v>
      </x:c>
      <x:c r="D341" s="25" t="str">
        <x:v>high</x:v>
      </x:c>
      <x:c r="E341" s="35" t="n">
        <x:v>121</x:v>
      </x:c>
      <x:c r="F341" s="32" t="n">
        <x:v>69536.4314719639</x:v>
      </x:c>
      <x:c r="G341" s="32" t="n">
        <x:v>92826.4650597252</x:v>
      </x:c>
      <x:c r="H341" s="25" t="n">
        <x:v>174</x:v>
      </x:c>
      <x:c r="I341" s="34" t="n">
        <x:v>0.6954022988505747</x:v>
      </x:c>
      <x:c r="J341" s="34" t="n">
        <x:v>0.749101362711848</x:v>
      </x:c>
    </x:row>
    <x:row r="342" ht="18" customHeight="1">
      <x:c r="A342" s="25" t="str">
        <x:v>EEZ_723</x:v>
      </x:c>
      <x:c r="B342" s="25" t="str">
        <x:v>exact_sea_around_us</x:v>
      </x:c>
      <x:c r="C342" s="33" t="str">
        <x:v>Sea Around Us exploited organisms</x:v>
      </x:c>
      <x:c r="D342" s="25" t="str">
        <x:v>high</x:v>
      </x:c>
      <x:c r="E342" s="35" t="n">
        <x:v>53</x:v>
      </x:c>
      <x:c r="F342" s="32" t="n">
        <x:v>23290.0335877613</x:v>
      </x:c>
      <x:c r="G342" s="32" t="n">
        <x:v>92826.4650597252</x:v>
      </x:c>
      <x:c r="H342" s="25" t="n">
        <x:v>174</x:v>
      </x:c>
      <x:c r="I342" s="34" t="n">
        <x:v>0.3045977011494253</x:v>
      </x:c>
      <x:c r="J342" s="34" t="n">
        <x:v>0.2508986372881519</x:v>
      </x:c>
    </x:row>
    <x:row r="343" ht="18" customHeight="1">
      <x:c r="A343" s="25" t="str">
        <x:v>EEZ_736</x:v>
      </x:c>
      <x:c r="B343" s="25" t="str">
        <x:v>exact_sea_around_us</x:v>
      </x:c>
      <x:c r="C343" s="33" t="str">
        <x:v>Sea Around Us exploited organisms</x:v>
      </x:c>
      <x:c r="D343" s="25" t="str">
        <x:v>high</x:v>
      </x:c>
      <x:c r="E343" s="35" t="n">
        <x:v>9</x:v>
      </x:c>
      <x:c r="F343" s="32" t="n">
        <x:v>1903.800910461</x:v>
      </x:c>
      <x:c r="G343" s="32" t="n">
        <x:v>1903.800910461</x:v>
      </x:c>
      <x:c r="H343" s="25" t="n">
        <x:v>9</x:v>
      </x:c>
      <x:c r="I343" s="34" t="n">
        <x:v>1</x:v>
      </x:c>
      <x:c r="J343" s="34" t="n">
        <x:v>1</x:v>
      </x:c>
    </x:row>
    <x:row r="344" ht="18" customHeight="1">
      <x:c r="A344" s="25" t="str">
        <x:v>EEZ_740</x:v>
      </x:c>
      <x:c r="B344" s="25" t="str">
        <x:v>exact_2020_supplement</x:v>
      </x:c>
      <x:c r="C344" s="33" t="str">
        <x:v>2020 supplement MeanTL</x:v>
      </x:c>
      <x:c r="D344" s="25" t="str">
        <x:v>high</x:v>
      </x:c>
      <x:c r="E344" s="35" t="n">
        <x:v>49</x:v>
      </x:c>
      <x:c r="F344" s="32" t="n">
        <x:v>29755.8328561165</x:v>
      </x:c>
      <x:c r="G344" s="32" t="n">
        <x:v>58397.2558737715</x:v>
      </x:c>
      <x:c r="H344" s="25" t="n">
        <x:v>80</x:v>
      </x:c>
      <x:c r="I344" s="34" t="n">
        <x:v>0.6125</x:v>
      </x:c>
      <x:c r="J344" s="34" t="n">
        <x:v>0.5095416284702687</x:v>
      </x:c>
    </x:row>
    <x:row r="345" ht="18" customHeight="1">
      <x:c r="A345" s="25" t="str">
        <x:v>EEZ_740</x:v>
      </x:c>
      <x:c r="B345" s="25" t="str">
        <x:v>exact_sea_around_us</x:v>
      </x:c>
      <x:c r="C345" s="33" t="str">
        <x:v>Sea Around Us exploited organisms</x:v>
      </x:c>
      <x:c r="D345" s="25" t="str">
        <x:v>high</x:v>
      </x:c>
      <x:c r="E345" s="35" t="n">
        <x:v>31</x:v>
      </x:c>
      <x:c r="F345" s="32" t="n">
        <x:v>28641.423017655</x:v>
      </x:c>
      <x:c r="G345" s="32" t="n">
        <x:v>58397.2558737715</x:v>
      </x:c>
      <x:c r="H345" s="25" t="n">
        <x:v>80</x:v>
      </x:c>
      <x:c r="I345" s="34" t="n">
        <x:v>0.3875</x:v>
      </x:c>
      <x:c r="J345" s="34" t="n">
        <x:v>0.4904583715297312</x:v>
      </x:c>
    </x:row>
    <x:row r="346" ht="18" customHeight="1">
      <x:c r="A346" s="25" t="str">
        <x:v>EEZ_744</x:v>
      </x:c>
      <x:c r="B346" s="25" t="str">
        <x:v>exact_2020_supplement</x:v>
      </x:c>
      <x:c r="C346" s="33" t="str">
        <x:v>2020 supplement MeanTL</x:v>
      </x:c>
      <x:c r="D346" s="25" t="str">
        <x:v>high</x:v>
      </x:c>
      <x:c r="E346" s="35" t="n">
        <x:v>25</x:v>
      </x:c>
      <x:c r="F346" s="32" t="n">
        <x:v>174682.0532509282</x:v>
      </x:c>
      <x:c r="G346" s="32" t="n">
        <x:v>219891.4498277699</x:v>
      </x:c>
      <x:c r="H346" s="25" t="n">
        <x:v>62</x:v>
      </x:c>
      <x:c r="I346" s="34" t="n">
        <x:v>0.4032258064516129</x:v>
      </x:c>
      <x:c r="J346" s="34" t="n">
        <x:v>0.794401298403135</x:v>
      </x:c>
    </x:row>
    <x:row r="347" ht="18" customHeight="1">
      <x:c r="A347" s="25" t="str">
        <x:v>EEZ_744</x:v>
      </x:c>
      <x:c r="B347" s="25" t="str">
        <x:v>exact_sea_around_us</x:v>
      </x:c>
      <x:c r="C347" s="33" t="str">
        <x:v>Sea Around Us exploited organisms</x:v>
      </x:c>
      <x:c r="D347" s="25" t="str">
        <x:v>high</x:v>
      </x:c>
      <x:c r="E347" s="35" t="n">
        <x:v>37</x:v>
      </x:c>
      <x:c r="F347" s="32" t="n">
        <x:v>45209.396576841704</x:v>
      </x:c>
      <x:c r="G347" s="32" t="n">
        <x:v>219891.4498277699</x:v>
      </x:c>
      <x:c r="H347" s="25" t="n">
        <x:v>62</x:v>
      </x:c>
      <x:c r="I347" s="34" t="n">
        <x:v>0.5967741935483871</x:v>
      </x:c>
      <x:c r="J347" s="34" t="n">
        <x:v>0.20559870159686514</x:v>
      </x:c>
    </x:row>
    <x:row r="348" ht="18" customHeight="1">
      <x:c r="A348" s="25" t="str">
        <x:v>EEZ_760</x:v>
      </x:c>
      <x:c r="B348" s="25" t="str">
        <x:v>exact_sea_around_us</x:v>
      </x:c>
      <x:c r="C348" s="33" t="str">
        <x:v>Sea Around Us exploited organisms</x:v>
      </x:c>
      <x:c r="D348" s="25" t="str">
        <x:v>high</x:v>
      </x:c>
      <x:c r="E348" s="35" t="n">
        <x:v>28</x:v>
      </x:c>
      <x:c r="F348" s="32" t="n">
        <x:v>2903.9671908237</x:v>
      </x:c>
      <x:c r="G348" s="32" t="n">
        <x:v>4003.3374784953003</x:v>
      </x:c>
      <x:c r="H348" s="25" t="n">
        <x:v>51</x:v>
      </x:c>
      <x:c r="I348" s="34" t="n">
        <x:v>0.5490196078431373</x:v>
      </x:c>
      <x:c r="J348" s="34" t="n">
        <x:v>0.7253865571970688</x:v>
      </x:c>
    </x:row>
    <x:row r="349" ht="18" customHeight="1">
      <x:c r="A349" s="25" t="str">
        <x:v>EEZ_760</x:v>
      </x:c>
      <x:c r="B349" s="25" t="str">
        <x:v>exact_2020_supplement</x:v>
      </x:c>
      <x:c r="C349" s="33" t="str">
        <x:v>2020 supplement MeanTL</x:v>
      </x:c>
      <x:c r="D349" s="25" t="str">
        <x:v>high</x:v>
      </x:c>
      <x:c r="E349" s="35" t="n">
        <x:v>23</x:v>
      </x:c>
      <x:c r="F349" s="32" t="n">
        <x:v>1099.3702876716</x:v>
      </x:c>
      <x:c r="G349" s="32" t="n">
        <x:v>4003.3374784953003</x:v>
      </x:c>
      <x:c r="H349" s="25" t="n">
        <x:v>51</x:v>
      </x:c>
      <x:c r="I349" s="34" t="n">
        <x:v>0.45098039215686275</x:v>
      </x:c>
      <x:c r="J349" s="34" t="n">
        <x:v>0.2746134428029312</x:v>
      </x:c>
    </x:row>
    <x:row r="350" ht="18" customHeight="1">
      <x:c r="A350" s="25" t="str">
        <x:v>EEZ_768</x:v>
      </x:c>
      <x:c r="B350" s="25" t="str">
        <x:v>exact_sea_around_us</x:v>
      </x:c>
      <x:c r="C350" s="33" t="str">
        <x:v>Sea Around Us exploited organisms</x:v>
      </x:c>
      <x:c r="D350" s="25" t="str">
        <x:v>high</x:v>
      </x:c>
      <x:c r="E350" s="35" t="n">
        <x:v>61</x:v>
      </x:c>
      <x:c r="F350" s="32" t="n">
        <x:v>26888.787992986498</x:v>
      </x:c>
      <x:c r="G350" s="32" t="n">
        <x:v>51334.5117778079</x:v>
      </x:c>
      <x:c r="H350" s="25" t="n">
        <x:v>129</x:v>
      </x:c>
      <x:c r="I350" s="34" t="n">
        <x:v>0.4728682170542636</x:v>
      </x:c>
      <x:c r="J350" s="34" t="n">
        <x:v>0.523795533682481</x:v>
      </x:c>
    </x:row>
    <x:row r="351" ht="18" customHeight="1">
      <x:c r="A351" s="25" t="str">
        <x:v>EEZ_768</x:v>
      </x:c>
      <x:c r="B351" s="25" t="str">
        <x:v>exact_2020_supplement</x:v>
      </x:c>
      <x:c r="C351" s="33" t="str">
        <x:v>2020 supplement MeanTL</x:v>
      </x:c>
      <x:c r="D351" s="25" t="str">
        <x:v>high</x:v>
      </x:c>
      <x:c r="E351" s="35" t="n">
        <x:v>68</x:v>
      </x:c>
      <x:c r="F351" s="32" t="n">
        <x:v>24445.723784821403</x:v>
      </x:c>
      <x:c r="G351" s="32" t="n">
        <x:v>51334.5117778079</x:v>
      </x:c>
      <x:c r="H351" s="25" t="n">
        <x:v>129</x:v>
      </x:c>
      <x:c r="I351" s="34" t="n">
        <x:v>0.5271317829457365</x:v>
      </x:c>
      <x:c r="J351" s="34" t="n">
        <x:v>0.47620446631751895</x:v>
      </x:c>
    </x:row>
    <x:row r="352" ht="18" customHeight="1">
      <x:c r="A352" s="25" t="str">
        <x:v>EEZ_772</x:v>
      </x:c>
      <x:c r="B352" s="25" t="str">
        <x:v>exact_2020_supplement</x:v>
      </x:c>
      <x:c r="C352" s="33" t="str">
        <x:v>2020 supplement MeanTL</x:v>
      </x:c>
      <x:c r="D352" s="25" t="str">
        <x:v>high</x:v>
      </x:c>
      <x:c r="E352" s="35" t="n">
        <x:v>14</x:v>
      </x:c>
      <x:c r="F352" s="32" t="n">
        <x:v>8891.2887133486</x:v>
      </x:c>
      <x:c r="G352" s="32" t="n">
        <x:v>9835.3636877018</x:v>
      </x:c>
      <x:c r="H352" s="25" t="n">
        <x:v>29</x:v>
      </x:c>
      <x:c r="I352" s="34" t="n">
        <x:v>0.4827586206896552</x:v>
      </x:c>
      <x:c r="J352" s="34" t="n">
        <x:v>0.904012194736258</x:v>
      </x:c>
    </x:row>
    <x:row r="353" ht="18" customHeight="1">
      <x:c r="A353" s="25" t="str">
        <x:v>EEZ_772</x:v>
      </x:c>
      <x:c r="B353" s="25" t="str">
        <x:v>exact_sea_around_us</x:v>
      </x:c>
      <x:c r="C353" s="33" t="str">
        <x:v>Sea Around Us exploited organisms</x:v>
      </x:c>
      <x:c r="D353" s="25" t="str">
        <x:v>high</x:v>
      </x:c>
      <x:c r="E353" s="35" t="n">
        <x:v>15</x:v>
      </x:c>
      <x:c r="F353" s="32" t="n">
        <x:v>944.0749743532001</x:v>
      </x:c>
      <x:c r="G353" s="32" t="n">
        <x:v>9835.3636877018</x:v>
      </x:c>
      <x:c r="H353" s="25" t="n">
        <x:v>29</x:v>
      </x:c>
      <x:c r="I353" s="34" t="n">
        <x:v>0.5172413793103449</x:v>
      </x:c>
      <x:c r="J353" s="34" t="n">
        <x:v>0.09598780526374204</x:v>
      </x:c>
    </x:row>
    <x:row r="354" ht="18" customHeight="1">
      <x:c r="A354" s="25" t="str">
        <x:v>EEZ_776</x:v>
      </x:c>
      <x:c r="B354" s="25" t="str">
        <x:v>exact_sea_around_us</x:v>
      </x:c>
      <x:c r="C354" s="33" t="str">
        <x:v>Sea Around Us exploited organisms</x:v>
      </x:c>
      <x:c r="D354" s="25" t="str">
        <x:v>high</x:v>
      </x:c>
      <x:c r="E354" s="35" t="n">
        <x:v>37</x:v>
      </x:c>
      <x:c r="F354" s="32" t="n">
        <x:v>7468.1164955166005</x:v>
      </x:c>
      <x:c r="G354" s="32" t="n">
        <x:v>14542.4122007334</x:v>
      </x:c>
      <x:c r="H354" s="25" t="n">
        <x:v>86</x:v>
      </x:c>
      <x:c r="I354" s="34" t="n">
        <x:v>0.43023255813953487</x:v>
      </x:c>
      <x:c r="J354" s="34" t="n">
        <x:v>0.5135404217974215</x:v>
      </x:c>
    </x:row>
    <x:row r="355" ht="18" customHeight="1">
      <x:c r="A355" s="25" t="str">
        <x:v>EEZ_776</x:v>
      </x:c>
      <x:c r="B355" s="25" t="str">
        <x:v>exact_2020_supplement</x:v>
      </x:c>
      <x:c r="C355" s="33" t="str">
        <x:v>2020 supplement MeanTL</x:v>
      </x:c>
      <x:c r="D355" s="25" t="str">
        <x:v>high</x:v>
      </x:c>
      <x:c r="E355" s="35" t="n">
        <x:v>49</x:v>
      </x:c>
      <x:c r="F355" s="32" t="n">
        <x:v>7074.2957052168</x:v>
      </x:c>
      <x:c r="G355" s="32" t="n">
        <x:v>14542.4122007334</x:v>
      </x:c>
      <x:c r="H355" s="25" t="n">
        <x:v>86</x:v>
      </x:c>
      <x:c r="I355" s="34" t="n">
        <x:v>0.5697674418604651</x:v>
      </x:c>
      <x:c r="J355" s="34" t="n">
        <x:v>0.4864595782025784</x:v>
      </x:c>
    </x:row>
    <x:row r="356" ht="18" customHeight="1">
      <x:c r="A356" s="25" t="str">
        <x:v>EEZ_780</x:v>
      </x:c>
      <x:c r="B356" s="25" t="str">
        <x:v>exact_sea_around_us</x:v>
      </x:c>
      <x:c r="C356" s="33" t="str">
        <x:v>Sea Around Us exploited organisms</x:v>
      </x:c>
      <x:c r="D356" s="25" t="str">
        <x:v>high</x:v>
      </x:c>
      <x:c r="E356" s="35" t="n">
        <x:v>67</x:v>
      </x:c>
      <x:c r="F356" s="32" t="n">
        <x:v>17080.2804558919</x:v>
      </x:c>
      <x:c r="G356" s="32" t="n">
        <x:v>19523.2185592658</x:v>
      </x:c>
      <x:c r="H356" s="25" t="n">
        <x:v>97</x:v>
      </x:c>
      <x:c r="I356" s="34" t="n">
        <x:v>0.6907216494845361</x:v>
      </x:c>
      <x:c r="J356" s="34" t="n">
        <x:v>0.8748701144763619</x:v>
      </x:c>
    </x:row>
    <x:row r="357" ht="18" customHeight="1">
      <x:c r="A357" s="25" t="str">
        <x:v>EEZ_780</x:v>
      </x:c>
      <x:c r="B357" s="25" t="str">
        <x:v>exact_2020_supplement</x:v>
      </x:c>
      <x:c r="C357" s="33" t="str">
        <x:v>2020 supplement MeanTL</x:v>
      </x:c>
      <x:c r="D357" s="25" t="str">
        <x:v>high</x:v>
      </x:c>
      <x:c r="E357" s="35" t="n">
        <x:v>30</x:v>
      </x:c>
      <x:c r="F357" s="32" t="n">
        <x:v>2442.9381033739</x:v>
      </x:c>
      <x:c r="G357" s="32" t="n">
        <x:v>19523.2185592658</x:v>
      </x:c>
      <x:c r="H357" s="25" t="n">
        <x:v>97</x:v>
      </x:c>
      <x:c r="I357" s="34" t="n">
        <x:v>0.30927835051546393</x:v>
      </x:c>
      <x:c r="J357" s="34" t="n">
        <x:v>0.1251298855236383</x:v>
      </x:c>
    </x:row>
    <x:row r="358" ht="18" customHeight="1">
      <x:c r="A358" s="25" t="str">
        <x:v>EEZ_784</x:v>
      </x:c>
      <x:c r="B358" s="25" t="str">
        <x:v>exact_2020_supplement</x:v>
      </x:c>
      <x:c r="C358" s="33" t="str">
        <x:v>2020 supplement MeanTL</x:v>
      </x:c>
      <x:c r="D358" s="25" t="str">
        <x:v>high</x:v>
      </x:c>
      <x:c r="E358" s="35" t="n">
        <x:v>18</x:v>
      </x:c>
      <x:c r="F358" s="32" t="n">
        <x:v>28989.4526185554</x:v>
      </x:c>
      <x:c r="G358" s="32" t="n">
        <x:v>49925.3333488044</x:v>
      </x:c>
      <x:c r="H358" s="25" t="n">
        <x:v>42</x:v>
      </x:c>
      <x:c r="I358" s="34" t="n">
        <x:v>0.42857142857142855</x:v>
      </x:c>
      <x:c r="J358" s="34" t="n">
        <x:v>0.5806561653984356</x:v>
      </x:c>
    </x:row>
    <x:row r="359" ht="18" customHeight="1">
      <x:c r="A359" s="25" t="str">
        <x:v>EEZ_784</x:v>
      </x:c>
      <x:c r="B359" s="25" t="str">
        <x:v>exact_sea_around_us</x:v>
      </x:c>
      <x:c r="C359" s="33" t="str">
        <x:v>Sea Around Us exploited organisms</x:v>
      </x:c>
      <x:c r="D359" s="25" t="str">
        <x:v>high</x:v>
      </x:c>
      <x:c r="E359" s="35" t="n">
        <x:v>24</x:v>
      </x:c>
      <x:c r="F359" s="32" t="n">
        <x:v>20935.880730249</x:v>
      </x:c>
      <x:c r="G359" s="32" t="n">
        <x:v>49925.3333488044</x:v>
      </x:c>
      <x:c r="H359" s="25" t="n">
        <x:v>42</x:v>
      </x:c>
      <x:c r="I359" s="34" t="n">
        <x:v>0.5714285714285714</x:v>
      </x:c>
      <x:c r="J359" s="34" t="n">
        <x:v>0.4193438346015644</x:v>
      </x:c>
    </x:row>
    <x:row r="360" ht="18" customHeight="1">
      <x:c r="A360" s="25" t="str">
        <x:v>EEZ_788</x:v>
      </x:c>
      <x:c r="B360" s="25" t="str">
        <x:v>exact_sea_around_us</x:v>
      </x:c>
      <x:c r="C360" s="33" t="str">
        <x:v>Sea Around Us exploited organisms</x:v>
      </x:c>
      <x:c r="D360" s="25" t="str">
        <x:v>high</x:v>
      </x:c>
      <x:c r="E360" s="35" t="n">
        <x:v>75</x:v>
      </x:c>
      <x:c r="F360" s="32" t="n">
        <x:v>74705.5966022268</x:v>
      </x:c>
      <x:c r="G360" s="32" t="n">
        <x:v>133288.5662711512</x:v>
      </x:c>
      <x:c r="H360" s="25" t="n">
        <x:v>167</x:v>
      </x:c>
      <x:c r="I360" s="34" t="n">
        <x:v>0.4491017964071856</x:v>
      </x:c>
      <x:c r="J360" s="34" t="n">
        <x:v>0.5604801573921346</x:v>
      </x:c>
    </x:row>
    <x:row r="361" ht="18" customHeight="1">
      <x:c r="A361" s="25" t="str">
        <x:v>EEZ_788</x:v>
      </x:c>
      <x:c r="B361" s="25" t="str">
        <x:v>exact_2020_supplement</x:v>
      </x:c>
      <x:c r="C361" s="33" t="str">
        <x:v>2020 supplement MeanTL</x:v>
      </x:c>
      <x:c r="D361" s="25" t="str">
        <x:v>high</x:v>
      </x:c>
      <x:c r="E361" s="35" t="n">
        <x:v>92</x:v>
      </x:c>
      <x:c r="F361" s="32" t="n">
        <x:v>58582.9696689244</x:v>
      </x:c>
      <x:c r="G361" s="32" t="n">
        <x:v>133288.5662711512</x:v>
      </x:c>
      <x:c r="H361" s="25" t="n">
        <x:v>167</x:v>
      </x:c>
      <x:c r="I361" s="34" t="n">
        <x:v>0.5508982035928144</x:v>
      </x:c>
      <x:c r="J361" s="34" t="n">
        <x:v>0.43951984260786525</x:v>
      </x:c>
    </x:row>
    <x:row r="362" ht="18" customHeight="1">
      <x:c r="A362" s="25" t="str">
        <x:v>EEZ_793</x:v>
      </x:c>
      <x:c r="B362" s="25" t="str">
        <x:v>exact_2020_supplement</x:v>
      </x:c>
      <x:c r="C362" s="33" t="str">
        <x:v>2020 supplement MeanTL</x:v>
      </x:c>
      <x:c r="D362" s="25" t="str">
        <x:v>high</x:v>
      </x:c>
      <x:c r="E362" s="35" t="n">
        <x:v>63</x:v>
      </x:c>
      <x:c r="F362" s="32" t="n">
        <x:v>68938.5017594921</x:v>
      </x:c>
      <x:c r="G362" s="32" t="n">
        <x:v>87055.4164278193</x:v>
      </x:c>
      <x:c r="H362" s="25" t="n">
        <x:v>92</x:v>
      </x:c>
      <x:c r="I362" s="34" t="n">
        <x:v>0.6847826086956522</x:v>
      </x:c>
      <x:c r="J362" s="34" t="n">
        <x:v>0.7918921600547557</x:v>
      </x:c>
    </x:row>
    <x:row r="363" ht="18" customHeight="1">
      <x:c r="A363" s="25" t="str">
        <x:v>EEZ_793</x:v>
      </x:c>
      <x:c r="B363" s="25" t="str">
        <x:v>exact_sea_around_us</x:v>
      </x:c>
      <x:c r="C363" s="33" t="str">
        <x:v>Sea Around Us exploited organisms</x:v>
      </x:c>
      <x:c r="D363" s="25" t="str">
        <x:v>high</x:v>
      </x:c>
      <x:c r="E363" s="35" t="n">
        <x:v>29</x:v>
      </x:c>
      <x:c r="F363" s="32" t="n">
        <x:v>18116.9146683272</x:v>
      </x:c>
      <x:c r="G363" s="32" t="n">
        <x:v>87055.4164278193</x:v>
      </x:c>
      <x:c r="H363" s="25" t="n">
        <x:v>92</x:v>
      </x:c>
      <x:c r="I363" s="34" t="n">
        <x:v>0.31521739130434784</x:v>
      </x:c>
      <x:c r="J363" s="34" t="n">
        <x:v>0.20810783994524418</x:v>
      </x:c>
    </x:row>
    <x:row r="364" ht="18" customHeight="1">
      <x:c r="A364" s="25" t="str">
        <x:v>EEZ_794</x:v>
      </x:c>
      <x:c r="B364" s="25" t="str">
        <x:v>exact_2020_supplement</x:v>
      </x:c>
      <x:c r="C364" s="33" t="str">
        <x:v>2020 supplement MeanTL</x:v>
      </x:c>
      <x:c r="D364" s="25" t="str">
        <x:v>high</x:v>
      </x:c>
      <x:c r="E364" s="35" t="n">
        <x:v>32</x:v>
      </x:c>
      <x:c r="F364" s="32" t="n">
        <x:v>497048.8397020663</x:v>
      </x:c>
      <x:c r="G364" s="32" t="n">
        <x:v>557210.7803783925</x:v>
      </x:c>
      <x:c r="H364" s="25" t="n">
        <x:v>49</x:v>
      </x:c>
      <x:c r="I364" s="34" t="n">
        <x:v>0.6530612244897959</x:v>
      </x:c>
      <x:c r="J364" s="34" t="n">
        <x:v>0.8920301925323999</x:v>
      </x:c>
    </x:row>
    <x:row r="365" ht="18" customHeight="1">
      <x:c r="A365" s="25" t="str">
        <x:v>EEZ_794</x:v>
      </x:c>
      <x:c r="B365" s="25" t="str">
        <x:v>exact_sea_around_us</x:v>
      </x:c>
      <x:c r="C365" s="33" t="str">
        <x:v>Sea Around Us exploited organisms</x:v>
      </x:c>
      <x:c r="D365" s="25" t="str">
        <x:v>high</x:v>
      </x:c>
      <x:c r="E365" s="35" t="n">
        <x:v>17</x:v>
      </x:c>
      <x:c r="F365" s="32" t="n">
        <x:v>60161.9406763262</x:v>
      </x:c>
      <x:c r="G365" s="32" t="n">
        <x:v>557210.7803783925</x:v>
      </x:c>
      <x:c r="H365" s="25" t="n">
        <x:v>49</x:v>
      </x:c>
      <x:c r="I365" s="34" t="n">
        <x:v>0.3469387755102041</x:v>
      </x:c>
      <x:c r="J365" s="34" t="n">
        <x:v>0.10796980746760002</x:v>
      </x:c>
    </x:row>
    <x:row r="366" ht="18" customHeight="1">
      <x:c r="A366" s="25" t="str">
        <x:v>EEZ_796</x:v>
      </x:c>
      <x:c r="B366" s="25" t="str">
        <x:v>exact_sea_around_us</x:v>
      </x:c>
      <x:c r="C366" s="33" t="str">
        <x:v>Sea Around Us exploited organisms</x:v>
      </x:c>
      <x:c r="D366" s="25" t="str">
        <x:v>high</x:v>
      </x:c>
      <x:c r="E366" s="35" t="n">
        <x:v>13</x:v>
      </x:c>
      <x:c r="F366" s="32" t="n">
        <x:v>7118.5085113596</x:v>
      </x:c>
      <x:c r="G366" s="32" t="n">
        <x:v>7446.679016808499</x:v>
      </x:c>
      <x:c r="H366" s="25" t="n">
        <x:v>21</x:v>
      </x:c>
      <x:c r="I366" s="34" t="n">
        <x:v>0.6190476190476191</x:v>
      </x:c>
      <x:c r="J366" s="34" t="n">
        <x:v>0.9559306229383381</x:v>
      </x:c>
    </x:row>
    <x:row r="367" ht="18" customHeight="1">
      <x:c r="A367" s="25" t="str">
        <x:v>EEZ_796</x:v>
      </x:c>
      <x:c r="B367" s="25" t="str">
        <x:v>exact_2020_supplement</x:v>
      </x:c>
      <x:c r="C367" s="33" t="str">
        <x:v>2020 supplement MeanTL</x:v>
      </x:c>
      <x:c r="D367" s="25" t="str">
        <x:v>high</x:v>
      </x:c>
      <x:c r="E367" s="35" t="n">
        <x:v>8</x:v>
      </x:c>
      <x:c r="F367" s="32" t="n">
        <x:v>328.17050544890003</x:v>
      </x:c>
      <x:c r="G367" s="32" t="n">
        <x:v>7446.679016808499</x:v>
      </x:c>
      <x:c r="H367" s="25" t="n">
        <x:v>21</x:v>
      </x:c>
      <x:c r="I367" s="34" t="n">
        <x:v>0.38095238095238093</x:v>
      </x:c>
      <x:c r="J367" s="34" t="n">
        <x:v>0.044069377061661974</x:v>
      </x:c>
    </x:row>
    <x:row r="368" ht="18" customHeight="1">
      <x:c r="A368" s="25" t="str">
        <x:v>EEZ_798</x:v>
      </x:c>
      <x:c r="B368" s="25" t="str">
        <x:v>exact_2020_supplement</x:v>
      </x:c>
      <x:c r="C368" s="33" t="str">
        <x:v>2020 supplement MeanTL</x:v>
      </x:c>
      <x:c r="D368" s="25" t="str">
        <x:v>high</x:v>
      </x:c>
      <x:c r="E368" s="35" t="n">
        <x:v>21</x:v>
      </x:c>
      <x:c r="F368" s="32" t="n">
        <x:v>137319.1041554762</x:v>
      </x:c>
      <x:c r="G368" s="32" t="n">
        <x:v>145109.2872791087</x:v>
      </x:c>
      <x:c r="H368" s="25" t="n">
        <x:v>46</x:v>
      </x:c>
      <x:c r="I368" s="34" t="n">
        <x:v>0.45652173913043476</x:v>
      </x:c>
      <x:c r="J368" s="34" t="n">
        <x:v>0.9463150617737611</x:v>
      </x:c>
    </x:row>
    <x:row r="369" ht="18" customHeight="1">
      <x:c r="A369" s="25" t="str">
        <x:v>EEZ_798</x:v>
      </x:c>
      <x:c r="B369" s="25" t="str">
        <x:v>exact_sea_around_us</x:v>
      </x:c>
      <x:c r="C369" s="33" t="str">
        <x:v>Sea Around Us exploited organisms</x:v>
      </x:c>
      <x:c r="D369" s="25" t="str">
        <x:v>high</x:v>
      </x:c>
      <x:c r="E369" s="35" t="n">
        <x:v>25</x:v>
      </x:c>
      <x:c r="F369" s="32" t="n">
        <x:v>7790.1831236325</x:v>
      </x:c>
      <x:c r="G369" s="32" t="n">
        <x:v>145109.2872791087</x:v>
      </x:c>
      <x:c r="H369" s="25" t="n">
        <x:v>46</x:v>
      </x:c>
      <x:c r="I369" s="34" t="n">
        <x:v>0.5434782608695652</x:v>
      </x:c>
      <x:c r="J369" s="34" t="n">
        <x:v>0.05368493822623886</x:v>
      </x:c>
    </x:row>
    <x:row r="370" ht="18" customHeight="1">
      <x:c r="A370" s="25" t="str">
        <x:v>EEZ_804</x:v>
      </x:c>
      <x:c r="B370" s="25" t="str">
        <x:v>exact_sea_around_us</x:v>
      </x:c>
      <x:c r="C370" s="33" t="str">
        <x:v>Sea Around Us exploited organisms</x:v>
      </x:c>
      <x:c r="D370" s="25" t="str">
        <x:v>high</x:v>
      </x:c>
      <x:c r="E370" s="35" t="n">
        <x:v>14</x:v>
      </x:c>
      <x:c r="F370" s="32" t="n">
        <x:v>44821.4460393293</x:v>
      </x:c>
      <x:c r="G370" s="32" t="n">
        <x:v>65903.7240236569</x:v>
      </x:c>
      <x:c r="H370" s="25" t="n">
        <x:v>28</x:v>
      </x:c>
      <x:c r="I370" s="34" t="n">
        <x:v>0.5</x:v>
      </x:c>
      <x:c r="J370" s="34" t="n">
        <x:v>0.6801049061087977</x:v>
      </x:c>
    </x:row>
    <x:row r="371" ht="18" customHeight="1">
      <x:c r="A371" s="25" t="str">
        <x:v>EEZ_804</x:v>
      </x:c>
      <x:c r="B371" s="25" t="str">
        <x:v>exact_2020_supplement</x:v>
      </x:c>
      <x:c r="C371" s="33" t="str">
        <x:v>2020 supplement MeanTL</x:v>
      </x:c>
      <x:c r="D371" s="25" t="str">
        <x:v>high</x:v>
      </x:c>
      <x:c r="E371" s="35" t="n">
        <x:v>14</x:v>
      </x:c>
      <x:c r="F371" s="32" t="n">
        <x:v>21082.2779843276</x:v>
      </x:c>
      <x:c r="G371" s="32" t="n">
        <x:v>65903.7240236569</x:v>
      </x:c>
      <x:c r="H371" s="25" t="n">
        <x:v>28</x:v>
      </x:c>
      <x:c r="I371" s="34" t="n">
        <x:v>0.5</x:v>
      </x:c>
      <x:c r="J371" s="34" t="n">
        <x:v>0.31989509389120213</x:v>
      </x:c>
    </x:row>
    <x:row r="372" ht="18" customHeight="1">
      <x:c r="A372" s="25" t="str">
        <x:v>EEZ_826</x:v>
      </x:c>
      <x:c r="B372" s="25" t="str">
        <x:v>exact_2020_supplement</x:v>
      </x:c>
      <x:c r="C372" s="33" t="str">
        <x:v>2020 supplement MeanTL</x:v>
      </x:c>
      <x:c r="D372" s="25" t="str">
        <x:v>high</x:v>
      </x:c>
      <x:c r="E372" s="35" t="n">
        <x:v>189</x:v>
      </x:c>
      <x:c r="F372" s="32" t="n">
        <x:v>1338035.412571489</x:v>
      </x:c>
      <x:c r="G372" s="32" t="n">
        <x:v>1714264.7493178481</x:v>
      </x:c>
      <x:c r="H372" s="25" t="n">
        <x:v>346</x:v>
      </x:c>
      <x:c r="I372" s="34" t="n">
        <x:v>0.546242774566474</x:v>
      </x:c>
      <x:c r="J372" s="34" t="n">
        <x:v>0.7805302028778981</x:v>
      </x:c>
    </x:row>
    <x:row r="373" ht="18" customHeight="1">
      <x:c r="A373" s="25" t="str">
        <x:v>EEZ_826</x:v>
      </x:c>
      <x:c r="B373" s="25" t="str">
        <x:v>exact_sea_around_us</x:v>
      </x:c>
      <x:c r="C373" s="33" t="str">
        <x:v>Sea Around Us exploited organisms</x:v>
      </x:c>
      <x:c r="D373" s="25" t="str">
        <x:v>high</x:v>
      </x:c>
      <x:c r="E373" s="35" t="n">
        <x:v>157</x:v>
      </x:c>
      <x:c r="F373" s="32" t="n">
        <x:v>376229.33674635895</x:v>
      </x:c>
      <x:c r="G373" s="32" t="n">
        <x:v>1714264.7493178481</x:v>
      </x:c>
      <x:c r="H373" s="25" t="n">
        <x:v>346</x:v>
      </x:c>
      <x:c r="I373" s="34" t="n">
        <x:v>0.45375722543352603</x:v>
      </x:c>
      <x:c r="J373" s="34" t="n">
        <x:v>0.21946979712210188</x:v>
      </x:c>
    </x:row>
    <x:row r="374" ht="18" customHeight="1">
      <x:c r="A374" s="25" t="str">
        <x:v>EEZ_830</x:v>
      </x:c>
      <x:c r="B374" s="25" t="str">
        <x:v>exact_2020_supplement</x:v>
      </x:c>
      <x:c r="C374" s="33" t="str">
        <x:v>2020 supplement MeanTL</x:v>
      </x:c>
      <x:c r="D374" s="25" t="str">
        <x:v>high</x:v>
      </x:c>
      <x:c r="E374" s="35" t="n">
        <x:v>139</x:v>
      </x:c>
      <x:c r="F374" s="32" t="n">
        <x:v>9766.5097965647</x:v>
      </x:c>
      <x:c r="G374" s="32" t="n">
        <x:v>13336.3851663309</x:v>
      </x:c>
      <x:c r="H374" s="25" t="n">
        <x:v>263</x:v>
      </x:c>
      <x:c r="I374" s="34" t="n">
        <x:v>0.5285171102661597</x:v>
      </x:c>
      <x:c r="J374" s="34" t="n">
        <x:v>0.7323206157258623</x:v>
      </x:c>
    </x:row>
    <x:row r="375" ht="18" customHeight="1">
      <x:c r="A375" s="25" t="str">
        <x:v>EEZ_830</x:v>
      </x:c>
      <x:c r="B375" s="25" t="str">
        <x:v>exact_sea_around_us</x:v>
      </x:c>
      <x:c r="C375" s="33" t="str">
        <x:v>Sea Around Us exploited organisms</x:v>
      </x:c>
      <x:c r="D375" s="25" t="str">
        <x:v>high</x:v>
      </x:c>
      <x:c r="E375" s="35" t="n">
        <x:v>124</x:v>
      </x:c>
      <x:c r="F375" s="32" t="n">
        <x:v>3569.8753697662</x:v>
      </x:c>
      <x:c r="G375" s="32" t="n">
        <x:v>13336.3851663309</x:v>
      </x:c>
      <x:c r="H375" s="25" t="n">
        <x:v>263</x:v>
      </x:c>
      <x:c r="I375" s="34" t="n">
        <x:v>0.4714828897338403</x:v>
      </x:c>
      <x:c r="J375" s="34" t="n">
        <x:v>0.2676793842741378</x:v>
      </x:c>
    </x:row>
    <x:row r="376" ht="18" customHeight="1">
      <x:c r="A376" s="25" t="str">
        <x:v>EEZ_834</x:v>
      </x:c>
      <x:c r="B376" s="25" t="str">
        <x:v>exact_sea_around_us</x:v>
      </x:c>
      <x:c r="C376" s="33" t="str">
        <x:v>Sea Around Us exploited organisms</x:v>
      </x:c>
      <x:c r="D376" s="25" t="str">
        <x:v>high</x:v>
      </x:c>
      <x:c r="E376" s="35" t="n">
        <x:v>68</x:v>
      </x:c>
      <x:c r="F376" s="32" t="n">
        <x:v>92341.4633880098</x:v>
      </x:c>
      <x:c r="G376" s="32" t="n">
        <x:v>129515.2312113136</x:v>
      </x:c>
      <x:c r="H376" s="25" t="n">
        <x:v>112</x:v>
      </x:c>
      <x:c r="I376" s="34" t="n">
        <x:v>0.6071428571428571</x:v>
      </x:c>
      <x:c r="J376" s="34" t="n">
        <x:v>0.7129776361001736</x:v>
      </x:c>
    </x:row>
    <x:row r="377" ht="18" customHeight="1">
      <x:c r="A377" s="25" t="str">
        <x:v>EEZ_834</x:v>
      </x:c>
      <x:c r="B377" s="25" t="str">
        <x:v>exact_2020_supplement</x:v>
      </x:c>
      <x:c r="C377" s="33" t="str">
        <x:v>2020 supplement MeanTL</x:v>
      </x:c>
      <x:c r="D377" s="25" t="str">
        <x:v>high</x:v>
      </x:c>
      <x:c r="E377" s="35" t="n">
        <x:v>44</x:v>
      </x:c>
      <x:c r="F377" s="32" t="n">
        <x:v>37173.7678233038</x:v>
      </x:c>
      <x:c r="G377" s="32" t="n">
        <x:v>129515.2312113136</x:v>
      </x:c>
      <x:c r="H377" s="25" t="n">
        <x:v>112</x:v>
      </x:c>
      <x:c r="I377" s="34" t="n">
        <x:v>0.39285714285714285</x:v>
      </x:c>
      <x:c r="J377" s="34" t="n">
        <x:v>0.2870223638998264</x:v>
      </x:c>
    </x:row>
    <x:row r="378" ht="18" customHeight="1">
      <x:c r="A378" s="25" t="str">
        <x:v>EEZ_842</x:v>
      </x:c>
      <x:c r="B378" s="25" t="str">
        <x:v>exact_2020_supplement</x:v>
      </x:c>
      <x:c r="C378" s="33" t="str">
        <x:v>2020 supplement MeanTL</x:v>
      </x:c>
      <x:c r="D378" s="25" t="str">
        <x:v>high</x:v>
      </x:c>
      <x:c r="E378" s="35" t="n">
        <x:v>95</x:v>
      </x:c>
      <x:c r="F378" s="32" t="n">
        <x:v>20936.2853783542</x:v>
      </x:c>
      <x:c r="G378" s="32" t="n">
        <x:v>22486.1865752072</x:v>
      </x:c>
      <x:c r="H378" s="25" t="n">
        <x:v>140</x:v>
      </x:c>
      <x:c r="I378" s="34" t="n">
        <x:v>0.6785714285714286</x:v>
      </x:c>
      <x:c r="J378" s="34" t="n">
        <x:v>0.9310731861238807</x:v>
      </x:c>
    </x:row>
    <x:row r="379" ht="18" customHeight="1">
      <x:c r="A379" s="25" t="str">
        <x:v>EEZ_842</x:v>
      </x:c>
      <x:c r="B379" s="25" t="str">
        <x:v>exact_sea_around_us</x:v>
      </x:c>
      <x:c r="C379" s="33" t="str">
        <x:v>Sea Around Us exploited organisms</x:v>
      </x:c>
      <x:c r="D379" s="25" t="str">
        <x:v>high</x:v>
      </x:c>
      <x:c r="E379" s="35" t="n">
        <x:v>45</x:v>
      </x:c>
      <x:c r="F379" s="32" t="n">
        <x:v>1549.9011968529999</x:v>
      </x:c>
      <x:c r="G379" s="32" t="n">
        <x:v>22486.1865752072</x:v>
      </x:c>
      <x:c r="H379" s="25" t="n">
        <x:v>140</x:v>
      </x:c>
      <x:c r="I379" s="34" t="n">
        <x:v>0.32142857142857145</x:v>
      </x:c>
      <x:c r="J379" s="34" t="n">
        <x:v>0.06892681387611933</x:v>
      </x:c>
    </x:row>
    <x:row r="380" ht="18" customHeight="1">
      <x:c r="A380" s="25" t="str">
        <x:v>EEZ_844</x:v>
      </x:c>
      <x:c r="B380" s="25" t="str">
        <x:v>exact_2020_supplement</x:v>
      </x:c>
      <x:c r="C380" s="33" t="str">
        <x:v>2020 supplement MeanTL</x:v>
      </x:c>
      <x:c r="D380" s="25" t="str">
        <x:v>high</x:v>
      </x:c>
      <x:c r="E380" s="35" t="n">
        <x:v>9</x:v>
      </x:c>
      <x:c r="F380" s="32" t="n">
        <x:v>207.42146297020003</x:v>
      </x:c>
      <x:c r="G380" s="32" t="n">
        <x:v>280.5961402573</x:v>
      </x:c>
      <x:c r="H380" s="25" t="n">
        <x:v>17</x:v>
      </x:c>
      <x:c r="I380" s="34" t="n">
        <x:v>0.5294117647058824</x:v>
      </x:c>
      <x:c r="J380" s="34" t="n">
        <x:v>0.7392170925088258</x:v>
      </x:c>
    </x:row>
    <x:row r="381" ht="18" customHeight="1">
      <x:c r="A381" s="25" t="str">
        <x:v>EEZ_844</x:v>
      </x:c>
      <x:c r="B381" s="25" t="str">
        <x:v>exact_sea_around_us</x:v>
      </x:c>
      <x:c r="C381" s="33" t="str">
        <x:v>Sea Around Us exploited organisms</x:v>
      </x:c>
      <x:c r="D381" s="25" t="str">
        <x:v>high</x:v>
      </x:c>
      <x:c r="E381" s="35" t="n">
        <x:v>8</x:v>
      </x:c>
      <x:c r="F381" s="32" t="n">
        <x:v>73.1746772871</x:v>
      </x:c>
      <x:c r="G381" s="32" t="n">
        <x:v>280.5961402573</x:v>
      </x:c>
      <x:c r="H381" s="25" t="n">
        <x:v>17</x:v>
      </x:c>
      <x:c r="I381" s="34" t="n">
        <x:v>0.47058823529411764</x:v>
      </x:c>
      <x:c r="J381" s="34" t="n">
        <x:v>0.26078290749117417</x:v>
      </x:c>
    </x:row>
    <x:row r="382" ht="18" customHeight="1">
      <x:c r="A382" s="25" t="str">
        <x:v>EEZ_845</x:v>
      </x:c>
      <x:c r="B382" s="25" t="str">
        <x:v>exact_2020_supplement</x:v>
      </x:c>
      <x:c r="C382" s="33" t="str">
        <x:v>2020 supplement MeanTL</x:v>
      </x:c>
      <x:c r="D382" s="25" t="str">
        <x:v>high</x:v>
      </x:c>
      <x:c r="E382" s="35" t="n">
        <x:v>9</x:v>
      </x:c>
      <x:c r="F382" s="32" t="n">
        <x:v>2594.6327200508</x:v>
      </x:c>
      <x:c r="G382" s="32" t="n">
        <x:v>3423.53085959</x:v>
      </x:c>
      <x:c r="H382" s="25" t="n">
        <x:v>17</x:v>
      </x:c>
      <x:c r="I382" s="34" t="n">
        <x:v>0.5294117647058824</x:v>
      </x:c>
      <x:c r="J382" s="34" t="n">
        <x:v>0.7578820891252406</x:v>
      </x:c>
    </x:row>
    <x:row r="383" ht="18" customHeight="1">
      <x:c r="A383" s="25" t="str">
        <x:v>EEZ_845</x:v>
      </x:c>
      <x:c r="B383" s="25" t="str">
        <x:v>exact_sea_around_us</x:v>
      </x:c>
      <x:c r="C383" s="33" t="str">
        <x:v>Sea Around Us exploited organisms</x:v>
      </x:c>
      <x:c r="D383" s="25" t="str">
        <x:v>high</x:v>
      </x:c>
      <x:c r="E383" s="35" t="n">
        <x:v>8</x:v>
      </x:c>
      <x:c r="F383" s="32" t="n">
        <x:v>828.8981395392</x:v>
      </x:c>
      <x:c r="G383" s="32" t="n">
        <x:v>3423.53085959</x:v>
      </x:c>
      <x:c r="H383" s="25" t="n">
        <x:v>17</x:v>
      </x:c>
      <x:c r="I383" s="34" t="n">
        <x:v>0.47058823529411764</x:v>
      </x:c>
      <x:c r="J383" s="34" t="n">
        <x:v>0.24211791087475937</x:v>
      </x:c>
    </x:row>
    <x:row r="384" ht="18" customHeight="1">
      <x:c r="A384" s="25" t="str">
        <x:v>EEZ_846</x:v>
      </x:c>
      <x:c r="B384" s="25" t="str">
        <x:v>exact_2020_supplement</x:v>
      </x:c>
      <x:c r="C384" s="33" t="str">
        <x:v>2020 supplement MeanTL</x:v>
      </x:c>
      <x:c r="D384" s="25" t="str">
        <x:v>high</x:v>
      </x:c>
      <x:c r="E384" s="35" t="n">
        <x:v>10</x:v>
      </x:c>
      <x:c r="F384" s="32" t="n">
        <x:v>3126.1568916994</x:v>
      </x:c>
      <x:c r="G384" s="32" t="n">
        <x:v>4352.1546382121</x:v>
      </x:c>
      <x:c r="H384" s="25" t="n">
        <x:v>18</x:v>
      </x:c>
      <x:c r="I384" s="34" t="n">
        <x:v>0.5555555555555556</x:v>
      </x:c>
      <x:c r="J384" s="34" t="n">
        <x:v>0.7183009685022705</x:v>
      </x:c>
    </x:row>
    <x:row r="385" ht="18" customHeight="1">
      <x:c r="A385" s="25" t="str">
        <x:v>EEZ_846</x:v>
      </x:c>
      <x:c r="B385" s="25" t="str">
        <x:v>exact_sea_around_us</x:v>
      </x:c>
      <x:c r="C385" s="33" t="str">
        <x:v>Sea Around Us exploited organisms</x:v>
      </x:c>
      <x:c r="D385" s="25" t="str">
        <x:v>high</x:v>
      </x:c>
      <x:c r="E385" s="35" t="n">
        <x:v>8</x:v>
      </x:c>
      <x:c r="F385" s="32" t="n">
        <x:v>1225.9977465127</x:v>
      </x:c>
      <x:c r="G385" s="32" t="n">
        <x:v>4352.1546382121</x:v>
      </x:c>
      <x:c r="H385" s="25" t="n">
        <x:v>18</x:v>
      </x:c>
      <x:c r="I385" s="34" t="n">
        <x:v>0.4444444444444444</x:v>
      </x:c>
      <x:c r="J385" s="34" t="n">
        <x:v>0.2816990314977295</x:v>
      </x:c>
    </x:row>
    <x:row r="386" ht="18" customHeight="1">
      <x:c r="A386" s="25" t="str">
        <x:v>EEZ_848</x:v>
      </x:c>
      <x:c r="B386" s="25" t="str">
        <x:v>exact_2020_supplement</x:v>
      </x:c>
      <x:c r="C386" s="33" t="str">
        <x:v>2020 supplement MeanTL</x:v>
      </x:c>
      <x:c r="D386" s="25" t="str">
        <x:v>high</x:v>
      </x:c>
      <x:c r="E386" s="35" t="n">
        <x:v>90</x:v>
      </x:c>
      <x:c r="F386" s="32" t="n">
        <x:v>464155.6354994079</x:v>
      </x:c>
      <x:c r="G386" s="32" t="n">
        <x:v>480242.0551134597</x:v>
      </x:c>
      <x:c r="H386" s="25" t="n">
        <x:v>185</x:v>
      </x:c>
      <x:c r="I386" s="34" t="n">
        <x:v>0.4864864864864865</x:v>
      </x:c>
      <x:c r="J386" s="34" t="n">
        <x:v>0.9665035174600622</x:v>
      </x:c>
    </x:row>
    <x:row r="387" ht="18" customHeight="1">
      <x:c r="A387" s="25" t="str">
        <x:v>EEZ_848</x:v>
      </x:c>
      <x:c r="B387" s="25" t="str">
        <x:v>exact_sea_around_us</x:v>
      </x:c>
      <x:c r="C387" s="33" t="str">
        <x:v>Sea Around Us exploited organisms</x:v>
      </x:c>
      <x:c r="D387" s="25" t="str">
        <x:v>high</x:v>
      </x:c>
      <x:c r="E387" s="35" t="n">
        <x:v>95</x:v>
      </x:c>
      <x:c r="F387" s="32" t="n">
        <x:v>16086.4196140518</x:v>
      </x:c>
      <x:c r="G387" s="32" t="n">
        <x:v>480242.0551134597</x:v>
      </x:c>
      <x:c r="H387" s="25" t="n">
        <x:v>185</x:v>
      </x:c>
      <x:c r="I387" s="34" t="n">
        <x:v>0.5135135135135135</x:v>
      </x:c>
      <x:c r="J387" s="34" t="n">
        <x:v>0.03349648253993769</x:v>
      </x:c>
    </x:row>
    <x:row r="388" ht="18" customHeight="1">
      <x:c r="A388" s="25" t="str">
        <x:v>EEZ_850</x:v>
      </x:c>
      <x:c r="B388" s="25" t="str">
        <x:v>exact_sea_around_us</x:v>
      </x:c>
      <x:c r="C388" s="33" t="str">
        <x:v>Sea Around Us exploited organisms</x:v>
      </x:c>
      <x:c r="D388" s="25" t="str">
        <x:v>high</x:v>
      </x:c>
      <x:c r="E388" s="35" t="n">
        <x:v>14</x:v>
      </x:c>
      <x:c r="F388" s="32" t="n">
        <x:v>284.294766669</x:v>
      </x:c>
      <x:c r="G388" s="32" t="n">
        <x:v>385.47906666899996</x:v>
      </x:c>
      <x:c r="H388" s="25" t="n">
        <x:v>21</x:v>
      </x:c>
      <x:c r="I388" s="34" t="n">
        <x:v>0.6666666666666666</x:v>
      </x:c>
      <x:c r="J388" s="34" t="n">
        <x:v>0.7375102599620953</x:v>
      </x:c>
    </x:row>
    <x:row r="389" ht="18" customHeight="1">
      <x:c r="A389" s="25" t="str">
        <x:v>EEZ_850</x:v>
      </x:c>
      <x:c r="B389" s="25" t="str">
        <x:v>exact_2020_supplement</x:v>
      </x:c>
      <x:c r="C389" s="33" t="str">
        <x:v>2020 supplement MeanTL</x:v>
      </x:c>
      <x:c r="D389" s="25" t="str">
        <x:v>high</x:v>
      </x:c>
      <x:c r="E389" s="35" t="n">
        <x:v>7</x:v>
      </x:c>
      <x:c r="F389" s="32" t="n">
        <x:v>101.18430000000001</x:v>
      </x:c>
      <x:c r="G389" s="32" t="n">
        <x:v>385.47906666899996</x:v>
      </x:c>
      <x:c r="H389" s="25" t="n">
        <x:v>21</x:v>
      </x:c>
      <x:c r="I389" s="34" t="n">
        <x:v>0.3333333333333333</x:v>
      </x:c>
      <x:c r="J389" s="34" t="n">
        <x:v>0.2624897400379049</x:v>
      </x:c>
    </x:row>
    <x:row r="390" ht="18" customHeight="1">
      <x:c r="A390" s="25" t="str">
        <x:v>EEZ_851</x:v>
      </x:c>
      <x:c r="B390" s="25" t="str">
        <x:v>exact_sea_around_us</x:v>
      </x:c>
      <x:c r="C390" s="33" t="str">
        <x:v>Sea Around Us exploited organisms</x:v>
      </x:c>
      <x:c r="D390" s="25" t="str">
        <x:v>high</x:v>
      </x:c>
      <x:c r="E390" s="35" t="n">
        <x:v>159</x:v>
      </x:c>
      <x:c r="F390" s="32" t="n">
        <x:v>506312.1651565157</x:v>
      </x:c>
      <x:c r="G390" s="32" t="n">
        <x:v>1002996.0875079747</x:v>
      </x:c>
      <x:c r="H390" s="25" t="n">
        <x:v>352</x:v>
      </x:c>
      <x:c r="I390" s="34" t="n">
        <x:v>0.45170454545454547</x:v>
      </x:c>
      <x:c r="J390" s="34" t="n">
        <x:v>0.5047997409586008</x:v>
      </x:c>
    </x:row>
    <x:row r="391" ht="18" customHeight="1">
      <x:c r="A391" s="25" t="str">
        <x:v>EEZ_851</x:v>
      </x:c>
      <x:c r="B391" s="25" t="str">
        <x:v>exact_2020_supplement</x:v>
      </x:c>
      <x:c r="C391" s="33" t="str">
        <x:v>2020 supplement MeanTL</x:v>
      </x:c>
      <x:c r="D391" s="25" t="str">
        <x:v>high</x:v>
      </x:c>
      <x:c r="E391" s="35" t="n">
        <x:v>193</x:v>
      </x:c>
      <x:c r="F391" s="32" t="n">
        <x:v>496683.922351459</x:v>
      </x:c>
      <x:c r="G391" s="32" t="n">
        <x:v>1002996.0875079747</x:v>
      </x:c>
      <x:c r="H391" s="25" t="n">
        <x:v>352</x:v>
      </x:c>
      <x:c r="I391" s="34" t="n">
        <x:v>0.5482954545454546</x:v>
      </x:c>
      <x:c r="J391" s="34" t="n">
        <x:v>0.4952002590413992</x:v>
      </x:c>
    </x:row>
    <x:row r="392" ht="18" customHeight="1">
      <x:c r="A392" s="25" t="str">
        <x:v>EEZ_852</x:v>
      </x:c>
      <x:c r="B392" s="25" t="str">
        <x:v>exact_sea_around_us</x:v>
      </x:c>
      <x:c r="C392" s="33" t="str">
        <x:v>Sea Around Us exploited organisms</x:v>
      </x:c>
      <x:c r="D392" s="25" t="str">
        <x:v>high</x:v>
      </x:c>
      <x:c r="E392" s="35" t="n">
        <x:v>174</x:v>
      </x:c>
      <x:c r="F392" s="32" t="n">
        <x:v>791201.4106229678</x:v>
      </x:c>
      <x:c r="G392" s="32" t="n">
        <x:v>1104194.026503118</x:v>
      </x:c>
      <x:c r="H392" s="25" t="n">
        <x:v>375</x:v>
      </x:c>
      <x:c r="I392" s="34" t="n">
        <x:v>0.464</x:v>
      </x:c>
      <x:c r="J392" s="34" t="n">
        <x:v>0.7165420131175955</x:v>
      </x:c>
    </x:row>
    <x:row r="393" ht="18" customHeight="1">
      <x:c r="A393" s="25" t="str">
        <x:v>EEZ_852</x:v>
      </x:c>
      <x:c r="B393" s="25" t="str">
        <x:v>exact_2020_supplement</x:v>
      </x:c>
      <x:c r="C393" s="33" t="str">
        <x:v>2020 supplement MeanTL</x:v>
      </x:c>
      <x:c r="D393" s="25" t="str">
        <x:v>high</x:v>
      </x:c>
      <x:c r="E393" s="35" t="n">
        <x:v>201</x:v>
      </x:c>
      <x:c r="F393" s="32" t="n">
        <x:v>312992.61588015023</x:v>
      </x:c>
      <x:c r="G393" s="32" t="n">
        <x:v>1104194.026503118</x:v>
      </x:c>
      <x:c r="H393" s="25" t="n">
        <x:v>375</x:v>
      </x:c>
      <x:c r="I393" s="34" t="n">
        <x:v>0.536</x:v>
      </x:c>
      <x:c r="J393" s="34" t="n">
        <x:v>0.2834579868824045</x:v>
      </x:c>
    </x:row>
    <x:row r="394" ht="18" customHeight="1">
      <x:c r="A394" s="25" t="str">
        <x:v>EEZ_855</x:v>
      </x:c>
      <x:c r="B394" s="25" t="str">
        <x:v>exact_sea_around_us</x:v>
      </x:c>
      <x:c r="C394" s="33" t="str">
        <x:v>Sea Around Us exploited organisms</x:v>
      </x:c>
      <x:c r="D394" s="25" t="str">
        <x:v>high</x:v>
      </x:c>
      <x:c r="E394" s="35" t="n">
        <x:v>10</x:v>
      </x:c>
      <x:c r="F394" s="32" t="n">
        <x:v>32.764000003999996</x:v>
      </x:c>
      <x:c r="G394" s="32" t="n">
        <x:v>32.764000003999996</x:v>
      </x:c>
      <x:c r="H394" s="25" t="n">
        <x:v>10</x:v>
      </x:c>
      <x:c r="I394" s="34" t="n">
        <x:v>1</x:v>
      </x:c>
      <x:c r="J394" s="34" t="n">
        <x:v>1</x:v>
      </x:c>
    </x:row>
    <x:row r="395" ht="18" customHeight="1">
      <x:c r="A395" s="25" t="str">
        <x:v>EEZ_856</x:v>
      </x:c>
      <x:c r="B395" s="25" t="str">
        <x:v>exact_sea_around_us</x:v>
      </x:c>
      <x:c r="C395" s="33" t="str">
        <x:v>Sea Around Us exploited organisms</x:v>
      </x:c>
      <x:c r="D395" s="25" t="str">
        <x:v>high</x:v>
      </x:c>
      <x:c r="E395" s="35" t="n">
        <x:v>6</x:v>
      </x:c>
      <x:c r="F395" s="32" t="n">
        <x:v>691.8142001158</x:v>
      </x:c>
      <x:c r="G395" s="32" t="n">
        <x:v>733.0059081888</x:v>
      </x:c>
      <x:c r="H395" s="25" t="n">
        <x:v>9</x:v>
      </x:c>
      <x:c r="I395" s="34" t="n">
        <x:v>0.6666666666666666</x:v>
      </x:c>
      <x:c r="J395" s="34" t="n">
        <x:v>0.9438043982827075</x:v>
      </x:c>
    </x:row>
    <x:row r="396" ht="18" customHeight="1">
      <x:c r="A396" s="25" t="str">
        <x:v>EEZ_856</x:v>
      </x:c>
      <x:c r="B396" s="25" t="str">
        <x:v>exact_2020_supplement</x:v>
      </x:c>
      <x:c r="C396" s="33" t="str">
        <x:v>2020 supplement MeanTL</x:v>
      </x:c>
      <x:c r="D396" s="25" t="str">
        <x:v>high</x:v>
      </x:c>
      <x:c r="E396" s="35" t="n">
        <x:v>3</x:v>
      </x:c>
      <x:c r="F396" s="32" t="n">
        <x:v>41.191708073</x:v>
      </x:c>
      <x:c r="G396" s="32" t="n">
        <x:v>733.0059081888</x:v>
      </x:c>
      <x:c r="H396" s="25" t="n">
        <x:v>9</x:v>
      </x:c>
      <x:c r="I396" s="34" t="n">
        <x:v>0.3333333333333333</x:v>
      </x:c>
      <x:c r="J396" s="34" t="n">
        <x:v>0.05619560171729239</x:v>
      </x:c>
    </x:row>
    <x:row r="397" ht="18" customHeight="1">
      <x:c r="A397" s="25" t="str">
        <x:v>EEZ_858</x:v>
      </x:c>
      <x:c r="B397" s="25" t="str">
        <x:v>exact_2020_supplement</x:v>
      </x:c>
      <x:c r="C397" s="33" t="str">
        <x:v>2020 supplement MeanTL</x:v>
      </x:c>
      <x:c r="D397" s="25" t="str">
        <x:v>high</x:v>
      </x:c>
      <x:c r="E397" s="35" t="n">
        <x:v>35</x:v>
      </x:c>
      <x:c r="F397" s="32" t="n">
        <x:v>99176.4471481517</x:v>
      </x:c>
      <x:c r="G397" s="32" t="n">
        <x:v>107838.9938680954</x:v>
      </x:c>
      <x:c r="H397" s="25" t="n">
        <x:v>60</x:v>
      </x:c>
      <x:c r="I397" s="34" t="n">
        <x:v>0.5833333333333334</x:v>
      </x:c>
      <x:c r="J397" s="34" t="n">
        <x:v>0.9196714805171551</x:v>
      </x:c>
    </x:row>
    <x:row r="398" ht="18" customHeight="1">
      <x:c r="A398" s="25" t="str">
        <x:v>EEZ_858</x:v>
      </x:c>
      <x:c r="B398" s="25" t="str">
        <x:v>exact_sea_around_us</x:v>
      </x:c>
      <x:c r="C398" s="33" t="str">
        <x:v>Sea Around Us exploited organisms</x:v>
      </x:c>
      <x:c r="D398" s="25" t="str">
        <x:v>high</x:v>
      </x:c>
      <x:c r="E398" s="35" t="n">
        <x:v>25</x:v>
      </x:c>
      <x:c r="F398" s="32" t="n">
        <x:v>8662.5467199437</x:v>
      </x:c>
      <x:c r="G398" s="32" t="n">
        <x:v>107838.9938680954</x:v>
      </x:c>
      <x:c r="H398" s="25" t="n">
        <x:v>60</x:v>
      </x:c>
      <x:c r="I398" s="34" t="n">
        <x:v>0.4166666666666667</x:v>
      </x:c>
      <x:c r="J398" s="34" t="n">
        <x:v>0.08032851948284497</x:v>
      </x:c>
    </x:row>
    <x:row r="399" ht="18" customHeight="1">
      <x:c r="A399" s="25" t="str">
        <x:v>EEZ_862</x:v>
      </x:c>
      <x:c r="B399" s="25" t="str">
        <x:v>exact_2020_supplement</x:v>
      </x:c>
      <x:c r="C399" s="33" t="str">
        <x:v>2020 supplement MeanTL</x:v>
      </x:c>
      <x:c r="D399" s="25" t="str">
        <x:v>high</x:v>
      </x:c>
      <x:c r="E399" s="35" t="n">
        <x:v>75</x:v>
      </x:c>
      <x:c r="F399" s="32" t="n">
        <x:v>195025.0749078657</x:v>
      </x:c>
      <x:c r="G399" s="32" t="n">
        <x:v>306380.438267835</x:v>
      </x:c>
      <x:c r="H399" s="25" t="n">
        <x:v>153</x:v>
      </x:c>
      <x:c r="I399" s="34" t="n">
        <x:v>0.49019607843137253</x:v>
      </x:c>
      <x:c r="J399" s="34" t="n">
        <x:v>0.6365454531316276</x:v>
      </x:c>
    </x:row>
    <x:row r="400" ht="18" customHeight="1">
      <x:c r="A400" s="25" t="str">
        <x:v>EEZ_862</x:v>
      </x:c>
      <x:c r="B400" s="25" t="str">
        <x:v>exact_sea_around_us</x:v>
      </x:c>
      <x:c r="C400" s="33" t="str">
        <x:v>Sea Around Us exploited organisms</x:v>
      </x:c>
      <x:c r="D400" s="25" t="str">
        <x:v>high</x:v>
      </x:c>
      <x:c r="E400" s="35" t="n">
        <x:v>78</x:v>
      </x:c>
      <x:c r="F400" s="32" t="n">
        <x:v>111355.3633599693</x:v>
      </x:c>
      <x:c r="G400" s="32" t="n">
        <x:v>306380.438267835</x:v>
      </x:c>
      <x:c r="H400" s="25" t="n">
        <x:v>153</x:v>
      </x:c>
      <x:c r="I400" s="34" t="n">
        <x:v>0.5098039215686274</x:v>
      </x:c>
      <x:c r="J400" s="34" t="n">
        <x:v>0.36345454686837236</x:v>
      </x:c>
    </x:row>
    <x:row r="401" ht="18" customHeight="1">
      <x:c r="A401" s="25" t="str">
        <x:v>EEZ_872</x:v>
      </x:c>
      <x:c r="B401" s="25" t="str">
        <x:v>exact_2020_supplement</x:v>
      </x:c>
      <x:c r="C401" s="33" t="str">
        <x:v>2020 supplement MeanTL</x:v>
      </x:c>
      <x:c r="D401" s="25" t="str">
        <x:v>high</x:v>
      </x:c>
      <x:c r="E401" s="35" t="n">
        <x:v>7</x:v>
      </x:c>
      <x:c r="F401" s="32" t="n">
        <x:v>25.0915575659</x:v>
      </x:c>
      <x:c r="G401" s="32" t="n">
        <x:v>34.6337873892</x:v>
      </x:c>
      <x:c r="H401" s="25" t="n">
        <x:v>13</x:v>
      </x:c>
      <x:c r="I401" s="34" t="n">
        <x:v>0.5384615384615384</x:v>
      </x:c>
      <x:c r="J401" s="34" t="n">
        <x:v>0.7244820580530678</x:v>
      </x:c>
    </x:row>
    <x:row r="402" ht="18" customHeight="1">
      <x:c r="A402" s="25" t="str">
        <x:v>EEZ_872</x:v>
      </x:c>
      <x:c r="B402" s="25" t="str">
        <x:v>exact_sea_around_us</x:v>
      </x:c>
      <x:c r="C402" s="33" t="str">
        <x:v>Sea Around Us exploited organisms</x:v>
      </x:c>
      <x:c r="D402" s="25" t="str">
        <x:v>high</x:v>
      </x:c>
      <x:c r="E402" s="35" t="n">
        <x:v>6</x:v>
      </x:c>
      <x:c r="F402" s="32" t="n">
        <x:v>9.5422298233</x:v>
      </x:c>
      <x:c r="G402" s="32" t="n">
        <x:v>34.6337873892</x:v>
      </x:c>
      <x:c r="H402" s="25" t="n">
        <x:v>13</x:v>
      </x:c>
      <x:c r="I402" s="34" t="n">
        <x:v>0.46153846153846156</x:v>
      </x:c>
      <x:c r="J402" s="34" t="n">
        <x:v>0.27551794194693224</x:v>
      </x:c>
    </x:row>
    <x:row r="403" ht="18" customHeight="1">
      <x:c r="A403" s="25" t="str">
        <x:v>EEZ_876</x:v>
      </x:c>
      <x:c r="B403" s="25" t="str">
        <x:v>exact_2020_supplement</x:v>
      </x:c>
      <x:c r="C403" s="33" t="str">
        <x:v>2020 supplement MeanTL</x:v>
      </x:c>
      <x:c r="D403" s="25" t="str">
        <x:v>high</x:v>
      </x:c>
      <x:c r="E403" s="35" t="n">
        <x:v>48</x:v>
      </x:c>
      <x:c r="F403" s="32" t="n">
        <x:v>711.7831767668999</x:v>
      </x:c>
      <x:c r="G403" s="32" t="n">
        <x:v>971.0058082377</x:v>
      </x:c>
      <x:c r="H403" s="25" t="n">
        <x:v>71</x:v>
      </x:c>
      <x:c r="I403" s="34" t="n">
        <x:v>0.676056338028169</x:v>
      </x:c>
      <x:c r="J403" s="34" t="n">
        <x:v>0.7330369918782783</x:v>
      </x:c>
    </x:row>
    <x:row r="404" ht="18" customHeight="1">
      <x:c r="A404" s="25" t="str">
        <x:v>EEZ_876</x:v>
      </x:c>
      <x:c r="B404" s="25" t="str">
        <x:v>exact_sea_around_us</x:v>
      </x:c>
      <x:c r="C404" s="33" t="str">
        <x:v>Sea Around Us exploited organisms</x:v>
      </x:c>
      <x:c r="D404" s="25" t="str">
        <x:v>high</x:v>
      </x:c>
      <x:c r="E404" s="35" t="n">
        <x:v>23</x:v>
      </x:c>
      <x:c r="F404" s="32" t="n">
        <x:v>259.2226314708</x:v>
      </x:c>
      <x:c r="G404" s="32" t="n">
        <x:v>971.0058082377</x:v>
      </x:c>
      <x:c r="H404" s="25" t="n">
        <x:v>71</x:v>
      </x:c>
      <x:c r="I404" s="34" t="n">
        <x:v>0.323943661971831</x:v>
      </x:c>
      <x:c r="J404" s="34" t="n">
        <x:v>0.2669630081217217</x:v>
      </x:c>
    </x:row>
    <x:row r="405" ht="18" customHeight="1">
      <x:c r="A405" s="25" t="str">
        <x:v>EEZ_882</x:v>
      </x:c>
      <x:c r="B405" s="25" t="str">
        <x:v>exact_2020_supplement</x:v>
      </x:c>
      <x:c r="C405" s="33" t="str">
        <x:v>2020 supplement MeanTL</x:v>
      </x:c>
      <x:c r="D405" s="25" t="str">
        <x:v>high</x:v>
      </x:c>
      <x:c r="E405" s="35" t="n">
        <x:v>37</x:v>
      </x:c>
      <x:c r="F405" s="32" t="n">
        <x:v>8706.0887505806</x:v>
      </x:c>
      <x:c r="G405" s="32" t="n">
        <x:v>13979.0205088216</x:v>
      </x:c>
      <x:c r="H405" s="25" t="n">
        <x:v>72</x:v>
      </x:c>
      <x:c r="I405" s="34" t="n">
        <x:v>0.5138888888888888</x:v>
      </x:c>
      <x:c r="J405" s="34" t="n">
        <x:v>0.62279676498697</x:v>
      </x:c>
    </x:row>
    <x:row r="406" ht="18" customHeight="1">
      <x:c r="A406" s="25" t="str">
        <x:v>EEZ_882</x:v>
      </x:c>
      <x:c r="B406" s="25" t="str">
        <x:v>exact_sea_around_us</x:v>
      </x:c>
      <x:c r="C406" s="33" t="str">
        <x:v>Sea Around Us exploited organisms</x:v>
      </x:c>
      <x:c r="D406" s="25" t="str">
        <x:v>high</x:v>
      </x:c>
      <x:c r="E406" s="35" t="n">
        <x:v>35</x:v>
      </x:c>
      <x:c r="F406" s="32" t="n">
        <x:v>5272.931758241</x:v>
      </x:c>
      <x:c r="G406" s="32" t="n">
        <x:v>13979.0205088216</x:v>
      </x:c>
      <x:c r="H406" s="25" t="n">
        <x:v>72</x:v>
      </x:c>
      <x:c r="I406" s="34" t="n">
        <x:v>0.4861111111111111</x:v>
      </x:c>
      <x:c r="J406" s="34" t="n">
        <x:v>0.37720323501303</x:v>
      </x:c>
    </x:row>
    <x:row r="407" ht="18" customHeight="1">
      <x:c r="A407" s="25" t="str">
        <x:v>EEZ_891</x:v>
      </x:c>
      <x:c r="B407" s="25" t="str">
        <x:v>exact_2020_supplement</x:v>
      </x:c>
      <x:c r="C407" s="33" t="str">
        <x:v>2020 supplement MeanTL</x:v>
      </x:c>
      <x:c r="D407" s="25" t="str">
        <x:v>high</x:v>
      </x:c>
      <x:c r="E407" s="35" t="n">
        <x:v>38</x:v>
      </x:c>
      <x:c r="F407" s="32" t="n">
        <x:v>867.1048861026</x:v>
      </x:c>
      <x:c r="G407" s="32" t="n">
        <x:v>1698.0118630171</x:v>
      </x:c>
      <x:c r="H407" s="25" t="n">
        <x:v>70</x:v>
      </x:c>
      <x:c r="I407" s="34" t="n">
        <x:v>0.5428571428571428</x:v>
      </x:c>
      <x:c r="J407" s="34" t="n">
        <x:v>0.51065890939177</x:v>
      </x:c>
    </x:row>
    <x:row r="408" ht="18" customHeight="1">
      <x:c r="A408" s="25" t="str">
        <x:v>EEZ_891</x:v>
      </x:c>
      <x:c r="B408" s="25" t="str">
        <x:v>exact_sea_around_us</x:v>
      </x:c>
      <x:c r="C408" s="33" t="str">
        <x:v>Sea Around Us exploited organisms</x:v>
      </x:c>
      <x:c r="D408" s="25" t="str">
        <x:v>high</x:v>
      </x:c>
      <x:c r="E408" s="35" t="n">
        <x:v>32</x:v>
      </x:c>
      <x:c r="F408" s="32" t="n">
        <x:v>830.9069769145</x:v>
      </x:c>
      <x:c r="G408" s="32" t="n">
        <x:v>1698.0118630171</x:v>
      </x:c>
      <x:c r="H408" s="25" t="n">
        <x:v>70</x:v>
      </x:c>
      <x:c r="I408" s="34" t="n">
        <x:v>0.45714285714285713</x:v>
      </x:c>
      <x:c r="J408" s="34" t="n">
        <x:v>0.4893410906082299</x:v>
      </x:c>
    </x:row>
    <x:row r="409" ht="18" customHeight="1">
      <x:c r="A409" s="25" t="str">
        <x:v>EEZ_895</x:v>
      </x:c>
      <x:c r="B409" s="25" t="str">
        <x:v>exact_sea_around_us</x:v>
      </x:c>
      <x:c r="C409" s="33" t="str">
        <x:v>Sea Around Us exploited organisms</x:v>
      </x:c>
      <x:c r="D409" s="25" t="str">
        <x:v>high</x:v>
      </x:c>
      <x:c r="E409" s="35" t="n">
        <x:v>2</x:v>
      </x:c>
      <x:c r="F409" s="32" t="n">
        <x:v>493.96866088</x:v>
      </x:c>
      <x:c r="G409" s="32" t="n">
        <x:v>497.3573467841</x:v>
      </x:c>
      <x:c r="H409" s="25" t="n">
        <x:v>3</x:v>
      </x:c>
      <x:c r="I409" s="34" t="n">
        <x:v>0.6666666666666666</x:v>
      </x:c>
      <x:c r="J409" s="34" t="n">
        <x:v>0.9931866173767994</x:v>
      </x:c>
    </x:row>
    <x:row r="410" ht="18" customHeight="1">
      <x:c r="A410" s="25" t="str">
        <x:v>EEZ_895</x:v>
      </x:c>
      <x:c r="B410" s="25" t="str">
        <x:v>exact_2020_supplement</x:v>
      </x:c>
      <x:c r="C410" s="33" t="str">
        <x:v>2020 supplement MeanTL</x:v>
      </x:c>
      <x:c r="D410" s="25" t="str">
        <x:v>high</x:v>
      </x:c>
      <x:c r="E410" s="35" t="n">
        <x:v>1</x:v>
      </x:c>
      <x:c r="F410" s="32" t="n">
        <x:v>3.3886859041</x:v>
      </x:c>
      <x:c r="G410" s="32" t="n">
        <x:v>497.3573467841</x:v>
      </x:c>
      <x:c r="H410" s="25" t="n">
        <x:v>3</x:v>
      </x:c>
      <x:c r="I410" s="34" t="n">
        <x:v>0.3333333333333333</x:v>
      </x:c>
      <x:c r="J410" s="34" t="n">
        <x:v>0.0068133826232007165</x:v>
      </x:c>
    </x:row>
    <x:row r="411" ht="18" customHeight="1">
      <x:c r="A411" s="25" t="str">
        <x:v>EEZ_896</x:v>
      </x:c>
      <x:c r="B411" s="25" t="str">
        <x:v>exact_2020_supplement</x:v>
      </x:c>
      <x:c r="C411" s="33" t="str">
        <x:v>2020 supplement MeanTL</x:v>
      </x:c>
      <x:c r="D411" s="25" t="str">
        <x:v>high</x:v>
      </x:c>
      <x:c r="E411" s="35" t="n">
        <x:v>4</x:v>
      </x:c>
      <x:c r="F411" s="32" t="n">
        <x:v>870.1173547804999</x:v>
      </x:c>
      <x:c r="G411" s="32" t="n">
        <x:v>962.1183434891</x:v>
      </x:c>
      <x:c r="H411" s="25" t="n">
        <x:v>7</x:v>
      </x:c>
      <x:c r="I411" s="34" t="n">
        <x:v>0.5714285714285714</x:v>
      </x:c>
      <x:c r="J411" s="34" t="n">
        <x:v>0.9043766400139919</x:v>
      </x:c>
    </x:row>
    <x:row r="412" ht="18" customHeight="1">
      <x:c r="A412" s="25" t="str">
        <x:v>EEZ_896</x:v>
      </x:c>
      <x:c r="B412" s="25" t="str">
        <x:v>exact_sea_around_us</x:v>
      </x:c>
      <x:c r="C412" s="33" t="str">
        <x:v>Sea Around Us exploited organisms</x:v>
      </x:c>
      <x:c r="D412" s="25" t="str">
        <x:v>high</x:v>
      </x:c>
      <x:c r="E412" s="35" t="n">
        <x:v>3</x:v>
      </x:c>
      <x:c r="F412" s="32" t="n">
        <x:v>92.00098870859999</x:v>
      </x:c>
      <x:c r="G412" s="32" t="n">
        <x:v>962.1183434891</x:v>
      </x:c>
      <x:c r="H412" s="25" t="n">
        <x:v>7</x:v>
      </x:c>
      <x:c r="I412" s="34" t="n">
        <x:v>0.42857142857142855</x:v>
      </x:c>
      <x:c r="J412" s="34" t="n">
        <x:v>0.09562335998600809</x:v>
      </x:c>
    </x:row>
    <x:row r="413" ht="18" customHeight="1">
      <x:c r="A413" s="25" t="str">
        <x:v>EEZ_897</x:v>
      </x:c>
      <x:c r="B413" s="25" t="str">
        <x:v>exact_2020_supplement</x:v>
      </x:c>
      <x:c r="C413" s="33" t="str">
        <x:v>2020 supplement MeanTL</x:v>
      </x:c>
      <x:c r="D413" s="25" t="str">
        <x:v>high</x:v>
      </x:c>
      <x:c r="E413" s="35" t="n">
        <x:v>2</x:v>
      </x:c>
      <x:c r="F413" s="32" t="n">
        <x:v>5105.352256</x:v>
      </x:c>
      <x:c r="G413" s="32" t="n">
        <x:v>5596.068902999999</x:v>
      </x:c>
      <x:c r="H413" s="25" t="n">
        <x:v>6</x:v>
      </x:c>
      <x:c r="I413" s="34" t="n">
        <x:v>0.3333333333333333</x:v>
      </x:c>
      <x:c r="J413" s="34" t="n">
        <x:v>0.9123104708848508</x:v>
      </x:c>
    </x:row>
    <x:row r="414" ht="18" customHeight="1">
      <x:c r="A414" s="25" t="str">
        <x:v>EEZ_897</x:v>
      </x:c>
      <x:c r="B414" s="25" t="str">
        <x:v>exact_sea_around_us</x:v>
      </x:c>
      <x:c r="C414" s="33" t="str">
        <x:v>Sea Around Us exploited organisms</x:v>
      </x:c>
      <x:c r="D414" s="25" t="str">
        <x:v>high</x:v>
      </x:c>
      <x:c r="E414" s="35" t="n">
        <x:v>4</x:v>
      </x:c>
      <x:c r="F414" s="32" t="n">
        <x:v>490.716647</x:v>
      </x:c>
      <x:c r="G414" s="32" t="n">
        <x:v>5596.068902999999</x:v>
      </x:c>
      <x:c r="H414" s="25" t="n">
        <x:v>6</x:v>
      </x:c>
      <x:c r="I414" s="34" t="n">
        <x:v>0.6666666666666666</x:v>
      </x:c>
      <x:c r="J414" s="34" t="n">
        <x:v>0.0876895291151493</x:v>
      </x:c>
    </x:row>
    <x:row r="415" ht="18" customHeight="1">
      <x:c r="A415" s="25" t="str">
        <x:v>EEZ_898</x:v>
      </x:c>
      <x:c r="B415" s="25" t="str">
        <x:v>exact_2020_supplement</x:v>
      </x:c>
      <x:c r="C415" s="33" t="str">
        <x:v>2020 supplement MeanTL</x:v>
      </x:c>
      <x:c r="D415" s="25" t="str">
        <x:v>high</x:v>
      </x:c>
      <x:c r="E415" s="35" t="n">
        <x:v>10</x:v>
      </x:c>
      <x:c r="F415" s="32" t="n">
        <x:v>5721.1341229431</x:v>
      </x:c>
      <x:c r="G415" s="32" t="n">
        <x:v>5821.568891177801</x:v>
      </x:c>
      <x:c r="H415" s="25" t="n">
        <x:v>17</x:v>
      </x:c>
      <x:c r="I415" s="34" t="n">
        <x:v>0.5882352941176471</x:v>
      </x:c>
      <x:c r="J415" s="34" t="n">
        <x:v>0.9827478176223419</x:v>
      </x:c>
    </x:row>
    <x:row r="416" ht="18" customHeight="1">
      <x:c r="A416" s="25" t="str">
        <x:v>EEZ_898</x:v>
      </x:c>
      <x:c r="B416" s="25" t="str">
        <x:v>exact_sea_around_us</x:v>
      </x:c>
      <x:c r="C416" s="33" t="str">
        <x:v>Sea Around Us exploited organisms</x:v>
      </x:c>
      <x:c r="D416" s="25" t="str">
        <x:v>high</x:v>
      </x:c>
      <x:c r="E416" s="35" t="n">
        <x:v>7</x:v>
      </x:c>
      <x:c r="F416" s="32" t="n">
        <x:v>100.4347682347</x:v>
      </x:c>
      <x:c r="G416" s="32" t="n">
        <x:v>5821.568891177801</x:v>
      </x:c>
      <x:c r="H416" s="25" t="n">
        <x:v>17</x:v>
      </x:c>
      <x:c r="I416" s="34" t="n">
        <x:v>0.4117647058823529</x:v>
      </x:c>
      <x:c r="J416" s="34" t="n">
        <x:v>0.017252182377658055</x:v>
      </x:c>
    </x:row>
    <x:row r="417" ht="18" customHeight="1">
      <x:c r="A417" s="25" t="str">
        <x:v>EEZ_899</x:v>
      </x:c>
      <x:c r="B417" s="25" t="str">
        <x:v>exact_sea_around_us</x:v>
      </x:c>
      <x:c r="C417" s="33" t="str">
        <x:v>Sea Around Us exploited organisms</x:v>
      </x:c>
      <x:c r="D417" s="25" t="str">
        <x:v>high</x:v>
      </x:c>
      <x:c r="E417" s="35" t="n">
        <x:v>39</x:v>
      </x:c>
      <x:c r="F417" s="32" t="n">
        <x:v>975.1598638779</x:v>
      </x:c>
      <x:c r="G417" s="32" t="n">
        <x:v>1565.0256591657</x:v>
      </x:c>
      <x:c r="H417" s="25" t="n">
        <x:v>114</x:v>
      </x:c>
      <x:c r="I417" s="34" t="n">
        <x:v>0.34210526315789475</x:v>
      </x:c>
      <x:c r="J417" s="34" t="n">
        <x:v>0.623095128291857</x:v>
      </x:c>
    </x:row>
    <x:row r="418" ht="18" customHeight="1">
      <x:c r="A418" s="25" t="str">
        <x:v>EEZ_899</x:v>
      </x:c>
      <x:c r="B418" s="25" t="str">
        <x:v>exact_2020_supplement</x:v>
      </x:c>
      <x:c r="C418" s="33" t="str">
        <x:v>2020 supplement MeanTL</x:v>
      </x:c>
      <x:c r="D418" s="25" t="str">
        <x:v>high</x:v>
      </x:c>
      <x:c r="E418" s="35" t="n">
        <x:v>75</x:v>
      </x:c>
      <x:c r="F418" s="32" t="n">
        <x:v>589.8657952878</x:v>
      </x:c>
      <x:c r="G418" s="32" t="n">
        <x:v>1565.0256591657</x:v>
      </x:c>
      <x:c r="H418" s="25" t="n">
        <x:v>114</x:v>
      </x:c>
      <x:c r="I418" s="34" t="n">
        <x:v>0.6578947368421053</x:v>
      </x:c>
      <x:c r="J418" s="34" t="n">
        <x:v>0.3769048717081429</x:v>
      </x:c>
    </x:row>
    <x:row r="419" ht="18" customHeight="1">
      <x:c r="A419" s="25" t="str">
        <x:v>EEZ_900</x:v>
      </x:c>
      <x:c r="B419" s="25" t="str">
        <x:v>exact_2020_supplement</x:v>
      </x:c>
      <x:c r="C419" s="33" t="str">
        <x:v>2020 supplement MeanTL</x:v>
      </x:c>
      <x:c r="D419" s="25" t="str">
        <x:v>high</x:v>
      </x:c>
      <x:c r="E419" s="35" t="n">
        <x:v>49</x:v>
      </x:c>
      <x:c r="F419" s="32" t="n">
        <x:v>2188.959735301</x:v>
      </x:c>
      <x:c r="G419" s="32" t="n">
        <x:v>3619.1201016588</x:v>
      </x:c>
      <x:c r="H419" s="25" t="n">
        <x:v>73</x:v>
      </x:c>
      <x:c r="I419" s="34" t="n">
        <x:v>0.6712328767123288</x:v>
      </x:c>
      <x:c r="J419" s="34" t="n">
        <x:v>0.6048320237556373</x:v>
      </x:c>
    </x:row>
    <x:row r="420" ht="18" customHeight="1">
      <x:c r="A420" s="25" t="str">
        <x:v>EEZ_900</x:v>
      </x:c>
      <x:c r="B420" s="25" t="str">
        <x:v>exact_sea_around_us</x:v>
      </x:c>
      <x:c r="C420" s="33" t="str">
        <x:v>Sea Around Us exploited organisms</x:v>
      </x:c>
      <x:c r="D420" s="25" t="str">
        <x:v>high</x:v>
      </x:c>
      <x:c r="E420" s="35" t="n">
        <x:v>24</x:v>
      </x:c>
      <x:c r="F420" s="32" t="n">
        <x:v>1430.1603663578</x:v>
      </x:c>
      <x:c r="G420" s="32" t="n">
        <x:v>3619.1201016588</x:v>
      </x:c>
      <x:c r="H420" s="25" t="n">
        <x:v>73</x:v>
      </x:c>
      <x:c r="I420" s="34" t="n">
        <x:v>0.3287671232876712</x:v>
      </x:c>
      <x:c r="J420" s="34" t="n">
        <x:v>0.3951679762443626</x:v>
      </x:c>
    </x:row>
    <x:row r="421" ht="18" customHeight="1">
      <x:c r="A421" s="25" t="str">
        <x:v>EEZ_901</x:v>
      </x:c>
      <x:c r="B421" s="25" t="str">
        <x:v>exact_2020_supplement</x:v>
      </x:c>
      <x:c r="C421" s="33" t="str">
        <x:v>2020 supplement MeanTL</x:v>
      </x:c>
      <x:c r="D421" s="25" t="str">
        <x:v>high</x:v>
      </x:c>
      <x:c r="E421" s="35" t="n">
        <x:v>102</x:v>
      </x:c>
      <x:c r="F421" s="32" t="n">
        <x:v>26702.8113976914</x:v>
      </x:c>
      <x:c r="G421" s="32" t="n">
        <x:v>39568.5555486469</x:v>
      </x:c>
      <x:c r="H421" s="25" t="n">
        <x:v>152</x:v>
      </x:c>
      <x:c r="I421" s="34" t="n">
        <x:v>0.6710526315789473</x:v>
      </x:c>
      <x:c r="J421" s="34" t="n">
        <x:v>0.6748492844238924</x:v>
      </x:c>
    </x:row>
    <x:row r="422" ht="18" customHeight="1">
      <x:c r="A422" s="25" t="str">
        <x:v>EEZ_901</x:v>
      </x:c>
      <x:c r="B422" s="25" t="str">
        <x:v>exact_sea_around_us</x:v>
      </x:c>
      <x:c r="C422" s="33" t="str">
        <x:v>Sea Around Us exploited organisms</x:v>
      </x:c>
      <x:c r="D422" s="25" t="str">
        <x:v>high</x:v>
      </x:c>
      <x:c r="E422" s="35" t="n">
        <x:v>50</x:v>
      </x:c>
      <x:c r="F422" s="32" t="n">
        <x:v>12865.7441509555</x:v>
      </x:c>
      <x:c r="G422" s="32" t="n">
        <x:v>39568.5555486469</x:v>
      </x:c>
      <x:c r="H422" s="25" t="n">
        <x:v>152</x:v>
      </x:c>
      <x:c r="I422" s="34" t="n">
        <x:v>0.32894736842105265</x:v>
      </x:c>
      <x:c r="J422" s="34" t="n">
        <x:v>0.32515071557610753</x:v>
      </x:c>
    </x:row>
    <x:row r="423" ht="18" customHeight="1">
      <x:c r="A423" s="25" t="str">
        <x:v>EEZ_902</x:v>
      </x:c>
      <x:c r="B423" s="25" t="str">
        <x:v>exact_2020_supplement</x:v>
      </x:c>
      <x:c r="C423" s="33" t="str">
        <x:v>2020 supplement MeanTL</x:v>
      </x:c>
      <x:c r="D423" s="25" t="str">
        <x:v>high</x:v>
      </x:c>
      <x:c r="E423" s="35" t="n">
        <x:v>99</x:v>
      </x:c>
      <x:c r="F423" s="32" t="n">
        <x:v>10164.6697194307</x:v>
      </x:c>
      <x:c r="G423" s="32" t="n">
        <x:v>15737.0913019012</x:v>
      </x:c>
      <x:c r="H423" s="25" t="n">
        <x:v>145</x:v>
      </x:c>
      <x:c r="I423" s="34" t="n">
        <x:v>0.6827586206896552</x:v>
      </x:c>
      <x:c r="J423" s="34" t="n">
        <x:v>0.6459052390579131</x:v>
      </x:c>
    </x:row>
    <x:row r="424" ht="18" customHeight="1">
      <x:c r="A424" s="25" t="str">
        <x:v>EEZ_902</x:v>
      </x:c>
      <x:c r="B424" s="25" t="str">
        <x:v>exact_sea_around_us</x:v>
      </x:c>
      <x:c r="C424" s="33" t="str">
        <x:v>Sea Around Us exploited organisms</x:v>
      </x:c>
      <x:c r="D424" s="25" t="str">
        <x:v>high</x:v>
      </x:c>
      <x:c r="E424" s="35" t="n">
        <x:v>46</x:v>
      </x:c>
      <x:c r="F424" s="32" t="n">
        <x:v>5572.4215824705</x:v>
      </x:c>
      <x:c r="G424" s="32" t="n">
        <x:v>15737.0913019012</x:v>
      </x:c>
      <x:c r="H424" s="25" t="n">
        <x:v>145</x:v>
      </x:c>
      <x:c r="I424" s="34" t="n">
        <x:v>0.31724137931034485</x:v>
      </x:c>
      <x:c r="J424" s="34" t="n">
        <x:v>0.35409476094208686</x:v>
      </x:c>
    </x:row>
    <x:row r="425" ht="18" customHeight="1">
      <x:c r="A425" s="25" t="str">
        <x:v>EEZ_903</x:v>
      </x:c>
      <x:c r="B425" s="25" t="str">
        <x:v>exact_2020_supplement</x:v>
      </x:c>
      <x:c r="C425" s="33" t="str">
        <x:v>2020 supplement MeanTL</x:v>
      </x:c>
      <x:c r="D425" s="25" t="str">
        <x:v>high</x:v>
      </x:c>
      <x:c r="E425" s="35" t="n">
        <x:v>123</x:v>
      </x:c>
      <x:c r="F425" s="32" t="n">
        <x:v>14159.0692420532</x:v>
      </x:c>
      <x:c r="G425" s="32" t="n">
        <x:v>15335.9862376629</x:v>
      </x:c>
      <x:c r="H425" s="25" t="n">
        <x:v>187</x:v>
      </x:c>
      <x:c r="I425" s="34" t="n">
        <x:v>0.6577540106951871</x:v>
      </x:c>
      <x:c r="J425" s="34" t="n">
        <x:v>0.9232578213509759</x:v>
      </x:c>
    </x:row>
    <x:row r="426" ht="18" customHeight="1">
      <x:c r="A426" s="25" t="str">
        <x:v>EEZ_903</x:v>
      </x:c>
      <x:c r="B426" s="25" t="str">
        <x:v>exact_sea_around_us</x:v>
      </x:c>
      <x:c r="C426" s="33" t="str">
        <x:v>Sea Around Us exploited organisms</x:v>
      </x:c>
      <x:c r="D426" s="25" t="str">
        <x:v>high</x:v>
      </x:c>
      <x:c r="E426" s="35" t="n">
        <x:v>64</x:v>
      </x:c>
      <x:c r="F426" s="32" t="n">
        <x:v>1176.9169956097</x:v>
      </x:c>
      <x:c r="G426" s="32" t="n">
        <x:v>15335.9862376629</x:v>
      </x:c>
      <x:c r="H426" s="25" t="n">
        <x:v>187</x:v>
      </x:c>
      <x:c r="I426" s="34" t="n">
        <x:v>0.3422459893048128</x:v>
      </x:c>
      <x:c r="J426" s="34" t="n">
        <x:v>0.07674217864902402</x:v>
      </x:c>
    </x:row>
    <x:row r="427" ht="18" customHeight="1">
      <x:c r="A427" s="25" t="str">
        <x:v>EEZ_904</x:v>
      </x:c>
      <x:c r="B427" s="25" t="str">
        <x:v>exact_sea_around_us</x:v>
      </x:c>
      <x:c r="C427" s="33" t="str">
        <x:v>Sea Around Us exploited organisms</x:v>
      </x:c>
      <x:c r="D427" s="25" t="str">
        <x:v>high</x:v>
      </x:c>
      <x:c r="E427" s="35" t="n">
        <x:v>12</x:v>
      </x:c>
      <x:c r="F427" s="32" t="n">
        <x:v>265.184275339</x:v>
      </x:c>
      <x:c r="G427" s="32" t="n">
        <x:v>526.035917713</x:v>
      </x:c>
      <x:c r="H427" s="25" t="n">
        <x:v>29</x:v>
      </x:c>
      <x:c r="I427" s="34" t="n">
        <x:v>0.41379310344827586</x:v>
      </x:c>
      <x:c r="J427" s="34" t="n">
        <x:v>0.5041181911910471</x:v>
      </x:c>
    </x:row>
    <x:row r="428" ht="18" customHeight="1">
      <x:c r="A428" s="25" t="str">
        <x:v>EEZ_904</x:v>
      </x:c>
      <x:c r="B428" s="25" t="str">
        <x:v>exact_2020_supplement</x:v>
      </x:c>
      <x:c r="C428" s="33" t="str">
        <x:v>2020 supplement MeanTL</x:v>
      </x:c>
      <x:c r="D428" s="25" t="str">
        <x:v>high</x:v>
      </x:c>
      <x:c r="E428" s="35" t="n">
        <x:v>17</x:v>
      </x:c>
      <x:c r="F428" s="32" t="n">
        <x:v>260.851642374</x:v>
      </x:c>
      <x:c r="G428" s="32" t="n">
        <x:v>526.035917713</x:v>
      </x:c>
      <x:c r="H428" s="25" t="n">
        <x:v>29</x:v>
      </x:c>
      <x:c r="I428" s="34" t="n">
        <x:v>0.5862068965517241</x:v>
      </x:c>
      <x:c r="J428" s="34" t="n">
        <x:v>0.495881808808953</x:v>
      </x:c>
    </x:row>
    <x:row r="429" ht="18" customHeight="1">
      <x:c r="A429" s="25" t="str">
        <x:v>EEZ_905</x:v>
      </x:c>
      <x:c r="B429" s="25" t="str">
        <x:v>exact_sea_around_us</x:v>
      </x:c>
      <x:c r="C429" s="33" t="str">
        <x:v>Sea Around Us exploited organisms</x:v>
      </x:c>
      <x:c r="D429" s="25" t="str">
        <x:v>high</x:v>
      </x:c>
      <x:c r="E429" s="35" t="n">
        <x:v>12</x:v>
      </x:c>
      <x:c r="F429" s="32" t="n">
        <x:v>313.149684385</x:v>
      </x:c>
      <x:c r="G429" s="32" t="n">
        <x:v>547.916166265</x:v>
      </x:c>
      <x:c r="H429" s="25" t="n">
        <x:v>29</x:v>
      </x:c>
      <x:c r="I429" s="34" t="n">
        <x:v>0.41379310344827586</x:v>
      </x:c>
      <x:c r="J429" s="34" t="n">
        <x:v>0.5715284630487522</x:v>
      </x:c>
    </x:row>
    <x:row r="430" ht="18" customHeight="1">
      <x:c r="A430" s="25" t="str">
        <x:v>EEZ_905</x:v>
      </x:c>
      <x:c r="B430" s="25" t="str">
        <x:v>exact_2020_supplement</x:v>
      </x:c>
      <x:c r="C430" s="33" t="str">
        <x:v>2020 supplement MeanTL</x:v>
      </x:c>
      <x:c r="D430" s="25" t="str">
        <x:v>high</x:v>
      </x:c>
      <x:c r="E430" s="35" t="n">
        <x:v>17</x:v>
      </x:c>
      <x:c r="F430" s="32" t="n">
        <x:v>234.76648188000001</x:v>
      </x:c>
      <x:c r="G430" s="32" t="n">
        <x:v>547.916166265</x:v>
      </x:c>
      <x:c r="H430" s="25" t="n">
        <x:v>29</x:v>
      </x:c>
      <x:c r="I430" s="34" t="n">
        <x:v>0.5862068965517241</x:v>
      </x:c>
      <x:c r="J430" s="34" t="n">
        <x:v>0.42847153695124784</x:v>
      </x:c>
    </x:row>
    <x:row r="431" ht="18" customHeight="1">
      <x:c r="A431" s="25" t="str">
        <x:v>EEZ_906</x:v>
      </x:c>
      <x:c r="B431" s="25" t="str">
        <x:v>exact_2020_supplement</x:v>
      </x:c>
      <x:c r="C431" s="33" t="str">
        <x:v>2020 supplement MeanTL</x:v>
      </x:c>
      <x:c r="D431" s="25" t="str">
        <x:v>high</x:v>
      </x:c>
      <x:c r="E431" s="35" t="n">
        <x:v>24</x:v>
      </x:c>
      <x:c r="F431" s="32" t="n">
        <x:v>2774.7905090008</x:v>
      </x:c>
      <x:c r="G431" s="32" t="n">
        <x:v>4837.7877946069</x:v>
      </x:c>
      <x:c r="H431" s="25" t="n">
        <x:v>37</x:v>
      </x:c>
      <x:c r="I431" s="34" t="n">
        <x:v>0.6486486486486487</x:v>
      </x:c>
      <x:c r="J431" s="34" t="n">
        <x:v>0.5735659823884997</x:v>
      </x:c>
    </x:row>
    <x:row r="432" ht="18" customHeight="1">
      <x:c r="A432" s="25" t="str">
        <x:v>EEZ_906</x:v>
      </x:c>
      <x:c r="B432" s="25" t="str">
        <x:v>exact_sea_around_us</x:v>
      </x:c>
      <x:c r="C432" s="33" t="str">
        <x:v>Sea Around Us exploited organisms</x:v>
      </x:c>
      <x:c r="D432" s="25" t="str">
        <x:v>high</x:v>
      </x:c>
      <x:c r="E432" s="35" t="n">
        <x:v>13</x:v>
      </x:c>
      <x:c r="F432" s="32" t="n">
        <x:v>2062.9972856061</x:v>
      </x:c>
      <x:c r="G432" s="32" t="n">
        <x:v>4837.7877946069</x:v>
      </x:c>
      <x:c r="H432" s="25" t="n">
        <x:v>37</x:v>
      </x:c>
      <x:c r="I432" s="34" t="n">
        <x:v>0.35135135135135137</x:v>
      </x:c>
      <x:c r="J432" s="34" t="n">
        <x:v>0.4264340176115003</x:v>
      </x:c>
    </x:row>
    <x:row r="433" ht="18" customHeight="1">
      <x:c r="A433" s="25" t="str">
        <x:v>EEZ_907</x:v>
      </x:c>
      <x:c r="B433" s="25" t="str">
        <x:v>exact_2020_supplement</x:v>
      </x:c>
      <x:c r="C433" s="33" t="str">
        <x:v>2020 supplement MeanTL</x:v>
      </x:c>
      <x:c r="D433" s="25" t="str">
        <x:v>high</x:v>
      </x:c>
      <x:c r="E433" s="35" t="n">
        <x:v>24</x:v>
      </x:c>
      <x:c r="F433" s="32" t="n">
        <x:v>215.1857365539</x:v>
      </x:c>
      <x:c r="G433" s="32" t="n">
        <x:v>400.2133530319</x:v>
      </x:c>
      <x:c r="H433" s="25" t="n">
        <x:v>39</x:v>
      </x:c>
      <x:c r="I433" s="34" t="n">
        <x:v>0.6153846153846154</x:v>
      </x:c>
      <x:c r="J433" s="34" t="n">
        <x:v>0.5376775535441669</x:v>
      </x:c>
    </x:row>
    <x:row r="434" ht="18" customHeight="1">
      <x:c r="A434" s="25" t="str">
        <x:v>EEZ_907</x:v>
      </x:c>
      <x:c r="B434" s="25" t="str">
        <x:v>exact_sea_around_us</x:v>
      </x:c>
      <x:c r="C434" s="33" t="str">
        <x:v>Sea Around Us exploited organisms</x:v>
      </x:c>
      <x:c r="D434" s="25" t="str">
        <x:v>high</x:v>
      </x:c>
      <x:c r="E434" s="35" t="n">
        <x:v>15</x:v>
      </x:c>
      <x:c r="F434" s="32" t="n">
        <x:v>185.027616478</x:v>
      </x:c>
      <x:c r="G434" s="32" t="n">
        <x:v>400.2133530319</x:v>
      </x:c>
      <x:c r="H434" s="25" t="n">
        <x:v>39</x:v>
      </x:c>
      <x:c r="I434" s="34" t="n">
        <x:v>0.38461538461538464</x:v>
      </x:c>
      <x:c r="J434" s="34" t="n">
        <x:v>0.46232244645583304</x:v>
      </x:c>
    </x:row>
    <x:row r="435" ht="18" customHeight="1">
      <x:c r="A435" s="25" t="str">
        <x:v>EEZ_908</x:v>
      </x:c>
      <x:c r="B435" s="25" t="str">
        <x:v>exact_sea_around_us</x:v>
      </x:c>
      <x:c r="C435" s="33" t="str">
        <x:v>Sea Around Us exploited organisms</x:v>
      </x:c>
      <x:c r="D435" s="25" t="str">
        <x:v>high</x:v>
      </x:c>
      <x:c r="E435" s="35" t="n">
        <x:v>10</x:v>
      </x:c>
      <x:c r="F435" s="32" t="n">
        <x:v>457.5847169019</x:v>
      </x:c>
      <x:c r="G435" s="32" t="n">
        <x:v>496.32263719279996</x:v>
      </x:c>
      <x:c r="H435" s="25" t="n">
        <x:v>21</x:v>
      </x:c>
      <x:c r="I435" s="34" t="n">
        <x:v>0.47619047619047616</x:v>
      </x:c>
      <x:c r="J435" s="34" t="n">
        <x:v>0.9219501239959523</x:v>
      </x:c>
    </x:row>
    <x:row r="436" ht="18" customHeight="1">
      <x:c r="A436" s="25" t="str">
        <x:v>EEZ_908</x:v>
      </x:c>
      <x:c r="B436" s="25" t="str">
        <x:v>exact_2020_supplement</x:v>
      </x:c>
      <x:c r="C436" s="33" t="str">
        <x:v>2020 supplement MeanTL</x:v>
      </x:c>
      <x:c r="D436" s="25" t="str">
        <x:v>high</x:v>
      </x:c>
      <x:c r="E436" s="35" t="n">
        <x:v>11</x:v>
      </x:c>
      <x:c r="F436" s="32" t="n">
        <x:v>38.7379202909</x:v>
      </x:c>
      <x:c r="G436" s="32" t="n">
        <x:v>496.32263719279996</x:v>
      </x:c>
      <x:c r="H436" s="25" t="n">
        <x:v>21</x:v>
      </x:c>
      <x:c r="I436" s="34" t="n">
        <x:v>0.5238095238095238</x:v>
      </x:c>
      <x:c r="J436" s="34" t="n">
        <x:v>0.07804987600404772</x:v>
      </x:c>
    </x:row>
    <x:row r="437" ht="18" customHeight="1">
      <x:c r="A437" s="25" t="str">
        <x:v>EEZ_909</x:v>
      </x:c>
      <x:c r="B437" s="25" t="str">
        <x:v>exact_2020_supplement</x:v>
      </x:c>
      <x:c r="C437" s="33" t="str">
        <x:v>2020 supplement MeanTL</x:v>
      </x:c>
      <x:c r="D437" s="25" t="str">
        <x:v>high</x:v>
      </x:c>
      <x:c r="E437" s="35" t="n">
        <x:v>24</x:v>
      </x:c>
      <x:c r="F437" s="32" t="n">
        <x:v>47.146557836</x:v>
      </x:c>
      <x:c r="G437" s="32" t="n">
        <x:v>83.0733507754</x:v>
      </x:c>
      <x:c r="H437" s="25" t="n">
        <x:v>33</x:v>
      </x:c>
      <x:c r="I437" s="34" t="n">
        <x:v>0.7272727272727273</x:v>
      </x:c>
      <x:c r="J437" s="34" t="n">
        <x:v>0.5675292665570584</x:v>
      </x:c>
    </x:row>
    <x:row r="438" ht="18" customHeight="1">
      <x:c r="A438" s="25" t="str">
        <x:v>EEZ_909</x:v>
      </x:c>
      <x:c r="B438" s="25" t="str">
        <x:v>exact_sea_around_us</x:v>
      </x:c>
      <x:c r="C438" s="33" t="str">
        <x:v>Sea Around Us exploited organisms</x:v>
      </x:c>
      <x:c r="D438" s="25" t="str">
        <x:v>high</x:v>
      </x:c>
      <x:c r="E438" s="35" t="n">
        <x:v>9</x:v>
      </x:c>
      <x:c r="F438" s="32" t="n">
        <x:v>35.9267929394</x:v>
      </x:c>
      <x:c r="G438" s="32" t="n">
        <x:v>83.0733507754</x:v>
      </x:c>
      <x:c r="H438" s="25" t="n">
        <x:v>33</x:v>
      </x:c>
      <x:c r="I438" s="34" t="n">
        <x:v>0.2727272727272727</x:v>
      </x:c>
      <x:c r="J438" s="34" t="n">
        <x:v>0.4324707334429416</x:v>
      </x:c>
    </x:row>
    <x:row r="439" ht="18" customHeight="1">
      <x:c r="A439" s="25" t="str">
        <x:v>EEZ_910</x:v>
      </x:c>
      <x:c r="B439" s="25" t="str">
        <x:v>exact_2020_supplement</x:v>
      </x:c>
      <x:c r="C439" s="33" t="str">
        <x:v>2020 supplement MeanTL</x:v>
      </x:c>
      <x:c r="D439" s="25" t="str">
        <x:v>high</x:v>
      </x:c>
      <x:c r="E439" s="35" t="n">
        <x:v>16</x:v>
      </x:c>
      <x:c r="F439" s="32" t="n">
        <x:v>267101.2066873811</x:v>
      </x:c>
      <x:c r="G439" s="32" t="n">
        <x:v>267149.7089344195</x:v>
      </x:c>
      <x:c r="H439" s="25" t="n">
        <x:v>30</x:v>
      </x:c>
      <x:c r="I439" s="34" t="n">
        <x:v>0.5333333333333333</x:v>
      </x:c>
      <x:c r="J439" s="34" t="n">
        <x:v>0.9998184454430743</x:v>
      </x:c>
    </x:row>
    <x:row r="440" ht="18" customHeight="1">
      <x:c r="A440" s="25" t="str">
        <x:v>EEZ_910</x:v>
      </x:c>
      <x:c r="B440" s="25" t="str">
        <x:v>exact_sea_around_us</x:v>
      </x:c>
      <x:c r="C440" s="33" t="str">
        <x:v>Sea Around Us exploited organisms</x:v>
      </x:c>
      <x:c r="D440" s="25" t="str">
        <x:v>high</x:v>
      </x:c>
      <x:c r="E440" s="35" t="n">
        <x:v>14</x:v>
      </x:c>
      <x:c r="F440" s="32" t="n">
        <x:v>48.5022470384</x:v>
      </x:c>
      <x:c r="G440" s="32" t="n">
        <x:v>267149.7089344195</x:v>
      </x:c>
      <x:c r="H440" s="25" t="n">
        <x:v>30</x:v>
      </x:c>
      <x:c r="I440" s="34" t="n">
        <x:v>0.4666666666666667</x:v>
      </x:c>
      <x:c r="J440" s="34" t="n">
        <x:v>0.00018155455692563167</x:v>
      </x:c>
    </x:row>
    <x:row r="441" ht="18" customHeight="1">
      <x:c r="A441" s="25" t="str">
        <x:v>EEZ_911</x:v>
      </x:c>
      <x:c r="B441" s="25" t="str">
        <x:v>exact_sea_around_us</x:v>
      </x:c>
      <x:c r="C441" s="33" t="str">
        <x:v>Sea Around Us exploited organisms</x:v>
      </x:c>
      <x:c r="D441" s="25" t="str">
        <x:v>high</x:v>
      </x:c>
      <x:c r="E441" s="35" t="n">
        <x:v>26</x:v>
      </x:c>
      <x:c r="F441" s="32" t="n">
        <x:v>11393.4163622654</x:v>
      </x:c>
      <x:c r="G441" s="32" t="n">
        <x:v>22403.7445093578</x:v>
      </x:c>
      <x:c r="H441" s="25" t="n">
        <x:v>40</x:v>
      </x:c>
      <x:c r="I441" s="34" t="n">
        <x:v>0.65</x:v>
      </x:c>
      <x:c r="J441" s="34" t="n">
        <x:v>0.5085496470246968</x:v>
      </x:c>
    </x:row>
    <x:row r="442" ht="18" customHeight="1">
      <x:c r="A442" s="25" t="str">
        <x:v>EEZ_911</x:v>
      </x:c>
      <x:c r="B442" s="25" t="str">
        <x:v>exact_2020_supplement</x:v>
      </x:c>
      <x:c r="C442" s="33" t="str">
        <x:v>2020 supplement MeanTL</x:v>
      </x:c>
      <x:c r="D442" s="25" t="str">
        <x:v>high</x:v>
      </x:c>
      <x:c r="E442" s="35" t="n">
        <x:v>14</x:v>
      </x:c>
      <x:c r="F442" s="32" t="n">
        <x:v>11010.328147092401</x:v>
      </x:c>
      <x:c r="G442" s="32" t="n">
        <x:v>22403.7445093578</x:v>
      </x:c>
      <x:c r="H442" s="25" t="n">
        <x:v>40</x:v>
      </x:c>
      <x:c r="I442" s="34" t="n">
        <x:v>0.35</x:v>
      </x:c>
      <x:c r="J442" s="34" t="n">
        <x:v>0.4914503529753032</x:v>
      </x:c>
    </x:row>
    <x:row r="443" ht="18" customHeight="1">
      <x:c r="A443" s="25" t="str">
        <x:v>EEZ_912</x:v>
      </x:c>
      <x:c r="B443" s="25" t="str">
        <x:v>exact_sea_around_us</x:v>
      </x:c>
      <x:c r="C443" s="33" t="str">
        <x:v>Sea Around Us exploited organisms</x:v>
      </x:c>
      <x:c r="D443" s="25" t="str">
        <x:v>high</x:v>
      </x:c>
      <x:c r="E443" s="35" t="n">
        <x:v>3</x:v>
      </x:c>
      <x:c r="F443" s="32" t="n">
        <x:v>615.91641295</x:v>
      </x:c>
      <x:c r="G443" s="32" t="n">
        <x:v>747.53431635</x:v>
      </x:c>
      <x:c r="H443" s="25" t="n">
        <x:v>5</x:v>
      </x:c>
      <x:c r="I443" s="34" t="n">
        <x:v>0.6</x:v>
      </x:c>
      <x:c r="J443" s="34" t="n">
        <x:v>0.8239306202788745</x:v>
      </x:c>
    </x:row>
    <x:row r="444" ht="18" customHeight="1">
      <x:c r="A444" s="25" t="str">
        <x:v>EEZ_912</x:v>
      </x:c>
      <x:c r="B444" s="25" t="str">
        <x:v>exact_2020_supplement</x:v>
      </x:c>
      <x:c r="C444" s="33" t="str">
        <x:v>2020 supplement MeanTL</x:v>
      </x:c>
      <x:c r="D444" s="25" t="str">
        <x:v>high</x:v>
      </x:c>
      <x:c r="E444" s="35" t="n">
        <x:v>2</x:v>
      </x:c>
      <x:c r="F444" s="32" t="n">
        <x:v>131.6179034</x:v>
      </x:c>
      <x:c r="G444" s="32" t="n">
        <x:v>747.53431635</x:v>
      </x:c>
      <x:c r="H444" s="25" t="n">
        <x:v>5</x:v>
      </x:c>
      <x:c r="I444" s="34" t="n">
        <x:v>0.4</x:v>
      </x:c>
      <x:c r="J444" s="34" t="n">
        <x:v>0.17606937972112532</x:v>
      </x:c>
    </x:row>
    <x:row r="445" ht="18" customHeight="1">
      <x:c r="A445" s="25" t="str">
        <x:v>EEZ_913</x:v>
      </x:c>
      <x:c r="B445" s="25" t="str">
        <x:v>exact_2020_supplement</x:v>
      </x:c>
      <x:c r="C445" s="33" t="str">
        <x:v>2020 supplement MeanTL</x:v>
      </x:c>
      <x:c r="D445" s="25" t="str">
        <x:v>high</x:v>
      </x:c>
      <x:c r="E445" s="35" t="n">
        <x:v>2</x:v>
      </x:c>
      <x:c r="F445" s="32" t="n">
        <x:v>3382.6752402</x:v>
      </x:c>
      <x:c r="G445" s="32" t="n">
        <x:v>6727.8088462000005</x:v>
      </x:c>
      <x:c r="H445" s="25" t="n">
        <x:v>5</x:v>
      </x:c>
      <x:c r="I445" s="34" t="n">
        <x:v>0.4</x:v>
      </x:c>
      <x:c r="J445" s="34" t="n">
        <x:v>0.5027900342487587</x:v>
      </x:c>
    </x:row>
    <x:row r="446" ht="18" customHeight="1">
      <x:c r="A446" s="25" t="str">
        <x:v>EEZ_913</x:v>
      </x:c>
      <x:c r="B446" s="25" t="str">
        <x:v>exact_sea_around_us</x:v>
      </x:c>
      <x:c r="C446" s="33" t="str">
        <x:v>Sea Around Us exploited organisms</x:v>
      </x:c>
      <x:c r="D446" s="25" t="str">
        <x:v>high</x:v>
      </x:c>
      <x:c r="E446" s="35" t="n">
        <x:v>3</x:v>
      </x:c>
      <x:c r="F446" s="32" t="n">
        <x:v>3345.133606</x:v>
      </x:c>
      <x:c r="G446" s="32" t="n">
        <x:v>6727.8088462000005</x:v>
      </x:c>
      <x:c r="H446" s="25" t="n">
        <x:v>5</x:v>
      </x:c>
      <x:c r="I446" s="34" t="n">
        <x:v>0.6</x:v>
      </x:c>
      <x:c r="J446" s="34" t="n">
        <x:v>0.4972099657512412</x:v>
      </x:c>
    </x:row>
    <x:row r="447" ht="18" customHeight="1">
      <x:c r="A447" s="25" t="str">
        <x:v>EEZ_914</x:v>
      </x:c>
      <x:c r="B447" s="25" t="str">
        <x:v>exact_2020_supplement</x:v>
      </x:c>
      <x:c r="C447" s="33" t="str">
        <x:v>2020 supplement MeanTL</x:v>
      </x:c>
      <x:c r="D447" s="25" t="str">
        <x:v>high</x:v>
      </x:c>
      <x:c r="E447" s="35" t="n">
        <x:v>45</x:v>
      </x:c>
      <x:c r="F447" s="32" t="n">
        <x:v>254895.4336812775</x:v>
      </x:c>
      <x:c r="G447" s="32" t="n">
        <x:v>258009.4224445994</x:v>
      </x:c>
      <x:c r="H447" s="25" t="n">
        <x:v>63</x:v>
      </x:c>
      <x:c r="I447" s="34" t="n">
        <x:v>0.7142857142857143</x:v>
      </x:c>
      <x:c r="J447" s="34" t="n">
        <x:v>0.987930716894688</x:v>
      </x:c>
    </x:row>
    <x:row r="448" ht="18" customHeight="1">
      <x:c r="A448" s="25" t="str">
        <x:v>EEZ_914</x:v>
      </x:c>
      <x:c r="B448" s="25" t="str">
        <x:v>exact_sea_around_us</x:v>
      </x:c>
      <x:c r="C448" s="33" t="str">
        <x:v>Sea Around Us exploited organisms</x:v>
      </x:c>
      <x:c r="D448" s="25" t="str">
        <x:v>high</x:v>
      </x:c>
      <x:c r="E448" s="35" t="n">
        <x:v>18</x:v>
      </x:c>
      <x:c r="F448" s="32" t="n">
        <x:v>3113.9887633219</x:v>
      </x:c>
      <x:c r="G448" s="32" t="n">
        <x:v>258009.4224445994</x:v>
      </x:c>
      <x:c r="H448" s="25" t="n">
        <x:v>63</x:v>
      </x:c>
      <x:c r="I448" s="34" t="n">
        <x:v>0.2857142857142857</x:v>
      </x:c>
      <x:c r="J448" s="34" t="n">
        <x:v>0.01206928310531196</x:v>
      </x:c>
    </x:row>
    <x:row r="449" ht="18" customHeight="1">
      <x:c r="A449" s="25" t="str">
        <x:v>EEZ_915</x:v>
      </x:c>
      <x:c r="B449" s="25" t="str">
        <x:v>exact_2020_supplement</x:v>
      </x:c>
      <x:c r="C449" s="33" t="str">
        <x:v>2020 supplement MeanTL</x:v>
      </x:c>
      <x:c r="D449" s="25" t="str">
        <x:v>high</x:v>
      </x:c>
      <x:c r="E449" s="35" t="n">
        <x:v>71</x:v>
      </x:c>
      <x:c r="F449" s="32" t="n">
        <x:v>14137.0946366325</x:v>
      </x:c>
      <x:c r="G449" s="32" t="n">
        <x:v>14482.0419879626</x:v>
      </x:c>
      <x:c r="H449" s="25" t="n">
        <x:v>117</x:v>
      </x:c>
      <x:c r="I449" s="34" t="n">
        <x:v>0.6068376068376068</x:v>
      </x:c>
      <x:c r="J449" s="34" t="n">
        <x:v>0.9761810280886619</x:v>
      </x:c>
    </x:row>
    <x:row r="450" ht="18" customHeight="1">
      <x:c r="A450" s="25" t="str">
        <x:v>EEZ_915</x:v>
      </x:c>
      <x:c r="B450" s="25" t="str">
        <x:v>exact_sea_around_us</x:v>
      </x:c>
      <x:c r="C450" s="33" t="str">
        <x:v>Sea Around Us exploited organisms</x:v>
      </x:c>
      <x:c r="D450" s="25" t="str">
        <x:v>high</x:v>
      </x:c>
      <x:c r="E450" s="35" t="n">
        <x:v>46</x:v>
      </x:c>
      <x:c r="F450" s="32" t="n">
        <x:v>344.9473513301</x:v>
      </x:c>
      <x:c r="G450" s="32" t="n">
        <x:v>14482.0419879626</x:v>
      </x:c>
      <x:c r="H450" s="25" t="n">
        <x:v>117</x:v>
      </x:c>
      <x:c r="I450" s="34" t="n">
        <x:v>0.39316239316239315</x:v>
      </x:c>
      <x:c r="J450" s="34" t="n">
        <x:v>0.02381897191133809</x:v>
      </x:c>
    </x:row>
    <x:row r="451" ht="18" customHeight="1">
      <x:c r="A451" s="25" t="str">
        <x:v>EEZ_916</x:v>
      </x:c>
      <x:c r="B451" s="25" t="str">
        <x:v>exact_sea_around_us</x:v>
      </x:c>
      <x:c r="C451" s="33" t="str">
        <x:v>Sea Around Us exploited organisms</x:v>
      </x:c>
      <x:c r="D451" s="25" t="str">
        <x:v>high</x:v>
      </x:c>
      <x:c r="E451" s="35" t="n">
        <x:v>28</x:v>
      </x:c>
      <x:c r="F451" s="32" t="n">
        <x:v>19267.6460500697</x:v>
      </x:c>
      <x:c r="G451" s="32" t="n">
        <x:v>27521.246876734498</x:v>
      </x:c>
      <x:c r="H451" s="25" t="n">
        <x:v>41</x:v>
      </x:c>
      <x:c r="I451" s="34" t="n">
        <x:v>0.6829268292682927</x:v>
      </x:c>
      <x:c r="J451" s="34" t="n">
        <x:v>0.7001007671043384</x:v>
      </x:c>
    </x:row>
    <x:row r="452" ht="18" customHeight="1">
      <x:c r="A452" s="25" t="str">
        <x:v>EEZ_916</x:v>
      </x:c>
      <x:c r="B452" s="25" t="str">
        <x:v>exact_2020_supplement</x:v>
      </x:c>
      <x:c r="C452" s="33" t="str">
        <x:v>2020 supplement MeanTL</x:v>
      </x:c>
      <x:c r="D452" s="25" t="str">
        <x:v>high</x:v>
      </x:c>
      <x:c r="E452" s="35" t="n">
        <x:v>13</x:v>
      </x:c>
      <x:c r="F452" s="32" t="n">
        <x:v>8253.6008266648</x:v>
      </x:c>
      <x:c r="G452" s="32" t="n">
        <x:v>27521.246876734498</x:v>
      </x:c>
      <x:c r="H452" s="25" t="n">
        <x:v>41</x:v>
      </x:c>
      <x:c r="I452" s="34" t="n">
        <x:v>0.3170731707317073</x:v>
      </x:c>
      <x:c r="J452" s="34" t="n">
        <x:v>0.29989923289566167</x:v>
      </x:c>
    </x:row>
    <x:row r="453" ht="18" customHeight="1">
      <x:c r="A453" s="25" t="str">
        <x:v>EEZ_917</x:v>
      </x:c>
      <x:c r="B453" s="25" t="str">
        <x:v>exact_sea_around_us</x:v>
      </x:c>
      <x:c r="C453" s="33" t="str">
        <x:v>Sea Around Us exploited organisms</x:v>
      </x:c>
      <x:c r="D453" s="25" t="str">
        <x:v>high</x:v>
      </x:c>
      <x:c r="E453" s="35" t="n">
        <x:v>34</x:v>
      </x:c>
      <x:c r="F453" s="32" t="n">
        <x:v>194567.98061653948</x:v>
      </x:c>
      <x:c r="G453" s="32" t="n">
        <x:v>324367.1527000878</x:v>
      </x:c>
      <x:c r="H453" s="25" t="n">
        <x:v>49</x:v>
      </x:c>
      <x:c r="I453" s="34" t="n">
        <x:v>0.6938775510204082</x:v>
      </x:c>
      <x:c r="J453" s="34" t="n">
        <x:v>0.5998387290356691</x:v>
      </x:c>
    </x:row>
    <x:row r="454" ht="18" customHeight="1">
      <x:c r="A454" s="25" t="str">
        <x:v>EEZ_917</x:v>
      </x:c>
      <x:c r="B454" s="25" t="str">
        <x:v>exact_2020_supplement</x:v>
      </x:c>
      <x:c r="C454" s="33" t="str">
        <x:v>2020 supplement MeanTL</x:v>
      </x:c>
      <x:c r="D454" s="25" t="str">
        <x:v>high</x:v>
      </x:c>
      <x:c r="E454" s="35" t="n">
        <x:v>15</x:v>
      </x:c>
      <x:c r="F454" s="32" t="n">
        <x:v>129799.1720835483</x:v>
      </x:c>
      <x:c r="G454" s="32" t="n">
        <x:v>324367.1527000878</x:v>
      </x:c>
      <x:c r="H454" s="25" t="n">
        <x:v>49</x:v>
      </x:c>
      <x:c r="I454" s="34" t="n">
        <x:v>0.30612244897959184</x:v>
      </x:c>
      <x:c r="J454" s="34" t="n">
        <x:v>0.4001612709643308</x:v>
      </x:c>
    </x:row>
    <x:row r="455" ht="18" customHeight="1">
      <x:c r="A455" s="25" t="str">
        <x:v>EEZ_918</x:v>
      </x:c>
      <x:c r="B455" s="25" t="str">
        <x:v>exact_2020_supplement</x:v>
      </x:c>
      <x:c r="C455" s="33" t="str">
        <x:v>2020 supplement MeanTL</x:v>
      </x:c>
      <x:c r="D455" s="25" t="str">
        <x:v>high</x:v>
      </x:c>
      <x:c r="E455" s="35" t="n">
        <x:v>90</x:v>
      </x:c>
      <x:c r="F455" s="32" t="n">
        <x:v>29448.413093845502</x:v>
      </x:c>
      <x:c r="G455" s="32" t="n">
        <x:v>49423.4057756733</x:v>
      </x:c>
      <x:c r="H455" s="25" t="n">
        <x:v>159</x:v>
      </x:c>
      <x:c r="I455" s="34" t="n">
        <x:v>0.5660377358490566</x:v>
      </x:c>
      <x:c r="J455" s="34" t="n">
        <x:v>0.5958394131620186</x:v>
      </x:c>
    </x:row>
    <x:row r="456" ht="18" customHeight="1">
      <x:c r="A456" s="25" t="str">
        <x:v>EEZ_918</x:v>
      </x:c>
      <x:c r="B456" s="25" t="str">
        <x:v>exact_sea_around_us</x:v>
      </x:c>
      <x:c r="C456" s="33" t="str">
        <x:v>Sea Around Us exploited organisms</x:v>
      </x:c>
      <x:c r="D456" s="25" t="str">
        <x:v>high</x:v>
      </x:c>
      <x:c r="E456" s="35" t="n">
        <x:v>69</x:v>
      </x:c>
      <x:c r="F456" s="32" t="n">
        <x:v>19974.9926818278</x:v>
      </x:c>
      <x:c r="G456" s="32" t="n">
        <x:v>49423.4057756733</x:v>
      </x:c>
      <x:c r="H456" s="25" t="n">
        <x:v>159</x:v>
      </x:c>
      <x:c r="I456" s="34" t="n">
        <x:v>0.4339622641509434</x:v>
      </x:c>
      <x:c r="J456" s="34" t="n">
        <x:v>0.4041605868379814</x:v>
      </x:c>
    </x:row>
    <x:row r="457" ht="18" customHeight="1">
      <x:c r="A457" s="25" t="str">
        <x:v>EEZ_919</x:v>
      </x:c>
      <x:c r="B457" s="25" t="str">
        <x:v>exact_2020_supplement</x:v>
      </x:c>
      <x:c r="C457" s="33" t="str">
        <x:v>2020 supplement MeanTL</x:v>
      </x:c>
      <x:c r="D457" s="25" t="str">
        <x:v>high</x:v>
      </x:c>
      <x:c r="E457" s="35" t="n">
        <x:v>192</x:v>
      </x:c>
      <x:c r="F457" s="32" t="n">
        <x:v>175816.7585871117</x:v>
      </x:c>
      <x:c r="G457" s="32" t="n">
        <x:v>270826.2519812341</x:v>
      </x:c>
      <x:c r="H457" s="25" t="n">
        <x:v>348</x:v>
      </x:c>
      <x:c r="I457" s="34" t="n">
        <x:v>0.5517241379310345</x:v>
      </x:c>
      <x:c r="J457" s="34" t="n">
        <x:v>0.6491865441437865</x:v>
      </x:c>
    </x:row>
    <x:row r="458" ht="18" customHeight="1">
      <x:c r="A458" s="25" t="str">
        <x:v>EEZ_919</x:v>
      </x:c>
      <x:c r="B458" s="25" t="str">
        <x:v>exact_sea_around_us</x:v>
      </x:c>
      <x:c r="C458" s="33" t="str">
        <x:v>Sea Around Us exploited organisms</x:v>
      </x:c>
      <x:c r="D458" s="25" t="str">
        <x:v>high</x:v>
      </x:c>
      <x:c r="E458" s="35" t="n">
        <x:v>156</x:v>
      </x:c>
      <x:c r="F458" s="32" t="n">
        <x:v>95009.4933941224</x:v>
      </x:c>
      <x:c r="G458" s="32" t="n">
        <x:v>270826.2519812341</x:v>
      </x:c>
      <x:c r="H458" s="25" t="n">
        <x:v>348</x:v>
      </x:c>
      <x:c r="I458" s="34" t="n">
        <x:v>0.4482758620689655</x:v>
      </x:c>
      <x:c r="J458" s="34" t="n">
        <x:v>0.3508134558562134</x:v>
      </x:c>
    </x:row>
    <x:row r="459" ht="18" customHeight="1">
      <x:c r="A459" s="25" t="str">
        <x:v>EEZ_920</x:v>
      </x:c>
      <x:c r="B459" s="25" t="str">
        <x:v>exact_sea_around_us</x:v>
      </x:c>
      <x:c r="C459" s="33" t="str">
        <x:v>Sea Around Us exploited organisms</x:v>
      </x:c>
      <x:c r="D459" s="25" t="str">
        <x:v>high</x:v>
      </x:c>
      <x:c r="E459" s="35" t="n">
        <x:v>22</x:v>
      </x:c>
      <x:c r="F459" s="32" t="n">
        <x:v>5826.863105105899</x:v>
      </x:c>
      <x:c r="G459" s="32" t="n">
        <x:v>6195.8538133156</x:v>
      </x:c>
      <x:c r="H459" s="25" t="n">
        <x:v>25</x:v>
      </x:c>
      <x:c r="I459" s="34" t="n">
        <x:v>0.88</x:v>
      </x:c>
      <x:c r="J459" s="34" t="n">
        <x:v>0.9404455432087991</x:v>
      </x:c>
    </x:row>
    <x:row r="460" ht="18" customHeight="1">
      <x:c r="A460" s="25" t="str">
        <x:v>EEZ_920</x:v>
      </x:c>
      <x:c r="B460" s="25" t="str">
        <x:v>exact_2020_supplement</x:v>
      </x:c>
      <x:c r="C460" s="33" t="str">
        <x:v>2020 supplement MeanTL</x:v>
      </x:c>
      <x:c r="D460" s="25" t="str">
        <x:v>high</x:v>
      </x:c>
      <x:c r="E460" s="35" t="n">
        <x:v>3</x:v>
      </x:c>
      <x:c r="F460" s="32" t="n">
        <x:v>368.9907082097</x:v>
      </x:c>
      <x:c r="G460" s="32" t="n">
        <x:v>6195.8538133156</x:v>
      </x:c>
      <x:c r="H460" s="25" t="n">
        <x:v>25</x:v>
      </x:c>
      <x:c r="I460" s="34" t="n">
        <x:v>0.12</x:v>
      </x:c>
      <x:c r="J460" s="34" t="n">
        <x:v>0.05955445679120071</x:v>
      </x:c>
    </x:row>
    <x:row r="461" ht="18" customHeight="1">
      <x:c r="A461" s="25" t="str">
        <x:v>EEZ_921</x:v>
      </x:c>
      <x:c r="B461" s="25" t="str">
        <x:v>exact_sea_around_us</x:v>
      </x:c>
      <x:c r="C461" s="33" t="str">
        <x:v>Sea Around Us exploited organisms</x:v>
      </x:c>
      <x:c r="D461" s="25" t="str">
        <x:v>high</x:v>
      </x:c>
      <x:c r="E461" s="35" t="n">
        <x:v>19</x:v>
      </x:c>
      <x:c r="F461" s="32" t="n">
        <x:v>18790.8379572655</x:v>
      </x:c>
      <x:c r="G461" s="32" t="n">
        <x:v>21241.895209552</x:v>
      </x:c>
      <x:c r="H461" s="25" t="n">
        <x:v>88</x:v>
      </x:c>
      <x:c r="I461" s="34" t="n">
        <x:v>0.2159090909090909</x:v>
      </x:c>
      <x:c r="J461" s="34" t="n">
        <x:v>0.8846121201471554</x:v>
      </x:c>
    </x:row>
    <x:row r="462" ht="18" customHeight="1">
      <x:c r="A462" s="25" t="str">
        <x:v>EEZ_921</x:v>
      </x:c>
      <x:c r="B462" s="25" t="str">
        <x:v>exact_2020_supplement</x:v>
      </x:c>
      <x:c r="C462" s="33" t="str">
        <x:v>2020 supplement MeanTL</x:v>
      </x:c>
      <x:c r="D462" s="25" t="str">
        <x:v>high</x:v>
      </x:c>
      <x:c r="E462" s="35" t="n">
        <x:v>69</x:v>
      </x:c>
      <x:c r="F462" s="32" t="n">
        <x:v>2451.0572522865</x:v>
      </x:c>
      <x:c r="G462" s="32" t="n">
        <x:v>21241.895209552</x:v>
      </x:c>
      <x:c r="H462" s="25" t="n">
        <x:v>88</x:v>
      </x:c>
      <x:c r="I462" s="34" t="n">
        <x:v>0.7840909090909091</x:v>
      </x:c>
      <x:c r="J462" s="34" t="n">
        <x:v>0.11538787985284453</x:v>
      </x:c>
    </x:row>
    <x:row r="463" ht="18" customHeight="1">
      <x:c r="A463" s="25" t="str">
        <x:v>EEZ_922</x:v>
      </x:c>
      <x:c r="B463" s="25" t="str">
        <x:v>exact_2020_supplement</x:v>
      </x:c>
      <x:c r="C463" s="33" t="str">
        <x:v>2020 supplement MeanTL</x:v>
      </x:c>
      <x:c r="D463" s="25" t="str">
        <x:v>high</x:v>
      </x:c>
      <x:c r="E463" s="35" t="n">
        <x:v>88</x:v>
      </x:c>
      <x:c r="F463" s="32" t="n">
        <x:v>251397.7216361346</x:v>
      </x:c>
      <x:c r="G463" s="32" t="n">
        <x:v>441683.3346972359</x:v>
      </x:c>
      <x:c r="H463" s="25" t="n">
        <x:v>165</x:v>
      </x:c>
      <x:c r="I463" s="34" t="n">
        <x:v>0.5333333333333333</x:v>
      </x:c>
      <x:c r="J463" s="34" t="n">
        <x:v>0.5691809083275966</x:v>
      </x:c>
    </x:row>
    <x:row r="464" ht="18" customHeight="1">
      <x:c r="A464" s="25" t="str">
        <x:v>EEZ_922</x:v>
      </x:c>
      <x:c r="B464" s="25" t="str">
        <x:v>exact_sea_around_us</x:v>
      </x:c>
      <x:c r="C464" s="33" t="str">
        <x:v>Sea Around Us exploited organisms</x:v>
      </x:c>
      <x:c r="D464" s="25" t="str">
        <x:v>high</x:v>
      </x:c>
      <x:c r="E464" s="35" t="n">
        <x:v>77</x:v>
      </x:c>
      <x:c r="F464" s="32" t="n">
        <x:v>190285.6130611013</x:v>
      </x:c>
      <x:c r="G464" s="32" t="n">
        <x:v>441683.3346972359</x:v>
      </x:c>
      <x:c r="H464" s="25" t="n">
        <x:v>165</x:v>
      </x:c>
      <x:c r="I464" s="34" t="n">
        <x:v>0.4666666666666667</x:v>
      </x:c>
      <x:c r="J464" s="34" t="n">
        <x:v>0.43081909167240334</x:v>
      </x:c>
    </x:row>
    <x:row r="465" ht="18" customHeight="1">
      <x:c r="A465" s="25" t="str">
        <x:v>EEZ_923</x:v>
      </x:c>
      <x:c r="B465" s="25" t="str">
        <x:v>exact_2020_supplement</x:v>
      </x:c>
      <x:c r="C465" s="33" t="str">
        <x:v>2020 supplement MeanTL</x:v>
      </x:c>
      <x:c r="D465" s="25" t="str">
        <x:v>high</x:v>
      </x:c>
      <x:c r="E465" s="35" t="n">
        <x:v>84</x:v>
      </x:c>
      <x:c r="F465" s="32" t="n">
        <x:v>271794.1147243853</x:v>
      </x:c>
      <x:c r="G465" s="32" t="n">
        <x:v>367466.8570909228</x:v>
      </x:c>
      <x:c r="H465" s="25" t="n">
        <x:v>152</x:v>
      </x:c>
      <x:c r="I465" s="34" t="n">
        <x:v>0.5526315789473685</x:v>
      </x:c>
      <x:c r="J465" s="34" t="n">
        <x:v>0.7396425268827305</x:v>
      </x:c>
    </x:row>
    <x:row r="466" ht="18" customHeight="1">
      <x:c r="A466" s="25" t="str">
        <x:v>EEZ_923</x:v>
      </x:c>
      <x:c r="B466" s="25" t="str">
        <x:v>exact_sea_around_us</x:v>
      </x:c>
      <x:c r="C466" s="33" t="str">
        <x:v>Sea Around Us exploited organisms</x:v>
      </x:c>
      <x:c r="D466" s="25" t="str">
        <x:v>high</x:v>
      </x:c>
      <x:c r="E466" s="35" t="n">
        <x:v>68</x:v>
      </x:c>
      <x:c r="F466" s="32" t="n">
        <x:v>95672.7423665375</x:v>
      </x:c>
      <x:c r="G466" s="32" t="n">
        <x:v>367466.8570909228</x:v>
      </x:c>
      <x:c r="H466" s="25" t="n">
        <x:v>152</x:v>
      </x:c>
      <x:c r="I466" s="34" t="n">
        <x:v>0.4473684210526316</x:v>
      </x:c>
      <x:c r="J466" s="34" t="n">
        <x:v>0.26035747311726964</x:v>
      </x:c>
    </x:row>
    <x:row r="467" ht="18" customHeight="1">
      <x:c r="A467" s="25" t="str">
        <x:v>EEZ_924</x:v>
      </x:c>
      <x:c r="B467" s="25" t="str">
        <x:v>exact_sea_around_us</x:v>
      </x:c>
      <x:c r="C467" s="33" t="str">
        <x:v>Sea Around Us exploited organisms</x:v>
      </x:c>
      <x:c r="D467" s="25" t="str">
        <x:v>high</x:v>
      </x:c>
      <x:c r="E467" s="35" t="n">
        <x:v>6</x:v>
      </x:c>
      <x:c r="F467" s="32" t="n">
        <x:v>1008.30256986</x:v>
      </x:c>
      <x:c r="G467" s="32" t="n">
        <x:v>1114.2683023097</x:v>
      </x:c>
      <x:c r="H467" s="25" t="n">
        <x:v>16</x:v>
      </x:c>
      <x:c r="I467" s="34" t="n">
        <x:v>0.375</x:v>
      </x:c>
      <x:c r="J467" s="34" t="n">
        <x:v>0.904901061772959</x:v>
      </x:c>
    </x:row>
    <x:row r="468" ht="18" customHeight="1">
      <x:c r="A468" s="25" t="str">
        <x:v>EEZ_924</x:v>
      </x:c>
      <x:c r="B468" s="25" t="str">
        <x:v>exact_2020_supplement</x:v>
      </x:c>
      <x:c r="C468" s="33" t="str">
        <x:v>2020 supplement MeanTL</x:v>
      </x:c>
      <x:c r="D468" s="25" t="str">
        <x:v>high</x:v>
      </x:c>
      <x:c r="E468" s="35" t="n">
        <x:v>10</x:v>
      </x:c>
      <x:c r="F468" s="32" t="n">
        <x:v>105.96573244970001</x:v>
      </x:c>
      <x:c r="G468" s="32" t="n">
        <x:v>1114.2683023097</x:v>
      </x:c>
      <x:c r="H468" s="25" t="n">
        <x:v>16</x:v>
      </x:c>
      <x:c r="I468" s="34" t="n">
        <x:v>0.625</x:v>
      </x:c>
      <x:c r="J468" s="34" t="n">
        <x:v>0.095098938227041</x:v>
      </x:c>
    </x:row>
    <x:row r="469" ht="18" customHeight="1">
      <x:c r="A469" s="25" t="str">
        <x:v>EEZ_925</x:v>
      </x:c>
      <x:c r="B469" s="25" t="str">
        <x:v>exact_2020_supplement</x:v>
      </x:c>
      <x:c r="C469" s="33" t="str">
        <x:v>2020 supplement MeanTL</x:v>
      </x:c>
      <x:c r="D469" s="25" t="str">
        <x:v>high</x:v>
      </x:c>
      <x:c r="E469" s="35" t="n">
        <x:v>12</x:v>
      </x:c>
      <x:c r="F469" s="32" t="n">
        <x:v>122975.4352298494</x:v>
      </x:c>
      <x:c r="G469" s="32" t="n">
        <x:v>198174.60282981078</x:v>
      </x:c>
      <x:c r="H469" s="25" t="n">
        <x:v>26</x:v>
      </x:c>
      <x:c r="I469" s="34" t="n">
        <x:v>0.46153846153846156</x:v>
      </x:c>
      <x:c r="J469" s="34" t="n">
        <x:v>0.6205408436491671</x:v>
      </x:c>
    </x:row>
    <x:row r="470" ht="18" customHeight="1">
      <x:c r="A470" s="25" t="str">
        <x:v>EEZ_925</x:v>
      </x:c>
      <x:c r="B470" s="25" t="str">
        <x:v>exact_sea_around_us</x:v>
      </x:c>
      <x:c r="C470" s="33" t="str">
        <x:v>Sea Around Us exploited organisms</x:v>
      </x:c>
      <x:c r="D470" s="25" t="str">
        <x:v>high</x:v>
      </x:c>
      <x:c r="E470" s="35" t="n">
        <x:v>14</x:v>
      </x:c>
      <x:c r="F470" s="32" t="n">
        <x:v>75199.1675999614</x:v>
      </x:c>
      <x:c r="G470" s="32" t="n">
        <x:v>198174.60282981078</x:v>
      </x:c>
      <x:c r="H470" s="25" t="n">
        <x:v>26</x:v>
      </x:c>
      <x:c r="I470" s="34" t="n">
        <x:v>0.5384615384615384</x:v>
      </x:c>
      <x:c r="J470" s="34" t="n">
        <x:v>0.37945915635083294</x:v>
      </x:c>
    </x:row>
    <x:row r="471" ht="18" customHeight="1">
      <x:c r="A471" s="25" t="str">
        <x:v>EEZ_926</x:v>
      </x:c>
      <x:c r="B471" s="25" t="str">
        <x:v>exact_2020_supplement</x:v>
      </x:c>
      <x:c r="C471" s="33" t="str">
        <x:v>2020 supplement MeanTL</x:v>
      </x:c>
      <x:c r="D471" s="25" t="str">
        <x:v>high</x:v>
      </x:c>
      <x:c r="E471" s="35" t="n">
        <x:v>63</x:v>
      </x:c>
      <x:c r="F471" s="32" t="n">
        <x:v>435484.6466470345</x:v>
      </x:c>
      <x:c r="G471" s="32" t="n">
        <x:v>694924.7188260403</x:v>
      </x:c>
      <x:c r="H471" s="25" t="n">
        <x:v>112</x:v>
      </x:c>
      <x:c r="I471" s="34" t="n">
        <x:v>0.5625</x:v>
      </x:c>
      <x:c r="J471" s="34" t="n">
        <x:v>0.6266644930730243</x:v>
      </x:c>
    </x:row>
    <x:row r="472" ht="18" customHeight="1">
      <x:c r="A472" s="25" t="str">
        <x:v>EEZ_926</x:v>
      </x:c>
      <x:c r="B472" s="25" t="str">
        <x:v>exact_sea_around_us</x:v>
      </x:c>
      <x:c r="C472" s="33" t="str">
        <x:v>Sea Around Us exploited organisms</x:v>
      </x:c>
      <x:c r="D472" s="25" t="str">
        <x:v>high</x:v>
      </x:c>
      <x:c r="E472" s="35" t="n">
        <x:v>49</x:v>
      </x:c>
      <x:c r="F472" s="32" t="n">
        <x:v>259440.0721790058</x:v>
      </x:c>
      <x:c r="G472" s="32" t="n">
        <x:v>694924.7188260403</x:v>
      </x:c>
      <x:c r="H472" s="25" t="n">
        <x:v>112</x:v>
      </x:c>
      <x:c r="I472" s="34" t="n">
        <x:v>0.4375</x:v>
      </x:c>
      <x:c r="J472" s="34" t="n">
        <x:v>0.3733355069269757</x:v>
      </x:c>
    </x:row>
    <x:row r="473" ht="18" customHeight="1">
      <x:c r="A473" s="25" t="str">
        <x:v>EEZ_927</x:v>
      </x:c>
      <x:c r="B473" s="25" t="str">
        <x:v>exact_sea_around_us</x:v>
      </x:c>
      <x:c r="C473" s="33" t="str">
        <x:v>Sea Around Us exploited organisms</x:v>
      </x:c>
      <x:c r="D473" s="25" t="str">
        <x:v>high</x:v>
      </x:c>
      <x:c r="E473" s="35" t="n">
        <x:v>40</x:v>
      </x:c>
      <x:c r="F473" s="32" t="n">
        <x:v>12471.1545923958</x:v>
      </x:c>
      <x:c r="G473" s="32" t="n">
        <x:v>20344.1120639465</x:v>
      </x:c>
      <x:c r="H473" s="25" t="n">
        <x:v>89</x:v>
      </x:c>
      <x:c r="I473" s="34" t="n">
        <x:v>0.449438202247191</x:v>
      </x:c>
      <x:c r="J473" s="34" t="n">
        <x:v>0.6130105139607923</x:v>
      </x:c>
    </x:row>
    <x:row r="474" ht="18" customHeight="1">
      <x:c r="A474" s="25" t="str">
        <x:v>EEZ_927</x:v>
      </x:c>
      <x:c r="B474" s="25" t="str">
        <x:v>exact_2020_supplement</x:v>
      </x:c>
      <x:c r="C474" s="33" t="str">
        <x:v>2020 supplement MeanTL</x:v>
      </x:c>
      <x:c r="D474" s="25" t="str">
        <x:v>high</x:v>
      </x:c>
      <x:c r="E474" s="35" t="n">
        <x:v>49</x:v>
      </x:c>
      <x:c r="F474" s="32" t="n">
        <x:v>7872.9574715507</x:v>
      </x:c>
      <x:c r="G474" s="32" t="n">
        <x:v>20344.1120639465</x:v>
      </x:c>
      <x:c r="H474" s="25" t="n">
        <x:v>89</x:v>
      </x:c>
      <x:c r="I474" s="34" t="n">
        <x:v>0.550561797752809</x:v>
      </x:c>
      <x:c r="J474" s="34" t="n">
        <x:v>0.38698948603920763</x:v>
      </x:c>
    </x:row>
    <x:row r="475" ht="18" customHeight="1">
      <x:c r="A475" s="25" t="str">
        <x:v>EEZ_928</x:v>
      </x:c>
      <x:c r="B475" s="25" t="str">
        <x:v>exact_2020_supplement</x:v>
      </x:c>
      <x:c r="C475" s="33" t="str">
        <x:v>2020 supplement MeanTL</x:v>
      </x:c>
      <x:c r="D475" s="25" t="str">
        <x:v>high</x:v>
      </x:c>
      <x:c r="E475" s="35" t="n">
        <x:v>36</x:v>
      </x:c>
      <x:c r="F475" s="32" t="n">
        <x:v>30385.7714116387</x:v>
      </x:c>
      <x:c r="G475" s="32" t="n">
        <x:v>54847.9752029435</x:v>
      </x:c>
      <x:c r="H475" s="25" t="n">
        <x:v>87</x:v>
      </x:c>
      <x:c r="I475" s="34" t="n">
        <x:v>0.41379310344827586</x:v>
      </x:c>
      <x:c r="J475" s="34" t="n">
        <x:v>0.5539998750948969</x:v>
      </x:c>
    </x:row>
    <x:row r="476" ht="18" customHeight="1">
      <x:c r="A476" s="25" t="str">
        <x:v>EEZ_928</x:v>
      </x:c>
      <x:c r="B476" s="25" t="str">
        <x:v>exact_sea_around_us</x:v>
      </x:c>
      <x:c r="C476" s="33" t="str">
        <x:v>Sea Around Us exploited organisms</x:v>
      </x:c>
      <x:c r="D476" s="25" t="str">
        <x:v>high</x:v>
      </x:c>
      <x:c r="E476" s="35" t="n">
        <x:v>51</x:v>
      </x:c>
      <x:c r="F476" s="32" t="n">
        <x:v>24462.203791304797</x:v>
      </x:c>
      <x:c r="G476" s="32" t="n">
        <x:v>54847.9752029435</x:v>
      </x:c>
      <x:c r="H476" s="25" t="n">
        <x:v>87</x:v>
      </x:c>
      <x:c r="I476" s="34" t="n">
        <x:v>0.5862068965517241</x:v>
      </x:c>
      <x:c r="J476" s="34" t="n">
        <x:v>0.4460001249051031</x:v>
      </x:c>
    </x:row>
    <x:row r="477" ht="18" customHeight="1">
      <x:c r="A477" s="25" t="str">
        <x:v>EEZ_929</x:v>
      </x:c>
      <x:c r="B477" s="25" t="str">
        <x:v>exact_sea_around_us</x:v>
      </x:c>
      <x:c r="C477" s="33" t="str">
        <x:v>Sea Around Us exploited organisms</x:v>
      </x:c>
      <x:c r="D477" s="25" t="str">
        <x:v>high</x:v>
      </x:c>
      <x:c r="E477" s="35" t="n">
        <x:v>8</x:v>
      </x:c>
      <x:c r="F477" s="32" t="n">
        <x:v>348.0175007804</x:v>
      </x:c>
      <x:c r="G477" s="32" t="n">
        <x:v>601.562955336</x:v>
      </x:c>
      <x:c r="H477" s="25" t="n">
        <x:v>14</x:v>
      </x:c>
      <x:c r="I477" s="34" t="n">
        <x:v>0.5714285714285714</x:v>
      </x:c>
      <x:c r="J477" s="34" t="n">
        <x:v>0.5785221608036295</x:v>
      </x:c>
    </x:row>
    <x:row r="478" ht="18" customHeight="1">
      <x:c r="A478" s="25" t="str">
        <x:v>EEZ_929</x:v>
      </x:c>
      <x:c r="B478" s="25" t="str">
        <x:v>exact_2020_supplement</x:v>
      </x:c>
      <x:c r="C478" s="33" t="str">
        <x:v>2020 supplement MeanTL</x:v>
      </x:c>
      <x:c r="D478" s="25" t="str">
        <x:v>high</x:v>
      </x:c>
      <x:c r="E478" s="35" t="n">
        <x:v>6</x:v>
      </x:c>
      <x:c r="F478" s="32" t="n">
        <x:v>253.5454545556</x:v>
      </x:c>
      <x:c r="G478" s="32" t="n">
        <x:v>601.562955336</x:v>
      </x:c>
      <x:c r="H478" s="25" t="n">
        <x:v>14</x:v>
      </x:c>
      <x:c r="I478" s="34" t="n">
        <x:v>0.42857142857142855</x:v>
      </x:c>
      <x:c r="J478" s="34" t="n">
        <x:v>0.4214778391963705</x:v>
      </x:c>
    </x:row>
    <x:row r="479" ht="18" customHeight="1">
      <x:c r="A479" s="25" t="str">
        <x:v>EEZ_930</x:v>
      </x:c>
      <x:c r="B479" s="25" t="str">
        <x:v>exact_sea_around_us</x:v>
      </x:c>
      <x:c r="C479" s="33" t="str">
        <x:v>Sea Around Us exploited organisms</x:v>
      </x:c>
      <x:c r="D479" s="25" t="str">
        <x:v>high</x:v>
      </x:c>
      <x:c r="E479" s="35" t="n">
        <x:v>30</x:v>
      </x:c>
      <x:c r="F479" s="32" t="n">
        <x:v>33109.1042158765</x:v>
      </x:c>
      <x:c r="G479" s="32" t="n">
        <x:v>53716.9931959015</x:v>
      </x:c>
      <x:c r="H479" s="25" t="n">
        <x:v>63</x:v>
      </x:c>
      <x:c r="I479" s="34" t="n">
        <x:v>0.47619047619047616</x:v>
      </x:c>
      <x:c r="J479" s="34" t="n">
        <x:v>0.6163618297682875</x:v>
      </x:c>
    </x:row>
    <x:row r="480" ht="18" customHeight="1">
      <x:c r="A480" s="25" t="str">
        <x:v>EEZ_930</x:v>
      </x:c>
      <x:c r="B480" s="25" t="str">
        <x:v>exact_2020_supplement</x:v>
      </x:c>
      <x:c r="C480" s="33" t="str">
        <x:v>2020 supplement MeanTL</x:v>
      </x:c>
      <x:c r="D480" s="25" t="str">
        <x:v>high</x:v>
      </x:c>
      <x:c r="E480" s="35" t="n">
        <x:v>33</x:v>
      </x:c>
      <x:c r="F480" s="32" t="n">
        <x:v>20607.888980025</x:v>
      </x:c>
      <x:c r="G480" s="32" t="n">
        <x:v>53716.9931959015</x:v>
      </x:c>
      <x:c r="H480" s="25" t="n">
        <x:v>63</x:v>
      </x:c>
      <x:c r="I480" s="34" t="n">
        <x:v>0.5238095238095238</x:v>
      </x:c>
      <x:c r="J480" s="34" t="n">
        <x:v>0.3836381702317125</x:v>
      </x:c>
    </x:row>
    <x:row r="481" ht="18" customHeight="1">
      <x:c r="A481" s="25" t="str">
        <x:v>EEZ_931</x:v>
      </x:c>
      <x:c r="B481" s="25" t="str">
        <x:v>exact_2020_supplement</x:v>
      </x:c>
      <x:c r="C481" s="33" t="str">
        <x:v>2020 supplement MeanTL</x:v>
      </x:c>
      <x:c r="D481" s="25" t="str">
        <x:v>high</x:v>
      </x:c>
      <x:c r="E481" s="35" t="n">
        <x:v>51</x:v>
      </x:c>
      <x:c r="F481" s="32" t="n">
        <x:v>65635.0243488641</x:v>
      </x:c>
      <x:c r="G481" s="32" t="n">
        <x:v>66565.8646210142</x:v>
      </x:c>
      <x:c r="H481" s="25" t="n">
        <x:v>67</x:v>
      </x:c>
      <x:c r="I481" s="34" t="n">
        <x:v>0.7611940298507462</x:v>
      </x:c>
      <x:c r="J481" s="34" t="n">
        <x:v>0.9860162520617776</x:v>
      </x:c>
    </x:row>
    <x:row r="482" ht="18" customHeight="1">
      <x:c r="A482" s="25" t="str">
        <x:v>EEZ_931</x:v>
      </x:c>
      <x:c r="B482" s="25" t="str">
        <x:v>exact_sea_around_us</x:v>
      </x:c>
      <x:c r="C482" s="33" t="str">
        <x:v>Sea Around Us exploited organisms</x:v>
      </x:c>
      <x:c r="D482" s="25" t="str">
        <x:v>high</x:v>
      </x:c>
      <x:c r="E482" s="35" t="n">
        <x:v>16</x:v>
      </x:c>
      <x:c r="F482" s="32" t="n">
        <x:v>930.8402721501001</x:v>
      </x:c>
      <x:c r="G482" s="32" t="n">
        <x:v>66565.8646210142</x:v>
      </x:c>
      <x:c r="H482" s="25" t="n">
        <x:v>67</x:v>
      </x:c>
      <x:c r="I482" s="34" t="n">
        <x:v>0.23880597014925373</x:v>
      </x:c>
      <x:c r="J482" s="34" t="n">
        <x:v>0.01398374793822242</x:v>
      </x:c>
    </x:row>
    <x:row r="483" ht="18" customHeight="1">
      <x:c r="A483" s="25" t="str">
        <x:v>EEZ_932</x:v>
      </x:c>
      <x:c r="B483" s="25" t="str">
        <x:v>exact_2020_supplement</x:v>
      </x:c>
      <x:c r="C483" s="33" t="str">
        <x:v>2020 supplement MeanTL</x:v>
      </x:c>
      <x:c r="D483" s="25" t="str">
        <x:v>high</x:v>
      </x:c>
      <x:c r="E483" s="35" t="n">
        <x:v>111</x:v>
      </x:c>
      <x:c r="F483" s="32" t="n">
        <x:v>115203.2607690614</x:v>
      </x:c>
      <x:c r="G483" s="32" t="n">
        <x:v>136822.7965781429</x:v>
      </x:c>
      <x:c r="H483" s="25" t="n">
        <x:v>191</x:v>
      </x:c>
      <x:c r="I483" s="34" t="n">
        <x:v>0.581151832460733</x:v>
      </x:c>
      <x:c r="J483" s="34" t="n">
        <x:v>0.8419887887853976</x:v>
      </x:c>
    </x:row>
    <x:row r="484" ht="18" customHeight="1">
      <x:c r="A484" s="25" t="str">
        <x:v>EEZ_932</x:v>
      </x:c>
      <x:c r="B484" s="25" t="str">
        <x:v>exact_sea_around_us</x:v>
      </x:c>
      <x:c r="C484" s="33" t="str">
        <x:v>Sea Around Us exploited organisms</x:v>
      </x:c>
      <x:c r="D484" s="25" t="str">
        <x:v>high</x:v>
      </x:c>
      <x:c r="E484" s="35" t="n">
        <x:v>80</x:v>
      </x:c>
      <x:c r="F484" s="32" t="n">
        <x:v>21619.5358090815</x:v>
      </x:c>
      <x:c r="G484" s="32" t="n">
        <x:v>136822.7965781429</x:v>
      </x:c>
      <x:c r="H484" s="25" t="n">
        <x:v>191</x:v>
      </x:c>
      <x:c r="I484" s="34" t="n">
        <x:v>0.418848167539267</x:v>
      </x:c>
      <x:c r="J484" s="34" t="n">
        <x:v>0.15801121121460227</x:v>
      </x:c>
    </x:row>
    <x:row r="485" ht="18" customHeight="1">
      <x:c r="A485" s="25" t="str">
        <x:v>EEZ_933</x:v>
      </x:c>
      <x:c r="B485" s="25" t="str">
        <x:v>exact_sea_around_us</x:v>
      </x:c>
      <x:c r="C485" s="33" t="str">
        <x:v>Sea Around Us exploited organisms</x:v>
      </x:c>
      <x:c r="D485" s="25" t="str">
        <x:v>high</x:v>
      </x:c>
      <x:c r="E485" s="35" t="n">
        <x:v>47</x:v>
      </x:c>
      <x:c r="F485" s="32" t="n">
        <x:v>43084.1324014728</x:v>
      </x:c>
      <x:c r="G485" s="32" t="n">
        <x:v>55812.690645263196</x:v>
      </x:c>
      <x:c r="H485" s="25" t="n">
        <x:v>88</x:v>
      </x:c>
      <x:c r="I485" s="34" t="n">
        <x:v>0.5340909090909091</x:v>
      </x:c>
      <x:c r="J485" s="34" t="n">
        <x:v>0.7719415047611459</x:v>
      </x:c>
    </x:row>
    <x:row r="486" ht="18" customHeight="1">
      <x:c r="A486" s="25" t="str">
        <x:v>EEZ_933</x:v>
      </x:c>
      <x:c r="B486" s="25" t="str">
        <x:v>exact_2020_supplement</x:v>
      </x:c>
      <x:c r="C486" s="33" t="str">
        <x:v>2020 supplement MeanTL</x:v>
      </x:c>
      <x:c r="D486" s="25" t="str">
        <x:v>high</x:v>
      </x:c>
      <x:c r="E486" s="35" t="n">
        <x:v>41</x:v>
      </x:c>
      <x:c r="F486" s="32" t="n">
        <x:v>12728.5582437904</x:v>
      </x:c>
      <x:c r="G486" s="32" t="n">
        <x:v>55812.690645263196</x:v>
      </x:c>
      <x:c r="H486" s="25" t="n">
        <x:v>88</x:v>
      </x:c>
      <x:c r="I486" s="34" t="n">
        <x:v>0.4659090909090909</x:v>
      </x:c>
      <x:c r="J486" s="34" t="n">
        <x:v>0.22805849523885421</x:v>
      </x:c>
    </x:row>
    <x:row r="487" ht="18" customHeight="1">
      <x:c r="A487" s="25" t="str">
        <x:v>EEZ_934</x:v>
      </x:c>
      <x:c r="B487" s="25" t="str">
        <x:v>exact_sea_around_us</x:v>
      </x:c>
      <x:c r="C487" s="33" t="str">
        <x:v>Sea Around Us exploited organisms</x:v>
      </x:c>
      <x:c r="D487" s="25" t="str">
        <x:v>high</x:v>
      </x:c>
      <x:c r="E487" s="35" t="n">
        <x:v>39</x:v>
      </x:c>
      <x:c r="F487" s="32" t="n">
        <x:v>57640.931379182</x:v>
      </x:c>
      <x:c r="G487" s="32" t="n">
        <x:v>65184.463024507</x:v>
      </x:c>
      <x:c r="H487" s="25" t="n">
        <x:v>57</x:v>
      </x:c>
      <x:c r="I487" s="34" t="n">
        <x:v>0.6842105263157895</x:v>
      </x:c>
      <x:c r="J487" s="34" t="n">
        <x:v>0.8842740847233964</x:v>
      </x:c>
    </x:row>
    <x:row r="488" ht="18" customHeight="1">
      <x:c r="A488" s="25" t="str">
        <x:v>EEZ_934</x:v>
      </x:c>
      <x:c r="B488" s="25" t="str">
        <x:v>exact_2020_supplement</x:v>
      </x:c>
      <x:c r="C488" s="33" t="str">
        <x:v>2020 supplement MeanTL</x:v>
      </x:c>
      <x:c r="D488" s="25" t="str">
        <x:v>high</x:v>
      </x:c>
      <x:c r="E488" s="35" t="n">
        <x:v>18</x:v>
      </x:c>
      <x:c r="F488" s="32" t="n">
        <x:v>7543.531645325001</x:v>
      </x:c>
      <x:c r="G488" s="32" t="n">
        <x:v>65184.463024507</x:v>
      </x:c>
      <x:c r="H488" s="25" t="n">
        <x:v>57</x:v>
      </x:c>
      <x:c r="I488" s="34" t="n">
        <x:v>0.3157894736842105</x:v>
      </x:c>
      <x:c r="J488" s="34" t="n">
        <x:v>0.11572591527660366</x:v>
      </x:c>
    </x:row>
    <x:row r="489" ht="18" customHeight="1">
      <x:c r="A489" s="25" t="str">
        <x:v>EEZ_935</x:v>
      </x:c>
      <x:c r="B489" s="25" t="str">
        <x:v>exact_sea_around_us</x:v>
      </x:c>
      <x:c r="C489" s="33" t="str">
        <x:v>Sea Around Us exploited organisms</x:v>
      </x:c>
      <x:c r="D489" s="25" t="str">
        <x:v>high</x:v>
      </x:c>
      <x:c r="E489" s="35" t="n">
        <x:v>22</x:v>
      </x:c>
      <x:c r="F489" s="32" t="n">
        <x:v>4677.763371439</x:v>
      </x:c>
      <x:c r="G489" s="32" t="n">
        <x:v>4694.347823299</x:v>
      </x:c>
      <x:c r="H489" s="25" t="n">
        <x:v>23</x:v>
      </x:c>
      <x:c r="I489" s="34" t="n">
        <x:v>0.9565217391304348</x:v>
      </x:c>
      <x:c r="J489" s="34" t="n">
        <x:v>0.9964671446419697</x:v>
      </x:c>
    </x:row>
    <x:row r="490" ht="18" customHeight="1">
      <x:c r="A490" s="25" t="str">
        <x:v>EEZ_935</x:v>
      </x:c>
      <x:c r="B490" s="25" t="str">
        <x:v>exact_2020_supplement</x:v>
      </x:c>
      <x:c r="C490" s="33" t="str">
        <x:v>2020 supplement MeanTL</x:v>
      </x:c>
      <x:c r="D490" s="25" t="str">
        <x:v>high</x:v>
      </x:c>
      <x:c r="E490" s="35" t="n">
        <x:v>1</x:v>
      </x:c>
      <x:c r="F490" s="32" t="n">
        <x:v>16.58445186</x:v>
      </x:c>
      <x:c r="G490" s="32" t="n">
        <x:v>4694.347823299</x:v>
      </x:c>
      <x:c r="H490" s="25" t="n">
        <x:v>23</x:v>
      </x:c>
      <x:c r="I490" s="34" t="n">
        <x:v>0.043478260869565216</x:v>
      </x:c>
      <x:c r="J490" s="34" t="n">
        <x:v>0.0035328553580303537</x:v>
      </x:c>
    </x:row>
    <x:row r="491" ht="18" customHeight="1">
      <x:c r="A491" s="25" t="str">
        <x:v>EEZ_936</x:v>
      </x:c>
      <x:c r="B491" s="25" t="str">
        <x:v>exact_sea_around_us</x:v>
      </x:c>
      <x:c r="C491" s="33" t="str">
        <x:v>Sea Around Us exploited organisms</x:v>
      </x:c>
      <x:c r="D491" s="25" t="str">
        <x:v>high</x:v>
      </x:c>
      <x:c r="E491" s="35" t="n">
        <x:v>52</x:v>
      </x:c>
      <x:c r="F491" s="32" t="n">
        <x:v>27554.417600183602</x:v>
      </x:c>
      <x:c r="G491" s="32" t="n">
        <x:v>32146.8257039048</x:v>
      </x:c>
      <x:c r="H491" s="25" t="n">
        <x:v>77</x:v>
      </x:c>
      <x:c r="I491" s="34" t="n">
        <x:v>0.6753246753246753</x:v>
      </x:c>
      <x:c r="J491" s="34" t="n">
        <x:v>0.8571427192836844</x:v>
      </x:c>
    </x:row>
    <x:row r="492" ht="18" customHeight="1">
      <x:c r="A492" s="25" t="str">
        <x:v>EEZ_936</x:v>
      </x:c>
      <x:c r="B492" s="25" t="str">
        <x:v>exact_2020_supplement</x:v>
      </x:c>
      <x:c r="C492" s="33" t="str">
        <x:v>2020 supplement MeanTL</x:v>
      </x:c>
      <x:c r="D492" s="25" t="str">
        <x:v>high</x:v>
      </x:c>
      <x:c r="E492" s="35" t="n">
        <x:v>25</x:v>
      </x:c>
      <x:c r="F492" s="32" t="n">
        <x:v>4592.4081037212</x:v>
      </x:c>
      <x:c r="G492" s="32" t="n">
        <x:v>32146.8257039048</x:v>
      </x:c>
      <x:c r="H492" s="25" t="n">
        <x:v>77</x:v>
      </x:c>
      <x:c r="I492" s="34" t="n">
        <x:v>0.3246753246753247</x:v>
      </x:c>
      <x:c r="J492" s="34" t="n">
        <x:v>0.14285728071631568</x:v>
      </x:c>
    </x:row>
    <x:row r="493" ht="18" customHeight="1">
      <x:c r="A493" s="25" t="str">
        <x:v>EEZ_937</x:v>
      </x:c>
      <x:c r="B493" s="25" t="str">
        <x:v>exact_sea_around_us</x:v>
      </x:c>
      <x:c r="C493" s="33" t="str">
        <x:v>Sea Around Us exploited organisms</x:v>
      </x:c>
      <x:c r="D493" s="25" t="str">
        <x:v>high</x:v>
      </x:c>
      <x:c r="E493" s="35" t="n">
        <x:v>89</x:v>
      </x:c>
      <x:c r="F493" s="32" t="n">
        <x:v>1265506.0956189784</x:v>
      </x:c>
      <x:c r="G493" s="32" t="n">
        <x:v>1876235.8826732747</x:v>
      </x:c>
      <x:c r="H493" s="25" t="n">
        <x:v>138</x:v>
      </x:c>
      <x:c r="I493" s="34" t="n">
        <x:v>0.644927536231884</x:v>
      </x:c>
      <x:c r="J493" s="34" t="n">
        <x:v>0.6744920014086268</x:v>
      </x:c>
    </x:row>
    <x:row r="494" ht="18" customHeight="1">
      <x:c r="A494" s="25" t="str">
        <x:v>EEZ_937</x:v>
      </x:c>
      <x:c r="B494" s="25" t="str">
        <x:v>exact_2020_supplement</x:v>
      </x:c>
      <x:c r="C494" s="33" t="str">
        <x:v>2020 supplement MeanTL</x:v>
      </x:c>
      <x:c r="D494" s="25" t="str">
        <x:v>high</x:v>
      </x:c>
      <x:c r="E494" s="35" t="n">
        <x:v>49</x:v>
      </x:c>
      <x:c r="F494" s="32" t="n">
        <x:v>610729.7870542964</x:v>
      </x:c>
      <x:c r="G494" s="32" t="n">
        <x:v>1876235.8826732747</x:v>
      </x:c>
      <x:c r="H494" s="25" t="n">
        <x:v>138</x:v>
      </x:c>
      <x:c r="I494" s="34" t="n">
        <x:v>0.35507246376811596</x:v>
      </x:c>
      <x:c r="J494" s="34" t="n">
        <x:v>0.3255079985913733</x:v>
      </x:c>
    </x:row>
    <x:row r="495" ht="18" customHeight="1">
      <x:c r="A495" s="25" t="str">
        <x:v>EEZ_938</x:v>
      </x:c>
      <x:c r="B495" s="25" t="str">
        <x:v>exact_sea_around_us</x:v>
      </x:c>
      <x:c r="C495" s="33" t="str">
        <x:v>Sea Around Us exploited organisms</x:v>
      </x:c>
      <x:c r="D495" s="25" t="str">
        <x:v>high</x:v>
      </x:c>
      <x:c r="E495" s="35" t="n">
        <x:v>97</x:v>
      </x:c>
      <x:c r="F495" s="32" t="n">
        <x:v>1268919.447418445</x:v>
      </x:c>
      <x:c r="G495" s="32" t="n">
        <x:v>2112707.572524511</x:v>
      </x:c>
      <x:c r="H495" s="25" t="n">
        <x:v>147</x:v>
      </x:c>
      <x:c r="I495" s="34" t="n">
        <x:v>0.6598639455782312</x:v>
      </x:c>
      <x:c r="J495" s="34" t="n">
        <x:v>0.6006129120378886</x:v>
      </x:c>
    </x:row>
    <x:row r="496" ht="18" customHeight="1">
      <x:c r="A496" s="25" t="str">
        <x:v>EEZ_938</x:v>
      </x:c>
      <x:c r="B496" s="25" t="str">
        <x:v>exact_2020_supplement</x:v>
      </x:c>
      <x:c r="C496" s="33" t="str">
        <x:v>2020 supplement MeanTL</x:v>
      </x:c>
      <x:c r="D496" s="25" t="str">
        <x:v>high</x:v>
      </x:c>
      <x:c r="E496" s="35" t="n">
        <x:v>50</x:v>
      </x:c>
      <x:c r="F496" s="32" t="n">
        <x:v>843788.1251060657</x:v>
      </x:c>
      <x:c r="G496" s="32" t="n">
        <x:v>2112707.572524511</x:v>
      </x:c>
      <x:c r="H496" s="25" t="n">
        <x:v>147</x:v>
      </x:c>
      <x:c r="I496" s="34" t="n">
        <x:v>0.3401360544217687</x:v>
      </x:c>
      <x:c r="J496" s="34" t="n">
        <x:v>0.3993870879621114</x:v>
      </x:c>
    </x:row>
    <x:row r="497" ht="18" customHeight="1">
      <x:c r="A497" s="25" t="str">
        <x:v>EEZ_939</x:v>
      </x:c>
      <x:c r="B497" s="25" t="str">
        <x:v>exact_sea_around_us</x:v>
      </x:c>
      <x:c r="C497" s="33" t="str">
        <x:v>Sea Around Us exploited organisms</x:v>
      </x:c>
      <x:c r="D497" s="25" t="str">
        <x:v>high</x:v>
      </x:c>
      <x:c r="E497" s="35" t="n">
        <x:v>27</x:v>
      </x:c>
      <x:c r="F497" s="32" t="n">
        <x:v>1922.011506934</x:v>
      </x:c>
      <x:c r="G497" s="32" t="n">
        <x:v>2520.914048787</x:v>
      </x:c>
      <x:c r="H497" s="25" t="n">
        <x:v>50</x:v>
      </x:c>
      <x:c r="I497" s="34" t="n">
        <x:v>0.54</x:v>
      </x:c>
      <x:c r="J497" s="34" t="n">
        <x:v>0.7624264333243822</x:v>
      </x:c>
    </x:row>
    <x:row r="498" ht="18" customHeight="1">
      <x:c r="A498" s="25" t="str">
        <x:v>EEZ_939</x:v>
      </x:c>
      <x:c r="B498" s="25" t="str">
        <x:v>exact_2020_supplement</x:v>
      </x:c>
      <x:c r="C498" s="33" t="str">
        <x:v>2020 supplement MeanTL</x:v>
      </x:c>
      <x:c r="D498" s="25" t="str">
        <x:v>high</x:v>
      </x:c>
      <x:c r="E498" s="35" t="n">
        <x:v>23</x:v>
      </x:c>
      <x:c r="F498" s="32" t="n">
        <x:v>598.902541853</x:v>
      </x:c>
      <x:c r="G498" s="32" t="n">
        <x:v>2520.914048787</x:v>
      </x:c>
      <x:c r="H498" s="25" t="n">
        <x:v>50</x:v>
      </x:c>
      <x:c r="I498" s="34" t="n">
        <x:v>0.46</x:v>
      </x:c>
      <x:c r="J498" s="34" t="n">
        <x:v>0.23757356667561783</x:v>
      </x:c>
    </x:row>
    <x:row r="499" ht="18" customHeight="1">
      <x:c r="A499" s="25" t="str">
        <x:v>EEZ_940</x:v>
      </x:c>
      <x:c r="B499" s="25" t="str">
        <x:v>exact_sea_around_us</x:v>
      </x:c>
      <x:c r="C499" s="33" t="str">
        <x:v>Sea Around Us exploited organisms</x:v>
      </x:c>
      <x:c r="D499" s="25" t="str">
        <x:v>high</x:v>
      </x:c>
      <x:c r="E499" s="35" t="n">
        <x:v>10</x:v>
      </x:c>
      <x:c r="F499" s="32" t="n">
        <x:v>111.2352</x:v>
      </x:c>
      <x:c r="G499" s="32" t="n">
        <x:v>111.2352</x:v>
      </x:c>
      <x:c r="H499" s="25" t="n">
        <x:v>10</x:v>
      </x:c>
      <x:c r="I499" s="34" t="n">
        <x:v>1</x:v>
      </x:c>
      <x:c r="J499" s="34" t="n">
        <x:v>1</x:v>
      </x:c>
    </x:row>
    <x:row r="500" ht="18" customHeight="1">
      <x:c r="A500" s="25" t="str">
        <x:v>EEZ_941</x:v>
      </x:c>
      <x:c r="B500" s="25" t="str">
        <x:v>exact_2020_supplement</x:v>
      </x:c>
      <x:c r="C500" s="33" t="str">
        <x:v>2020 supplement MeanTL</x:v>
      </x:c>
      <x:c r="D500" s="25" t="str">
        <x:v>high</x:v>
      </x:c>
      <x:c r="E500" s="35" t="n">
        <x:v>15</x:v>
      </x:c>
      <x:c r="F500" s="32" t="n">
        <x:v>570202.7835288625</x:v>
      </x:c>
      <x:c r="G500" s="32" t="n">
        <x:v>599962.7992743407</x:v>
      </x:c>
      <x:c r="H500" s="25" t="n">
        <x:v>38</x:v>
      </x:c>
      <x:c r="I500" s="34" t="n">
        <x:v>0.39473684210526316</x:v>
      </x:c>
      <x:c r="J500" s="34" t="n">
        <x:v>0.9503968983052397</x:v>
      </x:c>
    </x:row>
    <x:row r="501" ht="18" customHeight="1">
      <x:c r="A501" s="25" t="str">
        <x:v>EEZ_941</x:v>
      </x:c>
      <x:c r="B501" s="25" t="str">
        <x:v>exact_sea_around_us</x:v>
      </x:c>
      <x:c r="C501" s="33" t="str">
        <x:v>Sea Around Us exploited organisms</x:v>
      </x:c>
      <x:c r="D501" s="25" t="str">
        <x:v>high</x:v>
      </x:c>
      <x:c r="E501" s="35" t="n">
        <x:v>23</x:v>
      </x:c>
      <x:c r="F501" s="32" t="n">
        <x:v>29760.0157454782</x:v>
      </x:c>
      <x:c r="G501" s="32" t="n">
        <x:v>599962.7992743407</x:v>
      </x:c>
      <x:c r="H501" s="25" t="n">
        <x:v>38</x:v>
      </x:c>
      <x:c r="I501" s="34" t="n">
        <x:v>0.6052631578947368</x:v>
      </x:c>
      <x:c r="J501" s="34" t="n">
        <x:v>0.04960310169476032</x:v>
      </x:c>
    </x:row>
    <x:row r="502" ht="18" customHeight="1">
      <x:c r="A502" s="25" t="str">
        <x:v>EEZ_942</x:v>
      </x:c>
      <x:c r="B502" s="25" t="str">
        <x:v>exact_2020_supplement</x:v>
      </x:c>
      <x:c r="C502" s="33" t="str">
        <x:v>2020 supplement MeanTL</x:v>
      </x:c>
      <x:c r="D502" s="25" t="str">
        <x:v>high</x:v>
      </x:c>
      <x:c r="E502" s="35" t="n">
        <x:v>17</x:v>
      </x:c>
      <x:c r="F502" s="32" t="n">
        <x:v>101167.4578792337</x:v>
      </x:c>
      <x:c r="G502" s="32" t="n">
        <x:v>110424.349369105</x:v>
      </x:c>
      <x:c r="H502" s="25" t="n">
        <x:v>40</x:v>
      </x:c>
      <x:c r="I502" s="34" t="n">
        <x:v>0.425</x:v>
      </x:c>
      <x:c r="J502" s="34" t="n">
        <x:v>0.9161698344363419</x:v>
      </x:c>
    </x:row>
    <x:row r="503" ht="18" customHeight="1">
      <x:c r="A503" s="25" t="str">
        <x:v>EEZ_942</x:v>
      </x:c>
      <x:c r="B503" s="25" t="str">
        <x:v>exact_sea_around_us</x:v>
      </x:c>
      <x:c r="C503" s="33" t="str">
        <x:v>Sea Around Us exploited organisms</x:v>
      </x:c>
      <x:c r="D503" s="25" t="str">
        <x:v>high</x:v>
      </x:c>
      <x:c r="E503" s="35" t="n">
        <x:v>23</x:v>
      </x:c>
      <x:c r="F503" s="32" t="n">
        <x:v>9256.891489871301</x:v>
      </x:c>
      <x:c r="G503" s="32" t="n">
        <x:v>110424.349369105</x:v>
      </x:c>
      <x:c r="H503" s="25" t="n">
        <x:v>40</x:v>
      </x:c>
      <x:c r="I503" s="34" t="n">
        <x:v>0.575</x:v>
      </x:c>
      <x:c r="J503" s="34" t="n">
        <x:v>0.08383016556365815</x:v>
      </x:c>
    </x:row>
    <x:row r="504" ht="18" customHeight="1">
      <x:c r="A504" s="25" t="str">
        <x:v>EEZ_943</x:v>
      </x:c>
      <x:c r="B504" s="25" t="str">
        <x:v>exact_2020_supplement</x:v>
      </x:c>
      <x:c r="C504" s="33" t="str">
        <x:v>2020 supplement MeanTL</x:v>
      </x:c>
      <x:c r="D504" s="25" t="str">
        <x:v>high</x:v>
      </x:c>
      <x:c r="E504" s="35" t="n">
        <x:v>14</x:v>
      </x:c>
      <x:c r="F504" s="32" t="n">
        <x:v>73158.64655723161</x:v>
      </x:c>
      <x:c r="G504" s="32" t="n">
        <x:v>77760.62795477301</x:v>
      </x:c>
      <x:c r="H504" s="25" t="n">
        <x:v>30</x:v>
      </x:c>
      <x:c r="I504" s="34" t="n">
        <x:v>0.4666666666666667</x:v>
      </x:c>
      <x:c r="J504" s="34" t="n">
        <x:v>0.9408186183859266</x:v>
      </x:c>
    </x:row>
    <x:row r="505" ht="18" customHeight="1">
      <x:c r="A505" s="25" t="str">
        <x:v>EEZ_943</x:v>
      </x:c>
      <x:c r="B505" s="25" t="str">
        <x:v>exact_sea_around_us</x:v>
      </x:c>
      <x:c r="C505" s="33" t="str">
        <x:v>Sea Around Us exploited organisms</x:v>
      </x:c>
      <x:c r="D505" s="25" t="str">
        <x:v>high</x:v>
      </x:c>
      <x:c r="E505" s="35" t="n">
        <x:v>16</x:v>
      </x:c>
      <x:c r="F505" s="32" t="n">
        <x:v>4601.9813975414</x:v>
      </x:c>
      <x:c r="G505" s="32" t="n">
        <x:v>77760.62795477301</x:v>
      </x:c>
      <x:c r="H505" s="25" t="n">
        <x:v>30</x:v>
      </x:c>
      <x:c r="I505" s="34" t="n">
        <x:v>0.5333333333333333</x:v>
      </x:c>
      <x:c r="J505" s="34" t="n">
        <x:v>0.05918138161407333</x:v>
      </x:c>
    </x:row>
    <x:row r="506" ht="18" customHeight="1">
      <x:c r="A506" s="25" t="str">
        <x:v>EEZ_944</x:v>
      </x:c>
      <x:c r="B506" s="25" t="str">
        <x:v>exact_sea_around_us</x:v>
      </x:c>
      <x:c r="C506" s="33" t="str">
        <x:v>Sea Around Us exploited organisms</x:v>
      </x:c>
      <x:c r="D506" s="25" t="str">
        <x:v>high</x:v>
      </x:c>
      <x:c r="E506" s="35" t="n">
        <x:v>56</x:v>
      </x:c>
      <x:c r="F506" s="32" t="n">
        <x:v>348394.8519156273</x:v>
      </x:c>
      <x:c r="G506" s="32" t="n">
        <x:v>513071.273739008</x:v>
      </x:c>
      <x:c r="H506" s="25" t="n">
        <x:v>103</x:v>
      </x:c>
      <x:c r="I506" s="34" t="n">
        <x:v>0.5436893203883495</x:v>
      </x:c>
      <x:c r="J506" s="34" t="n">
        <x:v>0.6790379226977552</x:v>
      </x:c>
    </x:row>
    <x:row r="507" ht="18" customHeight="1">
      <x:c r="A507" s="25" t="str">
        <x:v>EEZ_944</x:v>
      </x:c>
      <x:c r="B507" s="25" t="str">
        <x:v>exact_2020_supplement</x:v>
      </x:c>
      <x:c r="C507" s="33" t="str">
        <x:v>2020 supplement MeanTL</x:v>
      </x:c>
      <x:c r="D507" s="25" t="str">
        <x:v>high</x:v>
      </x:c>
      <x:c r="E507" s="35" t="n">
        <x:v>47</x:v>
      </x:c>
      <x:c r="F507" s="32" t="n">
        <x:v>164676.42182338072</x:v>
      </x:c>
      <x:c r="G507" s="32" t="n">
        <x:v>513071.273739008</x:v>
      </x:c>
      <x:c r="H507" s="25" t="n">
        <x:v>103</x:v>
      </x:c>
      <x:c r="I507" s="34" t="n">
        <x:v>0.4563106796116505</x:v>
      </x:c>
      <x:c r="J507" s="34" t="n">
        <x:v>0.32096207730224485</x:v>
      </x:c>
    </x:row>
    <x:row r="508" ht="18" customHeight="1">
      <x:c r="A508" s="25" t="str">
        <x:v>EEZ_945</x:v>
      </x:c>
      <x:c r="B508" s="25" t="str">
        <x:v>exact_sea_around_us</x:v>
      </x:c>
      <x:c r="C508" s="33" t="str">
        <x:v>Sea Around Us exploited organisms</x:v>
      </x:c>
      <x:c r="D508" s="25" t="str">
        <x:v>high</x:v>
      </x:c>
      <x:c r="E508" s="35" t="n">
        <x:v>86</x:v>
      </x:c>
      <x:c r="F508" s="32" t="n">
        <x:v>1181241.1417789294</x:v>
      </x:c>
      <x:c r="G508" s="32" t="n">
        <x:v>2162472.018004568</x:v>
      </x:c>
      <x:c r="H508" s="25" t="n">
        <x:v>136</x:v>
      </x:c>
      <x:c r="I508" s="34" t="n">
        <x:v>0.6323529411764706</x:v>
      </x:c>
      <x:c r="J508" s="34" t="n">
        <x:v>0.5462457465086303</x:v>
      </x:c>
    </x:row>
    <x:row r="509" ht="18" customHeight="1">
      <x:c r="A509" s="25" t="str">
        <x:v>EEZ_945</x:v>
      </x:c>
      <x:c r="B509" s="25" t="str">
        <x:v>exact_2020_supplement</x:v>
      </x:c>
      <x:c r="C509" s="33" t="str">
        <x:v>2020 supplement MeanTL</x:v>
      </x:c>
      <x:c r="D509" s="25" t="str">
        <x:v>high</x:v>
      </x:c>
      <x:c r="E509" s="35" t="n">
        <x:v>50</x:v>
      </x:c>
      <x:c r="F509" s="32" t="n">
        <x:v>981230.8762256384</x:v>
      </x:c>
      <x:c r="G509" s="32" t="n">
        <x:v>2162472.018004568</x:v>
      </x:c>
      <x:c r="H509" s="25" t="n">
        <x:v>136</x:v>
      </x:c>
      <x:c r="I509" s="34" t="n">
        <x:v>0.36764705882352944</x:v>
      </x:c>
      <x:c r="J509" s="34" t="n">
        <x:v>0.4537542534913697</x:v>
      </x:c>
    </x:row>
    <x:row r="510" ht="18" customHeight="1">
      <x:c r="A510" s="25" t="str">
        <x:v>EEZ_946</x:v>
      </x:c>
      <x:c r="B510" s="25" t="str">
        <x:v>exact_2020_supplement</x:v>
      </x:c>
      <x:c r="C510" s="33" t="str">
        <x:v>2020 supplement MeanTL</x:v>
      </x:c>
      <x:c r="D510" s="25" t="str">
        <x:v>high</x:v>
      </x:c>
      <x:c r="E510" s="35" t="n">
        <x:v>130</x:v>
      </x:c>
      <x:c r="F510" s="32" t="n">
        <x:v>633071.4667181924</x:v>
      </x:c>
      <x:c r="G510" s="32" t="n">
        <x:v>947648.9249708245</x:v>
      </x:c>
      <x:c r="H510" s="25" t="n">
        <x:v>232</x:v>
      </x:c>
      <x:c r="I510" s="34" t="n">
        <x:v>0.5603448275862069</x:v>
      </x:c>
      <x:c r="J510" s="34" t="n">
        <x:v>0.6680443042107423</x:v>
      </x:c>
    </x:row>
    <x:row r="511" ht="18" customHeight="1">
      <x:c r="A511" s="25" t="str">
        <x:v>EEZ_946</x:v>
      </x:c>
      <x:c r="B511" s="25" t="str">
        <x:v>exact_sea_around_us</x:v>
      </x:c>
      <x:c r="C511" s="33" t="str">
        <x:v>Sea Around Us exploited organisms</x:v>
      </x:c>
      <x:c r="D511" s="25" t="str">
        <x:v>high</x:v>
      </x:c>
      <x:c r="E511" s="35" t="n">
        <x:v>102</x:v>
      </x:c>
      <x:c r="F511" s="32" t="n">
        <x:v>314577.458252632</x:v>
      </x:c>
      <x:c r="G511" s="32" t="n">
        <x:v>947648.9249708245</x:v>
      </x:c>
      <x:c r="H511" s="25" t="n">
        <x:v>232</x:v>
      </x:c>
      <x:c r="I511" s="34" t="n">
        <x:v>0.4396551724137931</x:v>
      </x:c>
      <x:c r="J511" s="34" t="n">
        <x:v>0.3319556957892576</x:v>
      </x:c>
    </x:row>
    <x:row r="512" ht="18" customHeight="1">
      <x:c r="A512" s="25" t="str">
        <x:v>EEZ_947</x:v>
      </x:c>
      <x:c r="B512" s="25" t="str">
        <x:v>exact_2020_supplement</x:v>
      </x:c>
      <x:c r="C512" s="33" t="str">
        <x:v>2020 supplement MeanTL</x:v>
      </x:c>
      <x:c r="D512" s="25" t="str">
        <x:v>high</x:v>
      </x:c>
      <x:c r="E512" s="35" t="n">
        <x:v>66</x:v>
      </x:c>
      <x:c r="F512" s="32" t="n">
        <x:v>47779.5894269137</x:v>
      </x:c>
      <x:c r="G512" s="32" t="n">
        <x:v>66046.1481549044</x:v>
      </x:c>
      <x:c r="H512" s="25" t="n">
        <x:v>110</x:v>
      </x:c>
      <x:c r="I512" s="34" t="n">
        <x:v>0.6</x:v>
      </x:c>
      <x:c r="J512" s="34" t="n">
        <x:v>0.7234273422706139</x:v>
      </x:c>
    </x:row>
    <x:row r="513" ht="18" customHeight="1">
      <x:c r="A513" s="25" t="str">
        <x:v>EEZ_947</x:v>
      </x:c>
      <x:c r="B513" s="25" t="str">
        <x:v>exact_sea_around_us</x:v>
      </x:c>
      <x:c r="C513" s="33" t="str">
        <x:v>Sea Around Us exploited organisms</x:v>
      </x:c>
      <x:c r="D513" s="25" t="str">
        <x:v>high</x:v>
      </x:c>
      <x:c r="E513" s="35" t="n">
        <x:v>44</x:v>
      </x:c>
      <x:c r="F513" s="32" t="n">
        <x:v>18266.5587279907</x:v>
      </x:c>
      <x:c r="G513" s="32" t="n">
        <x:v>66046.1481549044</x:v>
      </x:c>
      <x:c r="H513" s="25" t="n">
        <x:v>110</x:v>
      </x:c>
      <x:c r="I513" s="34" t="n">
        <x:v>0.4</x:v>
      </x:c>
      <x:c r="J513" s="34" t="n">
        <x:v>0.27657265772938616</x:v>
      </x:c>
    </x:row>
    <x:row r="514" ht="18" customHeight="1">
      <x:c r="A514" s="25" t="str">
        <x:v>EEZ_948</x:v>
      </x:c>
      <x:c r="B514" s="25" t="str">
        <x:v>exact_2020_supplement</x:v>
      </x:c>
      <x:c r="C514" s="33" t="str">
        <x:v>2020 supplement MeanTL</x:v>
      </x:c>
      <x:c r="D514" s="25" t="str">
        <x:v>high</x:v>
      </x:c>
      <x:c r="E514" s="35" t="n">
        <x:v>131</x:v>
      </x:c>
      <x:c r="F514" s="32" t="n">
        <x:v>938625.7602150039</x:v>
      </x:c>
      <x:c r="G514" s="32" t="n">
        <x:v>1708699.3094834064</x:v>
      </x:c>
      <x:c r="H514" s="25" t="n">
        <x:v>227</x:v>
      </x:c>
      <x:c r="I514" s="34" t="n">
        <x:v>0.5770925110132159</x:v>
      </x:c>
      <x:c r="J514" s="34" t="n">
        <x:v>0.5493217882195902</x:v>
      </x:c>
    </x:row>
    <x:row r="515" ht="18" customHeight="1">
      <x:c r="A515" s="25" t="str">
        <x:v>EEZ_948</x:v>
      </x:c>
      <x:c r="B515" s="25" t="str">
        <x:v>exact_sea_around_us</x:v>
      </x:c>
      <x:c r="C515" s="33" t="str">
        <x:v>Sea Around Us exploited organisms</x:v>
      </x:c>
      <x:c r="D515" s="25" t="str">
        <x:v>high</x:v>
      </x:c>
      <x:c r="E515" s="35" t="n">
        <x:v>96</x:v>
      </x:c>
      <x:c r="F515" s="32" t="n">
        <x:v>770073.5492684026</x:v>
      </x:c>
      <x:c r="G515" s="32" t="n">
        <x:v>1708699.3094834064</x:v>
      </x:c>
      <x:c r="H515" s="25" t="n">
        <x:v>227</x:v>
      </x:c>
      <x:c r="I515" s="34" t="n">
        <x:v>0.42290748898678415</x:v>
      </x:c>
      <x:c r="J515" s="34" t="n">
        <x:v>0.4506782117804098</x:v>
      </x:c>
    </x:row>
    <x:row r="516" ht="18" customHeight="1">
      <x:c r="A516" s="25" t="str">
        <x:v>EEZ_949</x:v>
      </x:c>
      <x:c r="B516" s="25" t="str">
        <x:v>exact_sea_around_us</x:v>
      </x:c>
      <x:c r="C516" s="33" t="str">
        <x:v>Sea Around Us exploited organisms</x:v>
      </x:c>
      <x:c r="D516" s="25" t="str">
        <x:v>high</x:v>
      </x:c>
      <x:c r="E516" s="35" t="n">
        <x:v>25</x:v>
      </x:c>
      <x:c r="F516" s="32" t="n">
        <x:v>33336.779645754</x:v>
      </x:c>
      <x:c r="G516" s="32" t="n">
        <x:v>34605.779645754</x:v>
      </x:c>
      <x:c r="H516" s="25" t="n">
        <x:v>27</x:v>
      </x:c>
      <x:c r="I516" s="34" t="n">
        <x:v>0.9259259259259259</x:v>
      </x:c>
      <x:c r="J516" s="34" t="n">
        <x:v>0.9633298248734673</x:v>
      </x:c>
    </x:row>
    <x:row r="517" ht="18" customHeight="1">
      <x:c r="A517" s="25" t="str">
        <x:v>EEZ_949</x:v>
      </x:c>
      <x:c r="B517" s="25" t="str">
        <x:v>exact_2020_supplement</x:v>
      </x:c>
      <x:c r="C517" s="33" t="str">
        <x:v>2020 supplement MeanTL</x:v>
      </x:c>
      <x:c r="D517" s="25" t="str">
        <x:v>high</x:v>
      </x:c>
      <x:c r="E517" s="35" t="n">
        <x:v>2</x:v>
      </x:c>
      <x:c r="F517" s="32" t="n">
        <x:v>1269</x:v>
      </x:c>
      <x:c r="G517" s="32" t="n">
        <x:v>34605.779645754</x:v>
      </x:c>
      <x:c r="H517" s="25" t="n">
        <x:v>27</x:v>
      </x:c>
      <x:c r="I517" s="34" t="n">
        <x:v>0.07407407407407407</x:v>
      </x:c>
      <x:c r="J517" s="34" t="n">
        <x:v>0.0366701751265327</x:v>
      </x:c>
    </x:row>
    <x:row r="518" ht="18" customHeight="1">
      <x:c r="A518" s="25" t="str">
        <x:v>EEZ_950</x:v>
      </x:c>
      <x:c r="B518" s="25" t="str">
        <x:v>exact_sea_around_us</x:v>
      </x:c>
      <x:c r="C518" s="33" t="str">
        <x:v>Sea Around Us exploited organisms</x:v>
      </x:c>
      <x:c r="D518" s="25" t="str">
        <x:v>high</x:v>
      </x:c>
      <x:c r="E518" s="35" t="n">
        <x:v>31</x:v>
      </x:c>
      <x:c r="F518" s="32" t="n">
        <x:v>16435.7663681213</x:v>
      </x:c>
      <x:c r="G518" s="32" t="n">
        <x:v>24556.3459940686</x:v>
      </x:c>
      <x:c r="H518" s="25" t="n">
        <x:v>46</x:v>
      </x:c>
      <x:c r="I518" s="34" t="n">
        <x:v>0.6739130434782609</x:v>
      </x:c>
      <x:c r="J518" s="34" t="n">
        <x:v>0.6693083071924152</x:v>
      </x:c>
    </x:row>
    <x:row r="519" ht="18" customHeight="1">
      <x:c r="A519" s="25" t="str">
        <x:v>EEZ_950</x:v>
      </x:c>
      <x:c r="B519" s="25" t="str">
        <x:v>exact_2020_supplement</x:v>
      </x:c>
      <x:c r="C519" s="33" t="str">
        <x:v>2020 supplement MeanTL</x:v>
      </x:c>
      <x:c r="D519" s="25" t="str">
        <x:v>high</x:v>
      </x:c>
      <x:c r="E519" s="35" t="n">
        <x:v>15</x:v>
      </x:c>
      <x:c r="F519" s="32" t="n">
        <x:v>8120.579625947299</x:v>
      </x:c>
      <x:c r="G519" s="32" t="n">
        <x:v>24556.3459940686</x:v>
      </x:c>
      <x:c r="H519" s="25" t="n">
        <x:v>46</x:v>
      </x:c>
      <x:c r="I519" s="34" t="n">
        <x:v>0.32608695652173914</x:v>
      </x:c>
      <x:c r="J519" s="34" t="n">
        <x:v>0.3306916928075848</x:v>
      </x:c>
    </x:row>
    <x:row r="520" ht="18" customHeight="1">
      <x:c r="A520" s="25" t="str">
        <x:v>EEZ_951</x:v>
      </x:c>
      <x:c r="B520" s="25" t="str">
        <x:v>exact_sea_around_us</x:v>
      </x:c>
      <x:c r="C520" s="33" t="str">
        <x:v>Sea Around Us exploited organisms</x:v>
      </x:c>
      <x:c r="D520" s="25" t="str">
        <x:v>high</x:v>
      </x:c>
      <x:c r="E520" s="35" t="n">
        <x:v>6</x:v>
      </x:c>
      <x:c r="F520" s="32" t="n">
        <x:v>1479.8785731837</x:v>
      </x:c>
      <x:c r="G520" s="32" t="n">
        <x:v>1550.4602980179</x:v>
      </x:c>
      <x:c r="H520" s="25" t="n">
        <x:v>12</x:v>
      </x:c>
      <x:c r="I520" s="34" t="n">
        <x:v>0.5</x:v>
      </x:c>
      <x:c r="J520" s="34" t="n">
        <x:v>0.9544769221601925</x:v>
      </x:c>
    </x:row>
    <x:row r="521" ht="18" customHeight="1">
      <x:c r="A521" s="25" t="str">
        <x:v>EEZ_951</x:v>
      </x:c>
      <x:c r="B521" s="25" t="str">
        <x:v>exact_2020_supplement</x:v>
      </x:c>
      <x:c r="C521" s="33" t="str">
        <x:v>2020 supplement MeanTL</x:v>
      </x:c>
      <x:c r="D521" s="25" t="str">
        <x:v>high</x:v>
      </x:c>
      <x:c r="E521" s="35" t="n">
        <x:v>6</x:v>
      </x:c>
      <x:c r="F521" s="32" t="n">
        <x:v>70.5817248342</x:v>
      </x:c>
      <x:c r="G521" s="32" t="n">
        <x:v>1550.4602980179</x:v>
      </x:c>
      <x:c r="H521" s="25" t="n">
        <x:v>12</x:v>
      </x:c>
      <x:c r="I521" s="34" t="n">
        <x:v>0.5</x:v>
      </x:c>
      <x:c r="J521" s="34" t="n">
        <x:v>0.0455230778398075</x:v>
      </x:c>
    </x:row>
    <x:row r="522" ht="18" customHeight="1">
      <x:c r="A522" s="25" t="str">
        <x:v>EEZ_952</x:v>
      </x:c>
      <x:c r="B522" s="25" t="str">
        <x:v>exact_2020_supplement</x:v>
      </x:c>
      <x:c r="C522" s="33" t="str">
        <x:v>2020 supplement MeanTL</x:v>
      </x:c>
      <x:c r="D522" s="25" t="str">
        <x:v>high</x:v>
      </x:c>
      <x:c r="E522" s="35" t="n">
        <x:v>32</x:v>
      </x:c>
      <x:c r="F522" s="32" t="n">
        <x:v>271951.175527828</x:v>
      </x:c>
      <x:c r="G522" s="32" t="n">
        <x:v>303382.6234939234</x:v>
      </x:c>
      <x:c r="H522" s="25" t="n">
        <x:v>67</x:v>
      </x:c>
      <x:c r="I522" s="34" t="n">
        <x:v>0.47761194029850745</x:v>
      </x:c>
      <x:c r="J522" s="34" t="n">
        <x:v>0.89639667689562</x:v>
      </x:c>
    </x:row>
    <x:row r="523" ht="18" customHeight="1">
      <x:c r="A523" s="25" t="str">
        <x:v>EEZ_952</x:v>
      </x:c>
      <x:c r="B523" s="25" t="str">
        <x:v>exact_sea_around_us</x:v>
      </x:c>
      <x:c r="C523" s="33" t="str">
        <x:v>Sea Around Us exploited organisms</x:v>
      </x:c>
      <x:c r="D523" s="25" t="str">
        <x:v>high</x:v>
      </x:c>
      <x:c r="E523" s="35" t="n">
        <x:v>35</x:v>
      </x:c>
      <x:c r="F523" s="32" t="n">
        <x:v>31431.4479660954</x:v>
      </x:c>
      <x:c r="G523" s="32" t="n">
        <x:v>303382.6234939234</x:v>
      </x:c>
      <x:c r="H523" s="25" t="n">
        <x:v>67</x:v>
      </x:c>
      <x:c r="I523" s="34" t="n">
        <x:v>0.5223880597014925</x:v>
      </x:c>
      <x:c r="J523" s="34" t="n">
        <x:v>0.10360332310437996</x:v>
      </x:c>
    </x:row>
    <x:row r="524" ht="18" customHeight="1">
      <x:c r="A524" s="25" t="str">
        <x:v>EEZ_953</x:v>
      </x:c>
      <x:c r="B524" s="25" t="str">
        <x:v>exact_2020_supplement</x:v>
      </x:c>
      <x:c r="C524" s="33" t="str">
        <x:v>2020 supplement MeanTL</x:v>
      </x:c>
      <x:c r="D524" s="25" t="str">
        <x:v>high</x:v>
      </x:c>
      <x:c r="E524" s="35" t="n">
        <x:v>51</x:v>
      </x:c>
      <x:c r="F524" s="32" t="n">
        <x:v>461341.6734942602</x:v>
      </x:c>
      <x:c r="G524" s="32" t="n">
        <x:v>649172.6258836818</x:v>
      </x:c>
      <x:c r="H524" s="25" t="n">
        <x:v>100</x:v>
      </x:c>
      <x:c r="I524" s="34" t="n">
        <x:v>0.51</x:v>
      </x:c>
      <x:c r="J524" s="34" t="n">
        <x:v>0.7106610092596896</x:v>
      </x:c>
    </x:row>
    <x:row r="525" ht="18" customHeight="1">
      <x:c r="A525" s="25" t="str">
        <x:v>EEZ_953</x:v>
      </x:c>
      <x:c r="B525" s="25" t="str">
        <x:v>exact_sea_around_us</x:v>
      </x:c>
      <x:c r="C525" s="33" t="str">
        <x:v>Sea Around Us exploited organisms</x:v>
      </x:c>
      <x:c r="D525" s="25" t="str">
        <x:v>high</x:v>
      </x:c>
      <x:c r="E525" s="35" t="n">
        <x:v>49</x:v>
      </x:c>
      <x:c r="F525" s="32" t="n">
        <x:v>187830.9523894216</x:v>
      </x:c>
      <x:c r="G525" s="32" t="n">
        <x:v>649172.6258836818</x:v>
      </x:c>
      <x:c r="H525" s="25" t="n">
        <x:v>100</x:v>
      </x:c>
      <x:c r="I525" s="34" t="n">
        <x:v>0.49</x:v>
      </x:c>
      <x:c r="J525" s="34" t="n">
        <x:v>0.28933899074031044</x:v>
      </x:c>
    </x:row>
    <x:row r="526" ht="18" customHeight="1">
      <x:c r="A526" s="25" t="str">
        <x:v>EEZ_954</x:v>
      </x:c>
      <x:c r="B526" s="25" t="str">
        <x:v>exact_sea_around_us</x:v>
      </x:c>
      <x:c r="C526" s="33" t="str">
        <x:v>Sea Around Us exploited organisms</x:v>
      </x:c>
      <x:c r="D526" s="25" t="str">
        <x:v>high</x:v>
      </x:c>
      <x:c r="E526" s="35" t="n">
        <x:v>40</x:v>
      </x:c>
      <x:c r="F526" s="32" t="n">
        <x:v>7985.6176401924</x:v>
      </x:c>
      <x:c r="G526" s="32" t="n">
        <x:v>11740.7988358077</x:v>
      </x:c>
      <x:c r="H526" s="25" t="n">
        <x:v>74</x:v>
      </x:c>
      <x:c r="I526" s="34" t="n">
        <x:v>0.5405405405405406</x:v>
      </x:c>
      <x:c r="J526" s="34" t="n">
        <x:v>0.6801596511335709</x:v>
      </x:c>
    </x:row>
    <x:row r="527" ht="18" customHeight="1">
      <x:c r="A527" s="25" t="str">
        <x:v>EEZ_954</x:v>
      </x:c>
      <x:c r="B527" s="25" t="str">
        <x:v>exact_2020_supplement</x:v>
      </x:c>
      <x:c r="C527" s="33" t="str">
        <x:v>2020 supplement MeanTL</x:v>
      </x:c>
      <x:c r="D527" s="25" t="str">
        <x:v>high</x:v>
      </x:c>
      <x:c r="E527" s="35" t="n">
        <x:v>34</x:v>
      </x:c>
      <x:c r="F527" s="32" t="n">
        <x:v>3755.1811956153</x:v>
      </x:c>
      <x:c r="G527" s="32" t="n">
        <x:v>11740.7988358077</x:v>
      </x:c>
      <x:c r="H527" s="25" t="n">
        <x:v>74</x:v>
      </x:c>
      <x:c r="I527" s="34" t="n">
        <x:v>0.4594594594594595</x:v>
      </x:c>
      <x:c r="J527" s="34" t="n">
        <x:v>0.31984034886642915</x:v>
      </x:c>
    </x:row>
    <x:row r="528" ht="18" customHeight="1">
      <x:c r="A528" s="25" t="str">
        <x:v>EEZ_956</x:v>
      </x:c>
      <x:c r="B528" s="25" t="str">
        <x:v>exact_sea_around_us</x:v>
      </x:c>
      <x:c r="C528" s="33" t="str">
        <x:v>Sea Around Us exploited organisms</x:v>
      </x:c>
      <x:c r="D528" s="25" t="str">
        <x:v>high</x:v>
      </x:c>
      <x:c r="E528" s="35" t="n">
        <x:v>44</x:v>
      </x:c>
      <x:c r="F528" s="32" t="n">
        <x:v>308337.5816408285</x:v>
      </x:c>
      <x:c r="G528" s="32" t="n">
        <x:v>421454.1155394422</x:v>
      </x:c>
      <x:c r="H528" s="25" t="n">
        <x:v>69</x:v>
      </x:c>
      <x:c r="I528" s="34" t="n">
        <x:v>0.6376811594202898</x:v>
      </x:c>
      <x:c r="J528" s="34" t="n">
        <x:v>0.7316041539804881</x:v>
      </x:c>
    </x:row>
    <x:row r="529" ht="18" customHeight="1">
      <x:c r="A529" s="25" t="str">
        <x:v>EEZ_956</x:v>
      </x:c>
      <x:c r="B529" s="25" t="str">
        <x:v>exact_2020_supplement</x:v>
      </x:c>
      <x:c r="C529" s="33" t="str">
        <x:v>2020 supplement MeanTL</x:v>
      </x:c>
      <x:c r="D529" s="25" t="str">
        <x:v>high</x:v>
      </x:c>
      <x:c r="E529" s="35" t="n">
        <x:v>25</x:v>
      </x:c>
      <x:c r="F529" s="32" t="n">
        <x:v>113116.5338986137</x:v>
      </x:c>
      <x:c r="G529" s="32" t="n">
        <x:v>421454.1155394422</x:v>
      </x:c>
      <x:c r="H529" s="25" t="n">
        <x:v>69</x:v>
      </x:c>
      <x:c r="I529" s="34" t="n">
        <x:v>0.36231884057971014</x:v>
      </x:c>
      <x:c r="J529" s="34" t="n">
        <x:v>0.2683958460195119</x:v>
      </x:c>
    </x:row>
    <x:row r="530" ht="18" customHeight="1">
      <x:c r="A530" s="25" t="str">
        <x:v>EEZ_957</x:v>
      </x:c>
      <x:c r="B530" s="25" t="str">
        <x:v>exact_sea_around_us</x:v>
      </x:c>
      <x:c r="C530" s="33" t="str">
        <x:v>Sea Around Us exploited organisms</x:v>
      </x:c>
      <x:c r="D530" s="25" t="str">
        <x:v>high</x:v>
      </x:c>
      <x:c r="E530" s="35" t="n">
        <x:v>38</x:v>
      </x:c>
      <x:c r="F530" s="32" t="n">
        <x:v>1103060.0376565063</x:v>
      </x:c>
      <x:c r="G530" s="32" t="n">
        <x:v>1326966.3114427112</x:v>
      </x:c>
      <x:c r="H530" s="25" t="n">
        <x:v>59</x:v>
      </x:c>
      <x:c r="I530" s="34" t="n">
        <x:v>0.6440677966101694</x:v>
      </x:c>
      <x:c r="J530" s="34" t="n">
        <x:v>0.8312645378745386</x:v>
      </x:c>
    </x:row>
    <x:row r="531" ht="18" customHeight="1">
      <x:c r="A531" s="25" t="str">
        <x:v>EEZ_957</x:v>
      </x:c>
      <x:c r="B531" s="25" t="str">
        <x:v>exact_2020_supplement</x:v>
      </x:c>
      <x:c r="C531" s="33" t="str">
        <x:v>2020 supplement MeanTL</x:v>
      </x:c>
      <x:c r="D531" s="25" t="str">
        <x:v>high</x:v>
      </x:c>
      <x:c r="E531" s="35" t="n">
        <x:v>21</x:v>
      </x:c>
      <x:c r="F531" s="32" t="n">
        <x:v>223906.273786205</x:v>
      </x:c>
      <x:c r="G531" s="32" t="n">
        <x:v>1326966.3114427112</x:v>
      </x:c>
      <x:c r="H531" s="25" t="n">
        <x:v>59</x:v>
      </x:c>
      <x:c r="I531" s="34" t="n">
        <x:v>0.3559322033898305</x:v>
      </x:c>
      <x:c r="J531" s="34" t="n">
        <x:v>0.16873546212546156</x:v>
      </x:c>
    </x:row>
    <x:row r="532" ht="18" customHeight="1">
      <x:c r="A532" s="25" t="str">
        <x:v>EEZ_958</x:v>
      </x:c>
      <x:c r="B532" s="25" t="str">
        <x:v>exact_2020_supplement</x:v>
      </x:c>
      <x:c r="C532" s="33" t="str">
        <x:v>2020 supplement MeanTL</x:v>
      </x:c>
      <x:c r="D532" s="25" t="str">
        <x:v>high</x:v>
      </x:c>
      <x:c r="E532" s="35" t="n">
        <x:v>13</x:v>
      </x:c>
      <x:c r="F532" s="32" t="n">
        <x:v>1188.8181773318</x:v>
      </x:c>
      <x:c r="G532" s="32" t="n">
        <x:v>1473.428362565</x:v>
      </x:c>
      <x:c r="H532" s="25" t="n">
        <x:v>19</x:v>
      </x:c>
      <x:c r="I532" s="34" t="n">
        <x:v>0.6842105263157895</x:v>
      </x:c>
      <x:c r="J532" s="34" t="n">
        <x:v>0.8068381249715189</x:v>
      </x:c>
    </x:row>
    <x:row r="533" ht="18" customHeight="1">
      <x:c r="A533" s="25" t="str">
        <x:v>EEZ_958</x:v>
      </x:c>
      <x:c r="B533" s="25" t="str">
        <x:v>exact_sea_around_us</x:v>
      </x:c>
      <x:c r="C533" s="33" t="str">
        <x:v>Sea Around Us exploited organisms</x:v>
      </x:c>
      <x:c r="D533" s="25" t="str">
        <x:v>high</x:v>
      </x:c>
      <x:c r="E533" s="35" t="n">
        <x:v>6</x:v>
      </x:c>
      <x:c r="F533" s="32" t="n">
        <x:v>284.6101852332</x:v>
      </x:c>
      <x:c r="G533" s="32" t="n">
        <x:v>1473.428362565</x:v>
      </x:c>
      <x:c r="H533" s="25" t="n">
        <x:v>19</x:v>
      </x:c>
      <x:c r="I533" s="34" t="n">
        <x:v>0.3157894736842105</x:v>
      </x:c>
      <x:c r="J533" s="34" t="n">
        <x:v>0.19316187502848106</x:v>
      </x:c>
    </x:row>
    <x:row r="534" ht="18" customHeight="1">
      <x:c r="A534" s="25" t="str">
        <x:v>EEZ_959</x:v>
      </x:c>
      <x:c r="B534" s="25" t="str">
        <x:v>exact_sea_around_us</x:v>
      </x:c>
      <x:c r="C534" s="33" t="str">
        <x:v>Sea Around Us exploited organisms</x:v>
      </x:c>
      <x:c r="D534" s="25" t="str">
        <x:v>high</x:v>
      </x:c>
      <x:c r="E534" s="35" t="n">
        <x:v>42</x:v>
      </x:c>
      <x:c r="F534" s="32" t="n">
        <x:v>1677378.9929060845</x:v>
      </x:c>
      <x:c r="G534" s="32" t="n">
        <x:v>2640185.1931024343</x:v>
      </x:c>
      <x:c r="H534" s="25" t="n">
        <x:v>82</x:v>
      </x:c>
      <x:c r="I534" s="34" t="n">
        <x:v>0.5121951219512195</x:v>
      </x:c>
      <x:c r="J534" s="34" t="n">
        <x:v>0.6353262632061907</x:v>
      </x:c>
    </x:row>
    <x:row r="535" ht="18" customHeight="1">
      <x:c r="A535" s="25" t="str">
        <x:v>EEZ_959</x:v>
      </x:c>
      <x:c r="B535" s="25" t="str">
        <x:v>exact_2020_supplement</x:v>
      </x:c>
      <x:c r="C535" s="33" t="str">
        <x:v>2020 supplement MeanTL</x:v>
      </x:c>
      <x:c r="D535" s="25" t="str">
        <x:v>high</x:v>
      </x:c>
      <x:c r="E535" s="35" t="n">
        <x:v>40</x:v>
      </x:c>
      <x:c r="F535" s="32" t="n">
        <x:v>962806.2001963495</x:v>
      </x:c>
      <x:c r="G535" s="32" t="n">
        <x:v>2640185.1931024343</x:v>
      </x:c>
      <x:c r="H535" s="25" t="n">
        <x:v>82</x:v>
      </x:c>
      <x:c r="I535" s="34" t="n">
        <x:v>0.4878048780487805</x:v>
      </x:c>
      <x:c r="J535" s="34" t="n">
        <x:v>0.3646737367938092</x:v>
      </x:c>
    </x:row>
    <x:row r="536" ht="18" customHeight="1">
      <x:c r="A536" s="25" t="str">
        <x:v>EEZ_962</x:v>
      </x:c>
      <x:c r="B536" s="25" t="str">
        <x:v>exact_2020_supplement</x:v>
      </x:c>
      <x:c r="C536" s="33" t="str">
        <x:v>2020 supplement MeanTL</x:v>
      </x:c>
      <x:c r="D536" s="25" t="str">
        <x:v>high</x:v>
      </x:c>
      <x:c r="E536" s="35" t="n">
        <x:v>202</x:v>
      </x:c>
      <x:c r="F536" s="32" t="n">
        <x:v>157100.066298072</x:v>
      </x:c>
      <x:c r="G536" s="32" t="n">
        <x:v>200667.8299873407</x:v>
      </x:c>
      <x:c r="H536" s="25" t="n">
        <x:v>375</x:v>
      </x:c>
      <x:c r="I536" s="34" t="n">
        <x:v>0.5386666666666666</x:v>
      </x:c>
      <x:c r="J536" s="34" t="n">
        <x:v>0.782886157228006</x:v>
      </x:c>
    </x:row>
    <x:row r="537" ht="18" customHeight="1">
      <x:c r="A537" s="25" t="str">
        <x:v>EEZ_962</x:v>
      </x:c>
      <x:c r="B537" s="25" t="str">
        <x:v>exact_sea_around_us</x:v>
      </x:c>
      <x:c r="C537" s="33" t="str">
        <x:v>Sea Around Us exploited organisms</x:v>
      </x:c>
      <x:c r="D537" s="25" t="str">
        <x:v>high</x:v>
      </x:c>
      <x:c r="E537" s="35" t="n">
        <x:v>173</x:v>
      </x:c>
      <x:c r="F537" s="32" t="n">
        <x:v>43567.7636892687</x:v>
      </x:c>
      <x:c r="G537" s="32" t="n">
        <x:v>200667.8299873407</x:v>
      </x:c>
      <x:c r="H537" s="25" t="n">
        <x:v>375</x:v>
      </x:c>
      <x:c r="I537" s="34" t="n">
        <x:v>0.4613333333333333</x:v>
      </x:c>
      <x:c r="J537" s="34" t="n">
        <x:v>0.21711384277199394</x:v>
      </x:c>
    </x:row>
    <x:row r="538" ht="18" customHeight="1">
      <x:c r="A538" s="25" t="str">
        <x:v>EEZ_963</x:v>
      </x:c>
      <x:c r="B538" s="25" t="str">
        <x:v>exact_2020_supplement</x:v>
      </x:c>
      <x:c r="C538" s="33" t="str">
        <x:v>2020 supplement MeanTL</x:v>
      </x:c>
      <x:c r="D538" s="25" t="str">
        <x:v>high</x:v>
      </x:c>
      <x:c r="E538" s="35" t="n">
        <x:v>172</x:v>
      </x:c>
      <x:c r="F538" s="32" t="n">
        <x:v>143694.4033632402</x:v>
      </x:c>
      <x:c r="G538" s="32" t="n">
        <x:v>194491.9853032628</x:v>
      </x:c>
      <x:c r="H538" s="25" t="n">
        <x:v>312</x:v>
      </x:c>
      <x:c r="I538" s="34" t="n">
        <x:v>0.5512820512820513</x:v>
      </x:c>
      <x:c r="J538" s="34" t="n">
        <x:v>0.7388191505124689</x:v>
      </x:c>
    </x:row>
    <x:row r="539" ht="18" customHeight="1">
      <x:c r="A539" s="25" t="str">
        <x:v>EEZ_963</x:v>
      </x:c>
      <x:c r="B539" s="25" t="str">
        <x:v>exact_sea_around_us</x:v>
      </x:c>
      <x:c r="C539" s="33" t="str">
        <x:v>Sea Around Us exploited organisms</x:v>
      </x:c>
      <x:c r="D539" s="25" t="str">
        <x:v>high</x:v>
      </x:c>
      <x:c r="E539" s="35" t="n">
        <x:v>140</x:v>
      </x:c>
      <x:c r="F539" s="32" t="n">
        <x:v>50797.5819400226</x:v>
      </x:c>
      <x:c r="G539" s="32" t="n">
        <x:v>194491.9853032628</x:v>
      </x:c>
      <x:c r="H539" s="25" t="n">
        <x:v>312</x:v>
      </x:c>
      <x:c r="I539" s="34" t="n">
        <x:v>0.44871794871794873</x:v>
      </x:c>
      <x:c r="J539" s="34" t="n">
        <x:v>0.2611808494875312</x:v>
      </x:c>
    </x:row>
    <x:row r="540" ht="18" customHeight="1">
      <x:c r="A540" s="25" t="str">
        <x:v>EEZ_966</x:v>
      </x:c>
      <x:c r="B540" s="25" t="str">
        <x:v>exact_2020_supplement</x:v>
      </x:c>
      <x:c r="C540" s="33" t="str">
        <x:v>2020 supplement MeanTL</x:v>
      </x:c>
      <x:c r="D540" s="25" t="str">
        <x:v>high</x:v>
      </x:c>
      <x:c r="E540" s="35" t="n">
        <x:v>58</x:v>
      </x:c>
      <x:c r="F540" s="32" t="n">
        <x:v>111999.4874199771</x:v>
      </x:c>
      <x:c r="G540" s="32" t="n">
        <x:v>135279.2422413837</x:v>
      </x:c>
      <x:c r="H540" s="25" t="n">
        <x:v>89</x:v>
      </x:c>
      <x:c r="I540" s="34" t="n">
        <x:v>0.651685393258427</x:v>
      </x:c>
      <x:c r="J540" s="34" t="n">
        <x:v>0.8279133262746424</x:v>
      </x:c>
    </x:row>
    <x:row r="541" ht="18" customHeight="1">
      <x:c r="A541" s="25" t="str">
        <x:v>EEZ_966</x:v>
      </x:c>
      <x:c r="B541" s="25" t="str">
        <x:v>exact_sea_around_us</x:v>
      </x:c>
      <x:c r="C541" s="33" t="str">
        <x:v>Sea Around Us exploited organisms</x:v>
      </x:c>
      <x:c r="D541" s="25" t="str">
        <x:v>high</x:v>
      </x:c>
      <x:c r="E541" s="35" t="n">
        <x:v>31</x:v>
      </x:c>
      <x:c r="F541" s="32" t="n">
        <x:v>23279.7548214066</x:v>
      </x:c>
      <x:c r="G541" s="32" t="n">
        <x:v>135279.2422413837</x:v>
      </x:c>
      <x:c r="H541" s="25" t="n">
        <x:v>89</x:v>
      </x:c>
      <x:c r="I541" s="34" t="n">
        <x:v>0.34831460674157305</x:v>
      </x:c>
      <x:c r="J541" s="34" t="n">
        <x:v>0.17208667372535752</x:v>
      </x:c>
    </x:row>
    <x:row r="542" ht="18" customHeight="1">
      <x:c r="A542" s="25" t="str">
        <x:v>EEZ_967</x:v>
      </x:c>
      <x:c r="B542" s="25" t="str">
        <x:v>exact_2020_supplement</x:v>
      </x:c>
      <x:c r="C542" s="33" t="str">
        <x:v>2020 supplement MeanTL</x:v>
      </x:c>
      <x:c r="D542" s="25" t="str">
        <x:v>high</x:v>
      </x:c>
      <x:c r="E542" s="35" t="n">
        <x:v>27</x:v>
      </x:c>
      <x:c r="F542" s="32" t="n">
        <x:v>1658.5966799766</x:v>
      </x:c>
      <x:c r="G542" s="32" t="n">
        <x:v>2447.9523494379</x:v>
      </x:c>
      <x:c r="H542" s="25" t="n">
        <x:v>63</x:v>
      </x:c>
      <x:c r="I542" s="34" t="n">
        <x:v>0.42857142857142855</x:v>
      </x:c>
      <x:c r="J542" s="34" t="n">
        <x:v>0.677544511990786</x:v>
      </x:c>
    </x:row>
    <x:row r="543" ht="18" customHeight="1">
      <x:c r="A543" s="25" t="str">
        <x:v>EEZ_967</x:v>
      </x:c>
      <x:c r="B543" s="25" t="str">
        <x:v>exact_sea_around_us</x:v>
      </x:c>
      <x:c r="C543" s="33" t="str">
        <x:v>Sea Around Us exploited organisms</x:v>
      </x:c>
      <x:c r="D543" s="25" t="str">
        <x:v>high</x:v>
      </x:c>
      <x:c r="E543" s="35" t="n">
        <x:v>36</x:v>
      </x:c>
      <x:c r="F543" s="32" t="n">
        <x:v>789.3556694613</x:v>
      </x:c>
      <x:c r="G543" s="32" t="n">
        <x:v>2447.9523494379</x:v>
      </x:c>
      <x:c r="H543" s="25" t="n">
        <x:v>63</x:v>
      </x:c>
      <x:c r="I543" s="34" t="n">
        <x:v>0.5714285714285714</x:v>
      </x:c>
      <x:c r="J543" s="34" t="n">
        <x:v>0.322455488009214</x:v>
      </x:c>
    </x:row>
    <x:row r="544" ht="18" customHeight="1">
      <x:c r="A544" s="25" t="str">
        <x:v>EEZ_968</x:v>
      </x:c>
      <x:c r="B544" s="25" t="str">
        <x:v>exact_sea_around_us</x:v>
      </x:c>
      <x:c r="C544" s="33" t="str">
        <x:v>Sea Around Us exploited organisms</x:v>
      </x:c>
      <x:c r="D544" s="25" t="str">
        <x:v>high</x:v>
      </x:c>
      <x:c r="E544" s="35" t="n">
        <x:v>32</x:v>
      </x:c>
      <x:c r="F544" s="32" t="n">
        <x:v>19539.7476602855</x:v>
      </x:c>
      <x:c r="G544" s="32" t="n">
        <x:v>34815.7976770108</x:v>
      </x:c>
      <x:c r="H544" s="25" t="n">
        <x:v>51</x:v>
      </x:c>
      <x:c r="I544" s="34" t="n">
        <x:v>0.6274509803921569</x:v>
      </x:c>
      <x:c r="J544" s="34" t="n">
        <x:v>0.5612322268631454</x:v>
      </x:c>
    </x:row>
    <x:row r="545" ht="18" customHeight="1">
      <x:c r="A545" s="25" t="str">
        <x:v>EEZ_968</x:v>
      </x:c>
      <x:c r="B545" s="25" t="str">
        <x:v>exact_2020_supplement</x:v>
      </x:c>
      <x:c r="C545" s="33" t="str">
        <x:v>2020 supplement MeanTL</x:v>
      </x:c>
      <x:c r="D545" s="25" t="str">
        <x:v>high</x:v>
      </x:c>
      <x:c r="E545" s="35" t="n">
        <x:v>19</x:v>
      </x:c>
      <x:c r="F545" s="32" t="n">
        <x:v>15276.0500167253</x:v>
      </x:c>
      <x:c r="G545" s="32" t="n">
        <x:v>34815.7976770108</x:v>
      </x:c>
      <x:c r="H545" s="25" t="n">
        <x:v>51</x:v>
      </x:c>
      <x:c r="I545" s="34" t="n">
        <x:v>0.37254901960784315</x:v>
      </x:c>
      <x:c r="J545" s="34" t="n">
        <x:v>0.43876777313685444</x:v>
      </x:c>
    </x:row>
    <x:row r="546" ht="18" customHeight="1">
      <x:c r="A546" s="25" t="str">
        <x:v>EEZ_969</x:v>
      </x:c>
      <x:c r="B546" s="25" t="str">
        <x:v>exact_sea_around_us</x:v>
      </x:c>
      <x:c r="C546" s="33" t="str">
        <x:v>Sea Around Us exploited organisms</x:v>
      </x:c>
      <x:c r="D546" s="25" t="str">
        <x:v>high</x:v>
      </x:c>
      <x:c r="E546" s="35" t="n">
        <x:v>11</x:v>
      </x:c>
      <x:c r="F546" s="32" t="n">
        <x:v>7190.6723685886</x:v>
      </x:c>
      <x:c r="G546" s="32" t="n">
        <x:v>7461.650372688</x:v>
      </x:c>
      <x:c r="H546" s="25" t="n">
        <x:v>39</x:v>
      </x:c>
      <x:c r="I546" s="34" t="n">
        <x:v>0.28205128205128205</x:v>
      </x:c>
      <x:c r="J546" s="34" t="n">
        <x:v>0.9636839049587119</x:v>
      </x:c>
    </x:row>
    <x:row r="547" ht="18" customHeight="1">
      <x:c r="A547" s="25" t="str">
        <x:v>EEZ_969</x:v>
      </x:c>
      <x:c r="B547" s="25" t="str">
        <x:v>exact_2020_supplement</x:v>
      </x:c>
      <x:c r="C547" s="33" t="str">
        <x:v>2020 supplement MeanTL</x:v>
      </x:c>
      <x:c r="D547" s="25" t="str">
        <x:v>high</x:v>
      </x:c>
      <x:c r="E547" s="35" t="n">
        <x:v>28</x:v>
      </x:c>
      <x:c r="F547" s="32" t="n">
        <x:v>270.9780040994</x:v>
      </x:c>
      <x:c r="G547" s="32" t="n">
        <x:v>7461.650372688</x:v>
      </x:c>
      <x:c r="H547" s="25" t="n">
        <x:v>39</x:v>
      </x:c>
      <x:c r="I547" s="34" t="n">
        <x:v>0.717948717948718</x:v>
      </x:c>
      <x:c r="J547" s="34" t="n">
        <x:v>0.03631609504128807</x:v>
      </x:c>
    </x:row>
    <x:row r="548" ht="18" customHeight="1">
      <x:c r="A548" s="25" t="str">
        <x:v>EEZ_970</x:v>
      </x:c>
      <x:c r="B548" s="25" t="str">
        <x:v>exact_sea_around_us</x:v>
      </x:c>
      <x:c r="C548" s="33" t="str">
        <x:v>Sea Around Us exploited organisms</x:v>
      </x:c>
      <x:c r="D548" s="25" t="str">
        <x:v>high</x:v>
      </x:c>
      <x:c r="E548" s="35" t="n">
        <x:v>4</x:v>
      </x:c>
      <x:c r="F548" s="32" t="n">
        <x:v>4974.3463966069</x:v>
      </x:c>
      <x:c r="G548" s="32" t="n">
        <x:v>6274.562444918601</x:v>
      </x:c>
      <x:c r="H548" s="25" t="n">
        <x:v>16</x:v>
      </x:c>
      <x:c r="I548" s="34" t="n">
        <x:v>0.25</x:v>
      </x:c>
      <x:c r="J548" s="34" t="n">
        <x:v>0.7927798058070696</x:v>
      </x:c>
    </x:row>
    <x:row r="549" ht="18" customHeight="1">
      <x:c r="A549" s="25" t="str">
        <x:v>EEZ_970</x:v>
      </x:c>
      <x:c r="B549" s="25" t="str">
        <x:v>exact_2020_supplement</x:v>
      </x:c>
      <x:c r="C549" s="33" t="str">
        <x:v>2020 supplement MeanTL</x:v>
      </x:c>
      <x:c r="D549" s="25" t="str">
        <x:v>high</x:v>
      </x:c>
      <x:c r="E549" s="35" t="n">
        <x:v>12</x:v>
      </x:c>
      <x:c r="F549" s="32" t="n">
        <x:v>1300.2160483117</x:v>
      </x:c>
      <x:c r="G549" s="32" t="n">
        <x:v>6274.562444918601</x:v>
      </x:c>
      <x:c r="H549" s="25" t="n">
        <x:v>16</x:v>
      </x:c>
      <x:c r="I549" s="34" t="n">
        <x:v>0.75</x:v>
      </x:c>
      <x:c r="J549" s="34" t="n">
        <x:v>0.2072201941929303</x:v>
      </x:c>
    </x:row>
    <x:row r="550" ht="18" customHeight="1">
      <x:c r="A550" s="25" t="str">
        <x:v>EEZ_971</x:v>
      </x:c>
      <x:c r="B550" s="25" t="str">
        <x:v>exact_sea_around_us</x:v>
      </x:c>
      <x:c r="C550" s="33" t="str">
        <x:v>Sea Around Us exploited organisms</x:v>
      </x:c>
      <x:c r="D550" s="25" t="str">
        <x:v>high</x:v>
      </x:c>
      <x:c r="E550" s="35" t="n">
        <x:v>13</x:v>
      </x:c>
      <x:c r="F550" s="32" t="n">
        <x:v>11025.0970994302</x:v>
      </x:c>
      <x:c r="G550" s="32" t="n">
        <x:v>18442.8655651381</x:v>
      </x:c>
      <x:c r="H550" s="25" t="n">
        <x:v>29</x:v>
      </x:c>
      <x:c r="I550" s="34" t="n">
        <x:v>0.4482758620689655</x:v>
      </x:c>
      <x:c r="J550" s="34" t="n">
        <x:v>0.5977974008697734</x:v>
      </x:c>
    </x:row>
    <x:row r="551" ht="18" customHeight="1">
      <x:c r="A551" s="25" t="str">
        <x:v>EEZ_971</x:v>
      </x:c>
      <x:c r="B551" s="25" t="str">
        <x:v>exact_2020_supplement</x:v>
      </x:c>
      <x:c r="C551" s="33" t="str">
        <x:v>2020 supplement MeanTL</x:v>
      </x:c>
      <x:c r="D551" s="25" t="str">
        <x:v>high</x:v>
      </x:c>
      <x:c r="E551" s="35" t="n">
        <x:v>16</x:v>
      </x:c>
      <x:c r="F551" s="32" t="n">
        <x:v>7417.768465707899</x:v>
      </x:c>
      <x:c r="G551" s="32" t="n">
        <x:v>18442.8655651381</x:v>
      </x:c>
      <x:c r="H551" s="25" t="n">
        <x:v>29</x:v>
      </x:c>
      <x:c r="I551" s="34" t="n">
        <x:v>0.5517241379310345</x:v>
      </x:c>
      <x:c r="J551" s="34" t="n">
        <x:v>0.40220259913022655</x:v>
      </x:c>
    </x:row>
    <x:row r="552" ht="18" customHeight="1">
      <x:c r="A552" s="25" t="str">
        <x:v>EEZ_972</x:v>
      </x:c>
      <x:c r="B552" s="25" t="str">
        <x:v>exact_sea_around_us</x:v>
      </x:c>
      <x:c r="C552" s="33" t="str">
        <x:v>Sea Around Us exploited organisms</x:v>
      </x:c>
      <x:c r="D552" s="25" t="str">
        <x:v>high</x:v>
      </x:c>
      <x:c r="E552" s="35" t="n">
        <x:v>5</x:v>
      </x:c>
      <x:c r="F552" s="32" t="n">
        <x:v>102.5091039144</x:v>
      </x:c>
      <x:c r="G552" s="32" t="n">
        <x:v>102.5142017896</x:v>
      </x:c>
      <x:c r="H552" s="25" t="n">
        <x:v>9</x:v>
      </x:c>
      <x:c r="I552" s="34" t="n">
        <x:v>0.5555555555555556</x:v>
      </x:c>
      <x:c r="J552" s="34" t="n">
        <x:v>0.9999502715222769</x:v>
      </x:c>
    </x:row>
    <x:row r="553" ht="18" customHeight="1">
      <x:c r="A553" s="25" t="str">
        <x:v>EEZ_972</x:v>
      </x:c>
      <x:c r="B553" s="25" t="str">
        <x:v>exact_2020_supplement</x:v>
      </x:c>
      <x:c r="C553" s="33" t="str">
        <x:v>2020 supplement MeanTL</x:v>
      </x:c>
      <x:c r="D553" s="25" t="str">
        <x:v>high</x:v>
      </x:c>
      <x:c r="E553" s="35" t="n">
        <x:v>4</x:v>
      </x:c>
      <x:c r="F553" s="32" t="n">
        <x:v>0.0050978752</x:v>
      </x:c>
      <x:c r="G553" s="32" t="n">
        <x:v>102.5142017896</x:v>
      </x:c>
      <x:c r="H553" s="25" t="n">
        <x:v>9</x:v>
      </x:c>
      <x:c r="I553" s="34" t="n">
        <x:v>0.4444444444444444</x:v>
      </x:c>
      <x:c r="J553" s="34" t="n">
        <x:v>0.00004972847772314388</x:v>
      </x:c>
    </x:row>
    <x:row r="554" ht="18" customHeight="1">
      <x:c r="A554" s="25" t="str">
        <x:v>EEZ_973</x:v>
      </x:c>
      <x:c r="B554" s="25" t="str">
        <x:v>exact_sea_around_us</x:v>
      </x:c>
      <x:c r="C554" s="33" t="str">
        <x:v>Sea Around Us exploited organisms</x:v>
      </x:c>
      <x:c r="D554" s="25" t="str">
        <x:v>high</x:v>
      </x:c>
      <x:c r="E554" s="35" t="n">
        <x:v>40</x:v>
      </x:c>
      <x:c r="F554" s="32" t="n">
        <x:v>53894.1071402794</x:v>
      </x:c>
      <x:c r="G554" s="32" t="n">
        <x:v>89045.4804653548</x:v>
      </x:c>
      <x:c r="H554" s="25" t="n">
        <x:v>58</x:v>
      </x:c>
      <x:c r="I554" s="34" t="n">
        <x:v>0.6896551724137931</x:v>
      </x:c>
      <x:c r="J554" s="34" t="n">
        <x:v>0.6052424767503853</x:v>
      </x:c>
    </x:row>
    <x:row r="555" ht="18" customHeight="1">
      <x:c r="A555" s="25" t="str">
        <x:v>EEZ_973</x:v>
      </x:c>
      <x:c r="B555" s="25" t="str">
        <x:v>exact_2020_supplement</x:v>
      </x:c>
      <x:c r="C555" s="33" t="str">
        <x:v>2020 supplement MeanTL</x:v>
      </x:c>
      <x:c r="D555" s="25" t="str">
        <x:v>high</x:v>
      </x:c>
      <x:c r="E555" s="35" t="n">
        <x:v>18</x:v>
      </x:c>
      <x:c r="F555" s="32" t="n">
        <x:v>35151.3733250754</x:v>
      </x:c>
      <x:c r="G555" s="32" t="n">
        <x:v>89045.4804653548</x:v>
      </x:c>
      <x:c r="H555" s="25" t="n">
        <x:v>58</x:v>
      </x:c>
      <x:c r="I555" s="34" t="n">
        <x:v>0.3103448275862069</x:v>
      </x:c>
      <x:c r="J555" s="34" t="n">
        <x:v>0.3947575232496146</x:v>
      </x:c>
    </x:row>
    <x:row r="556" ht="18" customHeight="1">
      <x:c r="A556" s="25" t="str">
        <x:v>EEZ_974</x:v>
      </x:c>
      <x:c r="B556" s="25" t="str">
        <x:v>exact_sea_around_us</x:v>
      </x:c>
      <x:c r="C556" s="33" t="str">
        <x:v>Sea Around Us exploited organisms</x:v>
      </x:c>
      <x:c r="D556" s="25" t="str">
        <x:v>high</x:v>
      </x:c>
      <x:c r="E556" s="35" t="n">
        <x:v>35</x:v>
      </x:c>
      <x:c r="F556" s="32" t="n">
        <x:v>128423.7221051761</x:v>
      </x:c>
      <x:c r="G556" s="32" t="n">
        <x:v>177084.6873231058</x:v>
      </x:c>
      <x:c r="H556" s="25" t="n">
        <x:v>53</x:v>
      </x:c>
      <x:c r="I556" s="34" t="n">
        <x:v>0.660377358490566</x:v>
      </x:c>
      <x:c r="J556" s="34" t="n">
        <x:v>0.7252107680595572</x:v>
      </x:c>
    </x:row>
    <x:row r="557" ht="18" customHeight="1">
      <x:c r="A557" s="25" t="str">
        <x:v>EEZ_974</x:v>
      </x:c>
      <x:c r="B557" s="25" t="str">
        <x:v>exact_2020_supplement</x:v>
      </x:c>
      <x:c r="C557" s="33" t="str">
        <x:v>2020 supplement MeanTL</x:v>
      </x:c>
      <x:c r="D557" s="25" t="str">
        <x:v>high</x:v>
      </x:c>
      <x:c r="E557" s="35" t="n">
        <x:v>18</x:v>
      </x:c>
      <x:c r="F557" s="32" t="n">
        <x:v>48660.9652179297</x:v>
      </x:c>
      <x:c r="G557" s="32" t="n">
        <x:v>177084.6873231058</x:v>
      </x:c>
      <x:c r="H557" s="25" t="n">
        <x:v>53</x:v>
      </x:c>
      <x:c r="I557" s="34" t="n">
        <x:v>0.33962264150943394</x:v>
      </x:c>
      <x:c r="J557" s="34" t="n">
        <x:v>0.2747892319404427</x:v>
      </x:c>
    </x:row>
    <x:row r="558" ht="18" customHeight="1">
      <x:c r="A558" s="25" t="str">
        <x:v>EEZ_977</x:v>
      </x:c>
      <x:c r="B558" s="25" t="str">
        <x:v>exact_sea_around_us</x:v>
      </x:c>
      <x:c r="C558" s="33" t="str">
        <x:v>Sea Around Us exploited organisms</x:v>
      </x:c>
      <x:c r="D558" s="25" t="str">
        <x:v>high</x:v>
      </x:c>
      <x:c r="E558" s="35" t="n">
        <x:v>21</x:v>
      </x:c>
      <x:c r="F558" s="32" t="n">
        <x:v>3714.2462788835996</x:v>
      </x:c>
      <x:c r="G558" s="32" t="n">
        <x:v>5568.2319259029</x:v>
      </x:c>
      <x:c r="H558" s="25" t="n">
        <x:v>73</x:v>
      </x:c>
      <x:c r="I558" s="34" t="n">
        <x:v>0.2876712328767123</x:v>
      </x:c>
      <x:c r="J558" s="34" t="n">
        <x:v>0.6670423086375532</x:v>
      </x:c>
    </x:row>
    <x:row r="559" ht="18" customHeight="1">
      <x:c r="A559" s="25" t="str">
        <x:v>EEZ_977</x:v>
      </x:c>
      <x:c r="B559" s="25" t="str">
        <x:v>exact_2020_supplement</x:v>
      </x:c>
      <x:c r="C559" s="33" t="str">
        <x:v>2020 supplement MeanTL</x:v>
      </x:c>
      <x:c r="D559" s="25" t="str">
        <x:v>high</x:v>
      </x:c>
      <x:c r="E559" s="35" t="n">
        <x:v>52</x:v>
      </x:c>
      <x:c r="F559" s="32" t="n">
        <x:v>1853.9856470193001</x:v>
      </x:c>
      <x:c r="G559" s="32" t="n">
        <x:v>5568.2319259029</x:v>
      </x:c>
      <x:c r="H559" s="25" t="n">
        <x:v>73</x:v>
      </x:c>
      <x:c r="I559" s="34" t="n">
        <x:v>0.7123287671232876</x:v>
      </x:c>
      <x:c r="J559" s="34" t="n">
        <x:v>0.33295769136244674</x:v>
      </x:c>
    </x:row>
  </x:sheetData>
  <x:conditionalFormatting sqref="J2:J559">
    <x:cfRule type="dataBar" priority="1">
      <x:dataBar>
        <x:cfvo type="min"/>
        <x:cfvo type="max"/>
        <x:color rgb="FF147D9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f54fb224b1643e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36" hidden="0" customWidth="1"/>
  </x:cols>
  <x:sheetData>
    <x:row r="1" ht="32" customHeight="1">
      <x:c r="A1" s="30" t="str">
        <x:v>unit_id</x:v>
      </x:c>
      <x:c r="B1" s="30" t="str">
        <x:v>area_name</x:v>
      </x:c>
      <x:c r="C1" s="30" t="str">
        <x:v>area_type</x:v>
      </x:c>
      <x:c r="D1" s="30" t="str">
        <x:v>year</x:v>
      </x:c>
      <x:c r="E1" s="30" t="str">
        <x:v>raw_rows_selected</x:v>
      </x:c>
      <x:c r="F1" s="30" t="str">
        <x:v>taxon_rows_standardized</x:v>
      </x:c>
      <x:c r="G1" s="30" t="str">
        <x:v>raw_filtered_tonnes</x:v>
      </x:c>
      <x:c r="H1" s="30" t="str">
        <x:v>standardized_tonnes</x:v>
      </x:c>
      <x:c r="I1" s="30" t="str">
        <x:v>difference_tonnes</x:v>
      </x:c>
      <x:c r="J1" s="30" t="str">
        <x:v>reconciled</x:v>
      </x:c>
      <x:c r="K1" s="30" t="str">
        <x:v>source_data_status</x:v>
      </x:c>
    </x:row>
    <x:row r="2" ht="18" customHeight="1">
      <x:c r="A2" s="25" t="str">
        <x:v>EEZ_008</x:v>
      </x:c>
      <x:c r="B2" s="25" t="str">
        <x:v>Albania</x:v>
      </x:c>
      <x:c r="C2" s="25" t="str">
        <x:v>eez</x:v>
      </x:c>
      <x:c r="D2" s="31" t="n">
        <x:v>2019</x:v>
      </x:c>
      <x:c r="E2" s="25" t="n">
        <x:v>81</x:v>
      </x:c>
      <x:c r="F2" s="25" t="n">
        <x:v>16</x:v>
      </x:c>
      <x:c r="G2" s="32" t="n">
        <x:v>7591.634241119799</x:v>
      </x:c>
      <x:c r="H2" s="32" t="n">
        <x:v>7591.634241119801</x:v>
      </x:c>
      <x:c r="I2" s="32" t="n">
        <x:v>1.8189894035458565e-12</x:v>
      </x:c>
      <x:c r="J2" s="36" t="b">
        <x:v>1</x:v>
      </x:c>
      <x:c r="K2" s="25" t="str">
        <x:v>available</x:v>
      </x:c>
    </x:row>
    <x:row r="3" ht="18" customHeight="1">
      <x:c r="A3" s="25" t="str">
        <x:v>EEZ_012</x:v>
      </x:c>
      <x:c r="B3" s="25" t="str">
        <x:v>Algeria</x:v>
      </x:c>
      <x:c r="C3" s="25" t="str">
        <x:v>eez</x:v>
      </x:c>
      <x:c r="D3" s="31" t="n">
        <x:v>2019</x:v>
      </x:c>
      <x:c r="E3" s="25" t="n">
        <x:v>776</x:v>
      </x:c>
      <x:c r="F3" s="25" t="n">
        <x:v>187</x:v>
      </x:c>
      <x:c r="G3" s="32" t="n">
        <x:v>236644.1563992205</x:v>
      </x:c>
      <x:c r="H3" s="32" t="n">
        <x:v>236644.15639922052</x:v>
      </x:c>
      <x:c r="I3" s="32" t="n">
        <x:v>2.9103830456733704e-11</x:v>
      </x:c>
      <x:c r="J3" s="36" t="b">
        <x:v>1</x:v>
      </x:c>
      <x:c r="K3" s="25" t="str">
        <x:v>available</x:v>
      </x:c>
    </x:row>
    <x:row r="4" ht="18" customHeight="1">
      <x:c r="A4" s="25" t="str">
        <x:v>EEZ_016</x:v>
      </x:c>
      <x:c r="B4" s="25" t="str">
        <x:v>American Samoa (USA)</x:v>
      </x:c>
      <x:c r="C4" s="25" t="str">
        <x:v>eez</x:v>
      </x:c>
      <x:c r="D4" s="31" t="n">
        <x:v>2019</x:v>
      </x:c>
      <x:c r="E4" s="25" t="n">
        <x:v>405</x:v>
      </x:c>
      <x:c r="F4" s="25" t="n">
        <x:v>109</x:v>
      </x:c>
      <x:c r="G4" s="32" t="n">
        <x:v>5598.6723460216</x:v>
      </x:c>
      <x:c r="H4" s="32" t="n">
        <x:v>5598.672346021601</x:v>
      </x:c>
      <x:c r="I4" s="32" t="n">
        <x:v>9.094947017729282e-13</x:v>
      </x:c>
      <x:c r="J4" s="36" t="b">
        <x:v>1</x:v>
      </x:c>
      <x:c r="K4" s="25" t="str">
        <x:v>available</x:v>
      </x:c>
    </x:row>
    <x:row r="5" ht="18" customHeight="1">
      <x:c r="A5" s="25" t="str">
        <x:v>EEZ_024</x:v>
      </x:c>
      <x:c r="B5" s="25" t="str">
        <x:v>Angola</x:v>
      </x:c>
      <x:c r="C5" s="25" t="str">
        <x:v>eez</x:v>
      </x:c>
      <x:c r="D5" s="31" t="n">
        <x:v>2019</x:v>
      </x:c>
      <x:c r="E5" s="25" t="n">
        <x:v>1429</x:v>
      </x:c>
      <x:c r="F5" s="25" t="n">
        <x:v>120</x:v>
      </x:c>
      <x:c r="G5" s="32" t="n">
        <x:v>619737.0070171057</x:v>
      </x:c>
      <x:c r="H5" s="32" t="n">
        <x:v>619737.0070171057</x:v>
      </x:c>
      <x:c r="I5" s="32" t="n">
        <x:v>0</x:v>
      </x:c>
      <x:c r="J5" s="36" t="b">
        <x:v>1</x:v>
      </x:c>
      <x:c r="K5" s="25" t="str">
        <x:v>available</x:v>
      </x:c>
    </x:row>
    <x:row r="6" ht="18" customHeight="1">
      <x:c r="A6" s="25" t="str">
        <x:v>EEZ_028</x:v>
      </x:c>
      <x:c r="B6" s="25" t="str">
        <x:v>Antigua &amp; Barbuda</x:v>
      </x:c>
      <x:c r="C6" s="25" t="str">
        <x:v>eez</x:v>
      </x:c>
      <x:c r="D6" s="31" t="n">
        <x:v>2019</x:v>
      </x:c>
      <x:c r="E6" s="25" t="n">
        <x:v>80</x:v>
      </x:c>
      <x:c r="F6" s="25" t="n">
        <x:v>19</x:v>
      </x:c>
      <x:c r="G6" s="32" t="n">
        <x:v>3754.318094694</x:v>
      </x:c>
      <x:c r="H6" s="32" t="n">
        <x:v>3754.3180946939997</x:v>
      </x:c>
      <x:c r="I6" s="32" t="n">
        <x:v>-4.547473508864641e-13</x:v>
      </x:c>
      <x:c r="J6" s="36" t="b">
        <x:v>1</x:v>
      </x:c>
      <x:c r="K6" s="25" t="str">
        <x:v>available</x:v>
      </x:c>
    </x:row>
    <x:row r="7" ht="18" customHeight="1">
      <x:c r="A7" s="25" t="str">
        <x:v>EEZ_032</x:v>
      </x:c>
      <x:c r="B7" s="25" t="str">
        <x:v>Argentina</x:v>
      </x:c>
      <x:c r="C7" s="25" t="str">
        <x:v>eez</x:v>
      </x:c>
      <x:c r="D7" s="31" t="n">
        <x:v>2019</x:v>
      </x:c>
      <x:c r="E7" s="25" t="n">
        <x:v>695</x:v>
      </x:c>
      <x:c r="F7" s="25" t="n">
        <x:v>86</x:v>
      </x:c>
      <x:c r="G7" s="32" t="n">
        <x:v>1455579.1588488943</x:v>
      </x:c>
      <x:c r="H7" s="32" t="n">
        <x:v>1455579.1588488945</x:v>
      </x:c>
      <x:c r="I7" s="32" t="n">
        <x:v>2.3283064365386963e-10</x:v>
      </x:c>
      <x:c r="J7" s="36" t="b">
        <x:v>1</x:v>
      </x:c>
      <x:c r="K7" s="25" t="str">
        <x:v>available</x:v>
      </x:c>
    </x:row>
    <x:row r="8" ht="18" customHeight="1">
      <x:c r="A8" s="25" t="str">
        <x:v>EEZ_036</x:v>
      </x:c>
      <x:c r="B8" s="25" t="str">
        <x:v>Australia</x:v>
      </x:c>
      <x:c r="C8" s="25" t="str">
        <x:v>eez</x:v>
      </x:c>
      <x:c r="D8" s="31" t="n">
        <x:v>2019</x:v>
      </x:c>
      <x:c r="E8" s="25" t="n">
        <x:v>6164</x:v>
      </x:c>
      <x:c r="F8" s="25" t="n">
        <x:v>529</x:v>
      </x:c>
      <x:c r="G8" s="32" t="n">
        <x:v>228804.7535442354</x:v>
      </x:c>
      <x:c r="H8" s="32" t="n">
        <x:v>228804.7535442354</x:v>
      </x:c>
      <x:c r="I8" s="32" t="n">
        <x:v>0</x:v>
      </x:c>
      <x:c r="J8" s="36" t="b">
        <x:v>1</x:v>
      </x:c>
      <x:c r="K8" s="25" t="str">
        <x:v>available</x:v>
      </x:c>
    </x:row>
    <x:row r="9" ht="18" customHeight="1">
      <x:c r="A9" s="25" t="str">
        <x:v>EEZ_037</x:v>
      </x:c>
      <x:c r="B9" s="25" t="str">
        <x:v>Macquarie Isl. (Australia)</x:v>
      </x:c>
      <x:c r="C9" s="25" t="str">
        <x:v>eez</x:v>
      </x:c>
      <x:c r="D9" s="31" t="n">
        <x:v>2019</x:v>
      </x:c>
      <x:c r="E9" s="25" t="n">
        <x:v>6</x:v>
      </x:c>
      <x:c r="F9" s="25" t="n">
        <x:v>1</x:v>
      </x:c>
      <x:c r="G9" s="32" t="n">
        <x:v>434.33</x:v>
      </x:c>
      <x:c r="H9" s="32" t="n">
        <x:v>434.33</x:v>
      </x:c>
      <x:c r="I9" s="32" t="n">
        <x:v>0</x:v>
      </x:c>
      <x:c r="J9" s="36" t="b">
        <x:v>1</x:v>
      </x:c>
      <x:c r="K9" s="25" t="str">
        <x:v>available</x:v>
      </x:c>
    </x:row>
    <x:row r="10" ht="18" customHeight="1">
      <x:c r="A10" s="25" t="str">
        <x:v>EEZ_038</x:v>
      </x:c>
      <x:c r="B10" s="25" t="str">
        <x:v>Lord Howe Isl. (Australia)</x:v>
      </x:c>
      <x:c r="C10" s="25" t="str">
        <x:v>eez</x:v>
      </x:c>
      <x:c r="D10" s="31" t="n">
        <x:v>2019</x:v>
      </x:c>
      <x:c r="E10" s="25" t="n">
        <x:v>44</x:v>
      </x:c>
      <x:c r="F10" s="25" t="n">
        <x:v>18</x:v>
      </x:c>
      <x:c r="G10" s="32" t="n">
        <x:v>111.56465248110001</x:v>
      </x:c>
      <x:c r="H10" s="32" t="n">
        <x:v>111.56465248110001</x:v>
      </x:c>
      <x:c r="I10" s="32" t="n">
        <x:v>0</x:v>
      </x:c>
      <x:c r="J10" s="36" t="b">
        <x:v>1</x:v>
      </x:c>
      <x:c r="K10" s="25" t="str">
        <x:v>available</x:v>
      </x:c>
    </x:row>
    <x:row r="11" ht="18" customHeight="1">
      <x:c r="A11" s="25" t="str">
        <x:v>EEZ_044</x:v>
      </x:c>
      <x:c r="B11" s="25" t="str">
        <x:v>Bahamas</x:v>
      </x:c>
      <x:c r="C11" s="25" t="str">
        <x:v>eez</x:v>
      </x:c>
      <x:c r="D11" s="31" t="n">
        <x:v>2019</x:v>
      </x:c>
      <x:c r="E11" s="25" t="n">
        <x:v>192</x:v>
      </x:c>
      <x:c r="F11" s="25" t="n">
        <x:v>43</x:v>
      </x:c>
      <x:c r="G11" s="32" t="n">
        <x:v>18392.7135678369</x:v>
      </x:c>
      <x:c r="H11" s="32" t="n">
        <x:v>18392.713567836905</x:v>
      </x:c>
      <x:c r="I11" s="32" t="n">
        <x:v>3.637978807091713e-12</x:v>
      </x:c>
      <x:c r="J11" s="36" t="b">
        <x:v>1</x:v>
      </x:c>
      <x:c r="K11" s="25" t="str">
        <x:v>available</x:v>
      </x:c>
    </x:row>
    <x:row r="12" ht="18" customHeight="1">
      <x:c r="A12" s="25" t="str">
        <x:v>EEZ_048</x:v>
      </x:c>
      <x:c r="B12" s="25" t="str">
        <x:v>Bahrain</x:v>
      </x:c>
      <x:c r="C12" s="25" t="str">
        <x:v>eez</x:v>
      </x:c>
      <x:c r="D12" s="31" t="n">
        <x:v>2019</x:v>
      </x:c>
      <x:c r="E12" s="25" t="n">
        <x:v>253</x:v>
      </x:c>
      <x:c r="F12" s="25" t="n">
        <x:v>55</x:v>
      </x:c>
      <x:c r="G12" s="32" t="n">
        <x:v>40820.826476502996</x:v>
      </x:c>
      <x:c r="H12" s="32" t="n">
        <x:v>40820.826476502996</x:v>
      </x:c>
      <x:c r="I12" s="32" t="n">
        <x:v>0</x:v>
      </x:c>
      <x:c r="J12" s="36" t="b">
        <x:v>1</x:v>
      </x:c>
      <x:c r="K12" s="25" t="str">
        <x:v>available</x:v>
      </x:c>
    </x:row>
    <x:row r="13" ht="18" customHeight="1">
      <x:c r="A13" s="25" t="str">
        <x:v>EEZ_050</x:v>
      </x:c>
      <x:c r="B13" s="25" t="str">
        <x:v>Bangladesh</x:v>
      </x:c>
      <x:c r="C13" s="25" t="str">
        <x:v>eez</x:v>
      </x:c>
      <x:c r="D13" s="31" t="n">
        <x:v>2019</x:v>
      </x:c>
      <x:c r="E13" s="25" t="n">
        <x:v>923</x:v>
      </x:c>
      <x:c r="F13" s="25" t="n">
        <x:v>116</x:v>
      </x:c>
      <x:c r="G13" s="32" t="n">
        <x:v>1114582.7199230574</x:v>
      </x:c>
      <x:c r="H13" s="32" t="n">
        <x:v>1114582.7199230574</x:v>
      </x:c>
      <x:c r="I13" s="32" t="n">
        <x:v>0</x:v>
      </x:c>
      <x:c r="J13" s="36" t="b">
        <x:v>1</x:v>
      </x:c>
      <x:c r="K13" s="25" t="str">
        <x:v>available</x:v>
      </x:c>
    </x:row>
    <x:row r="14" ht="18" customHeight="1">
      <x:c r="A14" s="25" t="str">
        <x:v>EEZ_052</x:v>
      </x:c>
      <x:c r="B14" s="25" t="str">
        <x:v>Barbados</x:v>
      </x:c>
      <x:c r="C14" s="25" t="str">
        <x:v>eez</x:v>
      </x:c>
      <x:c r="D14" s="31" t="n">
        <x:v>2019</x:v>
      </x:c>
      <x:c r="E14" s="25" t="n">
        <x:v>221</x:v>
      </x:c>
      <x:c r="F14" s="25" t="n">
        <x:v>47</x:v>
      </x:c>
      <x:c r="G14" s="32" t="n">
        <x:v>3109.8835019504995</x:v>
      </x:c>
      <x:c r="H14" s="32" t="n">
        <x:v>3109.8835019505004</x:v>
      </x:c>
      <x:c r="I14" s="32" t="n">
        <x:v>9.094947017729282e-13</x:v>
      </x:c>
      <x:c r="J14" s="36" t="b">
        <x:v>1</x:v>
      </x:c>
      <x:c r="K14" s="25" t="str">
        <x:v>available</x:v>
      </x:c>
    </x:row>
    <x:row r="15" ht="18" customHeight="1">
      <x:c r="A15" s="25" t="str">
        <x:v>EEZ_056</x:v>
      </x:c>
      <x:c r="B15" s="25" t="str">
        <x:v>Belgium</x:v>
      </x:c>
      <x:c r="C15" s="25" t="str">
        <x:v>eez</x:v>
      </x:c>
      <x:c r="D15" s="31" t="n">
        <x:v>2019</x:v>
      </x:c>
      <x:c r="E15" s="25" t="n">
        <x:v>1738</x:v>
      </x:c>
      <x:c r="F15" s="25" t="n">
        <x:v>153</x:v>
      </x:c>
      <x:c r="G15" s="32" t="n">
        <x:v>4482.8223030263</x:v>
      </x:c>
      <x:c r="H15" s="32" t="n">
        <x:v>4482.8223030263</x:v>
      </x:c>
      <x:c r="I15" s="32" t="n">
        <x:v>0</x:v>
      </x:c>
      <x:c r="J15" s="36" t="b">
        <x:v>1</x:v>
      </x:c>
      <x:c r="K15" s="25" t="str">
        <x:v>available</x:v>
      </x:c>
    </x:row>
    <x:row r="16" ht="18" customHeight="1">
      <x:c r="A16" s="25" t="str">
        <x:v>EEZ_060</x:v>
      </x:c>
      <x:c r="B16" s="25" t="str">
        <x:v>Bermuda (GBR)</x:v>
      </x:c>
      <x:c r="C16" s="25" t="str">
        <x:v>eez</x:v>
      </x:c>
      <x:c r="D16" s="31" t="n">
        <x:v>2019</x:v>
      </x:c>
      <x:c r="E16" s="25" t="n">
        <x:v>115</x:v>
      </x:c>
      <x:c r="F16" s="25" t="n">
        <x:v>37</x:v>
      </x:c>
      <x:c r="G16" s="32" t="n">
        <x:v>873.7608096846</x:v>
      </x:c>
      <x:c r="H16" s="32" t="n">
        <x:v>873.7608096846001</x:v>
      </x:c>
      <x:c r="I16" s="32" t="n">
        <x:v>1.1368683772161603e-13</x:v>
      </x:c>
      <x:c r="J16" s="36" t="b">
        <x:v>1</x:v>
      </x:c>
      <x:c r="K16" s="25" t="str">
        <x:v>available</x:v>
      </x:c>
    </x:row>
    <x:row r="17" ht="18" customHeight="1">
      <x:c r="A17" s="25" t="str">
        <x:v>EEZ_070</x:v>
      </x:c>
      <x:c r="B17" s="25" t="str">
        <x:v>Bosnia &amp; Herzegovina</x:v>
      </x:c>
      <x:c r="C17" s="25" t="str">
        <x:v>eez</x:v>
      </x:c>
      <x:c r="D17" s="31" t="n">
        <x:v>2019</x:v>
      </x:c>
      <x:c r="E17" s="25" t="n">
        <x:v>205</x:v>
      </x:c>
      <x:c r="F17" s="25" t="n">
        <x:v>45</x:v>
      </x:c>
      <x:c r="G17" s="32" t="n">
        <x:v>61.020557292999996</x:v>
      </x:c>
      <x:c r="H17" s="32" t="n">
        <x:v>61.020557292999996</x:v>
      </x:c>
      <x:c r="I17" s="32" t="n">
        <x:v>0</x:v>
      </x:c>
      <x:c r="J17" s="36" t="b">
        <x:v>1</x:v>
      </x:c>
      <x:c r="K17" s="25" t="str">
        <x:v>available</x:v>
      </x:c>
    </x:row>
    <x:row r="18" ht="18" customHeight="1">
      <x:c r="A18" s="25" t="str">
        <x:v>EEZ_074</x:v>
      </x:c>
      <x:c r="B18" s="25" t="str">
        <x:v>Bouvet Isl. (Norway)</x:v>
      </x:c>
      <x:c r="C18" s="25" t="str">
        <x:v>eez</x:v>
      </x:c>
      <x:c r="D18" s="31" t="n">
        <x:v>2019</x:v>
      </x:c>
      <x:c r="E18" s="25" t="n">
        <x:v>70</x:v>
      </x:c>
      <x:c r="F18" s="25" t="n">
        <x:v>10</x:v>
      </x:c>
      <x:c r="G18" s="32" t="n">
        <x:v>133.56110065550004</x:v>
      </x:c>
      <x:c r="H18" s="32" t="n">
        <x:v>133.56110065549998</x:v>
      </x:c>
      <x:c r="I18" s="32" t="n">
        <x:v>-5.684341886080802e-14</x:v>
      </x:c>
      <x:c r="J18" s="36" t="b">
        <x:v>1</x:v>
      </x:c>
      <x:c r="K18" s="25" t="str">
        <x:v>available</x:v>
      </x:c>
    </x:row>
    <x:row r="19" ht="18" customHeight="1">
      <x:c r="A19" s="25" t="str">
        <x:v>EEZ_076</x:v>
      </x:c>
      <x:c r="B19" s="25" t="str">
        <x:v>Brazil (mainland)</x:v>
      </x:c>
      <x:c r="C19" s="25" t="str">
        <x:v>eez</x:v>
      </x:c>
      <x:c r="D19" s="31" t="n">
        <x:v>2019</x:v>
      </x:c>
      <x:c r="E19" s="25" t="n">
        <x:v>7758</x:v>
      </x:c>
      <x:c r="F19" s="25" t="n">
        <x:v>274</x:v>
      </x:c>
      <x:c r="G19" s="32" t="n">
        <x:v>904109.1796290668</x:v>
      </x:c>
      <x:c r="H19" s="32" t="n">
        <x:v>904109.1796290668</x:v>
      </x:c>
      <x:c r="I19" s="32" t="n">
        <x:v>0</x:v>
      </x:c>
      <x:c r="J19" s="36" t="b">
        <x:v>1</x:v>
      </x:c>
      <x:c r="K19" s="25" t="str">
        <x:v>available</x:v>
      </x:c>
    </x:row>
    <x:row r="20" ht="18" customHeight="1">
      <x:c r="A20" s="25" t="str">
        <x:v>EEZ_077</x:v>
      </x:c>
      <x:c r="B20" s="25" t="str">
        <x:v>Trindade &amp; Martim Vaz Isl. (Brazil)</x:v>
      </x:c>
      <x:c r="C20" s="25" t="str">
        <x:v>eez</x:v>
      </x:c>
      <x:c r="D20" s="31" t="n">
        <x:v>2019</x:v>
      </x:c>
      <x:c r="E20" s="25" t="n">
        <x:v>49</x:v>
      </x:c>
      <x:c r="F20" s="25" t="n">
        <x:v>17</x:v>
      </x:c>
      <x:c r="G20" s="32" t="n">
        <x:v>6471.8616207145005</x:v>
      </x:c>
      <x:c r="H20" s="32" t="n">
        <x:v>6471.8616207145</x:v>
      </x:c>
      <x:c r="I20" s="32" t="n">
        <x:v>-9.094947017729282e-13</x:v>
      </x:c>
      <x:c r="J20" s="36" t="b">
        <x:v>1</x:v>
      </x:c>
      <x:c r="K20" s="25" t="str">
        <x:v>available</x:v>
      </x:c>
    </x:row>
    <x:row r="21" ht="18" customHeight="1">
      <x:c r="A21" s="25" t="str">
        <x:v>EEZ_084</x:v>
      </x:c>
      <x:c r="B21" s="25" t="str">
        <x:v>Belize</x:v>
      </x:c>
      <x:c r="C21" s="25" t="str">
        <x:v>eez</x:v>
      </x:c>
      <x:c r="D21" s="31" t="n">
        <x:v>2019</x:v>
      </x:c>
      <x:c r="E21" s="25" t="n">
        <x:v>154</x:v>
      </x:c>
      <x:c r="F21" s="25" t="n">
        <x:v>54</x:v>
      </x:c>
      <x:c r="G21" s="32" t="n">
        <x:v>7918.6908172125</x:v>
      </x:c>
      <x:c r="H21" s="32" t="n">
        <x:v>7918.690817212499</x:v>
      </x:c>
      <x:c r="I21" s="32" t="n">
        <x:v>-1.8189894035458565e-12</x:v>
      </x:c>
      <x:c r="J21" s="36" t="b">
        <x:v>1</x:v>
      </x:c>
      <x:c r="K21" s="25" t="str">
        <x:v>available</x:v>
      </x:c>
    </x:row>
    <x:row r="22" ht="18" customHeight="1">
      <x:c r="A22" s="25" t="str">
        <x:v>EEZ_086</x:v>
      </x:c>
      <x:c r="B22" s="25" t="str">
        <x:v>Chagos Archipelago (GBR)</x:v>
      </x:c>
      <x:c r="C22" s="25" t="str">
        <x:v>eez</x:v>
      </x:c>
      <x:c r="D22" s="31" t="n">
        <x:v>2019</x:v>
      </x:c>
      <x:c r="E22" s="25" t="n">
        <x:v>24</x:v>
      </x:c>
      <x:c r="F22" s="25" t="n">
        <x:v>22</x:v>
      </x:c>
      <x:c r="G22" s="32" t="n">
        <x:v>135.2489756326</x:v>
      </x:c>
      <x:c r="H22" s="32" t="n">
        <x:v>135.2489756326</x:v>
      </x:c>
      <x:c r="I22" s="32" t="n">
        <x:v>0</x:v>
      </x:c>
      <x:c r="J22" s="36" t="b">
        <x:v>1</x:v>
      </x:c>
      <x:c r="K22" s="25" t="str">
        <x:v>available</x:v>
      </x:c>
    </x:row>
    <x:row r="23" ht="18" customHeight="1">
      <x:c r="A23" s="25" t="str">
        <x:v>EEZ_090</x:v>
      </x:c>
      <x:c r="B23" s="25" t="str">
        <x:v>Solomon Isl.</x:v>
      </x:c>
      <x:c r="C23" s="25" t="str">
        <x:v>eez</x:v>
      </x:c>
      <x:c r="D23" s="31" t="n">
        <x:v>2019</x:v>
      </x:c>
      <x:c r="E23" s="25" t="n">
        <x:v>774</x:v>
      </x:c>
      <x:c r="F23" s="25" t="n">
        <x:v>52</x:v>
      </x:c>
      <x:c r="G23" s="32" t="n">
        <x:v>142760.98150388888</x:v>
      </x:c>
      <x:c r="H23" s="32" t="n">
        <x:v>142760.98150388888</x:v>
      </x:c>
      <x:c r="I23" s="32" t="n">
        <x:v>0</x:v>
      </x:c>
      <x:c r="J23" s="36" t="b">
        <x:v>1</x:v>
      </x:c>
      <x:c r="K23" s="25" t="str">
        <x:v>available</x:v>
      </x:c>
    </x:row>
    <x:row r="24" ht="18" customHeight="1">
      <x:c r="A24" s="25" t="str">
        <x:v>EEZ_092</x:v>
      </x:c>
      <x:c r="B24" s="25" t="str">
        <x:v>British Virgin Isl. (GBR)</x:v>
      </x:c>
      <x:c r="C24" s="25" t="str">
        <x:v>eez</x:v>
      </x:c>
      <x:c r="D24" s="31" t="n">
        <x:v>2019</x:v>
      </x:c>
      <x:c r="E24" s="25" t="n">
        <x:v>153</x:v>
      </x:c>
      <x:c r="F24" s="25" t="n">
        <x:v>32</x:v>
      </x:c>
      <x:c r="G24" s="32" t="n">
        <x:v>4102.391159102101</x:v>
      </x:c>
      <x:c r="H24" s="32" t="n">
        <x:v>4102.391159102101</x:v>
      </x:c>
      <x:c r="I24" s="32" t="n">
        <x:v>0</x:v>
      </x:c>
      <x:c r="J24" s="36" t="b">
        <x:v>1</x:v>
      </x:c>
      <x:c r="K24" s="25" t="str">
        <x:v>available</x:v>
      </x:c>
    </x:row>
    <x:row r="25" ht="18" customHeight="1">
      <x:c r="A25" s="25" t="str">
        <x:v>EEZ_096</x:v>
      </x:c>
      <x:c r="B25" s="25" t="str">
        <x:v>Brunei Darussalam</x:v>
      </x:c>
      <x:c r="C25" s="25" t="str">
        <x:v>eez</x:v>
      </x:c>
      <x:c r="D25" s="31" t="n">
        <x:v>2019</x:v>
      </x:c>
      <x:c r="E25" s="25" t="n">
        <x:v>536</x:v>
      </x:c>
      <x:c r="F25" s="25" t="n">
        <x:v>97</x:v>
      </x:c>
      <x:c r="G25" s="32" t="n">
        <x:v>16692.4609859602</x:v>
      </x:c>
      <x:c r="H25" s="32" t="n">
        <x:v>16692.4609859602</x:v>
      </x:c>
      <x:c r="I25" s="32" t="n">
        <x:v>0</x:v>
      </x:c>
      <x:c r="J25" s="36" t="b">
        <x:v>1</x:v>
      </x:c>
      <x:c r="K25" s="25" t="str">
        <x:v>available</x:v>
      </x:c>
    </x:row>
    <x:row r="26" ht="18" customHeight="1">
      <x:c r="A26" s="25" t="str">
        <x:v>EEZ_100</x:v>
      </x:c>
      <x:c r="B26" s="25" t="str">
        <x:v>Bulgaria</x:v>
      </x:c>
      <x:c r="C26" s="25" t="str">
        <x:v>eez</x:v>
      </x:c>
      <x:c r="D26" s="31" t="n">
        <x:v>2019</x:v>
      </x:c>
      <x:c r="E26" s="25" t="n">
        <x:v>192</x:v>
      </x:c>
      <x:c r="F26" s="25" t="n">
        <x:v>34</x:v>
      </x:c>
      <x:c r="G26" s="32" t="n">
        <x:v>17051.5126534866</x:v>
      </x:c>
      <x:c r="H26" s="32" t="n">
        <x:v>17051.512653486603</x:v>
      </x:c>
      <x:c r="I26" s="32" t="n">
        <x:v>3.637978807091713e-12</x:v>
      </x:c>
      <x:c r="J26" s="36" t="b">
        <x:v>1</x:v>
      </x:c>
      <x:c r="K26" s="25" t="str">
        <x:v>available</x:v>
      </x:c>
    </x:row>
    <x:row r="27" ht="18" customHeight="1">
      <x:c r="A27" s="25" t="str">
        <x:v>EEZ_104</x:v>
      </x:c>
      <x:c r="B27" s="25" t="str">
        <x:v>Myanmar</x:v>
      </x:c>
      <x:c r="C27" s="25" t="str">
        <x:v>eez</x:v>
      </x:c>
      <x:c r="D27" s="31" t="n">
        <x:v>2019</x:v>
      </x:c>
      <x:c r="E27" s="25" t="n">
        <x:v>1120</x:v>
      </x:c>
      <x:c r="F27" s="25" t="n">
        <x:v>81</x:v>
      </x:c>
      <x:c r="G27" s="32" t="n">
        <x:v>1333934.8992368777</x:v>
      </x:c>
      <x:c r="H27" s="32" t="n">
        <x:v>1333934.8992368774</x:v>
      </x:c>
      <x:c r="I27" s="32" t="n">
        <x:v>-2.3283064365386963e-10</x:v>
      </x:c>
      <x:c r="J27" s="36" t="b">
        <x:v>1</x:v>
      </x:c>
      <x:c r="K27" s="25" t="str">
        <x:v>available</x:v>
      </x:c>
    </x:row>
    <x:row r="28" ht="18" customHeight="1">
      <x:c r="A28" s="25" t="str">
        <x:v>EEZ_111</x:v>
      </x:c>
      <x:c r="B28" s="25" t="str">
        <x:v>Eritrea</x:v>
      </x:c>
      <x:c r="C28" s="25" t="str">
        <x:v>eez</x:v>
      </x:c>
      <x:c r="D28" s="31" t="n">
        <x:v>2019</x:v>
      </x:c>
      <x:c r="E28" s="25" t="n">
        <x:v>436</x:v>
      </x:c>
      <x:c r="F28" s="25" t="n">
        <x:v>58</x:v>
      </x:c>
      <x:c r="G28" s="32" t="n">
        <x:v>10673.4414939733</x:v>
      </x:c>
      <x:c r="H28" s="32" t="n">
        <x:v>10673.4414939733</x:v>
      </x:c>
      <x:c r="I28" s="32" t="n">
        <x:v>0</x:v>
      </x:c>
      <x:c r="J28" s="36" t="b">
        <x:v>1</x:v>
      </x:c>
      <x:c r="K28" s="25" t="str">
        <x:v>available</x:v>
      </x:c>
    </x:row>
    <x:row r="29" ht="18" customHeight="1">
      <x:c r="A29" s="25" t="str">
        <x:v>EEZ_116</x:v>
      </x:c>
      <x:c r="B29" s="25" t="str">
        <x:v>Cambodia</x:v>
      </x:c>
      <x:c r="C29" s="25" t="str">
        <x:v>eez</x:v>
      </x:c>
      <x:c r="D29" s="31" t="n">
        <x:v>2019</x:v>
      </x:c>
      <x:c r="E29" s="25" t="n">
        <x:v>1104</x:v>
      </x:c>
      <x:c r="F29" s="25" t="n">
        <x:v>110</x:v>
      </x:c>
      <x:c r="G29" s="32" t="n">
        <x:v>211746.98448764198</x:v>
      </x:c>
      <x:c r="H29" s="32" t="n">
        <x:v>211746.98448764204</x:v>
      </x:c>
      <x:c r="I29" s="32" t="n">
        <x:v>5.820766091346741e-11</x:v>
      </x:c>
      <x:c r="J29" s="36" t="b">
        <x:v>1</x:v>
      </x:c>
      <x:c r="K29" s="25" t="str">
        <x:v>available</x:v>
      </x:c>
    </x:row>
    <x:row r="30" ht="18" customHeight="1">
      <x:c r="A30" s="25" t="str">
        <x:v>EEZ_120</x:v>
      </x:c>
      <x:c r="B30" s="25" t="str">
        <x:v>Cameroon</x:v>
      </x:c>
      <x:c r="C30" s="25" t="str">
        <x:v>eez</x:v>
      </x:c>
      <x:c r="D30" s="31" t="n">
        <x:v>2019</x:v>
      </x:c>
      <x:c r="E30" s="25" t="n">
        <x:v>287</x:v>
      </x:c>
      <x:c r="F30" s="25" t="n">
        <x:v>63</x:v>
      </x:c>
      <x:c r="G30" s="32" t="n">
        <x:v>280509.9182943579</x:v>
      </x:c>
      <x:c r="H30" s="32" t="n">
        <x:v>280509.9182943579</x:v>
      </x:c>
      <x:c r="I30" s="32" t="n">
        <x:v>0</x:v>
      </x:c>
      <x:c r="J30" s="36" t="b">
        <x:v>1</x:v>
      </x:c>
      <x:c r="K30" s="25" t="str">
        <x:v>available</x:v>
      </x:c>
    </x:row>
    <x:row r="31" ht="18" customHeight="1">
      <x:c r="A31" s="25" t="str">
        <x:v>EEZ_132</x:v>
      </x:c>
      <x:c r="B31" s="25" t="str">
        <x:v>Cabo Verde / Cape Verde</x:v>
      </x:c>
      <x:c r="C31" s="25" t="str">
        <x:v>eez</x:v>
      </x:c>
      <x:c r="D31" s="31" t="n">
        <x:v>2019</x:v>
      </x:c>
      <x:c r="E31" s="25" t="n">
        <x:v>683</x:v>
      </x:c>
      <x:c r="F31" s="25" t="n">
        <x:v>91</x:v>
      </x:c>
      <x:c r="G31" s="32" t="n">
        <x:v>41113.69898257351</x:v>
      </x:c>
      <x:c r="H31" s="32" t="n">
        <x:v>41113.6989825735</x:v>
      </x:c>
      <x:c r="I31" s="32" t="n">
        <x:v>-7.275957614183426e-12</x:v>
      </x:c>
      <x:c r="J31" s="36" t="b">
        <x:v>1</x:v>
      </x:c>
      <x:c r="K31" s="25" t="str">
        <x:v>available</x:v>
      </x:c>
    </x:row>
    <x:row r="32" ht="18" customHeight="1">
      <x:c r="A32" s="25" t="str">
        <x:v>EEZ_136</x:v>
      </x:c>
      <x:c r="B32" s="25" t="str">
        <x:v>Cayman Isl. (GBR)</x:v>
      </x:c>
      <x:c r="C32" s="25" t="str">
        <x:v>eez</x:v>
      </x:c>
      <x:c r="D32" s="31" t="n">
        <x:v>2019</x:v>
      </x:c>
      <x:c r="E32" s="25" t="n">
        <x:v>56</x:v>
      </x:c>
      <x:c r="F32" s="25" t="n">
        <x:v>13</x:v>
      </x:c>
      <x:c r="G32" s="32" t="n">
        <x:v>244.3796527111</x:v>
      </x:c>
      <x:c r="H32" s="32" t="n">
        <x:v>244.37965271110002</x:v>
      </x:c>
      <x:c r="I32" s="32" t="n">
        <x:v>2.842170943040401e-14</x:v>
      </x:c>
      <x:c r="J32" s="36" t="b">
        <x:v>1</x:v>
      </x:c>
      <x:c r="K32" s="25" t="str">
        <x:v>available</x:v>
      </x:c>
    </x:row>
    <x:row r="33" ht="18" customHeight="1">
      <x:c r="A33" s="25" t="str">
        <x:v>EEZ_144</x:v>
      </x:c>
      <x:c r="B33" s="25" t="str">
        <x:v>Sri Lanka</x:v>
      </x:c>
      <x:c r="C33" s="25" t="str">
        <x:v>eez</x:v>
      </x:c>
      <x:c r="D33" s="31" t="n">
        <x:v>2019</x:v>
      </x:c>
      <x:c r="E33" s="25" t="n">
        <x:v>254</x:v>
      </x:c>
      <x:c r="F33" s="25" t="n">
        <x:v>79</x:v>
      </x:c>
      <x:c r="G33" s="32" t="n">
        <x:v>312721.78206485964</x:v>
      </x:c>
      <x:c r="H33" s="32" t="n">
        <x:v>312721.7820648597</x:v>
      </x:c>
      <x:c r="I33" s="32" t="n">
        <x:v>5.820766091346741e-11</x:v>
      </x:c>
      <x:c r="J33" s="36" t="b">
        <x:v>1</x:v>
      </x:c>
      <x:c r="K33" s="25" t="str">
        <x:v>available</x:v>
      </x:c>
    </x:row>
    <x:row r="34" ht="18" customHeight="1">
      <x:c r="A34" s="25" t="str">
        <x:v>EEZ_152</x:v>
      </x:c>
      <x:c r="B34" s="25" t="str">
        <x:v>Chile (mainland)</x:v>
      </x:c>
      <x:c r="C34" s="25" t="str">
        <x:v>eez</x:v>
      </x:c>
      <x:c r="D34" s="31" t="n">
        <x:v>2019</x:v>
      </x:c>
      <x:c r="E34" s="25" t="n">
        <x:v>802</x:v>
      </x:c>
      <x:c r="F34" s="25" t="n">
        <x:v>129</x:v>
      </x:c>
      <x:c r="G34" s="32" t="n">
        <x:v>1654215.5401263882</x:v>
      </x:c>
      <x:c r="H34" s="32" t="n">
        <x:v>1654215.5401263884</x:v>
      </x:c>
      <x:c r="I34" s="32" t="n">
        <x:v>2.3283064365386963e-10</x:v>
      </x:c>
      <x:c r="J34" s="36" t="b">
        <x:v>1</x:v>
      </x:c>
      <x:c r="K34" s="25" t="str">
        <x:v>available</x:v>
      </x:c>
    </x:row>
    <x:row r="35" ht="18" customHeight="1">
      <x:c r="A35" s="25" t="str">
        <x:v>EEZ_153</x:v>
      </x:c>
      <x:c r="B35" s="25" t="str">
        <x:v>Easter Isl. (Chile)</x:v>
      </x:c>
      <x:c r="C35" s="25" t="str">
        <x:v>eez</x:v>
      </x:c>
      <x:c r="D35" s="31" t="n">
        <x:v>2019</x:v>
      </x:c>
      <x:c r="E35" s="25" t="n">
        <x:v>142</x:v>
      </x:c>
      <x:c r="F35" s="25" t="n">
        <x:v>36</x:v>
      </x:c>
      <x:c r="G35" s="32" t="n">
        <x:v>3582.4039295136</x:v>
      </x:c>
      <x:c r="H35" s="32" t="n">
        <x:v>3582.4039295136</x:v>
      </x:c>
      <x:c r="I35" s="32" t="n">
        <x:v>0</x:v>
      </x:c>
      <x:c r="J35" s="36" t="b">
        <x:v>1</x:v>
      </x:c>
      <x:c r="K35" s="25" t="str">
        <x:v>available</x:v>
      </x:c>
    </x:row>
    <x:row r="36" ht="18" customHeight="1">
      <x:c r="A36" s="25" t="str">
        <x:v>EEZ_154</x:v>
      </x:c>
      <x:c r="B36" s="25" t="str">
        <x:v>Desventuradas Isl. (Chile)</x:v>
      </x:c>
      <x:c r="C36" s="25" t="str">
        <x:v>eez</x:v>
      </x:c>
      <x:c r="D36" s="31" t="n">
        <x:v>2019</x:v>
      </x:c>
      <x:c r="E36" s="25" t="n">
        <x:v>49</x:v>
      </x:c>
      <x:c r="F36" s="25" t="n">
        <x:v>12</x:v>
      </x:c>
      <x:c r="G36" s="32" t="n">
        <x:v>21.535833428</x:v>
      </x:c>
      <x:c r="H36" s="32" t="n">
        <x:v>21.535833428000004</x:v>
      </x:c>
      <x:c r="I36" s="32" t="n">
        <x:v>3.552713678800501e-15</x:v>
      </x:c>
      <x:c r="J36" s="36" t="b">
        <x:v>1</x:v>
      </x:c>
      <x:c r="K36" s="25" t="str">
        <x:v>available</x:v>
      </x:c>
    </x:row>
    <x:row r="37" ht="18" customHeight="1">
      <x:c r="A37" s="25" t="str">
        <x:v>EEZ_155</x:v>
      </x:c>
      <x:c r="B37" s="25" t="str">
        <x:v>Juan Fernandez Isl. (Chile)</x:v>
      </x:c>
      <x:c r="C37" s="25" t="str">
        <x:v>eez</x:v>
      </x:c>
      <x:c r="D37" s="31" t="n">
        <x:v>2019</x:v>
      </x:c>
      <x:c r="E37" s="25" t="n">
        <x:v>105</x:v>
      </x:c>
      <x:c r="F37" s="25" t="n">
        <x:v>22</x:v>
      </x:c>
      <x:c r="G37" s="32" t="n">
        <x:v>42555.5279449449</x:v>
      </x:c>
      <x:c r="H37" s="32" t="n">
        <x:v>42555.52794494489</x:v>
      </x:c>
      <x:c r="I37" s="32" t="n">
        <x:v>-7.275957614183426e-12</x:v>
      </x:c>
      <x:c r="J37" s="36" t="b">
        <x:v>1</x:v>
      </x:c>
      <x:c r="K37" s="25" t="str">
        <x:v>available</x:v>
      </x:c>
    </x:row>
    <x:row r="38" ht="18" customHeight="1">
      <x:c r="A38" s="25" t="str">
        <x:v>EEZ_156</x:v>
      </x:c>
      <x:c r="B38" s="25" t="str">
        <x:v>China</x:v>
      </x:c>
      <x:c r="C38" s="25" t="str">
        <x:v>eez</x:v>
      </x:c>
      <x:c r="D38" s="31" t="n">
        <x:v>2019</x:v>
      </x:c>
      <x:c r="E38" s="25" t="n">
        <x:v>3640</x:v>
      </x:c>
      <x:c r="F38" s="25" t="n">
        <x:v>180</x:v>
      </x:c>
      <x:c r="G38" s="32" t="n">
        <x:v>9568140.597730292</x:v>
      </x:c>
      <x:c r="H38" s="32" t="n">
        <x:v>9568140.597730292</x:v>
      </x:c>
      <x:c r="I38" s="32" t="n">
        <x:v>0</x:v>
      </x:c>
      <x:c r="J38" s="36" t="b">
        <x:v>1</x:v>
      </x:c>
      <x:c r="K38" s="25" t="str">
        <x:v>available</x:v>
      </x:c>
    </x:row>
    <x:row r="39" ht="18" customHeight="1">
      <x:c r="A39" s="25" t="str">
        <x:v>EEZ_157</x:v>
      </x:c>
      <x:c r="B39" s="25" t="str">
        <x:v>Taiwan</x:v>
      </x:c>
      <x:c r="C39" s="25" t="str">
        <x:v>eez</x:v>
      </x:c>
      <x:c r="D39" s="31" t="n">
        <x:v>2019</x:v>
      </x:c>
      <x:c r="E39" s="25" t="n">
        <x:v>1567</x:v>
      </x:c>
      <x:c r="F39" s="25" t="n">
        <x:v>149</x:v>
      </x:c>
      <x:c r="G39" s="32" t="n">
        <x:v>974842.5837373973</x:v>
      </x:c>
      <x:c r="H39" s="32" t="n">
        <x:v>974842.5837373972</x:v>
      </x:c>
      <x:c r="I39" s="32" t="n">
        <x:v>-1.1641532182693481e-10</x:v>
      </x:c>
      <x:c r="J39" s="36" t="b">
        <x:v>1</x:v>
      </x:c>
      <x:c r="K39" s="25" t="str">
        <x:v>available</x:v>
      </x:c>
    </x:row>
    <x:row r="40" ht="18" customHeight="1">
      <x:c r="A40" s="25" t="str">
        <x:v>EEZ_162</x:v>
      </x:c>
      <x:c r="B40" s="25" t="str">
        <x:v>Christmas Isl. (Australia)</x:v>
      </x:c>
      <x:c r="C40" s="25" t="str">
        <x:v>eez</x:v>
      </x:c>
      <x:c r="D40" s="31" t="n">
        <x:v>2019</x:v>
      </x:c>
      <x:c r="E40" s="25" t="n">
        <x:v>60</x:v>
      </x:c>
      <x:c r="F40" s="25" t="n">
        <x:v>13</x:v>
      </x:c>
      <x:c r="G40" s="32" t="n">
        <x:v>25.629903931000005</x:v>
      </x:c>
      <x:c r="H40" s="32" t="n">
        <x:v>25.629903931</x:v>
      </x:c>
      <x:c r="I40" s="32" t="n">
        <x:v>-3.552713678800501e-15</x:v>
      </x:c>
      <x:c r="J40" s="36" t="b">
        <x:v>1</x:v>
      </x:c>
      <x:c r="K40" s="25" t="str">
        <x:v>available</x:v>
      </x:c>
    </x:row>
    <x:row r="41" ht="18" customHeight="1">
      <x:c r="A41" s="25" t="str">
        <x:v>EEZ_166</x:v>
      </x:c>
      <x:c r="B41" s="25" t="str">
        <x:v>Cocos / Keeling Isl. (Australia)</x:v>
      </x:c>
      <x:c r="C41" s="25" t="str">
        <x:v>eez</x:v>
      </x:c>
      <x:c r="D41" s="31" t="n">
        <x:v>2019</x:v>
      </x:c>
      <x:c r="E41" s="25" t="n">
        <x:v>58</x:v>
      </x:c>
      <x:c r="F41" s="25" t="n">
        <x:v>10</x:v>
      </x:c>
      <x:c r="G41" s="32" t="n">
        <x:v>268.594720107</x:v>
      </x:c>
      <x:c r="H41" s="32" t="n">
        <x:v>268.594720107</x:v>
      </x:c>
      <x:c r="I41" s="32" t="n">
        <x:v>0</x:v>
      </x:c>
      <x:c r="J41" s="36" t="b">
        <x:v>1</x:v>
      </x:c>
      <x:c r="K41" s="25" t="str">
        <x:v>available</x:v>
      </x:c>
    </x:row>
    <x:row r="42" ht="18" customHeight="1">
      <x:c r="A42" s="25" t="str">
        <x:v>EEZ_174</x:v>
      </x:c>
      <x:c r="B42" s="25" t="str">
        <x:v>Comoros Isl.</x:v>
      </x:c>
      <x:c r="C42" s="25" t="str">
        <x:v>eez</x:v>
      </x:c>
      <x:c r="D42" s="31" t="n">
        <x:v>2019</x:v>
      </x:c>
      <x:c r="E42" s="25" t="n">
        <x:v>121</x:v>
      </x:c>
      <x:c r="F42" s="25" t="n">
        <x:v>42</x:v>
      </x:c>
      <x:c r="G42" s="32" t="n">
        <x:v>20265.440293107597</x:v>
      </x:c>
      <x:c r="H42" s="32" t="n">
        <x:v>20265.4402931076</x:v>
      </x:c>
      <x:c r="I42" s="32" t="n">
        <x:v>3.637978807091713e-12</x:v>
      </x:c>
      <x:c r="J42" s="36" t="b">
        <x:v>1</x:v>
      </x:c>
      <x:c r="K42" s="25" t="str">
        <x:v>available</x:v>
      </x:c>
    </x:row>
    <x:row r="43" ht="18" customHeight="1">
      <x:c r="A43" s="25" t="str">
        <x:v>EEZ_175</x:v>
      </x:c>
      <x:c r="B43" s="25" t="str">
        <x:v>Mayotte (France)</x:v>
      </x:c>
      <x:c r="C43" s="25" t="str">
        <x:v>eez</x:v>
      </x:c>
      <x:c r="D43" s="31" t="n">
        <x:v>2019</x:v>
      </x:c>
      <x:c r="E43" s="25" t="n">
        <x:v>512</x:v>
      </x:c>
      <x:c r="F43" s="25" t="n">
        <x:v>104</x:v>
      </x:c>
      <x:c r="G43" s="32" t="n">
        <x:v>2674.2376296267003</x:v>
      </x:c>
      <x:c r="H43" s="32" t="n">
        <x:v>2674.2376296267003</x:v>
      </x:c>
      <x:c r="I43" s="32" t="n">
        <x:v>0</x:v>
      </x:c>
      <x:c r="J43" s="36" t="b">
        <x:v>1</x:v>
      </x:c>
      <x:c r="K43" s="25" t="str">
        <x:v>available</x:v>
      </x:c>
    </x:row>
    <x:row r="44" ht="18" customHeight="1">
      <x:c r="A44" s="25" t="str">
        <x:v>EEZ_178</x:v>
      </x:c>
      <x:c r="B44" s="25" t="str">
        <x:v>Congo (Brazzaville)</x:v>
      </x:c>
      <x:c r="C44" s="25" t="str">
        <x:v>eez</x:v>
      </x:c>
      <x:c r="D44" s="31" t="n">
        <x:v>2019</x:v>
      </x:c>
      <x:c r="E44" s="25" t="n">
        <x:v>295</x:v>
      </x:c>
      <x:c r="F44" s="25" t="n">
        <x:v>56</x:v>
      </x:c>
      <x:c r="G44" s="32" t="n">
        <x:v>43444.3810041495</x:v>
      </x:c>
      <x:c r="H44" s="32" t="n">
        <x:v>43444.3810041495</x:v>
      </x:c>
      <x:c r="I44" s="32" t="n">
        <x:v>0</x:v>
      </x:c>
      <x:c r="J44" s="36" t="b">
        <x:v>1</x:v>
      </x:c>
      <x:c r="K44" s="25" t="str">
        <x:v>available</x:v>
      </x:c>
    </x:row>
    <x:row r="45" ht="18" customHeight="1">
      <x:c r="A45" s="25" t="str">
        <x:v>EEZ_180</x:v>
      </x:c>
      <x:c r="B45" s="25" t="str">
        <x:v>Congo (Kinshasa) Dem. Rep.</x:v>
      </x:c>
      <x:c r="C45" s="25" t="str">
        <x:v>eez</x:v>
      </x:c>
      <x:c r="D45" s="31" t="n">
        <x:v>2019</x:v>
      </x:c>
      <x:c r="E45" s="25" t="n">
        <x:v>270</x:v>
      </x:c>
      <x:c r="F45" s="25" t="n">
        <x:v>34</x:v>
      </x:c>
      <x:c r="G45" s="32" t="n">
        <x:v>23378.3558839915</x:v>
      </x:c>
      <x:c r="H45" s="32" t="n">
        <x:v>23378.355883991495</x:v>
      </x:c>
      <x:c r="I45" s="32" t="n">
        <x:v>-3.637978807091713e-12</x:v>
      </x:c>
      <x:c r="J45" s="36" t="b">
        <x:v>1</x:v>
      </x:c>
      <x:c r="K45" s="25" t="str">
        <x:v>available</x:v>
      </x:c>
    </x:row>
    <x:row r="46" ht="18" customHeight="1">
      <x:c r="A46" s="25" t="str">
        <x:v>EEZ_184</x:v>
      </x:c>
      <x:c r="B46" s="25" t="str">
        <x:v>Cook Isl.</x:v>
      </x:c>
      <x:c r="C46" s="25" t="str">
        <x:v>eez</x:v>
      </x:c>
      <x:c r="D46" s="31" t="n">
        <x:v>2019</x:v>
      </x:c>
      <x:c r="E46" s="25" t="n">
        <x:v>626</x:v>
      </x:c>
      <x:c r="F46" s="25" t="n">
        <x:v>38</x:v>
      </x:c>
      <x:c r="G46" s="32" t="n">
        <x:v>57850.2090052755</x:v>
      </x:c>
      <x:c r="H46" s="32" t="n">
        <x:v>57850.20900527551</x:v>
      </x:c>
      <x:c r="I46" s="32" t="n">
        <x:v>7.275957614183426e-12</x:v>
      </x:c>
      <x:c r="J46" s="36" t="b">
        <x:v>1</x:v>
      </x:c>
      <x:c r="K46" s="25" t="str">
        <x:v>available</x:v>
      </x:c>
    </x:row>
    <x:row r="47" ht="18" customHeight="1">
      <x:c r="A47" s="25" t="str">
        <x:v>EEZ_191</x:v>
      </x:c>
      <x:c r="B47" s="25" t="str">
        <x:v>Croatia</x:v>
      </x:c>
      <x:c r="C47" s="25" t="str">
        <x:v>eez</x:v>
      </x:c>
      <x:c r="D47" s="31" t="n">
        <x:v>2019</x:v>
      </x:c>
      <x:c r="E47" s="25" t="n">
        <x:v>528</x:v>
      </x:c>
      <x:c r="F47" s="25" t="n">
        <x:v>45</x:v>
      </x:c>
      <x:c r="G47" s="32" t="n">
        <x:v>77072.9733877067</x:v>
      </x:c>
      <x:c r="H47" s="32" t="n">
        <x:v>77072.97338770672</x:v>
      </x:c>
      <x:c r="I47" s="32" t="n">
        <x:v>1.4551915228366852e-11</x:v>
      </x:c>
      <x:c r="J47" s="36" t="b">
        <x:v>1</x:v>
      </x:c>
      <x:c r="K47" s="25" t="str">
        <x:v>available</x:v>
      </x:c>
    </x:row>
    <x:row r="48" ht="18" customHeight="1">
      <x:c r="A48" s="25" t="str">
        <x:v>EEZ_192</x:v>
      </x:c>
      <x:c r="B48" s="25" t="str">
        <x:v>Cuba</x:v>
      </x:c>
      <x:c r="C48" s="25" t="str">
        <x:v>eez</x:v>
      </x:c>
      <x:c r="D48" s="31" t="n">
        <x:v>2019</x:v>
      </x:c>
      <x:c r="E48" s="25" t="n">
        <x:v>280</x:v>
      </x:c>
      <x:c r="F48" s="25" t="n">
        <x:v>33</x:v>
      </x:c>
      <x:c r="G48" s="32" t="n">
        <x:v>24306.8393757785</x:v>
      </x:c>
      <x:c r="H48" s="32" t="n">
        <x:v>24306.8393757785</x:v>
      </x:c>
      <x:c r="I48" s="32" t="n">
        <x:v>0</x:v>
      </x:c>
      <x:c r="J48" s="36" t="b">
        <x:v>1</x:v>
      </x:c>
      <x:c r="K48" s="25" t="str">
        <x:v>available</x:v>
      </x:c>
    </x:row>
    <x:row r="49" ht="18" customHeight="1">
      <x:c r="A49" s="25" t="str">
        <x:v>EEZ_197</x:v>
      </x:c>
      <x:c r="B49" s="25" t="str">
        <x:v>Cyprus (North)</x:v>
      </x:c>
      <x:c r="C49" s="25" t="str">
        <x:v>eez</x:v>
      </x:c>
      <x:c r="D49" s="31" t="n">
        <x:v>2019</x:v>
      </x:c>
      <x:c r="E49" s="25" t="n">
        <x:v>148</x:v>
      </x:c>
      <x:c r="F49" s="25" t="n">
        <x:v>45</x:v>
      </x:c>
      <x:c r="G49" s="32" t="n">
        <x:v>4715.9276116986</x:v>
      </x:c>
      <x:c r="H49" s="32" t="n">
        <x:v>4715.9276116986</x:v>
      </x:c>
      <x:c r="I49" s="32" t="n">
        <x:v>0</x:v>
      </x:c>
      <x:c r="J49" s="36" t="b">
        <x:v>1</x:v>
      </x:c>
      <x:c r="K49" s="25" t="str">
        <x:v>available</x:v>
      </x:c>
    </x:row>
    <x:row r="50" ht="18" customHeight="1">
      <x:c r="A50" s="25" t="str">
        <x:v>EEZ_198</x:v>
      </x:c>
      <x:c r="B50" s="25" t="str">
        <x:v>Cyprus (South)</x:v>
      </x:c>
      <x:c r="C50" s="25" t="str">
        <x:v>eez</x:v>
      </x:c>
      <x:c r="D50" s="31" t="n">
        <x:v>2019</x:v>
      </x:c>
      <x:c r="E50" s="25" t="n">
        <x:v>857</x:v>
      </x:c>
      <x:c r="F50" s="25" t="n">
        <x:v>90</x:v>
      </x:c>
      <x:c r="G50" s="32" t="n">
        <x:v>2236.2086502549</x:v>
      </x:c>
      <x:c r="H50" s="32" t="n">
        <x:v>2236.2086502549</x:v>
      </x:c>
      <x:c r="I50" s="32" t="n">
        <x:v>0</x:v>
      </x:c>
      <x:c r="J50" s="36" t="b">
        <x:v>1</x:v>
      </x:c>
      <x:c r="K50" s="25" t="str">
        <x:v>available</x:v>
      </x:c>
    </x:row>
    <x:row r="51" ht="18" customHeight="1">
      <x:c r="A51" s="25" t="str">
        <x:v>EEZ_204</x:v>
      </x:c>
      <x:c r="B51" s="25" t="str">
        <x:v>Benin</x:v>
      </x:c>
      <x:c r="C51" s="25" t="str">
        <x:v>eez</x:v>
      </x:c>
      <x:c r="D51" s="31" t="n">
        <x:v>2019</x:v>
      </x:c>
      <x:c r="E51" s="25" t="n">
        <x:v>595</x:v>
      </x:c>
      <x:c r="F51" s="25" t="n">
        <x:v>96</x:v>
      </x:c>
      <x:c r="G51" s="32" t="n">
        <x:v>83987.6435485869</x:v>
      </x:c>
      <x:c r="H51" s="32" t="n">
        <x:v>83987.6435485869</x:v>
      </x:c>
      <x:c r="I51" s="32" t="n">
        <x:v>0</x:v>
      </x:c>
      <x:c r="J51" s="36" t="b">
        <x:v>1</x:v>
      </x:c>
      <x:c r="K51" s="25" t="str">
        <x:v>available</x:v>
      </x:c>
    </x:row>
    <x:row r="52" ht="18" customHeight="1">
      <x:c r="A52" s="25" t="str">
        <x:v>EEZ_212</x:v>
      </x:c>
      <x:c r="B52" s="25" t="str">
        <x:v>Dominica</x:v>
      </x:c>
      <x:c r="C52" s="25" t="str">
        <x:v>eez</x:v>
      </x:c>
      <x:c r="D52" s="31" t="n">
        <x:v>2019</x:v>
      </x:c>
      <x:c r="E52" s="25" t="n">
        <x:v>181</x:v>
      </x:c>
      <x:c r="F52" s="25" t="n">
        <x:v>40</x:v>
      </x:c>
      <x:c r="G52" s="32" t="n">
        <x:v>1874.1702079982</x:v>
      </x:c>
      <x:c r="H52" s="32" t="n">
        <x:v>1874.1702079982</x:v>
      </x:c>
      <x:c r="I52" s="32" t="n">
        <x:v>0</x:v>
      </x:c>
      <x:c r="J52" s="36" t="b">
        <x:v>1</x:v>
      </x:c>
      <x:c r="K52" s="25" t="str">
        <x:v>available</x:v>
      </x:c>
    </x:row>
    <x:row r="53" ht="18" customHeight="1">
      <x:c r="A53" s="25" t="str">
        <x:v>EEZ_214</x:v>
      </x:c>
      <x:c r="B53" s="25" t="str">
        <x:v>Dominican Republic</x:v>
      </x:c>
      <x:c r="C53" s="25" t="str">
        <x:v>eez</x:v>
      </x:c>
      <x:c r="D53" s="31" t="n">
        <x:v>2019</x:v>
      </x:c>
      <x:c r="E53" s="25" t="n">
        <x:v>344</x:v>
      </x:c>
      <x:c r="F53" s="25" t="n">
        <x:v>80</x:v>
      </x:c>
      <x:c r="G53" s="32" t="n">
        <x:v>54410.016272012</x:v>
      </x:c>
      <x:c r="H53" s="32" t="n">
        <x:v>54410.016272012</x:v>
      </x:c>
      <x:c r="I53" s="32" t="n">
        <x:v>0</x:v>
      </x:c>
      <x:c r="J53" s="36" t="b">
        <x:v>1</x:v>
      </x:c>
      <x:c r="K53" s="25" t="str">
        <x:v>available</x:v>
      </x:c>
    </x:row>
    <x:row r="54" ht="18" customHeight="1">
      <x:c r="A54" s="25" t="str">
        <x:v>EEZ_218</x:v>
      </x:c>
      <x:c r="B54" s="25" t="str">
        <x:v>Ecuador (mainland)</x:v>
      </x:c>
      <x:c r="C54" s="25" t="str">
        <x:v>eez</x:v>
      </x:c>
      <x:c r="D54" s="31" t="n">
        <x:v>2019</x:v>
      </x:c>
      <x:c r="E54" s="25" t="n">
        <x:v>847</x:v>
      </x:c>
      <x:c r="F54" s="25" t="n">
        <x:v>82</x:v>
      </x:c>
      <x:c r="G54" s="32" t="n">
        <x:v>227592.5966285953</x:v>
      </x:c>
      <x:c r="H54" s="32" t="n">
        <x:v>227592.5966285953</x:v>
      </x:c>
      <x:c r="I54" s="32" t="n">
        <x:v>0</x:v>
      </x:c>
      <x:c r="J54" s="36" t="b">
        <x:v>1</x:v>
      </x:c>
      <x:c r="K54" s="25" t="str">
        <x:v>available</x:v>
      </x:c>
    </x:row>
    <x:row r="55" ht="18" customHeight="1">
      <x:c r="A55" s="25" t="str">
        <x:v>EEZ_219</x:v>
      </x:c>
      <x:c r="B55" s="25" t="str">
        <x:v>Galapagos Isl. (Ecuador)</x:v>
      </x:c>
      <x:c r="C55" s="25" t="str">
        <x:v>eez</x:v>
      </x:c>
      <x:c r="D55" s="31" t="n">
        <x:v>2019</x:v>
      </x:c>
      <x:c r="E55" s="25" t="n">
        <x:v>388</x:v>
      </x:c>
      <x:c r="F55" s="25" t="n">
        <x:v>47</x:v>
      </x:c>
      <x:c r="G55" s="32" t="n">
        <x:v>68947.833359488</x:v>
      </x:c>
      <x:c r="H55" s="32" t="n">
        <x:v>68947.833359488</x:v>
      </x:c>
      <x:c r="I55" s="32" t="n">
        <x:v>0</x:v>
      </x:c>
      <x:c r="J55" s="36" t="b">
        <x:v>1</x:v>
      </x:c>
      <x:c r="K55" s="25" t="str">
        <x:v>available</x:v>
      </x:c>
    </x:row>
    <x:row r="56" ht="18" customHeight="1">
      <x:c r="A56" s="25" t="str">
        <x:v>EEZ_222</x:v>
      </x:c>
      <x:c r="B56" s="25" t="str">
        <x:v>Salvador [El]</x:v>
      </x:c>
      <x:c r="C56" s="25" t="str">
        <x:v>eez</x:v>
      </x:c>
      <x:c r="D56" s="31" t="n">
        <x:v>2019</x:v>
      </x:c>
      <x:c r="E56" s="25" t="n">
        <x:v>344</x:v>
      </x:c>
      <x:c r="F56" s="25" t="n">
        <x:v>59</x:v>
      </x:c>
      <x:c r="G56" s="32" t="n">
        <x:v>19144.4662436629</x:v>
      </x:c>
      <x:c r="H56" s="32" t="n">
        <x:v>19144.4662436629</x:v>
      </x:c>
      <x:c r="I56" s="32" t="n">
        <x:v>0</x:v>
      </x:c>
      <x:c r="J56" s="36" t="b">
        <x:v>1</x:v>
      </x:c>
      <x:c r="K56" s="25" t="str">
        <x:v>available</x:v>
      </x:c>
    </x:row>
    <x:row r="57" ht="18" customHeight="1">
      <x:c r="A57" s="25" t="str">
        <x:v>EEZ_226</x:v>
      </x:c>
      <x:c r="B57" s="25" t="str">
        <x:v>Equatorial Guinea</x:v>
      </x:c>
      <x:c r="C57" s="25" t="str">
        <x:v>eez</x:v>
      </x:c>
      <x:c r="D57" s="31" t="n">
        <x:v>2019</x:v>
      </x:c>
      <x:c r="E57" s="25" t="n">
        <x:v>311</x:v>
      </x:c>
      <x:c r="F57" s="25" t="n">
        <x:v>66</x:v>
      </x:c>
      <x:c r="G57" s="32" t="n">
        <x:v>23094.192527557498</x:v>
      </x:c>
      <x:c r="H57" s="32" t="n">
        <x:v>23094.192527557498</x:v>
      </x:c>
      <x:c r="I57" s="32" t="n">
        <x:v>0</x:v>
      </x:c>
      <x:c r="J57" s="36" t="b">
        <x:v>1</x:v>
      </x:c>
      <x:c r="K57" s="25" t="str">
        <x:v>available</x:v>
      </x:c>
    </x:row>
    <x:row r="58" ht="18" customHeight="1">
      <x:c r="A58" s="25" t="str">
        <x:v>EEZ_233</x:v>
      </x:c>
      <x:c r="B58" s="25" t="str">
        <x:v>Estonia</x:v>
      </x:c>
      <x:c r="C58" s="25" t="str">
        <x:v>eez</x:v>
      </x:c>
      <x:c r="D58" s="31" t="n">
        <x:v>2019</x:v>
      </x:c>
      <x:c r="E58" s="25" t="n">
        <x:v>2065</x:v>
      </x:c>
      <x:c r="F58" s="25" t="n">
        <x:v>46</x:v>
      </x:c>
      <x:c r="G58" s="32" t="n">
        <x:v>79757.3063875073</x:v>
      </x:c>
      <x:c r="H58" s="32" t="n">
        <x:v>79757.30638750731</x:v>
      </x:c>
      <x:c r="I58" s="32" t="n">
        <x:v>1.4551915228366852e-11</x:v>
      </x:c>
      <x:c r="J58" s="36" t="b">
        <x:v>1</x:v>
      </x:c>
      <x:c r="K58" s="25" t="str">
        <x:v>available</x:v>
      </x:c>
    </x:row>
    <x:row r="59" ht="18" customHeight="1">
      <x:c r="A59" s="25" t="str">
        <x:v>EEZ_234</x:v>
      </x:c>
      <x:c r="B59" s="25" t="str">
        <x:v>Faroe Isl. (Denmark)</x:v>
      </x:c>
      <x:c r="C59" s="25" t="str">
        <x:v>eez</x:v>
      </x:c>
      <x:c r="D59" s="31" t="n">
        <x:v>2019</x:v>
      </x:c>
      <x:c r="E59" s="25" t="n">
        <x:v>1548</x:v>
      </x:c>
      <x:c r="F59" s="25" t="n">
        <x:v>104</x:v>
      </x:c>
      <x:c r="G59" s="32" t="n">
        <x:v>573325.9947069995</x:v>
      </x:c>
      <x:c r="H59" s="32" t="n">
        <x:v>573325.9947069994</x:v>
      </x:c>
      <x:c r="I59" s="32" t="n">
        <x:v>-1.1641532182693481e-10</x:v>
      </x:c>
      <x:c r="J59" s="36" t="b">
        <x:v>1</x:v>
      </x:c>
      <x:c r="K59" s="25" t="str">
        <x:v>available</x:v>
      </x:c>
    </x:row>
    <x:row r="60" ht="18" customHeight="1">
      <x:c r="A60" s="25" t="str">
        <x:v>EEZ_238</x:v>
      </x:c>
      <x:c r="B60" s="25" t="str">
        <x:v>Falkland / Malvinas Isl. (GBR)</x:v>
      </x:c>
      <x:c r="C60" s="25" t="str">
        <x:v>eez</x:v>
      </x:c>
      <x:c r="D60" s="31" t="n">
        <x:v>2019</x:v>
      </x:c>
      <x:c r="E60" s="25" t="n">
        <x:v>291</x:v>
      </x:c>
      <x:c r="F60" s="25" t="n">
        <x:v>33</x:v>
      </x:c>
      <x:c r="G60" s="32" t="n">
        <x:v>278214.98085805017</x:v>
      </x:c>
      <x:c r="H60" s="32" t="n">
        <x:v>278214.9808580502</x:v>
      </x:c>
      <x:c r="I60" s="32" t="n">
        <x:v>5.820766091346741e-11</x:v>
      </x:c>
      <x:c r="J60" s="36" t="b">
        <x:v>1</x:v>
      </x:c>
      <x:c r="K60" s="25" t="str">
        <x:v>available</x:v>
      </x:c>
    </x:row>
    <x:row r="61" ht="18" customHeight="1">
      <x:c r="A61" s="25" t="str">
        <x:v>EEZ_239</x:v>
      </x:c>
      <x:c r="B61" s="25" t="str">
        <x:v>South Georgia &amp; Sandwich Isl. (GBR)</x:v>
      </x:c>
      <x:c r="C61" s="25" t="str">
        <x:v>eez</x:v>
      </x:c>
      <x:c r="D61" s="31" t="n">
        <x:v>2019</x:v>
      </x:c>
      <x:c r="E61" s="25" t="n">
        <x:v>233</x:v>
      </x:c>
      <x:c r="F61" s="25" t="n">
        <x:v>33</x:v>
      </x:c>
      <x:c r="G61" s="32" t="n">
        <x:v>142823.9584061877</x:v>
      </x:c>
      <x:c r="H61" s="32" t="n">
        <x:v>142823.95840618774</x:v>
      </x:c>
      <x:c r="I61" s="32" t="n">
        <x:v>2.9103830456733704e-11</x:v>
      </x:c>
      <x:c r="J61" s="36" t="b">
        <x:v>1</x:v>
      </x:c>
      <x:c r="K61" s="25" t="str">
        <x:v>available</x:v>
      </x:c>
    </x:row>
    <x:row r="62" ht="18" customHeight="1">
      <x:c r="A62" s="25" t="str">
        <x:v>EEZ_242</x:v>
      </x:c>
      <x:c r="B62" s="25" t="str">
        <x:v>Fiji</x:v>
      </x:c>
      <x:c r="C62" s="25" t="str">
        <x:v>eez</x:v>
      </x:c>
      <x:c r="D62" s="31" t="n">
        <x:v>2019</x:v>
      </x:c>
      <x:c r="E62" s="25" t="n">
        <x:v>689</x:v>
      </x:c>
      <x:c r="F62" s="25" t="n">
        <x:v>57</x:v>
      </x:c>
      <x:c r="G62" s="32" t="n">
        <x:v>57561.8277487637</x:v>
      </x:c>
      <x:c r="H62" s="32" t="n">
        <x:v>57561.8277487637</x:v>
      </x:c>
      <x:c r="I62" s="32" t="n">
        <x:v>0</x:v>
      </x:c>
      <x:c r="J62" s="36" t="b">
        <x:v>1</x:v>
      </x:c>
      <x:c r="K62" s="25" t="str">
        <x:v>available</x:v>
      </x:c>
    </x:row>
    <x:row r="63" ht="18" customHeight="1">
      <x:c r="A63" s="25" t="str">
        <x:v>EEZ_246</x:v>
      </x:c>
      <x:c r="B63" s="25" t="str">
        <x:v>Finland</x:v>
      </x:c>
      <x:c r="C63" s="25" t="str">
        <x:v>eez</x:v>
      </x:c>
      <x:c r="D63" s="31" t="n">
        <x:v>2019</x:v>
      </x:c>
      <x:c r="E63" s="25" t="n">
        <x:v>2299</x:v>
      </x:c>
      <x:c r="F63" s="25" t="n">
        <x:v>43</x:v>
      </x:c>
      <x:c r="G63" s="32" t="n">
        <x:v>122751.58946063151</x:v>
      </x:c>
      <x:c r="H63" s="32" t="n">
        <x:v>122751.58946063151</x:v>
      </x:c>
      <x:c r="I63" s="32" t="n">
        <x:v>0</x:v>
      </x:c>
      <x:c r="J63" s="36" t="b">
        <x:v>1</x:v>
      </x:c>
      <x:c r="K63" s="25" t="str">
        <x:v>available</x:v>
      </x:c>
    </x:row>
    <x:row r="64" ht="18" customHeight="1">
      <x:c r="A64" s="25" t="str">
        <x:v>EEZ_251</x:v>
      </x:c>
      <x:c r="B64" s="25" t="str">
        <x:v>Mozambique Channel Isl. (France)</x:v>
      </x:c>
      <x:c r="C64" s="25" t="str">
        <x:v>eez</x:v>
      </x:c>
      <x:c r="D64" s="31" t="n">
        <x:v>2019</x:v>
      </x:c>
      <x:c r="E64" s="25" t="n">
        <x:v>83</x:v>
      </x:c>
      <x:c r="F64" s="25" t="n">
        <x:v>27</x:v>
      </x:c>
      <x:c r="G64" s="32" t="n">
        <x:v>3801.8421879604</x:v>
      </x:c>
      <x:c r="H64" s="32" t="n">
        <x:v>3801.8421879603998</x:v>
      </x:c>
      <x:c r="I64" s="32" t="n">
        <x:v>-4.547473508864641e-13</x:v>
      </x:c>
      <x:c r="J64" s="36" t="b">
        <x:v>1</x:v>
      </x:c>
      <x:c r="K64" s="25" t="str">
        <x:v>available</x:v>
      </x:c>
    </x:row>
    <x:row r="65" ht="18" customHeight="1">
      <x:c r="A65" s="25" t="str">
        <x:v>EEZ_252</x:v>
      </x:c>
      <x:c r="B65" s="25" t="str">
        <x:v>Tromelin Isl. (France)</x:v>
      </x:c>
      <x:c r="C65" s="25" t="str">
        <x:v>eez</x:v>
      </x:c>
      <x:c r="D65" s="31" t="n">
        <x:v>2019</x:v>
      </x:c>
      <x:c r="E65" s="25" t="n">
        <x:v>25</x:v>
      </x:c>
      <x:c r="F65" s="25" t="n">
        <x:v>16</x:v>
      </x:c>
      <x:c r="G65" s="32" t="n">
        <x:v>20.057971261</x:v>
      </x:c>
      <x:c r="H65" s="32" t="n">
        <x:v>20.057971261</x:v>
      </x:c>
      <x:c r="I65" s="32" t="n">
        <x:v>0</x:v>
      </x:c>
      <x:c r="J65" s="36" t="b">
        <x:v>1</x:v>
      </x:c>
      <x:c r="K65" s="25" t="str">
        <x:v>available</x:v>
      </x:c>
    </x:row>
    <x:row r="66" ht="18" customHeight="1">
      <x:c r="A66" s="25" t="str">
        <x:v>EEZ_254</x:v>
      </x:c>
      <x:c r="B66" s="25" t="str">
        <x:v>French Guiana (France)</x:v>
      </x:c>
      <x:c r="C66" s="25" t="str">
        <x:v>eez</x:v>
      </x:c>
      <x:c r="D66" s="31" t="n">
        <x:v>2019</x:v>
      </x:c>
      <x:c r="E66" s="25" t="n">
        <x:v>116</x:v>
      </x:c>
      <x:c r="F66" s="25" t="n">
        <x:v>65</x:v>
      </x:c>
      <x:c r="G66" s="32" t="n">
        <x:v>6463.655097239699</x:v>
      </x:c>
      <x:c r="H66" s="32" t="n">
        <x:v>6463.6550972397</x:v>
      </x:c>
      <x:c r="I66" s="32" t="n">
        <x:v>9.094947017729282e-13</x:v>
      </x:c>
      <x:c r="J66" s="36" t="b">
        <x:v>1</x:v>
      </x:c>
      <x:c r="K66" s="25" t="str">
        <x:v>available</x:v>
      </x:c>
    </x:row>
    <x:row r="67" ht="18" customHeight="1">
      <x:c r="A67" s="25" t="str">
        <x:v>EEZ_258</x:v>
      </x:c>
      <x:c r="B67" s="25" t="str">
        <x:v>French Polynesia (France)</x:v>
      </x:c>
      <x:c r="C67" s="25" t="str">
        <x:v>eez</x:v>
      </x:c>
      <x:c r="D67" s="31" t="n">
        <x:v>2019</x:v>
      </x:c>
      <x:c r="E67" s="25" t="n">
        <x:v>330</x:v>
      </x:c>
      <x:c r="F67" s="25" t="n">
        <x:v>63</x:v>
      </x:c>
      <x:c r="G67" s="32" t="n">
        <x:v>30503.7776851117</x:v>
      </x:c>
      <x:c r="H67" s="32" t="n">
        <x:v>30503.777685111698</x:v>
      </x:c>
      <x:c r="I67" s="32" t="n">
        <x:v>-3.637978807091713e-12</x:v>
      </x:c>
      <x:c r="J67" s="36" t="b">
        <x:v>1</x:v>
      </x:c>
      <x:c r="K67" s="25" t="str">
        <x:v>available</x:v>
      </x:c>
    </x:row>
    <x:row r="68" ht="18" customHeight="1">
      <x:c r="A68" s="25" t="str">
        <x:v>EEZ_262</x:v>
      </x:c>
      <x:c r="B68" s="25" t="str">
        <x:v>Djibouti</x:v>
      </x:c>
      <x:c r="C68" s="25" t="str">
        <x:v>eez</x:v>
      </x:c>
      <x:c r="D68" s="31" t="n">
        <x:v>2019</x:v>
      </x:c>
      <x:c r="E68" s="25" t="n">
        <x:v>256</x:v>
      </x:c>
      <x:c r="F68" s="25" t="n">
        <x:v>41</x:v>
      </x:c>
      <x:c r="G68" s="32" t="n">
        <x:v>3605.0535873440003</x:v>
      </x:c>
      <x:c r="H68" s="32" t="n">
        <x:v>3605.0535873440003</x:v>
      </x:c>
      <x:c r="I68" s="32" t="n">
        <x:v>0</x:v>
      </x:c>
      <x:c r="J68" s="36" t="b">
        <x:v>1</x:v>
      </x:c>
      <x:c r="K68" s="25" t="str">
        <x:v>available</x:v>
      </x:c>
    </x:row>
    <x:row r="69" ht="18" customHeight="1">
      <x:c r="A69" s="25" t="str">
        <x:v>EEZ_266</x:v>
      </x:c>
      <x:c r="B69" s="25" t="str">
        <x:v>Gabon</x:v>
      </x:c>
      <x:c r="C69" s="25" t="str">
        <x:v>eez</x:v>
      </x:c>
      <x:c r="D69" s="31" t="n">
        <x:v>2019</x:v>
      </x:c>
      <x:c r="E69" s="25" t="n">
        <x:v>1080</x:v>
      </x:c>
      <x:c r="F69" s="25" t="n">
        <x:v>184</x:v>
      </x:c>
      <x:c r="G69" s="32" t="n">
        <x:v>158907.5327978865</x:v>
      </x:c>
      <x:c r="H69" s="32" t="n">
        <x:v>158907.53279788647</x:v>
      </x:c>
      <x:c r="I69" s="32" t="n">
        <x:v>-2.9103830456733704e-11</x:v>
      </x:c>
      <x:c r="J69" s="36" t="b">
        <x:v>1</x:v>
      </x:c>
      <x:c r="K69" s="25" t="str">
        <x:v>available</x:v>
      </x:c>
    </x:row>
    <x:row r="70" ht="18" customHeight="1">
      <x:c r="A70" s="25" t="str">
        <x:v>EEZ_268</x:v>
      </x:c>
      <x:c r="B70" s="25" t="str">
        <x:v>Georgia</x:v>
      </x:c>
      <x:c r="C70" s="25" t="str">
        <x:v>eez</x:v>
      </x:c>
      <x:c r="D70" s="31" t="n">
        <x:v>2019</x:v>
      </x:c>
      <x:c r="E70" s="25" t="n">
        <x:v>398</x:v>
      </x:c>
      <x:c r="F70" s="25" t="n">
        <x:v>29</x:v>
      </x:c>
      <x:c r="G70" s="32" t="n">
        <x:v>350092.28544285364</x:v>
      </x:c>
      <x:c r="H70" s="32" t="n">
        <x:v>350092.28544285364</x:v>
      </x:c>
      <x:c r="I70" s="32" t="n">
        <x:v>0</x:v>
      </x:c>
      <x:c r="J70" s="36" t="b">
        <x:v>1</x:v>
      </x:c>
      <x:c r="K70" s="25" t="str">
        <x:v>available</x:v>
      </x:c>
    </x:row>
    <x:row r="71" ht="18" customHeight="1">
      <x:c r="A71" s="25" t="str">
        <x:v>EEZ_270</x:v>
      </x:c>
      <x:c r="B71" s="25" t="str">
        <x:v>Gambia</x:v>
      </x:c>
      <x:c r="C71" s="25" t="str">
        <x:v>eez</x:v>
      </x:c>
      <x:c r="D71" s="31" t="n">
        <x:v>2019</x:v>
      </x:c>
      <x:c r="E71" s="25" t="n">
        <x:v>1293</x:v>
      </x:c>
      <x:c r="F71" s="25" t="n">
        <x:v>238</x:v>
      </x:c>
      <x:c r="G71" s="32" t="n">
        <x:v>168306.3027997336</x:v>
      </x:c>
      <x:c r="H71" s="32" t="n">
        <x:v>168306.3027997336</x:v>
      </x:c>
      <x:c r="I71" s="32" t="n">
        <x:v>0</x:v>
      </x:c>
      <x:c r="J71" s="36" t="b">
        <x:v>1</x:v>
      </x:c>
      <x:c r="K71" s="25" t="str">
        <x:v>available</x:v>
      </x:c>
    </x:row>
    <x:row r="72" ht="18" customHeight="1">
      <x:c r="A72" s="25" t="str">
        <x:v>EEZ_274</x:v>
      </x:c>
      <x:c r="B72" s="25" t="str">
        <x:v>Palestine</x:v>
      </x:c>
      <x:c r="C72" s="25" t="str">
        <x:v>eez</x:v>
      </x:c>
      <x:c r="D72" s="31" t="n">
        <x:v>2019</x:v>
      </x:c>
      <x:c r="E72" s="25" t="n">
        <x:v>104</x:v>
      </x:c>
      <x:c r="F72" s="25" t="n">
        <x:v>36</x:v>
      </x:c>
      <x:c r="G72" s="32" t="n">
        <x:v>6410.774318524</x:v>
      </x:c>
      <x:c r="H72" s="32" t="n">
        <x:v>6410.774318523999</x:v>
      </x:c>
      <x:c r="I72" s="32" t="n">
        <x:v>-9.094947017729282e-13</x:v>
      </x:c>
      <x:c r="J72" s="36" t="b">
        <x:v>1</x:v>
      </x:c>
      <x:c r="K72" s="25" t="str">
        <x:v>available</x:v>
      </x:c>
    </x:row>
    <x:row r="73" ht="18" customHeight="1">
      <x:c r="A73" s="25" t="str">
        <x:v>EEZ_277</x:v>
      </x:c>
      <x:c r="B73" s="25" t="str">
        <x:v>Germany (North Sea)</x:v>
      </x:c>
      <x:c r="C73" s="25" t="str">
        <x:v>eez</x:v>
      </x:c>
      <x:c r="D73" s="31" t="n">
        <x:v>2019</x:v>
      </x:c>
      <x:c r="E73" s="25" t="n">
        <x:v>3275</x:v>
      </x:c>
      <x:c r="F73" s="25" t="n">
        <x:v>181</x:v>
      </x:c>
      <x:c r="G73" s="32" t="n">
        <x:v>93934.3963977611</x:v>
      </x:c>
      <x:c r="H73" s="32" t="n">
        <x:v>93934.3963977611</x:v>
      </x:c>
      <x:c r="I73" s="32" t="n">
        <x:v>0</x:v>
      </x:c>
      <x:c r="J73" s="36" t="b">
        <x:v>1</x:v>
      </x:c>
      <x:c r="K73" s="25" t="str">
        <x:v>available</x:v>
      </x:c>
    </x:row>
    <x:row r="74" ht="18" customHeight="1">
      <x:c r="A74" s="25" t="str">
        <x:v>EEZ_278</x:v>
      </x:c>
      <x:c r="B74" s="25" t="str">
        <x:v>Germany (Baltic Sea)</x:v>
      </x:c>
      <x:c r="C74" s="25" t="str">
        <x:v>eez</x:v>
      </x:c>
      <x:c r="D74" s="31" t="n">
        <x:v>2019</x:v>
      </x:c>
      <x:c r="E74" s="25" t="n">
        <x:v>2442</x:v>
      </x:c>
      <x:c r="F74" s="25" t="n">
        <x:v>59</x:v>
      </x:c>
      <x:c r="G74" s="32" t="n">
        <x:v>26188.5128491544</x:v>
      </x:c>
      <x:c r="H74" s="32" t="n">
        <x:v>26188.5128491544</x:v>
      </x:c>
      <x:c r="I74" s="32" t="n">
        <x:v>0</x:v>
      </x:c>
      <x:c r="J74" s="36" t="b">
        <x:v>1</x:v>
      </x:c>
      <x:c r="K74" s="25" t="str">
        <x:v>available</x:v>
      </x:c>
    </x:row>
    <x:row r="75" ht="18" customHeight="1">
      <x:c r="A75" s="25" t="str">
        <x:v>EEZ_288</x:v>
      </x:c>
      <x:c r="B75" s="25" t="str">
        <x:v>Ghana</x:v>
      </x:c>
      <x:c r="C75" s="25" t="str">
        <x:v>eez</x:v>
      </x:c>
      <x:c r="D75" s="31" t="n">
        <x:v>2019</x:v>
      </x:c>
      <x:c r="E75" s="25" t="n">
        <x:v>506</x:v>
      </x:c>
      <x:c r="F75" s="25" t="n">
        <x:v>103</x:v>
      </x:c>
      <x:c r="G75" s="32" t="n">
        <x:v>476804.0080210729</x:v>
      </x:c>
      <x:c r="H75" s="32" t="n">
        <x:v>476804.00802107283</x:v>
      </x:c>
      <x:c r="I75" s="32" t="n">
        <x:v>-5.820766091346741e-11</x:v>
      </x:c>
      <x:c r="J75" s="36" t="b">
        <x:v>1</x:v>
      </x:c>
      <x:c r="K75" s="25" t="str">
        <x:v>available</x:v>
      </x:c>
    </x:row>
    <x:row r="76" ht="18" customHeight="1">
      <x:c r="A76" s="25" t="str">
        <x:v>EEZ_300</x:v>
      </x:c>
      <x:c r="B76" s="25" t="str">
        <x:v>Greece (without Crete)</x:v>
      </x:c>
      <x:c r="C76" s="25" t="str">
        <x:v>eez</x:v>
      </x:c>
      <x:c r="D76" s="31" t="n">
        <x:v>2019</x:v>
      </x:c>
      <x:c r="E76" s="25" t="n">
        <x:v>2099</x:v>
      </x:c>
      <x:c r="F76" s="25" t="n">
        <x:v>155</x:v>
      </x:c>
      <x:c r="G76" s="32" t="n">
        <x:v>108516.7645129038</x:v>
      </x:c>
      <x:c r="H76" s="32" t="n">
        <x:v>108516.76451290378</x:v>
      </x:c>
      <x:c r="I76" s="32" t="n">
        <x:v>-1.4551915228366852e-11</x:v>
      </x:c>
      <x:c r="J76" s="36" t="b">
        <x:v>1</x:v>
      </x:c>
      <x:c r="K76" s="25" t="str">
        <x:v>available</x:v>
      </x:c>
    </x:row>
    <x:row r="77" ht="18" customHeight="1">
      <x:c r="A77" s="25" t="str">
        <x:v>EEZ_304</x:v>
      </x:c>
      <x:c r="B77" s="25" t="str">
        <x:v>Greenland (Denmark)</x:v>
      </x:c>
      <x:c r="C77" s="25" t="str">
        <x:v>eez</x:v>
      </x:c>
      <x:c r="D77" s="31" t="n">
        <x:v>2019</x:v>
      </x:c>
      <x:c r="E77" s="25" t="n">
        <x:v>862</x:v>
      </x:c>
      <x:c r="F77" s="25" t="n">
        <x:v>54</x:v>
      </x:c>
      <x:c r="G77" s="32" t="n">
        <x:v>262286.0841378048</x:v>
      </x:c>
      <x:c r="H77" s="32" t="n">
        <x:v>262286.08413780475</x:v>
      </x:c>
      <x:c r="I77" s="32" t="n">
        <x:v>-5.820766091346741e-11</x:v>
      </x:c>
      <x:c r="J77" s="36" t="b">
        <x:v>1</x:v>
      </x:c>
      <x:c r="K77" s="25" t="str">
        <x:v>available</x:v>
      </x:c>
    </x:row>
    <x:row r="78" ht="18" customHeight="1">
      <x:c r="A78" s="25" t="str">
        <x:v>EEZ_308</x:v>
      </x:c>
      <x:c r="B78" s="25" t="str">
        <x:v>Grenada</x:v>
      </x:c>
      <x:c r="C78" s="25" t="str">
        <x:v>eez</x:v>
      </x:c>
      <x:c r="D78" s="31" t="n">
        <x:v>2019</x:v>
      </x:c>
      <x:c r="E78" s="25" t="n">
        <x:v>295</x:v>
      </x:c>
      <x:c r="F78" s="25" t="n">
        <x:v>60</x:v>
      </x:c>
      <x:c r="G78" s="32" t="n">
        <x:v>3717.1043054866004</x:v>
      </x:c>
      <x:c r="H78" s="32" t="n">
        <x:v>3717.1043054866</x:v>
      </x:c>
      <x:c r="I78" s="32" t="n">
        <x:v>-4.547473508864641e-13</x:v>
      </x:c>
      <x:c r="J78" s="36" t="b">
        <x:v>1</x:v>
      </x:c>
      <x:c r="K78" s="25" t="str">
        <x:v>available</x:v>
      </x:c>
    </x:row>
    <x:row r="79" ht="18" customHeight="1">
      <x:c r="A79" s="25" t="str">
        <x:v>EEZ_312</x:v>
      </x:c>
      <x:c r="B79" s="25" t="str">
        <x:v>Guadeloupe (France)</x:v>
      </x:c>
      <x:c r="C79" s="25" t="str">
        <x:v>eez</x:v>
      </x:c>
      <x:c r="D79" s="31" t="n">
        <x:v>2019</x:v>
      </x:c>
      <x:c r="E79" s="25" t="n">
        <x:v>37</x:v>
      </x:c>
      <x:c r="F79" s="25" t="n">
        <x:v>23</x:v>
      </x:c>
      <x:c r="G79" s="32" t="n">
        <x:v>5032.750571154701</x:v>
      </x:c>
      <x:c r="H79" s="32" t="n">
        <x:v>5032.750571154701</x:v>
      </x:c>
      <x:c r="I79" s="32" t="n">
        <x:v>0</x:v>
      </x:c>
      <x:c r="J79" s="36" t="b">
        <x:v>1</x:v>
      </x:c>
      <x:c r="K79" s="25" t="str">
        <x:v>available</x:v>
      </x:c>
    </x:row>
    <x:row r="80" ht="18" customHeight="1">
      <x:c r="A80" s="25" t="str">
        <x:v>EEZ_316</x:v>
      </x:c>
      <x:c r="B80" s="25" t="str">
        <x:v>Guam (USA)</x:v>
      </x:c>
      <x:c r="C80" s="25" t="str">
        <x:v>eez</x:v>
      </x:c>
      <x:c r="D80" s="31" t="n">
        <x:v>2019</x:v>
      </x:c>
      <x:c r="E80" s="25" t="n">
        <x:v>329</x:v>
      </x:c>
      <x:c r="F80" s="25" t="n">
        <x:v>90</x:v>
      </x:c>
      <x:c r="G80" s="32" t="n">
        <x:v>1385.0534596170999</x:v>
      </x:c>
      <x:c r="H80" s="32" t="n">
        <x:v>1385.0534596170996</x:v>
      </x:c>
      <x:c r="I80" s="32" t="n">
        <x:v>-2.2737367544323206e-13</x:v>
      </x:c>
      <x:c r="J80" s="36" t="b">
        <x:v>1</x:v>
      </x:c>
      <x:c r="K80" s="25" t="str">
        <x:v>available</x:v>
      </x:c>
    </x:row>
    <x:row r="81" ht="18" customHeight="1">
      <x:c r="A81" s="25" t="str">
        <x:v>EEZ_324</x:v>
      </x:c>
      <x:c r="B81" s="25" t="str">
        <x:v>Guinea</x:v>
      </x:c>
      <x:c r="C81" s="25" t="str">
        <x:v>eez</x:v>
      </x:c>
      <x:c r="D81" s="31" t="n">
        <x:v>2019</x:v>
      </x:c>
      <x:c r="E81" s="25" t="n">
        <x:v>1104</x:v>
      </x:c>
      <x:c r="F81" s="25" t="n">
        <x:v>201</x:v>
      </x:c>
      <x:c r="G81" s="32" t="n">
        <x:v>1012636.6535959236</x:v>
      </x:c>
      <x:c r="H81" s="32" t="n">
        <x:v>1012636.6535959234</x:v>
      </x:c>
      <x:c r="I81" s="32" t="n">
        <x:v>-1.1641532182693481e-10</x:v>
      </x:c>
      <x:c r="J81" s="36" t="b">
        <x:v>1</x:v>
      </x:c>
      <x:c r="K81" s="25" t="str">
        <x:v>available</x:v>
      </x:c>
    </x:row>
    <x:row r="82" ht="18" customHeight="1">
      <x:c r="A82" s="25" t="str">
        <x:v>EEZ_328</x:v>
      </x:c>
      <x:c r="B82" s="25" t="str">
        <x:v>Guyana</x:v>
      </x:c>
      <x:c r="C82" s="25" t="str">
        <x:v>eez</x:v>
      </x:c>
      <x:c r="D82" s="31" t="n">
        <x:v>2019</x:v>
      </x:c>
      <x:c r="E82" s="25" t="n">
        <x:v>365</x:v>
      </x:c>
      <x:c r="F82" s="25" t="n">
        <x:v>73</x:v>
      </x:c>
      <x:c r="G82" s="32" t="n">
        <x:v>57488.0008723285</x:v>
      </x:c>
      <x:c r="H82" s="32" t="n">
        <x:v>57488.0008723285</x:v>
      </x:c>
      <x:c r="I82" s="32" t="n">
        <x:v>0</x:v>
      </x:c>
      <x:c r="J82" s="36" t="b">
        <x:v>1</x:v>
      </x:c>
      <x:c r="K82" s="25" t="str">
        <x:v>available</x:v>
      </x:c>
    </x:row>
    <x:row r="83" ht="18" customHeight="1">
      <x:c r="A83" s="25" t="str">
        <x:v>EEZ_332</x:v>
      </x:c>
      <x:c r="B83" s="25" t="str">
        <x:v>Haiti</x:v>
      </x:c>
      <x:c r="C83" s="25" t="str">
        <x:v>eez</x:v>
      </x:c>
      <x:c r="D83" s="31" t="n">
        <x:v>2019</x:v>
      </x:c>
      <x:c r="E83" s="25" t="n">
        <x:v>283</x:v>
      </x:c>
      <x:c r="F83" s="25" t="n">
        <x:v>57</x:v>
      </x:c>
      <x:c r="G83" s="32" t="n">
        <x:v>25123.669954393197</x:v>
      </x:c>
      <x:c r="H83" s="32" t="n">
        <x:v>25123.669954393197</x:v>
      </x:c>
      <x:c r="I83" s="32" t="n">
        <x:v>0</x:v>
      </x:c>
      <x:c r="J83" s="36" t="b">
        <x:v>1</x:v>
      </x:c>
      <x:c r="K83" s="25" t="str">
        <x:v>available</x:v>
      </x:c>
    </x:row>
    <x:row r="84" ht="18" customHeight="1">
      <x:c r="A84" s="25" t="str">
        <x:v>EEZ_334</x:v>
      </x:c>
      <x:c r="B84" s="25" t="str">
        <x:v>Heard &amp; McDonald Isl. (Australia)</x:v>
      </x:c>
      <x:c r="C84" s="25" t="str">
        <x:v>eez</x:v>
      </x:c>
      <x:c r="D84" s="31" t="n">
        <x:v>2019</x:v>
      </x:c>
      <x:c r="E84" s="25" t="n">
        <x:v>107</x:v>
      </x:c>
      <x:c r="F84" s="25" t="n">
        <x:v>33</x:v>
      </x:c>
      <x:c r="G84" s="32" t="n">
        <x:v>4250.4902151652</x:v>
      </x:c>
      <x:c r="H84" s="32" t="n">
        <x:v>4250.4902151652</x:v>
      </x:c>
      <x:c r="I84" s="32" t="n">
        <x:v>0</x:v>
      </x:c>
      <x:c r="J84" s="36" t="b">
        <x:v>1</x:v>
      </x:c>
      <x:c r="K84" s="25" t="str">
        <x:v>available</x:v>
      </x:c>
    </x:row>
    <x:row r="85" ht="18" customHeight="1">
      <x:c r="A85" s="25" t="str">
        <x:v>EEZ_344</x:v>
      </x:c>
      <x:c r="B85" s="25" t="str">
        <x:v>Hong Kong (China)</x:v>
      </x:c>
      <x:c r="C85" s="25" t="str">
        <x:v>eez</x:v>
      </x:c>
      <x:c r="D85" s="31" t="n">
        <x:v>2019</x:v>
      </x:c>
      <x:c r="E85" s="25" t="n">
        <x:v>1163</x:v>
      </x:c>
      <x:c r="F85" s="25" t="n">
        <x:v>49</x:v>
      </x:c>
      <x:c r="G85" s="32" t="n">
        <x:v>13460.850930421202</x:v>
      </x:c>
      <x:c r="H85" s="32" t="n">
        <x:v>13460.850930421202</x:v>
      </x:c>
      <x:c r="I85" s="32" t="n">
        <x:v>0</x:v>
      </x:c>
      <x:c r="J85" s="36" t="b">
        <x:v>1</x:v>
      </x:c>
      <x:c r="K85" s="25" t="str">
        <x:v>available</x:v>
      </x:c>
    </x:row>
    <x:row r="86" ht="18" customHeight="1">
      <x:c r="A86" s="25" t="str">
        <x:v>EEZ_352</x:v>
      </x:c>
      <x:c r="B86" s="25" t="str">
        <x:v>Iceland</x:v>
      </x:c>
      <x:c r="C86" s="25" t="str">
        <x:v>eez</x:v>
      </x:c>
      <x:c r="D86" s="31" t="n">
        <x:v>2019</x:v>
      </x:c>
      <x:c r="E86" s="25" t="n">
        <x:v>1559</x:v>
      </x:c>
      <x:c r="F86" s="25" t="n">
        <x:v>79</x:v>
      </x:c>
      <x:c r="G86" s="32" t="n">
        <x:v>755890.0550702653</x:v>
      </x:c>
      <x:c r="H86" s="32" t="n">
        <x:v>755890.0550702653</x:v>
      </x:c>
      <x:c r="I86" s="32" t="n">
        <x:v>0</x:v>
      </x:c>
      <x:c r="J86" s="36" t="b">
        <x:v>1</x:v>
      </x:c>
      <x:c r="K86" s="25" t="str">
        <x:v>available</x:v>
      </x:c>
    </x:row>
    <x:row r="87" ht="18" customHeight="1">
      <x:c r="A87" s="25" t="str">
        <x:v>EEZ_356</x:v>
      </x:c>
      <x:c r="B87" s="25" t="str">
        <x:v>India (mainland)</x:v>
      </x:c>
      <x:c r="C87" s="25" t="str">
        <x:v>eez</x:v>
      </x:c>
      <x:c r="D87" s="31" t="n">
        <x:v>2019</x:v>
      </x:c>
      <x:c r="E87" s="25" t="n">
        <x:v>1107</x:v>
      </x:c>
      <x:c r="F87" s="25" t="n">
        <x:v>151</x:v>
      </x:c>
      <x:c r="G87" s="32" t="n">
        <x:v>4344032.198932858</x:v>
      </x:c>
      <x:c r="H87" s="32" t="n">
        <x:v>4344032.198932858</x:v>
      </x:c>
      <x:c r="I87" s="32" t="n">
        <x:v>0</x:v>
      </x:c>
      <x:c r="J87" s="36" t="b">
        <x:v>1</x:v>
      </x:c>
      <x:c r="K87" s="25" t="str">
        <x:v>available</x:v>
      </x:c>
    </x:row>
    <x:row r="88" ht="18" customHeight="1">
      <x:c r="A88" s="25" t="str">
        <x:v>EEZ_357</x:v>
      </x:c>
      <x:c r="B88" s="25" t="str">
        <x:v>Andaman &amp; Nicobar Isl. (India)</x:v>
      </x:c>
      <x:c r="C88" s="25" t="str">
        <x:v>eez</x:v>
      </x:c>
      <x:c r="D88" s="31" t="n">
        <x:v>2019</x:v>
      </x:c>
      <x:c r="E88" s="25" t="n">
        <x:v>813</x:v>
      </x:c>
      <x:c r="F88" s="25" t="n">
        <x:v>90</x:v>
      </x:c>
      <x:c r="G88" s="32" t="n">
        <x:v>61303.310995657004</x:v>
      </x:c>
      <x:c r="H88" s="32" t="n">
        <x:v>61303.310995657</x:v>
      </x:c>
      <x:c r="I88" s="32" t="n">
        <x:v>-7.275957614183426e-12</x:v>
      </x:c>
      <x:c r="J88" s="36" t="b">
        <x:v>1</x:v>
      </x:c>
      <x:c r="K88" s="25" t="str">
        <x:v>available</x:v>
      </x:c>
    </x:row>
    <x:row r="89" ht="18" customHeight="1">
      <x:c r="A89" s="25" t="str">
        <x:v>EEZ_361</x:v>
      </x:c>
      <x:c r="B89" s="25" t="str">
        <x:v>Indonesia (Eastern)</x:v>
      </x:c>
      <x:c r="C89" s="25" t="str">
        <x:v>eez</x:v>
      </x:c>
      <x:c r="D89" s="31" t="n">
        <x:v>2019</x:v>
      </x:c>
      <x:c r="E89" s="25" t="n">
        <x:v>2338</x:v>
      </x:c>
      <x:c r="F89" s="25" t="n">
        <x:v>146</x:v>
      </x:c>
      <x:c r="G89" s="32" t="n">
        <x:v>3382553.534088444</x:v>
      </x:c>
      <x:c r="H89" s="32" t="n">
        <x:v>3382553.534088444</x:v>
      </x:c>
      <x:c r="I89" s="32" t="n">
        <x:v>0</x:v>
      </x:c>
      <x:c r="J89" s="36" t="b">
        <x:v>1</x:v>
      </x:c>
      <x:c r="K89" s="25" t="str">
        <x:v>available</x:v>
      </x:c>
    </x:row>
    <x:row r="90" ht="18" customHeight="1">
      <x:c r="A90" s="25" t="str">
        <x:v>EEZ_368</x:v>
      </x:c>
      <x:c r="B90" s="25" t="str">
        <x:v>Iraq</x:v>
      </x:c>
      <x:c r="C90" s="25" t="str">
        <x:v>eez</x:v>
      </x:c>
      <x:c r="D90" s="31" t="n">
        <x:v>2019</x:v>
      </x:c>
      <x:c r="E90" s="25" t="n">
        <x:v>308</x:v>
      </x:c>
      <x:c r="F90" s="25" t="n">
        <x:v>50</x:v>
      </x:c>
      <x:c r="G90" s="32" t="n">
        <x:v>17378.277221609</x:v>
      </x:c>
      <x:c r="H90" s="32" t="n">
        <x:v>17378.277221609</x:v>
      </x:c>
      <x:c r="I90" s="32" t="n">
        <x:v>0</x:v>
      </x:c>
      <x:c r="J90" s="36" t="b">
        <x:v>1</x:v>
      </x:c>
      <x:c r="K90" s="25" t="str">
        <x:v>available</x:v>
      </x:c>
    </x:row>
    <x:row r="91" ht="18" customHeight="1">
      <x:c r="A91" s="25" t="str">
        <x:v>EEZ_372</x:v>
      </x:c>
      <x:c r="B91" s="25" t="str">
        <x:v>Ireland</x:v>
      </x:c>
      <x:c r="C91" s="25" t="str">
        <x:v>eez</x:v>
      </x:c>
      <x:c r="D91" s="31" t="n">
        <x:v>2019</x:v>
      </x:c>
      <x:c r="E91" s="25" t="n">
        <x:v>4513</x:v>
      </x:c>
      <x:c r="F91" s="25" t="n">
        <x:v>287</x:v>
      </x:c>
      <x:c r="G91" s="32" t="n">
        <x:v>408364.4619338021</x:v>
      </x:c>
      <x:c r="H91" s="32" t="n">
        <x:v>408364.46193380206</x:v>
      </x:c>
      <x:c r="I91" s="32" t="n">
        <x:v>-5.820766091346741e-11</x:v>
      </x:c>
      <x:c r="J91" s="36" t="b">
        <x:v>1</x:v>
      </x:c>
      <x:c r="K91" s="25" t="str">
        <x:v>available</x:v>
      </x:c>
    </x:row>
    <x:row r="92" ht="18" customHeight="1">
      <x:c r="A92" s="25" t="str">
        <x:v>EEZ_380</x:v>
      </x:c>
      <x:c r="B92" s="25" t="str">
        <x:v>Italy (mainland)</x:v>
      </x:c>
      <x:c r="C92" s="25" t="str">
        <x:v>eez</x:v>
      </x:c>
      <x:c r="D92" s="31" t="n">
        <x:v>2019</x:v>
      </x:c>
      <x:c r="E92" s="25" t="n">
        <x:v>2091</x:v>
      </x:c>
      <x:c r="F92" s="25" t="n">
        <x:v>159</x:v>
      </x:c>
      <x:c r="G92" s="32" t="n">
        <x:v>234477.5946714614</x:v>
      </x:c>
      <x:c r="H92" s="32" t="n">
        <x:v>234477.59467146138</x:v>
      </x:c>
      <x:c r="I92" s="32" t="n">
        <x:v>-2.9103830456733704e-11</x:v>
      </x:c>
      <x:c r="J92" s="36" t="b">
        <x:v>1</x:v>
      </x:c>
      <x:c r="K92" s="25" t="str">
        <x:v>available</x:v>
      </x:c>
    </x:row>
    <x:row r="93" ht="18" customHeight="1">
      <x:c r="A93" s="25" t="str">
        <x:v>EEZ_384</x:v>
      </x:c>
      <x:c r="B93" s="25" t="str">
        <x:v>Côte d'Ivoire / Ivory coast</x:v>
      </x:c>
      <x:c r="C93" s="25" t="str">
        <x:v>eez</x:v>
      </x:c>
      <x:c r="D93" s="31" t="n">
        <x:v>2019</x:v>
      </x:c>
      <x:c r="E93" s="25" t="n">
        <x:v>896</x:v>
      </x:c>
      <x:c r="F93" s="25" t="n">
        <x:v>194</x:v>
      </x:c>
      <x:c r="G93" s="32" t="n">
        <x:v>239562.6386320301</x:v>
      </x:c>
      <x:c r="H93" s="32" t="n">
        <x:v>239562.63863203008</x:v>
      </x:c>
      <x:c r="I93" s="32" t="n">
        <x:v>-2.9103830456733704e-11</x:v>
      </x:c>
      <x:c r="J93" s="36" t="b">
        <x:v>1</x:v>
      </x:c>
      <x:c r="K93" s="25" t="str">
        <x:v>available</x:v>
      </x:c>
    </x:row>
    <x:row r="94" ht="18" customHeight="1">
      <x:c r="A94" s="25" t="str">
        <x:v>EEZ_388</x:v>
      </x:c>
      <x:c r="B94" s="25" t="str">
        <x:v>Jamaica</x:v>
      </x:c>
      <x:c r="C94" s="25" t="str">
        <x:v>eez</x:v>
      </x:c>
      <x:c r="D94" s="31" t="n">
        <x:v>2019</x:v>
      </x:c>
      <x:c r="E94" s="25" t="n">
        <x:v>139</x:v>
      </x:c>
      <x:c r="F94" s="25" t="n">
        <x:v>58</x:v>
      </x:c>
      <x:c r="G94" s="32" t="n">
        <x:v>24803.119502512003</x:v>
      </x:c>
      <x:c r="H94" s="32" t="n">
        <x:v>24803.119502512003</x:v>
      </x:c>
      <x:c r="I94" s="32" t="n">
        <x:v>0</x:v>
      </x:c>
      <x:c r="J94" s="36" t="b">
        <x:v>1</x:v>
      </x:c>
      <x:c r="K94" s="25" t="str">
        <x:v>available</x:v>
      </x:c>
    </x:row>
    <x:row r="95" ht="18" customHeight="1">
      <x:c r="A95" s="25" t="str">
        <x:v>EEZ_390</x:v>
      </x:c>
      <x:c r="B95" s="25" t="str">
        <x:v>Japan (main isl.)</x:v>
      </x:c>
      <x:c r="C95" s="25" t="str">
        <x:v>eez</x:v>
      </x:c>
      <x:c r="D95" s="31" t="n">
        <x:v>2019</x:v>
      </x:c>
      <x:c r="E95" s="25" t="n">
        <x:v>2277</x:v>
      </x:c>
      <x:c r="F95" s="25" t="n">
        <x:v>178</x:v>
      </x:c>
      <x:c r="G95" s="32" t="n">
        <x:v>5962290.328495037</x:v>
      </x:c>
      <x:c r="H95" s="32" t="n">
        <x:v>5962290.328495037</x:v>
      </x:c>
      <x:c r="I95" s="32" t="n">
        <x:v>0</x:v>
      </x:c>
      <x:c r="J95" s="36" t="b">
        <x:v>1</x:v>
      </x:c>
      <x:c r="K95" s="25" t="str">
        <x:v>available</x:v>
      </x:c>
    </x:row>
    <x:row r="96" ht="18" customHeight="1">
      <x:c r="A96" s="25" t="str">
        <x:v>EEZ_393</x:v>
      </x:c>
      <x:c r="B96" s="25" t="str">
        <x:v>Daito Isl. (Japan)</x:v>
      </x:c>
      <x:c r="C96" s="25" t="str">
        <x:v>eez</x:v>
      </x:c>
      <x:c r="D96" s="31" t="n">
        <x:v>2019</x:v>
      </x:c>
      <x:c r="E96" s="25" t="n">
        <x:v>222</x:v>
      </x:c>
      <x:c r="F96" s="25" t="n">
        <x:v>29</x:v>
      </x:c>
      <x:c r="G96" s="32" t="n">
        <x:v>17808.098251388197</x:v>
      </x:c>
      <x:c r="H96" s="32" t="n">
        <x:v>17808.0982513882</x:v>
      </x:c>
      <x:c r="I96" s="32" t="n">
        <x:v>3.637978807091713e-12</x:v>
      </x:c>
      <x:c r="J96" s="36" t="b">
        <x:v>1</x:v>
      </x:c>
      <x:c r="K96" s="25" t="str">
        <x:v>available</x:v>
      </x:c>
    </x:row>
    <x:row r="97" ht="18" customHeight="1">
      <x:c r="A97" s="25" t="str">
        <x:v>EEZ_396</x:v>
      </x:c>
      <x:c r="B97" s="25" t="str">
        <x:v>Johnston Atoll (USA)</x:v>
      </x:c>
      <x:c r="C97" s="25" t="str">
        <x:v>eez</x:v>
      </x:c>
      <x:c r="D97" s="31" t="n">
        <x:v>2019</x:v>
      </x:c>
      <x:c r="E97" s="25" t="n">
        <x:v>116</x:v>
      </x:c>
      <x:c r="F97" s="25" t="n">
        <x:v>19</x:v>
      </x:c>
      <x:c r="G97" s="32" t="n">
        <x:v>308.2979479216999</x:v>
      </x:c>
      <x:c r="H97" s="32" t="n">
        <x:v>308.29794792170003</x:v>
      </x:c>
      <x:c r="I97" s="32" t="n">
        <x:v>1.1368683772161603e-13</x:v>
      </x:c>
      <x:c r="J97" s="36" t="b">
        <x:v>1</x:v>
      </x:c>
      <x:c r="K97" s="25" t="str">
        <x:v>available</x:v>
      </x:c>
    </x:row>
    <x:row r="98" ht="18" customHeight="1">
      <x:c r="A98" s="25" t="str">
        <x:v>EEZ_400</x:v>
      </x:c>
      <x:c r="B98" s="25" t="str">
        <x:v>Jordan</x:v>
      </x:c>
      <x:c r="C98" s="25" t="str">
        <x:v>eez</x:v>
      </x:c>
      <x:c r="D98" s="31" t="n">
        <x:v>2019</x:v>
      </x:c>
      <x:c r="E98" s="25" t="n">
        <x:v>19</x:v>
      </x:c>
      <x:c r="F98" s="25" t="n">
        <x:v>12</x:v>
      </x:c>
      <x:c r="G98" s="32" t="n">
        <x:v>387.759999999</x:v>
      </x:c>
      <x:c r="H98" s="32" t="n">
        <x:v>387.759999999</x:v>
      </x:c>
      <x:c r="I98" s="32" t="n">
        <x:v>0</x:v>
      </x:c>
      <x:c r="J98" s="36" t="b">
        <x:v>1</x:v>
      </x:c>
      <x:c r="K98" s="25" t="str">
        <x:v>available</x:v>
      </x:c>
    </x:row>
    <x:row r="99" ht="18" customHeight="1">
      <x:c r="A99" s="25" t="str">
        <x:v>EEZ_404</x:v>
      </x:c>
      <x:c r="B99" s="25" t="str">
        <x:v>Kenya</x:v>
      </x:c>
      <x:c r="C99" s="25" t="str">
        <x:v>eez</x:v>
      </x:c>
      <x:c r="D99" s="31" t="n">
        <x:v>2019</x:v>
      </x:c>
      <x:c r="E99" s="25" t="n">
        <x:v>466</x:v>
      </x:c>
      <x:c r="F99" s="25" t="n">
        <x:v>120</x:v>
      </x:c>
      <x:c r="G99" s="32" t="n">
        <x:v>30334.3358525884</x:v>
      </x:c>
      <x:c r="H99" s="32" t="n">
        <x:v>30334.3358525884</x:v>
      </x:c>
      <x:c r="I99" s="32" t="n">
        <x:v>0</x:v>
      </x:c>
      <x:c r="J99" s="36" t="b">
        <x:v>1</x:v>
      </x:c>
      <x:c r="K99" s="25" t="str">
        <x:v>available</x:v>
      </x:c>
    </x:row>
    <x:row r="100" ht="18" customHeight="1">
      <x:c r="A100" s="25" t="str">
        <x:v>EEZ_410</x:v>
      </x:c>
      <x:c r="B100" s="25" t="str">
        <x:v>Korea (South)</x:v>
      </x:c>
      <x:c r="C100" s="25" t="str">
        <x:v>eez</x:v>
      </x:c>
      <x:c r="D100" s="31" t="n">
        <x:v>2019</x:v>
      </x:c>
      <x:c r="E100" s="25" t="n">
        <x:v>1343</x:v>
      </x:c>
      <x:c r="F100" s="25" t="n">
        <x:v>118</x:v>
      </x:c>
      <x:c r="G100" s="32" t="n">
        <x:v>1692138.9147849001</x:v>
      </x:c>
      <x:c r="H100" s="32" t="n">
        <x:v>1692138.9147849001</x:v>
      </x:c>
      <x:c r="I100" s="32" t="n">
        <x:v>0</x:v>
      </x:c>
      <x:c r="J100" s="36" t="b">
        <x:v>1</x:v>
      </x:c>
      <x:c r="K100" s="25" t="str">
        <x:v>available</x:v>
      </x:c>
    </x:row>
    <x:row r="101" ht="18" customHeight="1">
      <x:c r="A101" s="25" t="str">
        <x:v>EEZ_414</x:v>
      </x:c>
      <x:c r="B101" s="25" t="str">
        <x:v>Kuwait</x:v>
      </x:c>
      <x:c r="C101" s="25" t="str">
        <x:v>eez</x:v>
      </x:c>
      <x:c r="D101" s="31" t="n">
        <x:v>2019</x:v>
      </x:c>
      <x:c r="E101" s="25" t="n">
        <x:v>132</x:v>
      </x:c>
      <x:c r="F101" s="25" t="n">
        <x:v>22</x:v>
      </x:c>
      <x:c r="G101" s="32" t="n">
        <x:v>23587.724537113</x:v>
      </x:c>
      <x:c r="H101" s="32" t="n">
        <x:v>23587.724537113</x:v>
      </x:c>
      <x:c r="I101" s="32" t="n">
        <x:v>0</x:v>
      </x:c>
      <x:c r="J101" s="36" t="b">
        <x:v>1</x:v>
      </x:c>
      <x:c r="K101" s="25" t="str">
        <x:v>available</x:v>
      </x:c>
    </x:row>
    <x:row r="102" ht="18" customHeight="1">
      <x:c r="A102" s="25" t="str">
        <x:v>EEZ_422</x:v>
      </x:c>
      <x:c r="B102" s="25" t="str">
        <x:v>Lebanon</x:v>
      </x:c>
      <x:c r="C102" s="25" t="str">
        <x:v>eez</x:v>
      </x:c>
      <x:c r="D102" s="31" t="n">
        <x:v>2019</x:v>
      </x:c>
      <x:c r="E102" s="25" t="n">
        <x:v>270</x:v>
      </x:c>
      <x:c r="F102" s="25" t="n">
        <x:v>107</x:v>
      </x:c>
      <x:c r="G102" s="32" t="n">
        <x:v>6487.446754114901</x:v>
      </x:c>
      <x:c r="H102" s="32" t="n">
        <x:v>6487.4467541149</x:v>
      </x:c>
      <x:c r="I102" s="32" t="n">
        <x:v>-9.094947017729282e-13</x:v>
      </x:c>
      <x:c r="J102" s="36" t="b">
        <x:v>1</x:v>
      </x:c>
      <x:c r="K102" s="25" t="str">
        <x:v>available</x:v>
      </x:c>
    </x:row>
    <x:row r="103" ht="18" customHeight="1">
      <x:c r="A103" s="25" t="str">
        <x:v>EEZ_428</x:v>
      </x:c>
      <x:c r="B103" s="25" t="str">
        <x:v>Latvia</x:v>
      </x:c>
      <x:c r="C103" s="25" t="str">
        <x:v>eez</x:v>
      </x:c>
      <x:c r="D103" s="31" t="n">
        <x:v>2019</x:v>
      </x:c>
      <x:c r="E103" s="25" t="n">
        <x:v>1956</x:v>
      </x:c>
      <x:c r="F103" s="25" t="n">
        <x:v>45</x:v>
      </x:c>
      <x:c r="G103" s="32" t="n">
        <x:v>100360.13516485729</x:v>
      </x:c>
      <x:c r="H103" s="32" t="n">
        <x:v>100360.1351648573</x:v>
      </x:c>
      <x:c r="I103" s="32" t="n">
        <x:v>1.4551915228366852e-11</x:v>
      </x:c>
      <x:c r="J103" s="36" t="b">
        <x:v>1</x:v>
      </x:c>
      <x:c r="K103" s="25" t="str">
        <x:v>available</x:v>
      </x:c>
    </x:row>
    <x:row r="104" ht="18" customHeight="1">
      <x:c r="A104" s="25" t="str">
        <x:v>EEZ_430</x:v>
      </x:c>
      <x:c r="B104" s="25" t="str">
        <x:v>Liberia</x:v>
      </x:c>
      <x:c r="C104" s="25" t="str">
        <x:v>eez</x:v>
      </x:c>
      <x:c r="D104" s="31" t="n">
        <x:v>2019</x:v>
      </x:c>
      <x:c r="E104" s="25" t="n">
        <x:v>1653</x:v>
      </x:c>
      <x:c r="F104" s="25" t="n">
        <x:v>239</x:v>
      </x:c>
      <x:c r="G104" s="32" t="n">
        <x:v>179043.0926542068</x:v>
      </x:c>
      <x:c r="H104" s="32" t="n">
        <x:v>179043.0926542068</x:v>
      </x:c>
      <x:c r="I104" s="32" t="n">
        <x:v>0</x:v>
      </x:c>
      <x:c r="J104" s="36" t="b">
        <x:v>1</x:v>
      </x:c>
      <x:c r="K104" s="25" t="str">
        <x:v>available</x:v>
      </x:c>
    </x:row>
    <x:row r="105" ht="18" customHeight="1">
      <x:c r="A105" s="25" t="str">
        <x:v>EEZ_434</x:v>
      </x:c>
      <x:c r="B105" s="25" t="str">
        <x:v>Libya</x:v>
      </x:c>
      <x:c r="C105" s="25" t="str">
        <x:v>eez</x:v>
      </x:c>
      <x:c r="D105" s="31" t="n">
        <x:v>2019</x:v>
      </x:c>
      <x:c r="E105" s="25" t="n">
        <x:v>1022</x:v>
      </x:c>
      <x:c r="F105" s="25" t="n">
        <x:v>147</x:v>
      </x:c>
      <x:c r="G105" s="32" t="n">
        <x:v>46065.469076652495</x:v>
      </x:c>
      <x:c r="H105" s="32" t="n">
        <x:v>46065.4690766525</x:v>
      </x:c>
      <x:c r="I105" s="32" t="n">
        <x:v>7.275957614183426e-12</x:v>
      </x:c>
      <x:c r="J105" s="36" t="b">
        <x:v>1</x:v>
      </x:c>
      <x:c r="K105" s="25" t="str">
        <x:v>available</x:v>
      </x:c>
    </x:row>
    <x:row r="106" ht="18" customHeight="1">
      <x:c r="A106" s="25" t="str">
        <x:v>EEZ_440</x:v>
      </x:c>
      <x:c r="B106" s="25" t="str">
        <x:v>Lithuania</x:v>
      </x:c>
      <x:c r="C106" s="25" t="str">
        <x:v>eez</x:v>
      </x:c>
      <x:c r="D106" s="31" t="n">
        <x:v>2019</x:v>
      </x:c>
      <x:c r="E106" s="25" t="n">
        <x:v>1656</x:v>
      </x:c>
      <x:c r="F106" s="25" t="n">
        <x:v>43</x:v>
      </x:c>
      <x:c r="G106" s="32" t="n">
        <x:v>34707.5616911521</x:v>
      </x:c>
      <x:c r="H106" s="32" t="n">
        <x:v>34707.56169115209</x:v>
      </x:c>
      <x:c r="I106" s="32" t="n">
        <x:v>-7.275957614183426e-12</x:v>
      </x:c>
      <x:c r="J106" s="36" t="b">
        <x:v>1</x:v>
      </x:c>
      <x:c r="K106" s="25" t="str">
        <x:v>available</x:v>
      </x:c>
    </x:row>
    <x:row r="107" ht="18" customHeight="1">
      <x:c r="A107" s="25" t="str">
        <x:v>EEZ_450</x:v>
      </x:c>
      <x:c r="B107" s="25" t="str">
        <x:v>Madagascar</x:v>
      </x:c>
      <x:c r="C107" s="25" t="str">
        <x:v>eez</x:v>
      </x:c>
      <x:c r="D107" s="31" t="n">
        <x:v>2019</x:v>
      </x:c>
      <x:c r="E107" s="25" t="n">
        <x:v>1406</x:v>
      </x:c>
      <x:c r="F107" s="25" t="n">
        <x:v>96</x:v>
      </x:c>
      <x:c r="G107" s="32" t="n">
        <x:v>159996.68620932242</x:v>
      </x:c>
      <x:c r="H107" s="32" t="n">
        <x:v>159996.68620932242</x:v>
      </x:c>
      <x:c r="I107" s="32" t="n">
        <x:v>0</x:v>
      </x:c>
      <x:c r="J107" s="36" t="b">
        <x:v>1</x:v>
      </x:c>
      <x:c r="K107" s="25" t="str">
        <x:v>available</x:v>
      </x:c>
    </x:row>
    <x:row r="108" ht="18" customHeight="1">
      <x:c r="A108" s="25" t="str">
        <x:v>EEZ_459</x:v>
      </x:c>
      <x:c r="B108" s="25" t="str">
        <x:v>Malaysia (Peninsula West)</x:v>
      </x:c>
      <x:c r="C108" s="25" t="str">
        <x:v>eez</x:v>
      </x:c>
      <x:c r="D108" s="31" t="n">
        <x:v>2019</x:v>
      </x:c>
      <x:c r="E108" s="25" t="n">
        <x:v>4003</x:v>
      </x:c>
      <x:c r="F108" s="25" t="n">
        <x:v>153</x:v>
      </x:c>
      <x:c r="G108" s="32" t="n">
        <x:v>1109839.2864373182</x:v>
      </x:c>
      <x:c r="H108" s="32" t="n">
        <x:v>1109839.2864373182</x:v>
      </x:c>
      <x:c r="I108" s="32" t="n">
        <x:v>0</x:v>
      </x:c>
      <x:c r="J108" s="36" t="b">
        <x:v>1</x:v>
      </x:c>
      <x:c r="K108" s="25" t="str">
        <x:v>available</x:v>
      </x:c>
    </x:row>
    <x:row r="109" ht="18" customHeight="1">
      <x:c r="A109" s="25" t="str">
        <x:v>EEZ_460</x:v>
      </x:c>
      <x:c r="B109" s="25" t="str">
        <x:v>Malaysia (Peninsula East)</x:v>
      </x:c>
      <x:c r="C109" s="25" t="str">
        <x:v>eez</x:v>
      </x:c>
      <x:c r="D109" s="31" t="n">
        <x:v>2019</x:v>
      </x:c>
      <x:c r="E109" s="25" t="n">
        <x:v>4068</x:v>
      </x:c>
      <x:c r="F109" s="25" t="n">
        <x:v>157</x:v>
      </x:c>
      <x:c r="G109" s="32" t="n">
        <x:v>493489.53456538235</x:v>
      </x:c>
      <x:c r="H109" s="32" t="n">
        <x:v>493489.5345653823</x:v>
      </x:c>
      <x:c r="I109" s="32" t="n">
        <x:v>-5.820766091346741e-11</x:v>
      </x:c>
      <x:c r="J109" s="36" t="b">
        <x:v>1</x:v>
      </x:c>
      <x:c r="K109" s="25" t="str">
        <x:v>available</x:v>
      </x:c>
    </x:row>
    <x:row r="110" ht="18" customHeight="1">
      <x:c r="A110" s="25" t="str">
        <x:v>EEZ_461</x:v>
      </x:c>
      <x:c r="B110" s="25" t="str">
        <x:v>Sabah (Malaysia)</x:v>
      </x:c>
      <x:c r="C110" s="25" t="str">
        <x:v>eez</x:v>
      </x:c>
      <x:c r="D110" s="31" t="n">
        <x:v>2019</x:v>
      </x:c>
      <x:c r="E110" s="25" t="n">
        <x:v>2971</x:v>
      </x:c>
      <x:c r="F110" s="25" t="n">
        <x:v>114</x:v>
      </x:c>
      <x:c r="G110" s="32" t="n">
        <x:v>490558.95726488077</x:v>
      </x:c>
      <x:c r="H110" s="32" t="n">
        <x:v>490558.9572648807</x:v>
      </x:c>
      <x:c r="I110" s="32" t="n">
        <x:v>-5.820766091346741e-11</x:v>
      </x:c>
      <x:c r="J110" s="36" t="b">
        <x:v>1</x:v>
      </x:c>
      <x:c r="K110" s="25" t="str">
        <x:v>available</x:v>
      </x:c>
    </x:row>
    <x:row r="111" ht="18" customHeight="1">
      <x:c r="A111" s="25" t="str">
        <x:v>EEZ_462</x:v>
      </x:c>
      <x:c r="B111" s="25" t="str">
        <x:v>Maldives</x:v>
      </x:c>
      <x:c r="C111" s="25" t="str">
        <x:v>eez</x:v>
      </x:c>
      <x:c r="D111" s="31" t="n">
        <x:v>2019</x:v>
      </x:c>
      <x:c r="E111" s="25" t="n">
        <x:v>175</x:v>
      </x:c>
      <x:c r="F111" s="25" t="n">
        <x:v>72</x:v>
      </x:c>
      <x:c r="G111" s="32" t="n">
        <x:v>51028.424936237396</x:v>
      </x:c>
      <x:c r="H111" s="32" t="n">
        <x:v>51028.424936237396</x:v>
      </x:c>
      <x:c r="I111" s="32" t="n">
        <x:v>0</x:v>
      </x:c>
      <x:c r="J111" s="36" t="b">
        <x:v>1</x:v>
      </x:c>
      <x:c r="K111" s="25" t="str">
        <x:v>available</x:v>
      </x:c>
    </x:row>
    <x:row r="112" ht="18" customHeight="1">
      <x:c r="A112" s="25" t="str">
        <x:v>EEZ_463</x:v>
      </x:c>
      <x:c r="B112" s="25" t="str">
        <x:v>Sarawak (Malaysia)</x:v>
      </x:c>
      <x:c r="C112" s="25" t="str">
        <x:v>eez</x:v>
      </x:c>
      <x:c r="D112" s="31" t="n">
        <x:v>2019</x:v>
      </x:c>
      <x:c r="E112" s="25" t="n">
        <x:v>3878</x:v>
      </x:c>
      <x:c r="F112" s="25" t="n">
        <x:v>142</x:v>
      </x:c>
      <x:c r="G112" s="32" t="n">
        <x:v>172418.003123827</x:v>
      </x:c>
      <x:c r="H112" s="32" t="n">
        <x:v>172418.003123827</x:v>
      </x:c>
      <x:c r="I112" s="32" t="n">
        <x:v>0</x:v>
      </x:c>
      <x:c r="J112" s="36" t="b">
        <x:v>1</x:v>
      </x:c>
      <x:c r="K112" s="25" t="str">
        <x:v>available</x:v>
      </x:c>
    </x:row>
    <x:row r="113" ht="18" customHeight="1">
      <x:c r="A113" s="25" t="str">
        <x:v>EEZ_470</x:v>
      </x:c>
      <x:c r="B113" s="25" t="str">
        <x:v>Malta</x:v>
      </x:c>
      <x:c r="C113" s="25" t="str">
        <x:v>eez</x:v>
      </x:c>
      <x:c r="D113" s="31" t="n">
        <x:v>2019</x:v>
      </x:c>
      <x:c r="E113" s="25" t="n">
        <x:v>1333</x:v>
      </x:c>
      <x:c r="F113" s="25" t="n">
        <x:v>213</x:v>
      </x:c>
      <x:c r="G113" s="32" t="n">
        <x:v>7732.9980884831</x:v>
      </x:c>
      <x:c r="H113" s="32" t="n">
        <x:v>7732.9980884831</x:v>
      </x:c>
      <x:c r="I113" s="32" t="n">
        <x:v>0</x:v>
      </x:c>
      <x:c r="J113" s="36" t="b">
        <x:v>1</x:v>
      </x:c>
      <x:c r="K113" s="25" t="str">
        <x:v>available</x:v>
      </x:c>
    </x:row>
    <x:row r="114" ht="18" customHeight="1">
      <x:c r="A114" s="25" t="str">
        <x:v>EEZ_474</x:v>
      </x:c>
      <x:c r="B114" s="25" t="str">
        <x:v>Martinique (France)</x:v>
      </x:c>
      <x:c r="C114" s="25" t="str">
        <x:v>eez</x:v>
      </x:c>
      <x:c r="D114" s="31" t="n">
        <x:v>2019</x:v>
      </x:c>
      <x:c r="E114" s="25" t="n">
        <x:v>143</x:v>
      </x:c>
      <x:c r="F114" s="25" t="n">
        <x:v>65</x:v>
      </x:c>
      <x:c r="G114" s="32" t="n">
        <x:v>2440.9497922336996</x:v>
      </x:c>
      <x:c r="H114" s="32" t="n">
        <x:v>2440.9497922337</x:v>
      </x:c>
      <x:c r="I114" s="32" t="n">
        <x:v>4.547473508864641e-13</x:v>
      </x:c>
      <x:c r="J114" s="36" t="b">
        <x:v>1</x:v>
      </x:c>
      <x:c r="K114" s="25" t="str">
        <x:v>available</x:v>
      </x:c>
    </x:row>
    <x:row r="115" ht="18" customHeight="1">
      <x:c r="A115" s="25" t="str">
        <x:v>EEZ_478</x:v>
      </x:c>
      <x:c r="B115" s="25" t="str">
        <x:v>Mauritania</x:v>
      </x:c>
      <x:c r="C115" s="25" t="str">
        <x:v>eez</x:v>
      </x:c>
      <x:c r="D115" s="31" t="n">
        <x:v>2019</x:v>
      </x:c>
      <x:c r="E115" s="25" t="n">
        <x:v>2591</x:v>
      </x:c>
      <x:c r="F115" s="25" t="n">
        <x:v>229</x:v>
      </x:c>
      <x:c r="G115" s="32" t="n">
        <x:v>2210253.937882072</x:v>
      </x:c>
      <x:c r="H115" s="32" t="n">
        <x:v>2210253.937882072</x:v>
      </x:c>
      <x:c r="I115" s="32" t="n">
        <x:v>0</x:v>
      </x:c>
      <x:c r="J115" s="36" t="b">
        <x:v>1</x:v>
      </x:c>
      <x:c r="K115" s="25" t="str">
        <x:v>available</x:v>
      </x:c>
    </x:row>
    <x:row r="116" ht="18" customHeight="1">
      <x:c r="A116" s="25" t="str">
        <x:v>EEZ_480</x:v>
      </x:c>
      <x:c r="B116" s="25" t="str">
        <x:v>Mauritius</x:v>
      </x:c>
      <x:c r="C116" s="25" t="str">
        <x:v>eez</x:v>
      </x:c>
      <x:c r="D116" s="31" t="n">
        <x:v>2019</x:v>
      </x:c>
      <x:c r="E116" s="25" t="n">
        <x:v>491</x:v>
      </x:c>
      <x:c r="F116" s="25" t="n">
        <x:v>70</x:v>
      </x:c>
      <x:c r="G116" s="32" t="n">
        <x:v>15255.362035387401</x:v>
      </x:c>
      <x:c r="H116" s="32" t="n">
        <x:v>15255.3620353874</x:v>
      </x:c>
      <x:c r="I116" s="32" t="n">
        <x:v>-1.8189894035458565e-12</x:v>
      </x:c>
      <x:c r="J116" s="36" t="b">
        <x:v>1</x:v>
      </x:c>
      <x:c r="K116" s="25" t="str">
        <x:v>available</x:v>
      </x:c>
    </x:row>
    <x:row r="117" ht="18" customHeight="1">
      <x:c r="A117" s="25" t="str">
        <x:v>EEZ_488</x:v>
      </x:c>
      <x:c r="B117" s="25" t="str">
        <x:v>Hawaii Northwest Isl. (USA)</x:v>
      </x:c>
      <x:c r="C117" s="25" t="str">
        <x:v>eez</x:v>
      </x:c>
      <x:c r="D117" s="31" t="n">
        <x:v>2019</x:v>
      </x:c>
      <x:c r="E117" s="25" t="n">
        <x:v>37</x:v>
      </x:c>
      <x:c r="F117" s="25" t="n">
        <x:v>16</x:v>
      </x:c>
      <x:c r="G117" s="32" t="n">
        <x:v>456.12053987310003</x:v>
      </x:c>
      <x:c r="H117" s="32" t="n">
        <x:v>456.12053987310003</x:v>
      </x:c>
      <x:c r="I117" s="32" t="n">
        <x:v>0</x:v>
      </x:c>
      <x:c r="J117" s="36" t="b">
        <x:v>1</x:v>
      </x:c>
      <x:c r="K117" s="25" t="str">
        <x:v>available</x:v>
      </x:c>
    </x:row>
    <x:row r="118" ht="18" customHeight="1">
      <x:c r="A118" s="25" t="str">
        <x:v>EEZ_500</x:v>
      </x:c>
      <x:c r="B118" s="25" t="str">
        <x:v>Montserrat (GBR)</x:v>
      </x:c>
      <x:c r="C118" s="25" t="str">
        <x:v>eez</x:v>
      </x:c>
      <x:c r="D118" s="31" t="n">
        <x:v>2019</x:v>
      </x:c>
      <x:c r="E118" s="25" t="n">
        <x:v>263</x:v>
      </x:c>
      <x:c r="F118" s="25" t="n">
        <x:v>87</x:v>
      </x:c>
      <x:c r="G118" s="32" t="n">
        <x:v>49.41265041300001</x:v>
      </x:c>
      <x:c r="H118" s="32" t="n">
        <x:v>49.412650413</x:v>
      </x:c>
      <x:c r="I118" s="32" t="n">
        <x:v>-7.105427357601002e-15</x:v>
      </x:c>
      <x:c r="J118" s="36" t="b">
        <x:v>1</x:v>
      </x:c>
      <x:c r="K118" s="25" t="str">
        <x:v>available</x:v>
      </x:c>
    </x:row>
    <x:row r="119" ht="18" customHeight="1">
      <x:c r="A119" s="25" t="str">
        <x:v>EEZ_508</x:v>
      </x:c>
      <x:c r="B119" s="25" t="str">
        <x:v>Mozambique</x:v>
      </x:c>
      <x:c r="C119" s="25" t="str">
        <x:v>eez</x:v>
      </x:c>
      <x:c r="D119" s="31" t="n">
        <x:v>2019</x:v>
      </x:c>
      <x:c r="E119" s="25" t="n">
        <x:v>417</x:v>
      </x:c>
      <x:c r="F119" s="25" t="n">
        <x:v>90</x:v>
      </x:c>
      <x:c r="G119" s="32" t="n">
        <x:v>296238.55412247276</x:v>
      </x:c>
      <x:c r="H119" s="32" t="n">
        <x:v>296238.55412247276</x:v>
      </x:c>
      <x:c r="I119" s="32" t="n">
        <x:v>0</x:v>
      </x:c>
      <x:c r="J119" s="36" t="b">
        <x:v>1</x:v>
      </x:c>
      <x:c r="K119" s="25" t="str">
        <x:v>available</x:v>
      </x:c>
    </x:row>
    <x:row r="120" ht="18" customHeight="1">
      <x:c r="A120" s="25" t="str">
        <x:v>EEZ_512</x:v>
      </x:c>
      <x:c r="B120" s="25" t="str">
        <x:v>Oman</x:v>
      </x:c>
      <x:c r="C120" s="25" t="str">
        <x:v>eez</x:v>
      </x:c>
      <x:c r="D120" s="31" t="n">
        <x:v>2019</x:v>
      </x:c>
      <x:c r="E120" s="25" t="n">
        <x:v>461</x:v>
      </x:c>
      <x:c r="F120" s="25" t="n">
        <x:v>66</x:v>
      </x:c>
      <x:c r="G120" s="32" t="n">
        <x:v>304318.44171610783</x:v>
      </x:c>
      <x:c r="H120" s="32" t="n">
        <x:v>304318.4417161079</x:v>
      </x:c>
      <x:c r="I120" s="32" t="n">
        <x:v>5.820766091346741e-11</x:v>
      </x:c>
      <x:c r="J120" s="36" t="b">
        <x:v>1</x:v>
      </x:c>
      <x:c r="K120" s="25" t="str">
        <x:v>available</x:v>
      </x:c>
    </x:row>
    <x:row r="121" ht="18" customHeight="1">
      <x:c r="A121" s="25" t="str">
        <x:v>EEZ_516</x:v>
      </x:c>
      <x:c r="B121" s="25" t="str">
        <x:v>Namibia</x:v>
      </x:c>
      <x:c r="C121" s="25" t="str">
        <x:v>eez</x:v>
      </x:c>
      <x:c r="D121" s="31" t="n">
        <x:v>2019</x:v>
      </x:c>
      <x:c r="E121" s="25" t="n">
        <x:v>288</x:v>
      </x:c>
      <x:c r="F121" s="25" t="n">
        <x:v>57</x:v>
      </x:c>
      <x:c r="G121" s="32" t="n">
        <x:v>687243.3923951921</x:v>
      </x:c>
      <x:c r="H121" s="32" t="n">
        <x:v>687243.392395192</x:v>
      </x:c>
      <x:c r="I121" s="32" t="n">
        <x:v>-1.1641532182693481e-10</x:v>
      </x:c>
      <x:c r="J121" s="36" t="b">
        <x:v>1</x:v>
      </x:c>
      <x:c r="K121" s="25" t="str">
        <x:v>available</x:v>
      </x:c>
    </x:row>
    <x:row r="122" ht="18" customHeight="1">
      <x:c r="A122" s="25" t="str">
        <x:v>EEZ_520</x:v>
      </x:c>
      <x:c r="B122" s="25" t="str">
        <x:v>Nauru</x:v>
      </x:c>
      <x:c r="C122" s="25" t="str">
        <x:v>eez</x:v>
      </x:c>
      <x:c r="D122" s="31" t="n">
        <x:v>2019</x:v>
      </x:c>
      <x:c r="E122" s="25" t="n">
        <x:v>616</x:v>
      </x:c>
      <x:c r="F122" s="25" t="n">
        <x:v>28</x:v>
      </x:c>
      <x:c r="G122" s="32" t="n">
        <x:v>81729.3484479404</x:v>
      </x:c>
      <x:c r="H122" s="32" t="n">
        <x:v>81729.3484479404</x:v>
      </x:c>
      <x:c r="I122" s="32" t="n">
        <x:v>0</x:v>
      </x:c>
      <x:c r="J122" s="36" t="b">
        <x:v>1</x:v>
      </x:c>
      <x:c r="K122" s="25" t="str">
        <x:v>available</x:v>
      </x:c>
    </x:row>
    <x:row r="123" ht="18" customHeight="1">
      <x:c r="A123" s="25" t="str">
        <x:v>EEZ_528</x:v>
      </x:c>
      <x:c r="B123" s="25" t="str">
        <x:v>Netherlands</x:v>
      </x:c>
      <x:c r="C123" s="25" t="str">
        <x:v>eez</x:v>
      </x:c>
      <x:c r="D123" s="31" t="n">
        <x:v>2019</x:v>
      </x:c>
      <x:c r="E123" s="25" t="n">
        <x:v>3312</x:v>
      </x:c>
      <x:c r="F123" s="25" t="n">
        <x:v>182</x:v>
      </x:c>
      <x:c r="G123" s="32" t="n">
        <x:v>101104.75663139789</x:v>
      </x:c>
      <x:c r="H123" s="32" t="n">
        <x:v>101104.7566313979</x:v>
      </x:c>
      <x:c r="I123" s="32" t="n">
        <x:v>1.4551915228366852e-11</x:v>
      </x:c>
      <x:c r="J123" s="36" t="b">
        <x:v>1</x:v>
      </x:c>
      <x:c r="K123" s="25" t="str">
        <x:v>available</x:v>
      </x:c>
    </x:row>
    <x:row r="124" ht="18" customHeight="1">
      <x:c r="A124" s="25" t="str">
        <x:v>EEZ_540</x:v>
      </x:c>
      <x:c r="B124" s="25" t="str">
        <x:v>New Caledonia (France)</x:v>
      </x:c>
      <x:c r="C124" s="25" t="str">
        <x:v>eez</x:v>
      </x:c>
      <x:c r="D124" s="31" t="n">
        <x:v>2019</x:v>
      </x:c>
      <x:c r="E124" s="25" t="n">
        <x:v>184</x:v>
      </x:c>
      <x:c r="F124" s="25" t="n">
        <x:v>55</x:v>
      </x:c>
      <x:c r="G124" s="32" t="n">
        <x:v>11907.6644335737</x:v>
      </x:c>
      <x:c r="H124" s="32" t="n">
        <x:v>11907.664433573698</x:v>
      </x:c>
      <x:c r="I124" s="32" t="n">
        <x:v>-1.8189894035458565e-12</x:v>
      </x:c>
      <x:c r="J124" s="36" t="b">
        <x:v>1</x:v>
      </x:c>
      <x:c r="K124" s="25" t="str">
        <x:v>available</x:v>
      </x:c>
    </x:row>
    <x:row r="125" ht="18" customHeight="1">
      <x:c r="A125" s="25" t="str">
        <x:v>EEZ_548</x:v>
      </x:c>
      <x:c r="B125" s="25" t="str">
        <x:v>Vanuatu</x:v>
      </x:c>
      <x:c r="C125" s="25" t="str">
        <x:v>eez</x:v>
      </x:c>
      <x:c r="D125" s="31" t="n">
        <x:v>2019</x:v>
      </x:c>
      <x:c r="E125" s="25" t="n">
        <x:v>640</x:v>
      </x:c>
      <x:c r="F125" s="25" t="n">
        <x:v>68</x:v>
      </x:c>
      <x:c r="G125" s="32" t="n">
        <x:v>19630.861294589602</x:v>
      </x:c>
      <x:c r="H125" s="32" t="n">
        <x:v>19630.8612945896</x:v>
      </x:c>
      <x:c r="I125" s="32" t="n">
        <x:v>-3.637978807091713e-12</x:v>
      </x:c>
      <x:c r="J125" s="36" t="b">
        <x:v>1</x:v>
      </x:c>
      <x:c r="K125" s="25" t="str">
        <x:v>available</x:v>
      </x:c>
    </x:row>
    <x:row r="126" ht="18" customHeight="1">
      <x:c r="A126" s="25" t="str">
        <x:v>EEZ_554</x:v>
      </x:c>
      <x:c r="B126" s="25" t="str">
        <x:v>New Zealand</x:v>
      </x:c>
      <x:c r="C126" s="25" t="str">
        <x:v>eez</x:v>
      </x:c>
      <x:c r="D126" s="31" t="n">
        <x:v>2019</x:v>
      </x:c>
      <x:c r="E126" s="25" t="n">
        <x:v>4517</x:v>
      </x:c>
      <x:c r="F126" s="25" t="n">
        <x:v>197</x:v>
      </x:c>
      <x:c r="G126" s="32" t="n">
        <x:v>536634.0092869515</x:v>
      </x:c>
      <x:c r="H126" s="32" t="n">
        <x:v>536634.0092869516</x:v>
      </x:c>
      <x:c r="I126" s="32" t="n">
        <x:v>1.1641532182693481e-10</x:v>
      </x:c>
      <x:c r="J126" s="36" t="b">
        <x:v>1</x:v>
      </x:c>
      <x:c r="K126" s="25" t="str">
        <x:v>available</x:v>
      </x:c>
    </x:row>
    <x:row r="127" ht="18" customHeight="1">
      <x:c r="A127" s="25" t="str">
        <x:v>EEZ_555</x:v>
      </x:c>
      <x:c r="B127" s="25" t="str">
        <x:v>Kermadec Isl. (New Zealand)</x:v>
      </x:c>
      <x:c r="C127" s="25" t="str">
        <x:v>eez</x:v>
      </x:c>
      <x:c r="D127" s="31" t="n">
        <x:v>2019</x:v>
      </x:c>
      <x:c r="E127" s="25" t="n">
        <x:v>46</x:v>
      </x:c>
      <x:c r="F127" s="25" t="n">
        <x:v>22</x:v>
      </x:c>
      <x:c r="G127" s="32" t="n">
        <x:v>66.11770604899999</x:v>
      </x:c>
      <x:c r="H127" s="32" t="n">
        <x:v>66.11770604900002</x:v>
      </x:c>
      <x:c r="I127" s="32" t="n">
        <x:v>2.842170943040401e-14</x:v>
      </x:c>
      <x:c r="J127" s="36" t="b">
        <x:v>1</x:v>
      </x:c>
      <x:c r="K127" s="25" t="str">
        <x:v>available</x:v>
      </x:c>
    </x:row>
    <x:row r="128" ht="18" customHeight="1">
      <x:c r="A128" s="25" t="str">
        <x:v>EEZ_566</x:v>
      </x:c>
      <x:c r="B128" s="25" t="str">
        <x:v>Nigeria</x:v>
      </x:c>
      <x:c r="C128" s="25" t="str">
        <x:v>eez</x:v>
      </x:c>
      <x:c r="D128" s="31" t="n">
        <x:v>2019</x:v>
      </x:c>
      <x:c r="E128" s="25" t="n">
        <x:v>249</x:v>
      </x:c>
      <x:c r="F128" s="25" t="n">
        <x:v>77</x:v>
      </x:c>
      <x:c r="G128" s="32" t="n">
        <x:v>532269.8890131604</x:v>
      </x:c>
      <x:c r="H128" s="32" t="n">
        <x:v>532269.8890131603</x:v>
      </x:c>
      <x:c r="I128" s="32" t="n">
        <x:v>-1.1641532182693481e-10</x:v>
      </x:c>
      <x:c r="J128" s="36" t="b">
        <x:v>1</x:v>
      </x:c>
      <x:c r="K128" s="25" t="str">
        <x:v>available</x:v>
      </x:c>
    </x:row>
    <x:row r="129" ht="18" customHeight="1">
      <x:c r="A129" s="25" t="str">
        <x:v>EEZ_570</x:v>
      </x:c>
      <x:c r="B129" s="25" t="str">
        <x:v>Niue (New Zealand)</x:v>
      </x:c>
      <x:c r="C129" s="25" t="str">
        <x:v>eez</x:v>
      </x:c>
      <x:c r="D129" s="31" t="n">
        <x:v>2019</x:v>
      </x:c>
      <x:c r="E129" s="25" t="n">
        <x:v>431</x:v>
      </x:c>
      <x:c r="F129" s="25" t="n">
        <x:v>70</x:v>
      </x:c>
      <x:c r="G129" s="32" t="n">
        <x:v>949.5273417067999</x:v>
      </x:c>
      <x:c r="H129" s="32" t="n">
        <x:v>949.5273417068</x:v>
      </x:c>
      <x:c r="I129" s="32" t="n">
        <x:v>1.1368683772161603e-13</x:v>
      </x:c>
      <x:c r="J129" s="36" t="b">
        <x:v>1</x:v>
      </x:c>
      <x:c r="K129" s="25" t="str">
        <x:v>available</x:v>
      </x:c>
    </x:row>
    <x:row r="130" ht="18" customHeight="1">
      <x:c r="A130" s="25" t="str">
        <x:v>EEZ_574</x:v>
      </x:c>
      <x:c r="B130" s="25" t="str">
        <x:v>Norfolk Isl. (Australia)</x:v>
      </x:c>
      <x:c r="C130" s="25" t="str">
        <x:v>eez</x:v>
      </x:c>
      <x:c r="D130" s="31" t="n">
        <x:v>2019</x:v>
      </x:c>
      <x:c r="E130" s="25" t="n">
        <x:v>23</x:v>
      </x:c>
      <x:c r="F130" s="25" t="n">
        <x:v>17</x:v>
      </x:c>
      <x:c r="G130" s="32" t="n">
        <x:v>17.497812817599996</x:v>
      </x:c>
      <x:c r="H130" s="32" t="n">
        <x:v>17.4978128176</x:v>
      </x:c>
      <x:c r="I130" s="32" t="n">
        <x:v>3.552713678800501e-15</x:v>
      </x:c>
      <x:c r="J130" s="36" t="b">
        <x:v>1</x:v>
      </x:c>
      <x:c r="K130" s="25" t="str">
        <x:v>available</x:v>
      </x:c>
    </x:row>
    <x:row r="131" ht="18" customHeight="1">
      <x:c r="A131" s="25" t="str">
        <x:v>EEZ_578</x:v>
      </x:c>
      <x:c r="B131" s="25" t="str">
        <x:v>Norway</x:v>
      </x:c>
      <x:c r="C131" s="25" t="str">
        <x:v>eez</x:v>
      </x:c>
      <x:c r="D131" s="31" t="n">
        <x:v>2019</x:v>
      </x:c>
      <x:c r="E131" s="25" t="n">
        <x:v>5009</x:v>
      </x:c>
      <x:c r="F131" s="25" t="n">
        <x:v>222</x:v>
      </x:c>
      <x:c r="G131" s="32" t="n">
        <x:v>1710313.5041625754</x:v>
      </x:c>
      <x:c r="H131" s="32" t="n">
        <x:v>1710313.5041625751</x:v>
      </x:c>
      <x:c r="I131" s="32" t="n">
        <x:v>-2.3283064365386963e-10</x:v>
      </x:c>
      <x:c r="J131" s="36" t="b">
        <x:v>1</x:v>
      </x:c>
      <x:c r="K131" s="25" t="str">
        <x:v>available</x:v>
      </x:c>
    </x:row>
    <x:row r="132" ht="18" customHeight="1">
      <x:c r="A132" s="25" t="str">
        <x:v>EEZ_579</x:v>
      </x:c>
      <x:c r="B132" s="25" t="str">
        <x:v>Jan Mayen Isl. (Norway)</x:v>
      </x:c>
      <x:c r="C132" s="25" t="str">
        <x:v>eez</x:v>
      </x:c>
      <x:c r="D132" s="31" t="n">
        <x:v>2019</x:v>
      </x:c>
      <x:c r="E132" s="25" t="n">
        <x:v>74</x:v>
      </x:c>
      <x:c r="F132" s="25" t="n">
        <x:v>6</x:v>
      </x:c>
      <x:c r="G132" s="32" t="n">
        <x:v>534.1534584534</x:v>
      </x:c>
      <x:c r="H132" s="32" t="n">
        <x:v>534.1534584534</x:v>
      </x:c>
      <x:c r="I132" s="32" t="n">
        <x:v>0</x:v>
      </x:c>
      <x:c r="J132" s="36" t="b">
        <x:v>1</x:v>
      </x:c>
      <x:c r="K132" s="25" t="str">
        <x:v>available</x:v>
      </x:c>
    </x:row>
    <x:row r="133" ht="18" customHeight="1">
      <x:c r="A133" s="25" t="str">
        <x:v>EEZ_580</x:v>
      </x:c>
      <x:c r="B133" s="25" t="str">
        <x:v>Northern Marianas (USA)</x:v>
      </x:c>
      <x:c r="C133" s="25" t="str">
        <x:v>eez</x:v>
      </x:c>
      <x:c r="D133" s="31" t="n">
        <x:v>2019</x:v>
      </x:c>
      <x:c r="E133" s="25" t="n">
        <x:v>180</x:v>
      </x:c>
      <x:c r="F133" s="25" t="n">
        <x:v>62</x:v>
      </x:c>
      <x:c r="G133" s="32" t="n">
        <x:v>498.5314401099</x:v>
      </x:c>
      <x:c r="H133" s="32" t="n">
        <x:v>498.53144010989985</x:v>
      </x:c>
      <x:c r="I133" s="32" t="n">
        <x:v>-1.7053025658242404e-13</x:v>
      </x:c>
      <x:c r="J133" s="36" t="b">
        <x:v>1</x:v>
      </x:c>
      <x:c r="K133" s="25" t="str">
        <x:v>available</x:v>
      </x:c>
    </x:row>
    <x:row r="134" ht="18" customHeight="1">
      <x:c r="A134" s="25" t="str">
        <x:v>EEZ_583</x:v>
      </x:c>
      <x:c r="B134" s="25" t="str">
        <x:v>Micronesia</x:v>
      </x:c>
      <x:c r="C134" s="25" t="str">
        <x:v>eez</x:v>
      </x:c>
      <x:c r="D134" s="31" t="n">
        <x:v>2019</x:v>
      </x:c>
      <x:c r="E134" s="25" t="n">
        <x:v>1005</x:v>
      </x:c>
      <x:c r="F134" s="25" t="n">
        <x:v>164</x:v>
      </x:c>
      <x:c r="G134" s="32" t="n">
        <x:v>227502.489463831</x:v>
      </x:c>
      <x:c r="H134" s="32" t="n">
        <x:v>227502.489463831</x:v>
      </x:c>
      <x:c r="I134" s="32" t="n">
        <x:v>0</x:v>
      </x:c>
      <x:c r="J134" s="36" t="b">
        <x:v>1</x:v>
      </x:c>
      <x:c r="K134" s="25" t="str">
        <x:v>available</x:v>
      </x:c>
    </x:row>
    <x:row r="135" ht="18" customHeight="1">
      <x:c r="A135" s="25" t="str">
        <x:v>EEZ_584</x:v>
      </x:c>
      <x:c r="B135" s="25" t="str">
        <x:v>Marshall Isl.</x:v>
      </x:c>
      <x:c r="C135" s="25" t="str">
        <x:v>eez</x:v>
      </x:c>
      <x:c r="D135" s="31" t="n">
        <x:v>2019</x:v>
      </x:c>
      <x:c r="E135" s="25" t="n">
        <x:v>814</x:v>
      </x:c>
      <x:c r="F135" s="25" t="n">
        <x:v>69</x:v>
      </x:c>
      <x:c r="G135" s="32" t="n">
        <x:v>56340.9448327468</x:v>
      </x:c>
      <x:c r="H135" s="32" t="n">
        <x:v>56340.94483274678</x:v>
      </x:c>
      <x:c r="I135" s="32" t="n">
        <x:v>-1.4551915228366852e-11</x:v>
      </x:c>
      <x:c r="J135" s="36" t="b">
        <x:v>1</x:v>
      </x:c>
      <x:c r="K135" s="25" t="str">
        <x:v>available</x:v>
      </x:c>
    </x:row>
    <x:row r="136" ht="18" customHeight="1">
      <x:c r="A136" s="25" t="str">
        <x:v>EEZ_585</x:v>
      </x:c>
      <x:c r="B136" s="25" t="str">
        <x:v>Palau</x:v>
      </x:c>
      <x:c r="C136" s="25" t="str">
        <x:v>eez</x:v>
      </x:c>
      <x:c r="D136" s="31" t="n">
        <x:v>2019</x:v>
      </x:c>
      <x:c r="E136" s="25" t="n">
        <x:v>684</x:v>
      </x:c>
      <x:c r="F136" s="25" t="n">
        <x:v>56</x:v>
      </x:c>
      <x:c r="G136" s="32" t="n">
        <x:v>10527.1220736951</x:v>
      </x:c>
      <x:c r="H136" s="32" t="n">
        <x:v>10527.1220736951</x:v>
      </x:c>
      <x:c r="I136" s="32" t="n">
        <x:v>0</x:v>
      </x:c>
      <x:c r="J136" s="36" t="b">
        <x:v>1</x:v>
      </x:c>
      <x:c r="K136" s="25" t="str">
        <x:v>available</x:v>
      </x:c>
    </x:row>
    <x:row r="137" ht="18" customHeight="1">
      <x:c r="A137" s="25" t="str">
        <x:v>EEZ_586</x:v>
      </x:c>
      <x:c r="B137" s="25" t="str">
        <x:v>Pakistan</x:v>
      </x:c>
      <x:c r="C137" s="25" t="str">
        <x:v>eez</x:v>
      </x:c>
      <x:c r="D137" s="31" t="n">
        <x:v>2019</x:v>
      </x:c>
      <x:c r="E137" s="25" t="n">
        <x:v>2232</x:v>
      </x:c>
      <x:c r="F137" s="25" t="n">
        <x:v>126</x:v>
      </x:c>
      <x:c r="G137" s="32" t="n">
        <x:v>930340.293158082</x:v>
      </x:c>
      <x:c r="H137" s="32" t="n">
        <x:v>930340.2931580818</x:v>
      </x:c>
      <x:c r="I137" s="32" t="n">
        <x:v>-1.1641532182693481e-10</x:v>
      </x:c>
      <x:c r="J137" s="36" t="b">
        <x:v>1</x:v>
      </x:c>
      <x:c r="K137" s="25" t="str">
        <x:v>available</x:v>
      </x:c>
    </x:row>
    <x:row r="138" ht="18" customHeight="1">
      <x:c r="A138" s="25" t="str">
        <x:v>EEZ_598</x:v>
      </x:c>
      <x:c r="B138" s="25" t="str">
        <x:v>Papua New Guinea</x:v>
      </x:c>
      <x:c r="C138" s="25" t="str">
        <x:v>eez</x:v>
      </x:c>
      <x:c r="D138" s="31" t="n">
        <x:v>2019</x:v>
      </x:c>
      <x:c r="E138" s="25" t="n">
        <x:v>794</x:v>
      </x:c>
      <x:c r="F138" s="25" t="n">
        <x:v>55</x:v>
      </x:c>
      <x:c r="G138" s="32" t="n">
        <x:v>536763.5433324722</x:v>
      </x:c>
      <x:c r="H138" s="32" t="n">
        <x:v>536763.5433324722</x:v>
      </x:c>
      <x:c r="I138" s="32" t="n">
        <x:v>0</x:v>
      </x:c>
      <x:c r="J138" s="36" t="b">
        <x:v>1</x:v>
      </x:c>
      <x:c r="K138" s="25" t="str">
        <x:v>available</x:v>
      </x:c>
    </x:row>
    <x:row r="139" ht="18" customHeight="1">
      <x:c r="A139" s="25" t="str">
        <x:v>EEZ_604</x:v>
      </x:c>
      <x:c r="B139" s="25" t="str">
        <x:v>Peru</x:v>
      </x:c>
      <x:c r="C139" s="25" t="str">
        <x:v>eez</x:v>
      </x:c>
      <x:c r="D139" s="31" t="n">
        <x:v>2019</x:v>
      </x:c>
      <x:c r="E139" s="25" t="n">
        <x:v>1372</x:v>
      </x:c>
      <x:c r="F139" s="25" t="n">
        <x:v>113</x:v>
      </x:c>
      <x:c r="G139" s="32" t="n">
        <x:v>6008753.148833273</x:v>
      </x:c>
      <x:c r="H139" s="32" t="n">
        <x:v>6008753.148833272</x:v>
      </x:c>
      <x:c r="I139" s="32" t="n">
        <x:v>-9.313225746154785e-10</x:v>
      </x:c>
      <x:c r="J139" s="36" t="b">
        <x:v>1</x:v>
      </x:c>
      <x:c r="K139" s="25" t="str">
        <x:v>available</x:v>
      </x:c>
    </x:row>
    <x:row r="140" ht="18" customHeight="1">
      <x:c r="A140" s="25" t="str">
        <x:v>EEZ_608</x:v>
      </x:c>
      <x:c r="B140" s="25" t="str">
        <x:v>Philippines</x:v>
      </x:c>
      <x:c r="C140" s="25" t="str">
        <x:v>eez</x:v>
      </x:c>
      <x:c r="D140" s="31" t="n">
        <x:v>2019</x:v>
      </x:c>
      <x:c r="E140" s="25" t="n">
        <x:v>1547</x:v>
      </x:c>
      <x:c r="F140" s="25" t="n">
        <x:v>172</x:v>
      </x:c>
      <x:c r="G140" s="32" t="n">
        <x:v>2152202.0418273807</x:v>
      </x:c>
      <x:c r="H140" s="32" t="n">
        <x:v>2152202.0418273807</x:v>
      </x:c>
      <x:c r="I140" s="32" t="n">
        <x:v>0</x:v>
      </x:c>
      <x:c r="J140" s="36" t="b">
        <x:v>1</x:v>
      </x:c>
      <x:c r="K140" s="25" t="str">
        <x:v>available</x:v>
      </x:c>
    </x:row>
    <x:row r="141" ht="18" customHeight="1">
      <x:c r="A141" s="25" t="str">
        <x:v>EEZ_612</x:v>
      </x:c>
      <x:c r="B141" s="25" t="str">
        <x:v>Pitcairn (GBR)</x:v>
      </x:c>
      <x:c r="C141" s="25" t="str">
        <x:v>eez</x:v>
      </x:c>
      <x:c r="D141" s="31" t="n">
        <x:v>2019</x:v>
      </x:c>
      <x:c r="E141" s="25" t="n">
        <x:v>7</x:v>
      </x:c>
      <x:c r="F141" s="25" t="n">
        <x:v>3</x:v>
      </x:c>
      <x:c r="G141" s="32" t="n">
        <x:v>3.000000000000001</x:v>
      </x:c>
      <x:c r="H141" s="32" t="n">
        <x:v>3.0000000000000004</x:v>
      </x:c>
      <x:c r="I141" s="32" t="n">
        <x:v>-4.440892098500626e-16</x:v>
      </x:c>
      <x:c r="J141" s="36" t="b">
        <x:v>1</x:v>
      </x:c>
      <x:c r="K141" s="25" t="str">
        <x:v>available</x:v>
      </x:c>
    </x:row>
    <x:row r="142" ht="18" customHeight="1">
      <x:c r="A142" s="25" t="str">
        <x:v>EEZ_616</x:v>
      </x:c>
      <x:c r="B142" s="25" t="str">
        <x:v>Poland</x:v>
      </x:c>
      <x:c r="C142" s="25" t="str">
        <x:v>eez</x:v>
      </x:c>
      <x:c r="D142" s="31" t="n">
        <x:v>2019</x:v>
      </x:c>
      <x:c r="E142" s="25" t="n">
        <x:v>3143</x:v>
      </x:c>
      <x:c r="F142" s="25" t="n">
        <x:v>56</x:v>
      </x:c>
      <x:c r="G142" s="32" t="n">
        <x:v>155232.7053557617</x:v>
      </x:c>
      <x:c r="H142" s="32" t="n">
        <x:v>155232.7053557617</x:v>
      </x:c>
      <x:c r="I142" s="32" t="n">
        <x:v>0</x:v>
      </x:c>
      <x:c r="J142" s="36" t="b">
        <x:v>1</x:v>
      </x:c>
      <x:c r="K142" s="25" t="str">
        <x:v>available</x:v>
      </x:c>
    </x:row>
    <x:row r="143" ht="18" customHeight="1">
      <x:c r="A143" s="25" t="str">
        <x:v>EEZ_620</x:v>
      </x:c>
      <x:c r="B143" s="25" t="str">
        <x:v>Portugal (mainland)</x:v>
      </x:c>
      <x:c r="C143" s="25" t="str">
        <x:v>eez</x:v>
      </x:c>
      <x:c r="D143" s="31" t="n">
        <x:v>2019</x:v>
      </x:c>
      <x:c r="E143" s="25" t="n">
        <x:v>1226</x:v>
      </x:c>
      <x:c r="F143" s="25" t="n">
        <x:v>254</x:v>
      </x:c>
      <x:c r="G143" s="32" t="n">
        <x:v>208342.58846173983</x:v>
      </x:c>
      <x:c r="H143" s="32" t="n">
        <x:v>208342.5884617398</x:v>
      </x:c>
      <x:c r="I143" s="32" t="n">
        <x:v>-2.9103830456733704e-11</x:v>
      </x:c>
      <x:c r="J143" s="36" t="b">
        <x:v>1</x:v>
      </x:c>
      <x:c r="K143" s="25" t="str">
        <x:v>available</x:v>
      </x:c>
    </x:row>
    <x:row r="144" ht="18" customHeight="1">
      <x:c r="A144" s="25" t="str">
        <x:v>EEZ_621</x:v>
      </x:c>
      <x:c r="B144" s="25" t="str">
        <x:v>Madeira Isl. (Portugal)</x:v>
      </x:c>
      <x:c r="C144" s="25" t="str">
        <x:v>eez</x:v>
      </x:c>
      <x:c r="D144" s="31" t="n">
        <x:v>2019</x:v>
      </x:c>
      <x:c r="E144" s="25" t="n">
        <x:v>403</x:v>
      </x:c>
      <x:c r="F144" s="25" t="n">
        <x:v>98</x:v>
      </x:c>
      <x:c r="G144" s="32" t="n">
        <x:v>14928.145180905802</x:v>
      </x:c>
      <x:c r="H144" s="32" t="n">
        <x:v>14928.1451809058</x:v>
      </x:c>
      <x:c r="I144" s="32" t="n">
        <x:v>-1.8189894035458565e-12</x:v>
      </x:c>
      <x:c r="J144" s="36" t="b">
        <x:v>1</x:v>
      </x:c>
      <x:c r="K144" s="25" t="str">
        <x:v>available</x:v>
      </x:c>
    </x:row>
    <x:row r="145" ht="18" customHeight="1">
      <x:c r="A145" s="25" t="str">
        <x:v>EEZ_622</x:v>
      </x:c>
      <x:c r="B145" s="25" t="str">
        <x:v>Azores Isl. (Portugal)</x:v>
      </x:c>
      <x:c r="C145" s="25" t="str">
        <x:v>eez</x:v>
      </x:c>
      <x:c r="D145" s="31" t="n">
        <x:v>2019</x:v>
      </x:c>
      <x:c r="E145" s="25" t="n">
        <x:v>559</x:v>
      </x:c>
      <x:c r="F145" s="25" t="n">
        <x:v>132</x:v>
      </x:c>
      <x:c r="G145" s="32" t="n">
        <x:v>21195.035296286802</x:v>
      </x:c>
      <x:c r="H145" s="32" t="n">
        <x:v>21195.0352962868</x:v>
      </x:c>
      <x:c r="I145" s="32" t="n">
        <x:v>-3.637978807091713e-12</x:v>
      </x:c>
      <x:c r="J145" s="36" t="b">
        <x:v>1</x:v>
      </x:c>
      <x:c r="K145" s="25" t="str">
        <x:v>available</x:v>
      </x:c>
    </x:row>
    <x:row r="146" ht="18" customHeight="1">
      <x:c r="A146" s="25" t="str">
        <x:v>EEZ_624</x:v>
      </x:c>
      <x:c r="B146" s="25" t="str">
        <x:v>Guinea-Bissau</x:v>
      </x:c>
      <x:c r="C146" s="25" t="str">
        <x:v>eez</x:v>
      </x:c>
      <x:c r="D146" s="31" t="n">
        <x:v>2019</x:v>
      </x:c>
      <x:c r="E146" s="25" t="n">
        <x:v>1299</x:v>
      </x:c>
      <x:c r="F146" s="25" t="n">
        <x:v>229</x:v>
      </x:c>
      <x:c r="G146" s="32" t="n">
        <x:v>1133937.8605595874</x:v>
      </x:c>
      <x:c r="H146" s="32" t="n">
        <x:v>1133937.8605595871</x:v>
      </x:c>
      <x:c r="I146" s="32" t="n">
        <x:v>-2.3283064365386963e-10</x:v>
      </x:c>
      <x:c r="J146" s="36" t="b">
        <x:v>1</x:v>
      </x:c>
      <x:c r="K146" s="25" t="str">
        <x:v>available</x:v>
      </x:c>
    </x:row>
    <x:row r="147" ht="18" customHeight="1">
      <x:c r="A147" s="25" t="str">
        <x:v>EEZ_626</x:v>
      </x:c>
      <x:c r="B147" s="25" t="str">
        <x:v>Timor Leste</x:v>
      </x:c>
      <x:c r="C147" s="25" t="str">
        <x:v>eez</x:v>
      </x:c>
      <x:c r="D147" s="31" t="n">
        <x:v>2019</x:v>
      </x:c>
      <x:c r="E147" s="25" t="n">
        <x:v>123</x:v>
      </x:c>
      <x:c r="F147" s="25" t="n">
        <x:v>28</x:v>
      </x:c>
      <x:c r="G147" s="32" t="n">
        <x:v>6740.440535282099</x:v>
      </x:c>
      <x:c r="H147" s="32" t="n">
        <x:v>6740.4405352820995</x:v>
      </x:c>
      <x:c r="I147" s="32" t="n">
        <x:v>9.094947017729282e-13</x:v>
      </x:c>
      <x:c r="J147" s="36" t="b">
        <x:v>1</x:v>
      </x:c>
      <x:c r="K147" s="25" t="str">
        <x:v>available</x:v>
      </x:c>
    </x:row>
    <x:row r="148" ht="18" customHeight="1">
      <x:c r="A148" s="25" t="str">
        <x:v>EEZ_630</x:v>
      </x:c>
      <x:c r="B148" s="25" t="str">
        <x:v>Puerto Rico (USA)</x:v>
      </x:c>
      <x:c r="C148" s="25" t="str">
        <x:v>eez</x:v>
      </x:c>
      <x:c r="D148" s="31" t="n">
        <x:v>2019</x:v>
      </x:c>
      <x:c r="E148" s="25" t="n">
        <x:v>178</x:v>
      </x:c>
      <x:c r="F148" s="25" t="n">
        <x:v>36</x:v>
      </x:c>
      <x:c r="G148" s="32" t="n">
        <x:v>1866.1053035135</x:v>
      </x:c>
      <x:c r="H148" s="32" t="n">
        <x:v>1866.1053035134996</x:v>
      </x:c>
      <x:c r="I148" s="32" t="n">
        <x:v>-4.547473508864641e-13</x:v>
      </x:c>
      <x:c r="J148" s="36" t="b">
        <x:v>1</x:v>
      </x:c>
      <x:c r="K148" s="25" t="str">
        <x:v>available</x:v>
      </x:c>
    </x:row>
    <x:row r="149" ht="18" customHeight="1">
      <x:c r="A149" s="25" t="str">
        <x:v>EEZ_634</x:v>
      </x:c>
      <x:c r="B149" s="25" t="str">
        <x:v>Qatar</x:v>
      </x:c>
      <x:c r="C149" s="25" t="str">
        <x:v>eez</x:v>
      </x:c>
      <x:c r="D149" s="31" t="n">
        <x:v>2019</x:v>
      </x:c>
      <x:c r="E149" s="25" t="n">
        <x:v>264</x:v>
      </x:c>
      <x:c r="F149" s="25" t="n">
        <x:v>47</x:v>
      </x:c>
      <x:c r="G149" s="32" t="n">
        <x:v>18300.125898307102</x:v>
      </x:c>
      <x:c r="H149" s="32" t="n">
        <x:v>18300.125898307102</x:v>
      </x:c>
      <x:c r="I149" s="32" t="n">
        <x:v>0</x:v>
      </x:c>
      <x:c r="J149" s="36" t="b">
        <x:v>1</x:v>
      </x:c>
      <x:c r="K149" s="25" t="str">
        <x:v>available</x:v>
      </x:c>
    </x:row>
    <x:row r="150" ht="18" customHeight="1">
      <x:c r="A150" s="25" t="str">
        <x:v>EEZ_638</x:v>
      </x:c>
      <x:c r="B150" s="25" t="str">
        <x:v>Réunion [La] (France)</x:v>
      </x:c>
      <x:c r="C150" s="25" t="str">
        <x:v>eez</x:v>
      </x:c>
      <x:c r="D150" s="31" t="n">
        <x:v>2019</x:v>
      </x:c>
      <x:c r="E150" s="25" t="n">
        <x:v>135</x:v>
      </x:c>
      <x:c r="F150" s="25" t="n">
        <x:v>26</x:v>
      </x:c>
      <x:c r="G150" s="32" t="n">
        <x:v>537.9865677244001</x:v>
      </x:c>
      <x:c r="H150" s="32" t="n">
        <x:v>537.9865677244001</x:v>
      </x:c>
      <x:c r="I150" s="32" t="n">
        <x:v>0</x:v>
      </x:c>
      <x:c r="J150" s="36" t="b">
        <x:v>1</x:v>
      </x:c>
      <x:c r="K150" s="25" t="str">
        <x:v>available</x:v>
      </x:c>
    </x:row>
    <x:row r="151" ht="18" customHeight="1">
      <x:c r="A151" s="25" t="str">
        <x:v>EEZ_642</x:v>
      </x:c>
      <x:c r="B151" s="25" t="str">
        <x:v>Romania</x:v>
      </x:c>
      <x:c r="C151" s="25" t="str">
        <x:v>eez</x:v>
      </x:c>
      <x:c r="D151" s="31" t="n">
        <x:v>2019</x:v>
      </x:c>
      <x:c r="E151" s="25" t="n">
        <x:v>98</x:v>
      </x:c>
      <x:c r="F151" s="25" t="n">
        <x:v>16</x:v>
      </x:c>
      <x:c r="G151" s="32" t="n">
        <x:v>8116.5109813193</x:v>
      </x:c>
      <x:c r="H151" s="32" t="n">
        <x:v>8116.510981319299</x:v>
      </x:c>
      <x:c r="I151" s="32" t="n">
        <x:v>-9.094947017729282e-13</x:v>
      </x:c>
      <x:c r="J151" s="36" t="b">
        <x:v>1</x:v>
      </x:c>
      <x:c r="K151" s="25" t="str">
        <x:v>available</x:v>
      </x:c>
    </x:row>
    <x:row r="152" ht="18" customHeight="1">
      <x:c r="A152" s="25" t="str">
        <x:v>EEZ_645</x:v>
      </x:c>
      <x:c r="B152" s="25" t="str">
        <x:v>Russia (Barents Sea)</x:v>
      </x:c>
      <x:c r="C152" s="25" t="str">
        <x:v>eez</x:v>
      </x:c>
      <x:c r="D152" s="31" t="n">
        <x:v>2019</x:v>
      </x:c>
      <x:c r="E152" s="25" t="n">
        <x:v>891</x:v>
      </x:c>
      <x:c r="F152" s="25" t="n">
        <x:v>86</x:v>
      </x:c>
      <x:c r="G152" s="32" t="n">
        <x:v>257638.50382026169</x:v>
      </x:c>
      <x:c r="H152" s="32" t="n">
        <x:v>257638.5038202617</x:v>
      </x:c>
      <x:c r="I152" s="32" t="n">
        <x:v>2.9103830456733704e-11</x:v>
      </x:c>
      <x:c r="J152" s="36" t="b">
        <x:v>1</x:v>
      </x:c>
      <x:c r="K152" s="25" t="str">
        <x:v>available</x:v>
      </x:c>
    </x:row>
    <x:row r="153" ht="18" customHeight="1">
      <x:c r="A153" s="25" t="str">
        <x:v>EEZ_647</x:v>
      </x:c>
      <x:c r="B153" s="25" t="str">
        <x:v>Russia (Black Sea)</x:v>
      </x:c>
      <x:c r="C153" s="25" t="str">
        <x:v>eez</x:v>
      </x:c>
      <x:c r="D153" s="31" t="n">
        <x:v>2019</x:v>
      </x:c>
      <x:c r="E153" s="25" t="n">
        <x:v>435</x:v>
      </x:c>
      <x:c r="F153" s="25" t="n">
        <x:v>40</x:v>
      </x:c>
      <x:c r="G153" s="32" t="n">
        <x:v>151771.4553513236</x:v>
      </x:c>
      <x:c r="H153" s="32" t="n">
        <x:v>151771.4553513236</x:v>
      </x:c>
      <x:c r="I153" s="32" t="n">
        <x:v>0</x:v>
      </x:c>
      <x:c r="J153" s="36" t="b">
        <x:v>1</x:v>
      </x:c>
      <x:c r="K153" s="25" t="str">
        <x:v>available</x:v>
      </x:c>
    </x:row>
    <x:row r="154" ht="18" customHeight="1">
      <x:c r="A154" s="25" t="str">
        <x:v>EEZ_648</x:v>
      </x:c>
      <x:c r="B154" s="25" t="str">
        <x:v>Russia (Baltic Sea)</x:v>
      </x:c>
      <x:c r="C154" s="25" t="str">
        <x:v>eez</x:v>
      </x:c>
      <x:c r="D154" s="31" t="n">
        <x:v>2019</x:v>
      </x:c>
      <x:c r="E154" s="25" t="n">
        <x:v>2119</x:v>
      </x:c>
      <x:c r="F154" s="25" t="n">
        <x:v>47</x:v>
      </x:c>
      <x:c r="G154" s="32" t="n">
        <x:v>111294.2692790642</x:v>
      </x:c>
      <x:c r="H154" s="32" t="n">
        <x:v>111294.26927906422</x:v>
      </x:c>
      <x:c r="I154" s="32" t="n">
        <x:v>1.4551915228366852e-11</x:v>
      </x:c>
      <x:c r="J154" s="36" t="b">
        <x:v>1</x:v>
      </x:c>
      <x:c r="K154" s="25" t="str">
        <x:v>available</x:v>
      </x:c>
    </x:row>
    <x:row r="155" ht="18" customHeight="1">
      <x:c r="A155" s="25" t="str">
        <x:v>EEZ_649</x:v>
      </x:c>
      <x:c r="B155" s="25" t="str">
        <x:v>Russia (Far East)</x:v>
      </x:c>
      <x:c r="C155" s="25" t="str">
        <x:v>eez</x:v>
      </x:c>
      <x:c r="D155" s="31" t="n">
        <x:v>2019</x:v>
      </x:c>
      <x:c r="E155" s="25" t="n">
        <x:v>634</x:v>
      </x:c>
      <x:c r="F155" s="25" t="n">
        <x:v>86</x:v>
      </x:c>
      <x:c r="G155" s="32" t="n">
        <x:v>7341976.862507814</x:v>
      </x:c>
      <x:c r="H155" s="32" t="n">
        <x:v>7341976.862507814</x:v>
      </x:c>
      <x:c r="I155" s="32" t="n">
        <x:v>0</x:v>
      </x:c>
      <x:c r="J155" s="36" t="b">
        <x:v>1</x:v>
      </x:c>
      <x:c r="K155" s="25" t="str">
        <x:v>available</x:v>
      </x:c>
    </x:row>
    <x:row r="156" ht="18" customHeight="1">
      <x:c r="A156" s="25" t="str">
        <x:v>EEZ_654</x:v>
      </x:c>
      <x:c r="B156" s="25" t="str">
        <x:v>Saint Helena (GBR)</x:v>
      </x:c>
      <x:c r="C156" s="25" t="str">
        <x:v>eez</x:v>
      </x:c>
      <x:c r="D156" s="31" t="n">
        <x:v>2019</x:v>
      </x:c>
      <x:c r="E156" s="25" t="n">
        <x:v>23</x:v>
      </x:c>
      <x:c r="F156" s="25" t="n">
        <x:v>20</x:v>
      </x:c>
      <x:c r="G156" s="32" t="n">
        <x:v>515.4002517916999</x:v>
      </x:c>
      <x:c r="H156" s="32" t="n">
        <x:v>515.4002517917</x:v>
      </x:c>
      <x:c r="I156" s="32" t="n">
        <x:v>1.1368683772161603e-13</x:v>
      </x:c>
      <x:c r="J156" s="36" t="b">
        <x:v>1</x:v>
      </x:c>
      <x:c r="K156" s="25" t="str">
        <x:v>available</x:v>
      </x:c>
    </x:row>
    <x:row r="157" ht="18" customHeight="1">
      <x:c r="A157" s="25" t="str">
        <x:v>EEZ_659</x:v>
      </x:c>
      <x:c r="B157" s="25" t="str">
        <x:v>Saint Kitts &amp; Nevis</x:v>
      </x:c>
      <x:c r="C157" s="25" t="str">
        <x:v>eez</x:v>
      </x:c>
      <x:c r="D157" s="31" t="n">
        <x:v>2019</x:v>
      </x:c>
      <x:c r="E157" s="25" t="n">
        <x:v>93</x:v>
      </x:c>
      <x:c r="F157" s="25" t="n">
        <x:v>19</x:v>
      </x:c>
      <x:c r="G157" s="32" t="n">
        <x:v>1724.2738873690002</x:v>
      </x:c>
      <x:c r="H157" s="32" t="n">
        <x:v>1724.273887369</x:v>
      </x:c>
      <x:c r="I157" s="32" t="n">
        <x:v>-2.2737367544323206e-13</x:v>
      </x:c>
      <x:c r="J157" s="36" t="b">
        <x:v>1</x:v>
      </x:c>
      <x:c r="K157" s="25" t="str">
        <x:v>available</x:v>
      </x:c>
    </x:row>
    <x:row r="158" ht="18" customHeight="1">
      <x:c r="A158" s="25" t="str">
        <x:v>EEZ_660</x:v>
      </x:c>
      <x:c r="B158" s="25" t="str">
        <x:v>Anguilla (GBR)</x:v>
      </x:c>
      <x:c r="C158" s="25" t="str">
        <x:v>eez</x:v>
      </x:c>
      <x:c r="D158" s="31" t="n">
        <x:v>2019</x:v>
      </x:c>
      <x:c r="E158" s="25" t="n">
        <x:v>113</x:v>
      </x:c>
      <x:c r="F158" s="25" t="n">
        <x:v>24</x:v>
      </x:c>
      <x:c r="G158" s="32" t="n">
        <x:v>1027.0367155169997</x:v>
      </x:c>
      <x:c r="H158" s="32" t="n">
        <x:v>1027.0367155170002</x:v>
      </x:c>
      <x:c r="I158" s="32" t="n">
        <x:v>4.547473508864641e-13</x:v>
      </x:c>
      <x:c r="J158" s="36" t="b">
        <x:v>1</x:v>
      </x:c>
      <x:c r="K158" s="25" t="str">
        <x:v>available</x:v>
      </x:c>
    </x:row>
    <x:row r="159" ht="18" customHeight="1">
      <x:c r="A159" s="25" t="str">
        <x:v>EEZ_662</x:v>
      </x:c>
      <x:c r="B159" s="25" t="str">
        <x:v>Saint Lucia</x:v>
      </x:c>
      <x:c r="C159" s="25" t="str">
        <x:v>eez</x:v>
      </x:c>
      <x:c r="D159" s="31" t="n">
        <x:v>2019</x:v>
      </x:c>
      <x:c r="E159" s="25" t="n">
        <x:v>208</x:v>
      </x:c>
      <x:c r="F159" s="25" t="n">
        <x:v>72</x:v>
      </x:c>
      <x:c r="G159" s="32" t="n">
        <x:v>1454.7830351649</x:v>
      </x:c>
      <x:c r="H159" s="32" t="n">
        <x:v>1454.7830351649</x:v>
      </x:c>
      <x:c r="I159" s="32" t="n">
        <x:v>0</x:v>
      </x:c>
      <x:c r="J159" s="36" t="b">
        <x:v>1</x:v>
      </x:c>
      <x:c r="K159" s="25" t="str">
        <x:v>available</x:v>
      </x:c>
    </x:row>
    <x:row r="160" ht="18" customHeight="1">
      <x:c r="A160" s="25" t="str">
        <x:v>EEZ_666</x:v>
      </x:c>
      <x:c r="B160" s="25" t="str">
        <x:v>Saint Pierre &amp; Miquelon (France)</x:v>
      </x:c>
      <x:c r="C160" s="25" t="str">
        <x:v>eez</x:v>
      </x:c>
      <x:c r="D160" s="31" t="n">
        <x:v>2019</x:v>
      </x:c>
      <x:c r="E160" s="25" t="n">
        <x:v>150</x:v>
      </x:c>
      <x:c r="F160" s="25" t="n">
        <x:v>21</x:v>
      </x:c>
      <x:c r="G160" s="32" t="n">
        <x:v>1766.0866185219998</x:v>
      </x:c>
      <x:c r="H160" s="32" t="n">
        <x:v>1766.0866185219998</x:v>
      </x:c>
      <x:c r="I160" s="32" t="n">
        <x:v>0</x:v>
      </x:c>
      <x:c r="J160" s="36" t="b">
        <x:v>1</x:v>
      </x:c>
      <x:c r="K160" s="25" t="str">
        <x:v>available</x:v>
      </x:c>
    </x:row>
    <x:row r="161" ht="18" customHeight="1">
      <x:c r="A161" s="25" t="str">
        <x:v>EEZ_670</x:v>
      </x:c>
      <x:c r="B161" s="25" t="str">
        <x:v>Saint Vincent &amp; the Grenadines</x:v>
      </x:c>
      <x:c r="C161" s="25" t="str">
        <x:v>eez</x:v>
      </x:c>
      <x:c r="D161" s="31" t="n">
        <x:v>2019</x:v>
      </x:c>
      <x:c r="E161" s="25" t="n">
        <x:v>681</x:v>
      </x:c>
      <x:c r="F161" s="25" t="n">
        <x:v>93</x:v>
      </x:c>
      <x:c r="G161" s="32" t="n">
        <x:v>1694.7906050879</x:v>
      </x:c>
      <x:c r="H161" s="32" t="n">
        <x:v>1694.7906050878998</x:v>
      </x:c>
      <x:c r="I161" s="32" t="n">
        <x:v>-2.2737367544323206e-13</x:v>
      </x:c>
      <x:c r="J161" s="36" t="b">
        <x:v>1</x:v>
      </x:c>
      <x:c r="K161" s="25" t="str">
        <x:v>available</x:v>
      </x:c>
    </x:row>
    <x:row r="162" ht="18" customHeight="1">
      <x:c r="A162" s="25" t="str">
        <x:v>EEZ_678</x:v>
      </x:c>
      <x:c r="B162" s="25" t="str">
        <x:v>São Tomé and Príncipe</x:v>
      </x:c>
      <x:c r="C162" s="25" t="str">
        <x:v>eez</x:v>
      </x:c>
      <x:c r="D162" s="31" t="n">
        <x:v>2019</x:v>
      </x:c>
      <x:c r="E162" s="25" t="n">
        <x:v>602</x:v>
      </x:c>
      <x:c r="F162" s="25" t="n">
        <x:v>115</x:v>
      </x:c>
      <x:c r="G162" s="32" t="n">
        <x:v>11530.348500865499</x:v>
      </x:c>
      <x:c r="H162" s="32" t="n">
        <x:v>11530.3485008655</x:v>
      </x:c>
      <x:c r="I162" s="32" t="n">
        <x:v>1.8189894035458565e-12</x:v>
      </x:c>
      <x:c r="J162" s="36" t="b">
        <x:v>1</x:v>
      </x:c>
      <x:c r="K162" s="25" t="str">
        <x:v>available</x:v>
      </x:c>
    </x:row>
    <x:row r="163" ht="18" customHeight="1">
      <x:c r="A163" s="25" t="str">
        <x:v>EEZ_683</x:v>
      </x:c>
      <x:c r="B163" s="25" t="str">
        <x:v>Saudi Arabia (Red Sea)</x:v>
      </x:c>
      <x:c r="C163" s="25" t="str">
        <x:v>eez</x:v>
      </x:c>
      <x:c r="D163" s="31" t="n">
        <x:v>2019</x:v>
      </x:c>
      <x:c r="E163" s="25" t="n">
        <x:v>3049</x:v>
      </x:c>
      <x:c r="F163" s="25" t="n">
        <x:v>122</x:v>
      </x:c>
      <x:c r="G163" s="32" t="n">
        <x:v>39296.800791863905</x:v>
      </x:c>
      <x:c r="H163" s="32" t="n">
        <x:v>39296.80079186389</x:v>
      </x:c>
      <x:c r="I163" s="32" t="n">
        <x:v>-1.4551915228366852e-11</x:v>
      </x:c>
      <x:c r="J163" s="36" t="b">
        <x:v>1</x:v>
      </x:c>
      <x:c r="K163" s="25" t="str">
        <x:v>available</x:v>
      </x:c>
    </x:row>
    <x:row r="164" ht="18" customHeight="1">
      <x:c r="A164" s="25" t="str">
        <x:v>EEZ_684</x:v>
      </x:c>
      <x:c r="B164" s="25" t="str">
        <x:v>Saudi Arabia (Persian Gulf)</x:v>
      </x:c>
      <x:c r="C164" s="25" t="str">
        <x:v>eez</x:v>
      </x:c>
      <x:c r="D164" s="31" t="n">
        <x:v>2019</x:v>
      </x:c>
      <x:c r="E164" s="25" t="n">
        <x:v>2329</x:v>
      </x:c>
      <x:c r="F164" s="25" t="n">
        <x:v>101</x:v>
      </x:c>
      <x:c r="G164" s="32" t="n">
        <x:v>52003.6423239321</x:v>
      </x:c>
      <x:c r="H164" s="32" t="n">
        <x:v>52003.6423239321</x:v>
      </x:c>
      <x:c r="I164" s="32" t="n">
        <x:v>0</x:v>
      </x:c>
      <x:c r="J164" s="36" t="b">
        <x:v>1</x:v>
      </x:c>
      <x:c r="K164" s="25" t="str">
        <x:v>available</x:v>
      </x:c>
    </x:row>
    <x:row r="165" ht="18" customHeight="1">
      <x:c r="A165" s="25" t="str">
        <x:v>EEZ_686</x:v>
      </x:c>
      <x:c r="B165" s="25" t="str">
        <x:v>Senegal</x:v>
      </x:c>
      <x:c r="C165" s="25" t="str">
        <x:v>eez</x:v>
      </x:c>
      <x:c r="D165" s="31" t="n">
        <x:v>2019</x:v>
      </x:c>
      <x:c r="E165" s="25" t="n">
        <x:v>1271</x:v>
      </x:c>
      <x:c r="F165" s="25" t="n">
        <x:v>256</x:v>
      </x:c>
      <x:c r="G165" s="32" t="n">
        <x:v>542145.3642563997</x:v>
      </x:c>
      <x:c r="H165" s="32" t="n">
        <x:v>542145.3642563997</x:v>
      </x:c>
      <x:c r="I165" s="32" t="n">
        <x:v>0</x:v>
      </x:c>
      <x:c r="J165" s="36" t="b">
        <x:v>1</x:v>
      </x:c>
      <x:c r="K165" s="25" t="str">
        <x:v>available</x:v>
      </x:c>
    </x:row>
    <x:row r="166" ht="18" customHeight="1">
      <x:c r="A166" s="25" t="str">
        <x:v>EEZ_690</x:v>
      </x:c>
      <x:c r="B166" s="25" t="str">
        <x:v>Seychelles</x:v>
      </x:c>
      <x:c r="C166" s="25" t="str">
        <x:v>eez</x:v>
      </x:c>
      <x:c r="D166" s="31" t="n">
        <x:v>2019</x:v>
      </x:c>
      <x:c r="E166" s="25" t="n">
        <x:v>650</x:v>
      </x:c>
      <x:c r="F166" s="25" t="n">
        <x:v>118</x:v>
      </x:c>
      <x:c r="G166" s="32" t="n">
        <x:v>18710.237207483602</x:v>
      </x:c>
      <x:c r="H166" s="32" t="n">
        <x:v>18710.2372074836</x:v>
      </x:c>
      <x:c r="I166" s="32" t="n">
        <x:v>-3.637978807091713e-12</x:v>
      </x:c>
      <x:c r="J166" s="36" t="b">
        <x:v>1</x:v>
      </x:c>
      <x:c r="K166" s="25" t="str">
        <x:v>available</x:v>
      </x:c>
    </x:row>
    <x:row r="167" ht="18" customHeight="1">
      <x:c r="A167" s="25" t="str">
        <x:v>EEZ_694</x:v>
      </x:c>
      <x:c r="B167" s="25" t="str">
        <x:v>Sierra Leone</x:v>
      </x:c>
      <x:c r="C167" s="25" t="str">
        <x:v>eez</x:v>
      </x:c>
      <x:c r="D167" s="31" t="n">
        <x:v>2019</x:v>
      </x:c>
      <x:c r="E167" s="25" t="n">
        <x:v>1379</x:v>
      </x:c>
      <x:c r="F167" s="25" t="n">
        <x:v>214</x:v>
      </x:c>
      <x:c r="G167" s="32" t="n">
        <x:v>442517.00676733244</x:v>
      </x:c>
      <x:c r="H167" s="32" t="n">
        <x:v>442517.00676733244</x:v>
      </x:c>
      <x:c r="I167" s="32" t="n">
        <x:v>0</x:v>
      </x:c>
      <x:c r="J167" s="36" t="b">
        <x:v>1</x:v>
      </x:c>
      <x:c r="K167" s="25" t="str">
        <x:v>available</x:v>
      </x:c>
    </x:row>
    <x:row r="168" ht="18" customHeight="1">
      <x:c r="A168" s="25" t="str">
        <x:v>EEZ_702</x:v>
      </x:c>
      <x:c r="B168" s="25" t="str">
        <x:v>Singapore</x:v>
      </x:c>
      <x:c r="C168" s="25" t="str">
        <x:v>eez</x:v>
      </x:c>
      <x:c r="D168" s="31" t="n">
        <x:v>2019</x:v>
      </x:c>
      <x:c r="E168" s="25" t="n">
        <x:v>445</x:v>
      </x:c>
      <x:c r="F168" s="25" t="n">
        <x:v>28</x:v>
      </x:c>
      <x:c r="G168" s="32" t="n">
        <x:v>3539.5904974153</x:v>
      </x:c>
      <x:c r="H168" s="32" t="n">
        <x:v>3539.5904974153</x:v>
      </x:c>
      <x:c r="I168" s="32" t="n">
        <x:v>0</x:v>
      </x:c>
      <x:c r="J168" s="36" t="b">
        <x:v>1</x:v>
      </x:c>
      <x:c r="K168" s="25" t="str">
        <x:v>available</x:v>
      </x:c>
    </x:row>
    <x:row r="169" ht="18" customHeight="1">
      <x:c r="A169" s="25" t="str">
        <x:v>EEZ_704</x:v>
      </x:c>
      <x:c r="B169" s="25" t="str">
        <x:v>Viet Nam</x:v>
      </x:c>
      <x:c r="C169" s="25" t="str">
        <x:v>eez</x:v>
      </x:c>
      <x:c r="D169" s="31" t="n">
        <x:v>2019</x:v>
      </x:c>
      <x:c r="E169" s="25" t="n">
        <x:v>1244</x:v>
      </x:c>
      <x:c r="F169" s="25" t="n">
        <x:v>69</x:v>
      </x:c>
      <x:c r="G169" s="32" t="n">
        <x:v>5148305.1369901</x:v>
      </x:c>
      <x:c r="H169" s="32" t="n">
        <x:v>5148305.136990098</x:v>
      </x:c>
      <x:c r="I169" s="32" t="n">
        <x:v>-1.862645149230957e-9</x:v>
      </x:c>
      <x:c r="J169" s="36" t="b">
        <x:v>1</x:v>
      </x:c>
      <x:c r="K169" s="25" t="str">
        <x:v>available</x:v>
      </x:c>
    </x:row>
    <x:row r="170" ht="18" customHeight="1">
      <x:c r="A170" s="25" t="str">
        <x:v>EEZ_705</x:v>
      </x:c>
      <x:c r="B170" s="25" t="str">
        <x:v>Slovenia</x:v>
      </x:c>
      <x:c r="C170" s="25" t="str">
        <x:v>eez</x:v>
      </x:c>
      <x:c r="D170" s="31" t="n">
        <x:v>2019</x:v>
      </x:c>
      <x:c r="E170" s="25" t="n">
        <x:v>501</x:v>
      </x:c>
      <x:c r="F170" s="25" t="n">
        <x:v>80</x:v>
      </x:c>
      <x:c r="G170" s="32" t="n">
        <x:v>203.5210142398</x:v>
      </x:c>
      <x:c r="H170" s="32" t="n">
        <x:v>203.52101423979997</x:v>
      </x:c>
      <x:c r="I170" s="32" t="n">
        <x:v>-2.842170943040401e-14</x:v>
      </x:c>
      <x:c r="J170" s="36" t="b">
        <x:v>1</x:v>
      </x:c>
      <x:c r="K170" s="25" t="str">
        <x:v>available</x:v>
      </x:c>
    </x:row>
    <x:row r="171" ht="18" customHeight="1">
      <x:c r="A171" s="25" t="str">
        <x:v>EEZ_706</x:v>
      </x:c>
      <x:c r="B171" s="25" t="str">
        <x:v>Somalia</x:v>
      </x:c>
      <x:c r="C171" s="25" t="str">
        <x:v>eez</x:v>
      </x:c>
      <x:c r="D171" s="31" t="n">
        <x:v>2019</x:v>
      </x:c>
      <x:c r="E171" s="25" t="n">
        <x:v>788</x:v>
      </x:c>
      <x:c r="F171" s="25" t="n">
        <x:v>121</x:v>
      </x:c>
      <x:c r="G171" s="32" t="n">
        <x:v>139703.8091832829</x:v>
      </x:c>
      <x:c r="H171" s="32" t="n">
        <x:v>139703.80918328292</x:v>
      </x:c>
      <x:c r="I171" s="32" t="n">
        <x:v>2.9103830456733704e-11</x:v>
      </x:c>
      <x:c r="J171" s="36" t="b">
        <x:v>1</x:v>
      </x:c>
      <x:c r="K171" s="25" t="str">
        <x:v>available</x:v>
      </x:c>
    </x:row>
    <x:row r="172" ht="18" customHeight="1">
      <x:c r="A172" s="25" t="str">
        <x:v>EEZ_711</x:v>
      </x:c>
      <x:c r="B172" s="25" t="str">
        <x:v>Prince Edward Isl. (South Africa)</x:v>
      </x:c>
      <x:c r="C172" s="25" t="str">
        <x:v>eez</x:v>
      </x:c>
      <x:c r="D172" s="31" t="n">
        <x:v>2019</x:v>
      </x:c>
      <x:c r="E172" s="25" t="n">
        <x:v>67</x:v>
      </x:c>
      <x:c r="F172" s="25" t="n">
        <x:v>18</x:v>
      </x:c>
      <x:c r="G172" s="32" t="n">
        <x:v>974.4787150097001</x:v>
      </x:c>
      <x:c r="H172" s="32" t="n">
        <x:v>974.4787150097</x:v>
      </x:c>
      <x:c r="I172" s="32" t="n">
        <x:v>-1.1368683772161603e-13</x:v>
      </x:c>
      <x:c r="J172" s="36" t="b">
        <x:v>1</x:v>
      </x:c>
      <x:c r="K172" s="25" t="str">
        <x:v>available</x:v>
      </x:c>
    </x:row>
    <x:row r="173" ht="18" customHeight="1">
      <x:c r="A173" s="25" t="str">
        <x:v>EEZ_723</x:v>
      </x:c>
      <x:c r="B173" s="25" t="str">
        <x:v>Canary Isl. (Spain)</x:v>
      </x:c>
      <x:c r="C173" s="25" t="str">
        <x:v>eez</x:v>
      </x:c>
      <x:c r="D173" s="31" t="n">
        <x:v>2019</x:v>
      </x:c>
      <x:c r="E173" s="25" t="n">
        <x:v>3205</x:v>
      </x:c>
      <x:c r="F173" s="25" t="n">
        <x:v>174</x:v>
      </x:c>
      <x:c r="G173" s="32" t="n">
        <x:v>92826.4650597252</x:v>
      </x:c>
      <x:c r="H173" s="32" t="n">
        <x:v>92826.46505972519</x:v>
      </x:c>
      <x:c r="I173" s="32" t="n">
        <x:v>-1.4551915228366852e-11</x:v>
      </x:c>
      <x:c r="J173" s="36" t="b">
        <x:v>1</x:v>
      </x:c>
      <x:c r="K173" s="25" t="str">
        <x:v>available</x:v>
      </x:c>
    </x:row>
    <x:row r="174" ht="18" customHeight="1">
      <x:c r="A174" s="25" t="str">
        <x:v>EEZ_736</x:v>
      </x:c>
      <x:c r="B174" s="25" t="str">
        <x:v>Sudan</x:v>
      </x:c>
      <x:c r="C174" s="25" t="str">
        <x:v>eez</x:v>
      </x:c>
      <x:c r="D174" s="31" t="n">
        <x:v>2019</x:v>
      </x:c>
      <x:c r="E174" s="25" t="n">
        <x:v>26</x:v>
      </x:c>
      <x:c r="F174" s="25" t="n">
        <x:v>9</x:v>
      </x:c>
      <x:c r="G174" s="32" t="n">
        <x:v>1903.8009104609998</x:v>
      </x:c>
      <x:c r="H174" s="32" t="n">
        <x:v>1903.800910461</x:v>
      </x:c>
      <x:c r="I174" s="32" t="n">
        <x:v>2.2737367544323206e-13</x:v>
      </x:c>
      <x:c r="J174" s="36" t="b">
        <x:v>1</x:v>
      </x:c>
      <x:c r="K174" s="25" t="str">
        <x:v>available</x:v>
      </x:c>
    </x:row>
    <x:row r="175" ht="18" customHeight="1">
      <x:c r="A175" s="25" t="str">
        <x:v>EEZ_740</x:v>
      </x:c>
      <x:c r="B175" s="25" t="str">
        <x:v>Suriname</x:v>
      </x:c>
      <x:c r="C175" s="25" t="str">
        <x:v>eez</x:v>
      </x:c>
      <x:c r="D175" s="31" t="n">
        <x:v>2019</x:v>
      </x:c>
      <x:c r="E175" s="25" t="n">
        <x:v>390</x:v>
      </x:c>
      <x:c r="F175" s="25" t="n">
        <x:v>80</x:v>
      </x:c>
      <x:c r="G175" s="32" t="n">
        <x:v>58397.2558737715</x:v>
      </x:c>
      <x:c r="H175" s="32" t="n">
        <x:v>58397.2558737715</x:v>
      </x:c>
      <x:c r="I175" s="32" t="n">
        <x:v>0</x:v>
      </x:c>
      <x:c r="J175" s="36" t="b">
        <x:v>1</x:v>
      </x:c>
      <x:c r="K175" s="25" t="str">
        <x:v>available</x:v>
      </x:c>
    </x:row>
    <x:row r="176" ht="18" customHeight="1">
      <x:c r="A176" s="25" t="str">
        <x:v>EEZ_744</x:v>
      </x:c>
      <x:c r="B176" s="25" t="str">
        <x:v>Svalbard Isl. (Norway)</x:v>
      </x:c>
      <x:c r="C176" s="25" t="str">
        <x:v>eez</x:v>
      </x:c>
      <x:c r="D176" s="31" t="n">
        <x:v>2019</x:v>
      </x:c>
      <x:c r="E176" s="25" t="n">
        <x:v>728</x:v>
      </x:c>
      <x:c r="F176" s="25" t="n">
        <x:v>62</x:v>
      </x:c>
      <x:c r="G176" s="32" t="n">
        <x:v>219891.4498277699</x:v>
      </x:c>
      <x:c r="H176" s="32" t="n">
        <x:v>219891.44982776986</x:v>
      </x:c>
      <x:c r="I176" s="32" t="n">
        <x:v>-2.9103830456733704e-11</x:v>
      </x:c>
      <x:c r="J176" s="36" t="b">
        <x:v>1</x:v>
      </x:c>
      <x:c r="K176" s="25" t="str">
        <x:v>available</x:v>
      </x:c>
    </x:row>
    <x:row r="177" ht="18" customHeight="1">
      <x:c r="A177" s="25" t="str">
        <x:v>EEZ_760</x:v>
      </x:c>
      <x:c r="B177" s="25" t="str">
        <x:v>Syria</x:v>
      </x:c>
      <x:c r="C177" s="25" t="str">
        <x:v>eez</x:v>
      </x:c>
      <x:c r="D177" s="31" t="n">
        <x:v>2019</x:v>
      </x:c>
      <x:c r="E177" s="25" t="n">
        <x:v>350</x:v>
      </x:c>
      <x:c r="F177" s="25" t="n">
        <x:v>51</x:v>
      </x:c>
      <x:c r="G177" s="32" t="n">
        <x:v>4003.3374784953003</x:v>
      </x:c>
      <x:c r="H177" s="32" t="n">
        <x:v>4003.3374784953</x:v>
      </x:c>
      <x:c r="I177" s="32" t="n">
        <x:v>-4.547473508864641e-13</x:v>
      </x:c>
      <x:c r="J177" s="36" t="b">
        <x:v>1</x:v>
      </x:c>
      <x:c r="K177" s="25" t="str">
        <x:v>available</x:v>
      </x:c>
    </x:row>
    <x:row r="178" ht="18" customHeight="1">
      <x:c r="A178" s="25" t="str">
        <x:v>EEZ_768</x:v>
      </x:c>
      <x:c r="B178" s="25" t="str">
        <x:v>Togo</x:v>
      </x:c>
      <x:c r="C178" s="25" t="str">
        <x:v>eez</x:v>
      </x:c>
      <x:c r="D178" s="31" t="n">
        <x:v>2019</x:v>
      </x:c>
      <x:c r="E178" s="25" t="n">
        <x:v>645</x:v>
      </x:c>
      <x:c r="F178" s="25" t="n">
        <x:v>129</x:v>
      </x:c>
      <x:c r="G178" s="32" t="n">
        <x:v>51334.51177780791</x:v>
      </x:c>
      <x:c r="H178" s="32" t="n">
        <x:v>51334.51177780791</x:v>
      </x:c>
      <x:c r="I178" s="32" t="n">
        <x:v>0</x:v>
      </x:c>
      <x:c r="J178" s="36" t="b">
        <x:v>1</x:v>
      </x:c>
      <x:c r="K178" s="25" t="str">
        <x:v>available</x:v>
      </x:c>
    </x:row>
    <x:row r="179" ht="18" customHeight="1">
      <x:c r="A179" s="25" t="str">
        <x:v>EEZ_772</x:v>
      </x:c>
      <x:c r="B179" s="25" t="str">
        <x:v>Tokelau (New Zealand)</x:v>
      </x:c>
      <x:c r="C179" s="25" t="str">
        <x:v>eez</x:v>
      </x:c>
      <x:c r="D179" s="31" t="n">
        <x:v>2019</x:v>
      </x:c>
      <x:c r="E179" s="25" t="n">
        <x:v>484</x:v>
      </x:c>
      <x:c r="F179" s="25" t="n">
        <x:v>29</x:v>
      </x:c>
      <x:c r="G179" s="32" t="n">
        <x:v>9835.3636877018</x:v>
      </x:c>
      <x:c r="H179" s="32" t="n">
        <x:v>9835.3636877018</x:v>
      </x:c>
      <x:c r="I179" s="32" t="n">
        <x:v>0</x:v>
      </x:c>
      <x:c r="J179" s="36" t="b">
        <x:v>1</x:v>
      </x:c>
      <x:c r="K179" s="25" t="str">
        <x:v>available</x:v>
      </x:c>
    </x:row>
    <x:row r="180" ht="18" customHeight="1">
      <x:c r="A180" s="25" t="str">
        <x:v>EEZ_776</x:v>
      </x:c>
      <x:c r="B180" s="25" t="str">
        <x:v>Tonga</x:v>
      </x:c>
      <x:c r="C180" s="25" t="str">
        <x:v>eez</x:v>
      </x:c>
      <x:c r="D180" s="31" t="n">
        <x:v>2019</x:v>
      </x:c>
      <x:c r="E180" s="25" t="n">
        <x:v>550</x:v>
      </x:c>
      <x:c r="F180" s="25" t="n">
        <x:v>86</x:v>
      </x:c>
      <x:c r="G180" s="32" t="n">
        <x:v>14542.412200733399</x:v>
      </x:c>
      <x:c r="H180" s="32" t="n">
        <x:v>14542.4122007334</x:v>
      </x:c>
      <x:c r="I180" s="32" t="n">
        <x:v>1.8189894035458565e-12</x:v>
      </x:c>
      <x:c r="J180" s="36" t="b">
        <x:v>1</x:v>
      </x:c>
      <x:c r="K180" s="25" t="str">
        <x:v>available</x:v>
      </x:c>
    </x:row>
    <x:row r="181" ht="18" customHeight="1">
      <x:c r="A181" s="25" t="str">
        <x:v>EEZ_780</x:v>
      </x:c>
      <x:c r="B181" s="25" t="str">
        <x:v>Trinidad &amp; Tobago</x:v>
      </x:c>
      <x:c r="C181" s="25" t="str">
        <x:v>eez</x:v>
      </x:c>
      <x:c r="D181" s="31" t="n">
        <x:v>2019</x:v>
      </x:c>
      <x:c r="E181" s="25" t="n">
        <x:v>573</x:v>
      </x:c>
      <x:c r="F181" s="25" t="n">
        <x:v>97</x:v>
      </x:c>
      <x:c r="G181" s="32" t="n">
        <x:v>19523.2185592658</x:v>
      </x:c>
      <x:c r="H181" s="32" t="n">
        <x:v>19523.218559265802</x:v>
      </x:c>
      <x:c r="I181" s="32" t="n">
        <x:v>3.637978807091713e-12</x:v>
      </x:c>
      <x:c r="J181" s="36" t="b">
        <x:v>1</x:v>
      </x:c>
      <x:c r="K181" s="25" t="str">
        <x:v>available</x:v>
      </x:c>
    </x:row>
    <x:row r="182" ht="18" customHeight="1">
      <x:c r="A182" s="25" t="str">
        <x:v>EEZ_784</x:v>
      </x:c>
      <x:c r="B182" s="25" t="str">
        <x:v>United Arab Emirates</x:v>
      </x:c>
      <x:c r="C182" s="25" t="str">
        <x:v>eez</x:v>
      </x:c>
      <x:c r="D182" s="31" t="n">
        <x:v>2019</x:v>
      </x:c>
      <x:c r="E182" s="25" t="n">
        <x:v>632</x:v>
      </x:c>
      <x:c r="F182" s="25" t="n">
        <x:v>42</x:v>
      </x:c>
      <x:c r="G182" s="32" t="n">
        <x:v>49925.3333488044</x:v>
      </x:c>
      <x:c r="H182" s="32" t="n">
        <x:v>49925.33334880439</x:v>
      </x:c>
      <x:c r="I182" s="32" t="n">
        <x:v>-7.275957614183426e-12</x:v>
      </x:c>
      <x:c r="J182" s="36" t="b">
        <x:v>1</x:v>
      </x:c>
      <x:c r="K182" s="25" t="str">
        <x:v>available</x:v>
      </x:c>
    </x:row>
    <x:row r="183" ht="18" customHeight="1">
      <x:c r="A183" s="25" t="str">
        <x:v>EEZ_788</x:v>
      </x:c>
      <x:c r="B183" s="25" t="str">
        <x:v>Tunisia</x:v>
      </x:c>
      <x:c r="C183" s="25" t="str">
        <x:v>eez</x:v>
      </x:c>
      <x:c r="D183" s="31" t="n">
        <x:v>2019</x:v>
      </x:c>
      <x:c r="E183" s="25" t="n">
        <x:v>2505</x:v>
      </x:c>
      <x:c r="F183" s="25" t="n">
        <x:v>167</x:v>
      </x:c>
      <x:c r="G183" s="32" t="n">
        <x:v>133288.5662711512</x:v>
      </x:c>
      <x:c r="H183" s="32" t="n">
        <x:v>133288.5662711512</x:v>
      </x:c>
      <x:c r="I183" s="32" t="n">
        <x:v>0</x:v>
      </x:c>
      <x:c r="J183" s="36" t="b">
        <x:v>1</x:v>
      </x:c>
      <x:c r="K183" s="25" t="str">
        <x:v>available</x:v>
      </x:c>
    </x:row>
    <x:row r="184" ht="18" customHeight="1">
      <x:c r="A184" s="25" t="str">
        <x:v>EEZ_793</x:v>
      </x:c>
      <x:c r="B184" s="25" t="str">
        <x:v>Türkiye (Mediterranean Sea)</x:v>
      </x:c>
      <x:c r="C184" s="25" t="str">
        <x:v>eez</x:v>
      </x:c>
      <x:c r="D184" s="31" t="n">
        <x:v>2019</x:v>
      </x:c>
      <x:c r="E184" s="25" t="n">
        <x:v>2407</x:v>
      </x:c>
      <x:c r="F184" s="25" t="n">
        <x:v>92</x:v>
      </x:c>
      <x:c r="G184" s="32" t="n">
        <x:v>87055.4164278193</x:v>
      </x:c>
      <x:c r="H184" s="32" t="n">
        <x:v>87055.4164278193</x:v>
      </x:c>
      <x:c r="I184" s="32" t="n">
        <x:v>0</x:v>
      </x:c>
      <x:c r="J184" s="36" t="b">
        <x:v>1</x:v>
      </x:c>
      <x:c r="K184" s="25" t="str">
        <x:v>available</x:v>
      </x:c>
    </x:row>
    <x:row r="185" ht="18" customHeight="1">
      <x:c r="A185" s="25" t="str">
        <x:v>EEZ_794</x:v>
      </x:c>
      <x:c r="B185" s="25" t="str">
        <x:v>Türkiye (Black Sea)</x:v>
      </x:c>
      <x:c r="C185" s="25" t="str">
        <x:v>eez</x:v>
      </x:c>
      <x:c r="D185" s="31" t="n">
        <x:v>2019</x:v>
      </x:c>
      <x:c r="E185" s="25" t="n">
        <x:v>1263</x:v>
      </x:c>
      <x:c r="F185" s="25" t="n">
        <x:v>49</x:v>
      </x:c>
      <x:c r="G185" s="32" t="n">
        <x:v>557210.7803783924</x:v>
      </x:c>
      <x:c r="H185" s="32" t="n">
        <x:v>557210.7803783924</x:v>
      </x:c>
      <x:c r="I185" s="32" t="n">
        <x:v>0</x:v>
      </x:c>
      <x:c r="J185" s="36" t="b">
        <x:v>1</x:v>
      </x:c>
      <x:c r="K185" s="25" t="str">
        <x:v>available</x:v>
      </x:c>
    </x:row>
    <x:row r="186" ht="18" customHeight="1">
      <x:c r="A186" s="25" t="str">
        <x:v>EEZ_796</x:v>
      </x:c>
      <x:c r="B186" s="25" t="str">
        <x:v>Turks &amp; Caicos Isl. (GBR)</x:v>
      </x:c>
      <x:c r="C186" s="25" t="str">
        <x:v>eez</x:v>
      </x:c>
      <x:c r="D186" s="31" t="n">
        <x:v>2019</x:v>
      </x:c>
      <x:c r="E186" s="25" t="n">
        <x:v>78</x:v>
      </x:c>
      <x:c r="F186" s="25" t="n">
        <x:v>21</x:v>
      </x:c>
      <x:c r="G186" s="32" t="n">
        <x:v>7446.6790168085</x:v>
      </x:c>
      <x:c r="H186" s="32" t="n">
        <x:v>7446.679016808501</x:v>
      </x:c>
      <x:c r="I186" s="32" t="n">
        <x:v>9.094947017729282e-13</x:v>
      </x:c>
      <x:c r="J186" s="36" t="b">
        <x:v>1</x:v>
      </x:c>
      <x:c r="K186" s="25" t="str">
        <x:v>available</x:v>
      </x:c>
    </x:row>
    <x:row r="187" ht="18" customHeight="1">
      <x:c r="A187" s="25" t="str">
        <x:v>EEZ_798</x:v>
      </x:c>
      <x:c r="B187" s="25" t="str">
        <x:v>Tuvalu</x:v>
      </x:c>
      <x:c r="C187" s="25" t="str">
        <x:v>eez</x:v>
      </x:c>
      <x:c r="D187" s="31" t="n">
        <x:v>2019</x:v>
      </x:c>
      <x:c r="E187" s="25" t="n">
        <x:v>718</x:v>
      </x:c>
      <x:c r="F187" s="25" t="n">
        <x:v>46</x:v>
      </x:c>
      <x:c r="G187" s="32" t="n">
        <x:v>145109.28727910868</x:v>
      </x:c>
      <x:c r="H187" s="32" t="n">
        <x:v>145109.28727910874</x:v>
      </x:c>
      <x:c r="I187" s="32" t="n">
        <x:v>5.820766091346741e-11</x:v>
      </x:c>
      <x:c r="J187" s="36" t="b">
        <x:v>1</x:v>
      </x:c>
      <x:c r="K187" s="25" t="str">
        <x:v>available</x:v>
      </x:c>
    </x:row>
    <x:row r="188" ht="18" customHeight="1">
      <x:c r="A188" s="25" t="str">
        <x:v>EEZ_804</x:v>
      </x:c>
      <x:c r="B188" s="25" t="str">
        <x:v>Ukraine</x:v>
      </x:c>
      <x:c r="C188" s="25" t="str">
        <x:v>eez</x:v>
      </x:c>
      <x:c r="D188" s="31" t="n">
        <x:v>2019</x:v>
      </x:c>
      <x:c r="E188" s="25" t="n">
        <x:v>285</x:v>
      </x:c>
      <x:c r="F188" s="25" t="n">
        <x:v>28</x:v>
      </x:c>
      <x:c r="G188" s="32" t="n">
        <x:v>65903.7240236569</x:v>
      </x:c>
      <x:c r="H188" s="32" t="n">
        <x:v>65903.7240236569</x:v>
      </x:c>
      <x:c r="I188" s="32" t="n">
        <x:v>0</x:v>
      </x:c>
      <x:c r="J188" s="36" t="b">
        <x:v>1</x:v>
      </x:c>
      <x:c r="K188" s="25" t="str">
        <x:v>available</x:v>
      </x:c>
    </x:row>
    <x:row r="189" ht="18" customHeight="1">
      <x:c r="A189" s="25" t="str">
        <x:v>EEZ_826</x:v>
      </x:c>
      <x:c r="B189" s="25" t="str">
        <x:v>United Kingdom (GBR)</x:v>
      </x:c>
      <x:c r="C189" s="25" t="str">
        <x:v>eez</x:v>
      </x:c>
      <x:c r="D189" s="31" t="n">
        <x:v>2019</x:v>
      </x:c>
      <x:c r="E189" s="25" t="n">
        <x:v>8867</x:v>
      </x:c>
      <x:c r="F189" s="25" t="n">
        <x:v>346</x:v>
      </x:c>
      <x:c r="G189" s="32" t="n">
        <x:v>1714264.7493178481</x:v>
      </x:c>
      <x:c r="H189" s="32" t="n">
        <x:v>1714264.7493178481</x:v>
      </x:c>
      <x:c r="I189" s="32" t="n">
        <x:v>0</x:v>
      </x:c>
      <x:c r="J189" s="36" t="b">
        <x:v>1</x:v>
      </x:c>
      <x:c r="K189" s="25" t="str">
        <x:v>available</x:v>
      </x:c>
    </x:row>
    <x:row r="190" ht="18" customHeight="1">
      <x:c r="A190" s="25" t="str">
        <x:v>EEZ_830</x:v>
      </x:c>
      <x:c r="B190" s="25" t="str">
        <x:v>Channel Isl. (GBR)</x:v>
      </x:c>
      <x:c r="C190" s="25" t="str">
        <x:v>eez</x:v>
      </x:c>
      <x:c r="D190" s="31" t="n">
        <x:v>2019</x:v>
      </x:c>
      <x:c r="E190" s="25" t="n">
        <x:v>3294</x:v>
      </x:c>
      <x:c r="F190" s="25" t="n">
        <x:v>263</x:v>
      </x:c>
      <x:c r="G190" s="32" t="n">
        <x:v>13336.3851663309</x:v>
      </x:c>
      <x:c r="H190" s="32" t="n">
        <x:v>13336.3851663309</x:v>
      </x:c>
      <x:c r="I190" s="32" t="n">
        <x:v>0</x:v>
      </x:c>
      <x:c r="J190" s="36" t="b">
        <x:v>1</x:v>
      </x:c>
      <x:c r="K190" s="25" t="str">
        <x:v>available</x:v>
      </x:c>
    </x:row>
    <x:row r="191" ht="18" customHeight="1">
      <x:c r="A191" s="25" t="str">
        <x:v>EEZ_834</x:v>
      </x:c>
      <x:c r="B191" s="25" t="str">
        <x:v>Tanzania</x:v>
      </x:c>
      <x:c r="C191" s="25" t="str">
        <x:v>eez</x:v>
      </x:c>
      <x:c r="D191" s="31" t="n">
        <x:v>2019</x:v>
      </x:c>
      <x:c r="E191" s="25" t="n">
        <x:v>733</x:v>
      </x:c>
      <x:c r="F191" s="25" t="n">
        <x:v>112</x:v>
      </x:c>
      <x:c r="G191" s="32" t="n">
        <x:v>129515.2312113136</x:v>
      </x:c>
      <x:c r="H191" s="32" t="n">
        <x:v>129515.2312113136</x:v>
      </x:c>
      <x:c r="I191" s="32" t="n">
        <x:v>0</x:v>
      </x:c>
      <x:c r="J191" s="36" t="b">
        <x:v>1</x:v>
      </x:c>
      <x:c r="K191" s="25" t="str">
        <x:v>available</x:v>
      </x:c>
    </x:row>
    <x:row r="192" ht="18" customHeight="1">
      <x:c r="A192" s="25" t="str">
        <x:v>EEZ_842</x:v>
      </x:c>
      <x:c r="B192" s="25" t="str">
        <x:v>Hawaii Main Isl. (USA)</x:v>
      </x:c>
      <x:c r="C192" s="25" t="str">
        <x:v>eez</x:v>
      </x:c>
      <x:c r="D192" s="31" t="n">
        <x:v>2019</x:v>
      </x:c>
      <x:c r="E192" s="25" t="n">
        <x:v>628</x:v>
      </x:c>
      <x:c r="F192" s="25" t="n">
        <x:v>140</x:v>
      </x:c>
      <x:c r="G192" s="32" t="n">
        <x:v>22486.186575207197</x:v>
      </x:c>
      <x:c r="H192" s="32" t="n">
        <x:v>22486.186575207197</x:v>
      </x:c>
      <x:c r="I192" s="32" t="n">
        <x:v>0</x:v>
      </x:c>
      <x:c r="J192" s="36" t="b">
        <x:v>1</x:v>
      </x:c>
      <x:c r="K192" s="25" t="str">
        <x:v>available</x:v>
      </x:c>
    </x:row>
    <x:row r="193" ht="18" customHeight="1">
      <x:c r="A193" s="25" t="str">
        <x:v>EEZ_844</x:v>
      </x:c>
      <x:c r="B193" s="25" t="str">
        <x:v>Palmyra Atoll &amp; Kingman Reef (USA)</x:v>
      </x:c>
      <x:c r="C193" s="25" t="str">
        <x:v>eez</x:v>
      </x:c>
      <x:c r="D193" s="31" t="n">
        <x:v>2019</x:v>
      </x:c>
      <x:c r="E193" s="25" t="n">
        <x:v>38</x:v>
      </x:c>
      <x:c r="F193" s="25" t="n">
        <x:v>17</x:v>
      </x:c>
      <x:c r="G193" s="32" t="n">
        <x:v>280.5961402573001</x:v>
      </x:c>
      <x:c r="H193" s="32" t="n">
        <x:v>280.5961402573</x:v>
      </x:c>
      <x:c r="I193" s="32" t="n">
        <x:v>-5.684341886080802e-14</x:v>
      </x:c>
      <x:c r="J193" s="36" t="b">
        <x:v>1</x:v>
      </x:c>
      <x:c r="K193" s="25" t="str">
        <x:v>available</x:v>
      </x:c>
    </x:row>
    <x:row r="194" ht="18" customHeight="1">
      <x:c r="A194" s="25" t="str">
        <x:v>EEZ_845</x:v>
      </x:c>
      <x:c r="B194" s="25" t="str">
        <x:v>Jarvis Isl. (USA)</x:v>
      </x:c>
      <x:c r="C194" s="25" t="str">
        <x:v>eez</x:v>
      </x:c>
      <x:c r="D194" s="31" t="n">
        <x:v>2019</x:v>
      </x:c>
      <x:c r="E194" s="25" t="n">
        <x:v>38</x:v>
      </x:c>
      <x:c r="F194" s="25" t="n">
        <x:v>17</x:v>
      </x:c>
      <x:c r="G194" s="32" t="n">
        <x:v>3423.530859589999</x:v>
      </x:c>
      <x:c r="H194" s="32" t="n">
        <x:v>3423.53085959</x:v>
      </x:c>
      <x:c r="I194" s="32" t="n">
        <x:v>9.094947017729282e-13</x:v>
      </x:c>
      <x:c r="J194" s="36" t="b">
        <x:v>1</x:v>
      </x:c>
      <x:c r="K194" s="25" t="str">
        <x:v>available</x:v>
      </x:c>
    </x:row>
    <x:row r="195" ht="18" customHeight="1">
      <x:c r="A195" s="25" t="str">
        <x:v>EEZ_846</x:v>
      </x:c>
      <x:c r="B195" s="25" t="str">
        <x:v>Howland &amp; Baker Isl. (USA)</x:v>
      </x:c>
      <x:c r="C195" s="25" t="str">
        <x:v>eez</x:v>
      </x:c>
      <x:c r="D195" s="31" t="n">
        <x:v>2019</x:v>
      </x:c>
      <x:c r="E195" s="25" t="n">
        <x:v>62</x:v>
      </x:c>
      <x:c r="F195" s="25" t="n">
        <x:v>18</x:v>
      </x:c>
      <x:c r="G195" s="32" t="n">
        <x:v>4352.1546382121</x:v>
      </x:c>
      <x:c r="H195" s="32" t="n">
        <x:v>4352.1546382121</x:v>
      </x:c>
      <x:c r="I195" s="32" t="n">
        <x:v>0</x:v>
      </x:c>
      <x:c r="J195" s="36" t="b">
        <x:v>1</x:v>
      </x:c>
      <x:c r="K195" s="25" t="str">
        <x:v>available</x:v>
      </x:c>
    </x:row>
    <x:row r="196" ht="18" customHeight="1">
      <x:c r="A196" s="25" t="str">
        <x:v>EEZ_848</x:v>
      </x:c>
      <x:c r="B196" s="25" t="str">
        <x:v>USA (West Coast)</x:v>
      </x:c>
      <x:c r="C196" s="25" t="str">
        <x:v>eez</x:v>
      </x:c>
      <x:c r="D196" s="31" t="n">
        <x:v>2019</x:v>
      </x:c>
      <x:c r="E196" s="25" t="n">
        <x:v>1746</x:v>
      </x:c>
      <x:c r="F196" s="25" t="n">
        <x:v>185</x:v>
      </x:c>
      <x:c r="G196" s="32" t="n">
        <x:v>480242.05511345965</x:v>
      </x:c>
      <x:c r="H196" s="32" t="n">
        <x:v>480242.0551134597</x:v>
      </x:c>
      <x:c r="I196" s="32" t="n">
        <x:v>5.820766091346741e-11</x:v>
      </x:c>
      <x:c r="J196" s="36" t="b">
        <x:v>1</x:v>
      </x:c>
      <x:c r="K196" s="25" t="str">
        <x:v>available</x:v>
      </x:c>
    </x:row>
    <x:row r="197" ht="18" customHeight="1">
      <x:c r="A197" s="25" t="str">
        <x:v>EEZ_850</x:v>
      </x:c>
      <x:c r="B197" s="25" t="str">
        <x:v>US Virgin Isl. (USA)</x:v>
      </x:c>
      <x:c r="C197" s="25" t="str">
        <x:v>eez</x:v>
      </x:c>
      <x:c r="D197" s="31" t="n">
        <x:v>2019</x:v>
      </x:c>
      <x:c r="E197" s="25" t="n">
        <x:v>72</x:v>
      </x:c>
      <x:c r="F197" s="25" t="n">
        <x:v>21</x:v>
      </x:c>
      <x:c r="G197" s="32" t="n">
        <x:v>385.479066669</x:v>
      </x:c>
      <x:c r="H197" s="32" t="n">
        <x:v>385.47906666899996</x:v>
      </x:c>
      <x:c r="I197" s="32" t="n">
        <x:v>-5.684341886080802e-14</x:v>
      </x:c>
      <x:c r="J197" s="36" t="b">
        <x:v>1</x:v>
      </x:c>
      <x:c r="K197" s="25" t="str">
        <x:v>available</x:v>
      </x:c>
    </x:row>
    <x:row r="198" ht="18" customHeight="1">
      <x:c r="A198" s="25" t="str">
        <x:v>EEZ_851</x:v>
      </x:c>
      <x:c r="B198" s="25" t="str">
        <x:v>USA (East Coast)</x:v>
      </x:c>
      <x:c r="C198" s="25" t="str">
        <x:v>eez</x:v>
      </x:c>
      <x:c r="D198" s="31" t="n">
        <x:v>2019</x:v>
      </x:c>
      <x:c r="E198" s="25" t="n">
        <x:v>9237</x:v>
      </x:c>
      <x:c r="F198" s="25" t="n">
        <x:v>352</x:v>
      </x:c>
      <x:c r="G198" s="32" t="n">
        <x:v>1002996.0875079746</x:v>
      </x:c>
      <x:c r="H198" s="32" t="n">
        <x:v>1002996.0875079748</x:v>
      </x:c>
      <x:c r="I198" s="32" t="n">
        <x:v>2.3283064365386963e-10</x:v>
      </x:c>
      <x:c r="J198" s="36" t="b">
        <x:v>1</x:v>
      </x:c>
      <x:c r="K198" s="25" t="str">
        <x:v>available</x:v>
      </x:c>
    </x:row>
    <x:row r="199" ht="18" customHeight="1">
      <x:c r="A199" s="25" t="str">
        <x:v>EEZ_852</x:v>
      </x:c>
      <x:c r="B199" s="25" t="str">
        <x:v>USA (Gulf of Mexico)</x:v>
      </x:c>
      <x:c r="C199" s="25" t="str">
        <x:v>eez</x:v>
      </x:c>
      <x:c r="D199" s="31" t="n">
        <x:v>2019</x:v>
      </x:c>
      <x:c r="E199" s="25" t="n">
        <x:v>10280</x:v>
      </x:c>
      <x:c r="F199" s="25" t="n">
        <x:v>375</x:v>
      </x:c>
      <x:c r="G199" s="32" t="n">
        <x:v>1104194.026503118</x:v>
      </x:c>
      <x:c r="H199" s="32" t="n">
        <x:v>1104194.026503118</x:v>
      </x:c>
      <x:c r="I199" s="32" t="n">
        <x:v>0</x:v>
      </x:c>
      <x:c r="J199" s="36" t="b">
        <x:v>1</x:v>
      </x:c>
      <x:c r="K199" s="25" t="str">
        <x:v>available</x:v>
      </x:c>
    </x:row>
    <x:row r="200" ht="18" customHeight="1">
      <x:c r="A200" s="25" t="str">
        <x:v>EEZ_855</x:v>
      </x:c>
      <x:c r="B200" s="25" t="str">
        <x:v>Ascension Isl. (GBR)</x:v>
      </x:c>
      <x:c r="C200" s="25" t="str">
        <x:v>eez</x:v>
      </x:c>
      <x:c r="D200" s="31" t="n">
        <x:v>2019</x:v>
      </x:c>
      <x:c r="E200" s="25" t="n">
        <x:v>10</x:v>
      </x:c>
      <x:c r="F200" s="25" t="n">
        <x:v>10</x:v>
      </x:c>
      <x:c r="G200" s="32" t="n">
        <x:v>32.764000003999996</x:v>
      </x:c>
      <x:c r="H200" s="32" t="n">
        <x:v>32.764000004</x:v>
      </x:c>
      <x:c r="I200" s="32" t="n">
        <x:v>7.105427357601002e-15</x:v>
      </x:c>
      <x:c r="J200" s="36" t="b">
        <x:v>1</x:v>
      </x:c>
      <x:c r="K200" s="25" t="str">
        <x:v>available</x:v>
      </x:c>
    </x:row>
    <x:row r="201" ht="18" customHeight="1">
      <x:c r="A201" s="25" t="str">
        <x:v>EEZ_856</x:v>
      </x:c>
      <x:c r="B201" s="25" t="str">
        <x:v>Tristan da Cunha Isl. (GBR)</x:v>
      </x:c>
      <x:c r="C201" s="25" t="str">
        <x:v>eez</x:v>
      </x:c>
      <x:c r="D201" s="31" t="n">
        <x:v>2019</x:v>
      </x:c>
      <x:c r="E201" s="25" t="n">
        <x:v>20</x:v>
      </x:c>
      <x:c r="F201" s="25" t="n">
        <x:v>9</x:v>
      </x:c>
      <x:c r="G201" s="32" t="n">
        <x:v>733.0059081888</x:v>
      </x:c>
      <x:c r="H201" s="32" t="n">
        <x:v>733.0059081887999</x:v>
      </x:c>
      <x:c r="I201" s="32" t="n">
        <x:v>-1.1368683772161603e-13</x:v>
      </x:c>
      <x:c r="J201" s="36" t="b">
        <x:v>1</x:v>
      </x:c>
      <x:c r="K201" s="25" t="str">
        <x:v>available</x:v>
      </x:c>
    </x:row>
    <x:row r="202" ht="18" customHeight="1">
      <x:c r="A202" s="25" t="str">
        <x:v>EEZ_858</x:v>
      </x:c>
      <x:c r="B202" s="25" t="str">
        <x:v>Uruguay</x:v>
      </x:c>
      <x:c r="C202" s="25" t="str">
        <x:v>eez</x:v>
      </x:c>
      <x:c r="D202" s="31" t="n">
        <x:v>2019</x:v>
      </x:c>
      <x:c r="E202" s="25" t="n">
        <x:v>392</x:v>
      </x:c>
      <x:c r="F202" s="25" t="n">
        <x:v>60</x:v>
      </x:c>
      <x:c r="G202" s="32" t="n">
        <x:v>107838.99386809541</x:v>
      </x:c>
      <x:c r="H202" s="32" t="n">
        <x:v>107838.9938680954</x:v>
      </x:c>
      <x:c r="I202" s="32" t="n">
        <x:v>-1.4551915228366852e-11</x:v>
      </x:c>
      <x:c r="J202" s="36" t="b">
        <x:v>1</x:v>
      </x:c>
      <x:c r="K202" s="25" t="str">
        <x:v>available</x:v>
      </x:c>
    </x:row>
    <x:row r="203" ht="18" customHeight="1">
      <x:c r="A203" s="25" t="str">
        <x:v>EEZ_862</x:v>
      </x:c>
      <x:c r="B203" s="25" t="str">
        <x:v>Venezuela</x:v>
      </x:c>
      <x:c r="C203" s="25" t="str">
        <x:v>eez</x:v>
      </x:c>
      <x:c r="D203" s="31" t="n">
        <x:v>2019</x:v>
      </x:c>
      <x:c r="E203" s="25" t="n">
        <x:v>1057</x:v>
      </x:c>
      <x:c r="F203" s="25" t="n">
        <x:v>153</x:v>
      </x:c>
      <x:c r="G203" s="32" t="n">
        <x:v>306380.438267835</x:v>
      </x:c>
      <x:c r="H203" s="32" t="n">
        <x:v>306380.43826783495</x:v>
      </x:c>
      <x:c r="I203" s="32" t="n">
        <x:v>-5.820766091346741e-11</x:v>
      </x:c>
      <x:c r="J203" s="36" t="b">
        <x:v>1</x:v>
      </x:c>
      <x:c r="K203" s="25" t="str">
        <x:v>available</x:v>
      </x:c>
    </x:row>
    <x:row r="204" ht="18" customHeight="1">
      <x:c r="A204" s="25" t="str">
        <x:v>EEZ_872</x:v>
      </x:c>
      <x:c r="B204" s="25" t="str">
        <x:v>Wake Isl. (USA)</x:v>
      </x:c>
      <x:c r="C204" s="25" t="str">
        <x:v>eez</x:v>
      </x:c>
      <x:c r="D204" s="31" t="n">
        <x:v>2019</x:v>
      </x:c>
      <x:c r="E204" s="25" t="n">
        <x:v>22</x:v>
      </x:c>
      <x:c r="F204" s="25" t="n">
        <x:v>13</x:v>
      </x:c>
      <x:c r="G204" s="32" t="n">
        <x:v>34.633787389199995</x:v>
      </x:c>
      <x:c r="H204" s="32" t="n">
        <x:v>34.633787389199995</x:v>
      </x:c>
      <x:c r="I204" s="32" t="n">
        <x:v>0</x:v>
      </x:c>
      <x:c r="J204" s="36" t="b">
        <x:v>1</x:v>
      </x:c>
      <x:c r="K204" s="25" t="str">
        <x:v>available</x:v>
      </x:c>
    </x:row>
    <x:row r="205" ht="18" customHeight="1">
      <x:c r="A205" s="25" t="str">
        <x:v>EEZ_876</x:v>
      </x:c>
      <x:c r="B205" s="25" t="str">
        <x:v>Wallis &amp; Futuna Isl. (France)</x:v>
      </x:c>
      <x:c r="C205" s="25" t="str">
        <x:v>eez</x:v>
      </x:c>
      <x:c r="D205" s="31" t="n">
        <x:v>2019</x:v>
      </x:c>
      <x:c r="E205" s="25" t="n">
        <x:v>284</x:v>
      </x:c>
      <x:c r="F205" s="25" t="n">
        <x:v>71</x:v>
      </x:c>
      <x:c r="G205" s="32" t="n">
        <x:v>971.0058082377</x:v>
      </x:c>
      <x:c r="H205" s="32" t="n">
        <x:v>971.0058082377</x:v>
      </x:c>
      <x:c r="I205" s="32" t="n">
        <x:v>0</x:v>
      </x:c>
      <x:c r="J205" s="36" t="b">
        <x:v>1</x:v>
      </x:c>
      <x:c r="K205" s="25" t="str">
        <x:v>available</x:v>
      </x:c>
    </x:row>
    <x:row r="206" ht="18" customHeight="1">
      <x:c r="A206" s="25" t="str">
        <x:v>EEZ_882</x:v>
      </x:c>
      <x:c r="B206" s="25" t="str">
        <x:v>Samoa</x:v>
      </x:c>
      <x:c r="C206" s="25" t="str">
        <x:v>eez</x:v>
      </x:c>
      <x:c r="D206" s="31" t="n">
        <x:v>2019</x:v>
      </x:c>
      <x:c r="E206" s="25" t="n">
        <x:v>588</x:v>
      </x:c>
      <x:c r="F206" s="25" t="n">
        <x:v>72</x:v>
      </x:c>
      <x:c r="G206" s="32" t="n">
        <x:v>13979.020508821599</x:v>
      </x:c>
      <x:c r="H206" s="32" t="n">
        <x:v>13979.020508821599</x:v>
      </x:c>
      <x:c r="I206" s="32" t="n">
        <x:v>0</x:v>
      </x:c>
      <x:c r="J206" s="36" t="b">
        <x:v>1</x:v>
      </x:c>
      <x:c r="K206" s="25" t="str">
        <x:v>available</x:v>
      </x:c>
    </x:row>
    <x:row r="207" ht="18" customHeight="1">
      <x:c r="A207" s="25" t="str">
        <x:v>EEZ_891</x:v>
      </x:c>
      <x:c r="B207" s="25" t="str">
        <x:v>Montenegro</x:v>
      </x:c>
      <x:c r="C207" s="25" t="str">
        <x:v>eez</x:v>
      </x:c>
      <x:c r="D207" s="31" t="n">
        <x:v>2019</x:v>
      </x:c>
      <x:c r="E207" s="25" t="n">
        <x:v>422</x:v>
      </x:c>
      <x:c r="F207" s="25" t="n">
        <x:v>70</x:v>
      </x:c>
      <x:c r="G207" s="32" t="n">
        <x:v>1698.0118630171</x:v>
      </x:c>
      <x:c r="H207" s="32" t="n">
        <x:v>1698.0118630171</x:v>
      </x:c>
      <x:c r="I207" s="32" t="n">
        <x:v>0</x:v>
      </x:c>
      <x:c r="J207" s="36" t="b">
        <x:v>1</x:v>
      </x:c>
      <x:c r="K207" s="25" t="str">
        <x:v>available</x:v>
      </x:c>
    </x:row>
    <x:row r="208" ht="18" customHeight="1">
      <x:c r="A208" s="25" t="str">
        <x:v>EEZ_895</x:v>
      </x:c>
      <x:c r="B208" s="25" t="str">
        <x:v>St Paul &amp; Amsterdam Isl. (France)</x:v>
      </x:c>
      <x:c r="C208" s="25" t="str">
        <x:v>eez</x:v>
      </x:c>
      <x:c r="D208" s="31" t="n">
        <x:v>2019</x:v>
      </x:c>
      <x:c r="E208" s="25" t="n">
        <x:v>10</x:v>
      </x:c>
      <x:c r="F208" s="25" t="n">
        <x:v>3</x:v>
      </x:c>
      <x:c r="G208" s="32" t="n">
        <x:v>497.3573467841</x:v>
      </x:c>
      <x:c r="H208" s="32" t="n">
        <x:v>497.3573467841</x:v>
      </x:c>
      <x:c r="I208" s="32" t="n">
        <x:v>0</x:v>
      </x:c>
      <x:c r="J208" s="36" t="b">
        <x:v>1</x:v>
      </x:c>
      <x:c r="K208" s="25" t="str">
        <x:v>available</x:v>
      </x:c>
    </x:row>
    <x:row r="209" ht="18" customHeight="1">
      <x:c r="A209" s="25" t="str">
        <x:v>EEZ_896</x:v>
      </x:c>
      <x:c r="B209" s="25" t="str">
        <x:v>Crozet Isl. (France)</x:v>
      </x:c>
      <x:c r="C209" s="25" t="str">
        <x:v>eez</x:v>
      </x:c>
      <x:c r="D209" s="31" t="n">
        <x:v>2019</x:v>
      </x:c>
      <x:c r="E209" s="25" t="n">
        <x:v>17</x:v>
      </x:c>
      <x:c r="F209" s="25" t="n">
        <x:v>7</x:v>
      </x:c>
      <x:c r="G209" s="32" t="n">
        <x:v>962.1183434891</x:v>
      </x:c>
      <x:c r="H209" s="32" t="n">
        <x:v>962.1183434890999</x:v>
      </x:c>
      <x:c r="I209" s="32" t="n">
        <x:v>-1.1368683772161603e-13</x:v>
      </x:c>
      <x:c r="J209" s="36" t="b">
        <x:v>1</x:v>
      </x:c>
      <x:c r="K209" s="25" t="str">
        <x:v>available</x:v>
      </x:c>
    </x:row>
    <x:row r="210" ht="18" customHeight="1">
      <x:c r="A210" s="25" t="str">
        <x:v>EEZ_897</x:v>
      </x:c>
      <x:c r="B210" s="25" t="str">
        <x:v>Kerguelen Isl. (France)</x:v>
      </x:c>
      <x:c r="C210" s="25" t="str">
        <x:v>eez</x:v>
      </x:c>
      <x:c r="D210" s="31" t="n">
        <x:v>2019</x:v>
      </x:c>
      <x:c r="E210" s="25" t="n">
        <x:v>16</x:v>
      </x:c>
      <x:c r="F210" s="25" t="n">
        <x:v>6</x:v>
      </x:c>
      <x:c r="G210" s="32" t="n">
        <x:v>5596.068903</x:v>
      </x:c>
      <x:c r="H210" s="32" t="n">
        <x:v>5596.068903</x:v>
      </x:c>
      <x:c r="I210" s="32" t="n">
        <x:v>0</x:v>
      </x:c>
      <x:c r="J210" s="36" t="b">
        <x:v>1</x:v>
      </x:c>
      <x:c r="K210" s="25" t="str">
        <x:v>available</x:v>
      </x:c>
    </x:row>
    <x:row r="211" ht="18" customHeight="1">
      <x:c r="A211" s="25" t="str">
        <x:v>EEZ_898</x:v>
      </x:c>
      <x:c r="B211" s="25" t="str">
        <x:v>Clipperton Isl. (France)</x:v>
      </x:c>
      <x:c r="C211" s="25" t="str">
        <x:v>eez</x:v>
      </x:c>
      <x:c r="D211" s="31" t="n">
        <x:v>2019</x:v>
      </x:c>
      <x:c r="E211" s="25" t="n">
        <x:v>83</x:v>
      </x:c>
      <x:c r="F211" s="25" t="n">
        <x:v>17</x:v>
      </x:c>
      <x:c r="G211" s="32" t="n">
        <x:v>5821.5688911778</x:v>
      </x:c>
      <x:c r="H211" s="32" t="n">
        <x:v>5821.568891177801</x:v>
      </x:c>
      <x:c r="I211" s="32" t="n">
        <x:v>9.094947017729282e-13</x:v>
      </x:c>
      <x:c r="J211" s="36" t="b">
        <x:v>1</x:v>
      </x:c>
      <x:c r="K211" s="25" t="str">
        <x:v>available</x:v>
      </x:c>
    </x:row>
    <x:row r="212" ht="18" customHeight="1">
      <x:c r="A212" s="25" t="str">
        <x:v>EEZ_899</x:v>
      </x:c>
      <x:c r="B212" s="25" t="str">
        <x:v>Corsica (France)</x:v>
      </x:c>
      <x:c r="C212" s="25" t="str">
        <x:v>eez</x:v>
      </x:c>
      <x:c r="D212" s="31" t="n">
        <x:v>2019</x:v>
      </x:c>
      <x:c r="E212" s="25" t="n">
        <x:v>1002</x:v>
      </x:c>
      <x:c r="F212" s="25" t="n">
        <x:v>114</x:v>
      </x:c>
      <x:c r="G212" s="32" t="n">
        <x:v>1565.0256591656998</x:v>
      </x:c>
      <x:c r="H212" s="32" t="n">
        <x:v>1565.0256591657</x:v>
      </x:c>
      <x:c r="I212" s="32" t="n">
        <x:v>2.2737367544323206e-13</x:v>
      </x:c>
      <x:c r="J212" s="36" t="b">
        <x:v>1</x:v>
      </x:c>
      <x:c r="K212" s="25" t="str">
        <x:v>available</x:v>
      </x:c>
    </x:row>
    <x:row r="213" ht="18" customHeight="1">
      <x:c r="A213" s="25" t="str">
        <x:v>EEZ_900</x:v>
      </x:c>
      <x:c r="B213" s="25" t="str">
        <x:v>Crete (Greece)</x:v>
      </x:c>
      <x:c r="C213" s="25" t="str">
        <x:v>eez</x:v>
      </x:c>
      <x:c r="D213" s="31" t="n">
        <x:v>2019</x:v>
      </x:c>
      <x:c r="E213" s="25" t="n">
        <x:v>998</x:v>
      </x:c>
      <x:c r="F213" s="25" t="n">
        <x:v>73</x:v>
      </x:c>
      <x:c r="G213" s="32" t="n">
        <x:v>3619.1201016588</x:v>
      </x:c>
      <x:c r="H213" s="32" t="n">
        <x:v>3619.1201016588</x:v>
      </x:c>
      <x:c r="I213" s="32" t="n">
        <x:v>0</x:v>
      </x:c>
      <x:c r="J213" s="36" t="b">
        <x:v>1</x:v>
      </x:c>
      <x:c r="K213" s="25" t="str">
        <x:v>available</x:v>
      </x:c>
    </x:row>
    <x:row r="214" ht="18" customHeight="1">
      <x:c r="A214" s="25" t="str">
        <x:v>EEZ_901</x:v>
      </x:c>
      <x:c r="B214" s="25" t="str">
        <x:v>Sicily (Italy)</x:v>
      </x:c>
      <x:c r="C214" s="25" t="str">
        <x:v>eez</x:v>
      </x:c>
      <x:c r="D214" s="31" t="n">
        <x:v>2019</x:v>
      </x:c>
      <x:c r="E214" s="25" t="n">
        <x:v>1731</x:v>
      </x:c>
      <x:c r="F214" s="25" t="n">
        <x:v>152</x:v>
      </x:c>
      <x:c r="G214" s="32" t="n">
        <x:v>39568.555548646895</x:v>
      </x:c>
      <x:c r="H214" s="32" t="n">
        <x:v>39568.555548646895</x:v>
      </x:c>
      <x:c r="I214" s="32" t="n">
        <x:v>0</x:v>
      </x:c>
      <x:c r="J214" s="36" t="b">
        <x:v>1</x:v>
      </x:c>
      <x:c r="K214" s="25" t="str">
        <x:v>available</x:v>
      </x:c>
    </x:row>
    <x:row r="215" ht="18" customHeight="1">
      <x:c r="A215" s="25" t="str">
        <x:v>EEZ_902</x:v>
      </x:c>
      <x:c r="B215" s="25" t="str">
        <x:v>Sardinia (Italy)</x:v>
      </x:c>
      <x:c r="C215" s="25" t="str">
        <x:v>eez</x:v>
      </x:c>
      <x:c r="D215" s="31" t="n">
        <x:v>2019</x:v>
      </x:c>
      <x:c r="E215" s="25" t="n">
        <x:v>1128</x:v>
      </x:c>
      <x:c r="F215" s="25" t="n">
        <x:v>145</x:v>
      </x:c>
      <x:c r="G215" s="32" t="n">
        <x:v>15737.0913019012</x:v>
      </x:c>
      <x:c r="H215" s="32" t="n">
        <x:v>15737.0913019012</x:v>
      </x:c>
      <x:c r="I215" s="32" t="n">
        <x:v>0</x:v>
      </x:c>
      <x:c r="J215" s="36" t="b">
        <x:v>1</x:v>
      </x:c>
      <x:c r="K215" s="25" t="str">
        <x:v>available</x:v>
      </x:c>
    </x:row>
    <x:row r="216" ht="18" customHeight="1">
      <x:c r="A216" s="25" t="str">
        <x:v>EEZ_903</x:v>
      </x:c>
      <x:c r="B216" s="25" t="str">
        <x:v>Balearic Isl. (Spain)</x:v>
      </x:c>
      <x:c r="C216" s="25" t="str">
        <x:v>eez</x:v>
      </x:c>
      <x:c r="D216" s="31" t="n">
        <x:v>2019</x:v>
      </x:c>
      <x:c r="E216" s="25" t="n">
        <x:v>2694</x:v>
      </x:c>
      <x:c r="F216" s="25" t="n">
        <x:v>187</x:v>
      </x:c>
      <x:c r="G216" s="32" t="n">
        <x:v>15335.986237662899</x:v>
      </x:c>
      <x:c r="H216" s="32" t="n">
        <x:v>15335.986237662899</x:v>
      </x:c>
      <x:c r="I216" s="32" t="n">
        <x:v>0</x:v>
      </x:c>
      <x:c r="J216" s="36" t="b">
        <x:v>1</x:v>
      </x:c>
      <x:c r="K216" s="25" t="str">
        <x:v>available</x:v>
      </x:c>
    </x:row>
    <x:row r="217" ht="18" customHeight="1">
      <x:c r="A217" s="25" t="str">
        <x:v>EEZ_904</x:v>
      </x:c>
      <x:c r="B217" s="25" t="str">
        <x:v>St Barthélemy (France)</x:v>
      </x:c>
      <x:c r="C217" s="25" t="str">
        <x:v>eez</x:v>
      </x:c>
      <x:c r="D217" s="31" t="n">
        <x:v>2019</x:v>
      </x:c>
      <x:c r="E217" s="25" t="n">
        <x:v>147</x:v>
      </x:c>
      <x:c r="F217" s="25" t="n">
        <x:v>29</x:v>
      </x:c>
      <x:c r="G217" s="32" t="n">
        <x:v>526.035917713</x:v>
      </x:c>
      <x:c r="H217" s="32" t="n">
        <x:v>526.035917713</x:v>
      </x:c>
      <x:c r="I217" s="32" t="n">
        <x:v>0</x:v>
      </x:c>
      <x:c r="J217" s="36" t="b">
        <x:v>1</x:v>
      </x:c>
      <x:c r="K217" s="25" t="str">
        <x:v>available</x:v>
      </x:c>
    </x:row>
    <x:row r="218" ht="18" customHeight="1">
      <x:c r="A218" s="25" t="str">
        <x:v>EEZ_905</x:v>
      </x:c>
      <x:c r="B218" s="25" t="str">
        <x:v>St Martin (France)</x:v>
      </x:c>
      <x:c r="C218" s="25" t="str">
        <x:v>eez</x:v>
      </x:c>
      <x:c r="D218" s="31" t="n">
        <x:v>2019</x:v>
      </x:c>
      <x:c r="E218" s="25" t="n">
        <x:v>181</x:v>
      </x:c>
      <x:c r="F218" s="25" t="n">
        <x:v>29</x:v>
      </x:c>
      <x:c r="G218" s="32" t="n">
        <x:v>547.916166265</x:v>
      </x:c>
      <x:c r="H218" s="32" t="n">
        <x:v>547.916166265</x:v>
      </x:c>
      <x:c r="I218" s="32" t="n">
        <x:v>0</x:v>
      </x:c>
      <x:c r="J218" s="36" t="b">
        <x:v>1</x:v>
      </x:c>
      <x:c r="K218" s="25" t="str">
        <x:v>available</x:v>
      </x:c>
    </x:row>
    <x:row r="219" ht="18" customHeight="1">
      <x:c r="A219" s="25" t="str">
        <x:v>EEZ_906</x:v>
      </x:c>
      <x:c r="B219" s="25" t="str">
        <x:v>Curaçao (Netherlands)</x:v>
      </x:c>
      <x:c r="C219" s="25" t="str">
        <x:v>eez</x:v>
      </x:c>
      <x:c r="D219" s="31" t="n">
        <x:v>2019</x:v>
      </x:c>
      <x:c r="E219" s="25" t="n">
        <x:v>217</x:v>
      </x:c>
      <x:c r="F219" s="25" t="n">
        <x:v>37</x:v>
      </x:c>
      <x:c r="G219" s="32" t="n">
        <x:v>4837.7877946069</x:v>
      </x:c>
      <x:c r="H219" s="32" t="n">
        <x:v>4837.7877946069</x:v>
      </x:c>
      <x:c r="I219" s="32" t="n">
        <x:v>0</x:v>
      </x:c>
      <x:c r="J219" s="36" t="b">
        <x:v>1</x:v>
      </x:c>
      <x:c r="K219" s="25" t="str">
        <x:v>available</x:v>
      </x:c>
    </x:row>
    <x:row r="220" ht="18" customHeight="1">
      <x:c r="A220" s="25" t="str">
        <x:v>EEZ_907</x:v>
      </x:c>
      <x:c r="B220" s="25" t="str">
        <x:v>Bonaire (Netherlands)</x:v>
      </x:c>
      <x:c r="C220" s="25" t="str">
        <x:v>eez</x:v>
      </x:c>
      <x:c r="D220" s="31" t="n">
        <x:v>2019</x:v>
      </x:c>
      <x:c r="E220" s="25" t="n">
        <x:v>180</x:v>
      </x:c>
      <x:c r="F220" s="25" t="n">
        <x:v>39</x:v>
      </x:c>
      <x:c r="G220" s="32" t="n">
        <x:v>400.2133530319</x:v>
      </x:c>
      <x:c r="H220" s="32" t="n">
        <x:v>400.21335303190006</x:v>
      </x:c>
      <x:c r="I220" s="32" t="n">
        <x:v>5.684341886080802e-14</x:v>
      </x:c>
      <x:c r="J220" s="36" t="b">
        <x:v>1</x:v>
      </x:c>
      <x:c r="K220" s="25" t="str">
        <x:v>available</x:v>
      </x:c>
    </x:row>
    <x:row r="221" ht="18" customHeight="1">
      <x:c r="A221" s="25" t="str">
        <x:v>EEZ_908</x:v>
      </x:c>
      <x:c r="B221" s="25" t="str">
        <x:v>Saba and Sint Eustatius (Netherlands)</x:v>
      </x:c>
      <x:c r="C221" s="25" t="str">
        <x:v>eez</x:v>
      </x:c>
      <x:c r="D221" s="31" t="n">
        <x:v>2019</x:v>
      </x:c>
      <x:c r="E221" s="25" t="n">
        <x:v>75</x:v>
      </x:c>
      <x:c r="F221" s="25" t="n">
        <x:v>21</x:v>
      </x:c>
      <x:c r="G221" s="32" t="n">
        <x:v>496.3226371928</x:v>
      </x:c>
      <x:c r="H221" s="32" t="n">
        <x:v>496.3226371927999</x:v>
      </x:c>
      <x:c r="I221" s="32" t="n">
        <x:v>-1.1368683772161603e-13</x:v>
      </x:c>
      <x:c r="J221" s="36" t="b">
        <x:v>1</x:v>
      </x:c>
      <x:c r="K221" s="25" t="str">
        <x:v>available</x:v>
      </x:c>
    </x:row>
    <x:row r="222" ht="18" customHeight="1">
      <x:c r="A222" s="25" t="str">
        <x:v>EEZ_909</x:v>
      </x:c>
      <x:c r="B222" s="25" t="str">
        <x:v>Sint Maarten (Netherlands)</x:v>
      </x:c>
      <x:c r="C222" s="25" t="str">
        <x:v>eez</x:v>
      </x:c>
      <x:c r="D222" s="31" t="n">
        <x:v>2019</x:v>
      </x:c>
      <x:c r="E222" s="25" t="n">
        <x:v>108</x:v>
      </x:c>
      <x:c r="F222" s="25" t="n">
        <x:v>33</x:v>
      </x:c>
      <x:c r="G222" s="32" t="n">
        <x:v>83.07335077539997</x:v>
      </x:c>
      <x:c r="H222" s="32" t="n">
        <x:v>83.07335077540002</x:v>
      </x:c>
      <x:c r="I222" s="32" t="n">
        <x:v>4.263256414560601e-14</x:v>
      </x:c>
      <x:c r="J222" s="36" t="b">
        <x:v>1</x:v>
      </x:c>
      <x:c r="K222" s="25" t="str">
        <x:v>available</x:v>
      </x:c>
    </x:row>
    <x:row r="223" ht="18" customHeight="1">
      <x:c r="A223" s="25" t="str">
        <x:v>EEZ_910</x:v>
      </x:c>
      <x:c r="B223" s="25" t="str">
        <x:v>South Orkney Isl. (GBR)</x:v>
      </x:c>
      <x:c r="C223" s="25" t="str">
        <x:v>eez</x:v>
      </x:c>
      <x:c r="D223" s="31" t="n">
        <x:v>2019</x:v>
      </x:c>
      <x:c r="E223" s="25" t="n">
        <x:v>263</x:v>
      </x:c>
      <x:c r="F223" s="25" t="n">
        <x:v>30</x:v>
      </x:c>
      <x:c r="G223" s="32" t="n">
        <x:v>267149.7089344195</x:v>
      </x:c>
      <x:c r="H223" s="32" t="n">
        <x:v>267149.70893441956</x:v>
      </x:c>
      <x:c r="I223" s="32" t="n">
        <x:v>5.820766091346741e-11</x:v>
      </x:c>
      <x:c r="J223" s="36" t="b">
        <x:v>1</x:v>
      </x:c>
      <x:c r="K223" s="25" t="str">
        <x:v>available</x:v>
      </x:c>
    </x:row>
    <x:row r="224" ht="18" customHeight="1">
      <x:c r="A224" s="25" t="str">
        <x:v>EEZ_911</x:v>
      </x:c>
      <x:c r="B224" s="25" t="str">
        <x:v>Musandam (Oman)</x:v>
      </x:c>
      <x:c r="C224" s="25" t="str">
        <x:v>eez</x:v>
      </x:c>
      <x:c r="D224" s="31" t="n">
        <x:v>2019</x:v>
      </x:c>
      <x:c r="E224" s="25" t="n">
        <x:v>341</x:v>
      </x:c>
      <x:c r="F224" s="25" t="n">
        <x:v>40</x:v>
      </x:c>
      <x:c r="G224" s="32" t="n">
        <x:v>22403.7445093578</x:v>
      </x:c>
      <x:c r="H224" s="32" t="n">
        <x:v>22403.7445093578</x:v>
      </x:c>
      <x:c r="I224" s="32" t="n">
        <x:v>0</x:v>
      </x:c>
      <x:c r="J224" s="36" t="b">
        <x:v>1</x:v>
      </x:c>
      <x:c r="K224" s="25" t="str">
        <x:v>available</x:v>
      </x:c>
    </x:row>
    <x:row r="225" ht="18" customHeight="1">
      <x:c r="A225" s="25" t="str">
        <x:v>EEZ_912</x:v>
      </x:c>
      <x:c r="B225" s="25" t="str">
        <x:v>Russia (Kara Sea)</x:v>
      </x:c>
      <x:c r="C225" s="25" t="str">
        <x:v>eez</x:v>
      </x:c>
      <x:c r="D225" s="31" t="n">
        <x:v>2019</x:v>
      </x:c>
      <x:c r="E225" s="25" t="n">
        <x:v>5</x:v>
      </x:c>
      <x:c r="F225" s="25" t="n">
        <x:v>5</x:v>
      </x:c>
      <x:c r="G225" s="32" t="n">
        <x:v>747.53431635</x:v>
      </x:c>
      <x:c r="H225" s="32" t="n">
        <x:v>747.53431635</x:v>
      </x:c>
      <x:c r="I225" s="32" t="n">
        <x:v>0</x:v>
      </x:c>
      <x:c r="J225" s="36" t="b">
        <x:v>1</x:v>
      </x:c>
      <x:c r="K225" s="25" t="str">
        <x:v>available</x:v>
      </x:c>
    </x:row>
    <x:row r="226" ht="18" customHeight="1">
      <x:c r="A226" s="25" t="str">
        <x:v>EEZ_913</x:v>
      </x:c>
      <x:c r="B226" s="25" t="str">
        <x:v>Russia (Laptev to Chukchi Sea)</x:v>
      </x:c>
      <x:c r="C226" s="25" t="str">
        <x:v>eez</x:v>
      </x:c>
      <x:c r="D226" s="31" t="n">
        <x:v>2019</x:v>
      </x:c>
      <x:c r="E226" s="25" t="n">
        <x:v>5</x:v>
      </x:c>
      <x:c r="F226" s="25" t="n">
        <x:v>5</x:v>
      </x:c>
      <x:c r="G226" s="32" t="n">
        <x:v>6727.8088462000005</x:v>
      </x:c>
      <x:c r="H226" s="32" t="n">
        <x:v>6727.8088462000005</x:v>
      </x:c>
      <x:c r="I226" s="32" t="n">
        <x:v>0</x:v>
      </x:c>
      <x:c r="J226" s="36" t="b">
        <x:v>1</x:v>
      </x:c>
      <x:c r="K226" s="25" t="str">
        <x:v>available</x:v>
      </x:c>
    </x:row>
    <x:row r="227" ht="18" customHeight="1">
      <x:c r="A227" s="25" t="str">
        <x:v>EEZ_914</x:v>
      </x:c>
      <x:c r="B227" s="25" t="str">
        <x:v>Sweden (Baltic)</x:v>
      </x:c>
      <x:c r="C227" s="25" t="str">
        <x:v>eez</x:v>
      </x:c>
      <x:c r="D227" s="31" t="n">
        <x:v>2019</x:v>
      </x:c>
      <x:c r="E227" s="25" t="n">
        <x:v>4016</x:v>
      </x:c>
      <x:c r="F227" s="25" t="n">
        <x:v>63</x:v>
      </x:c>
      <x:c r="G227" s="32" t="n">
        <x:v>258009.4224445994</x:v>
      </x:c>
      <x:c r="H227" s="32" t="n">
        <x:v>258009.4224445994</x:v>
      </x:c>
      <x:c r="I227" s="32" t="n">
        <x:v>0</x:v>
      </x:c>
      <x:c r="J227" s="36" t="b">
        <x:v>1</x:v>
      </x:c>
      <x:c r="K227" s="25" t="str">
        <x:v>available</x:v>
      </x:c>
    </x:row>
    <x:row r="228" ht="18" customHeight="1">
      <x:c r="A228" s="25" t="str">
        <x:v>EEZ_915</x:v>
      </x:c>
      <x:c r="B228" s="25" t="str">
        <x:v>Sweden (West Coast)</x:v>
      </x:c>
      <x:c r="C228" s="25" t="str">
        <x:v>eez</x:v>
      </x:c>
      <x:c r="D228" s="31" t="n">
        <x:v>2019</x:v>
      </x:c>
      <x:c r="E228" s="25" t="n">
        <x:v>3961</x:v>
      </x:c>
      <x:c r="F228" s="25" t="n">
        <x:v>117</x:v>
      </x:c>
      <x:c r="G228" s="32" t="n">
        <x:v>14482.0419879626</x:v>
      </x:c>
      <x:c r="H228" s="32" t="n">
        <x:v>14482.0419879626</x:v>
      </x:c>
      <x:c r="I228" s="32" t="n">
        <x:v>0</x:v>
      </x:c>
      <x:c r="J228" s="36" t="b">
        <x:v>1</x:v>
      </x:c>
      <x:c r="K228" s="25" t="str">
        <x:v>available</x:v>
      </x:c>
    </x:row>
    <x:row r="229" ht="18" customHeight="1">
      <x:c r="A229" s="25" t="str">
        <x:v>EEZ_916</x:v>
      </x:c>
      <x:c r="B229" s="25" t="str">
        <x:v>Yemen (Red Sea)</x:v>
      </x:c>
      <x:c r="C229" s="25" t="str">
        <x:v>eez</x:v>
      </x:c>
      <x:c r="D229" s="31" t="n">
        <x:v>2019</x:v>
      </x:c>
      <x:c r="E229" s="25" t="n">
        <x:v>591</x:v>
      </x:c>
      <x:c r="F229" s="25" t="n">
        <x:v>41</x:v>
      </x:c>
      <x:c r="G229" s="32" t="n">
        <x:v>27521.2468767345</x:v>
      </x:c>
      <x:c r="H229" s="32" t="n">
        <x:v>27521.2468767345</x:v>
      </x:c>
      <x:c r="I229" s="32" t="n">
        <x:v>0</x:v>
      </x:c>
      <x:c r="J229" s="36" t="b">
        <x:v>1</x:v>
      </x:c>
      <x:c r="K229" s="25" t="str">
        <x:v>available</x:v>
      </x:c>
    </x:row>
    <x:row r="230" ht="18" customHeight="1">
      <x:c r="A230" s="25" t="str">
        <x:v>EEZ_917</x:v>
      </x:c>
      <x:c r="B230" s="25" t="str">
        <x:v>Yemen (Arabian Sea)</x:v>
      </x:c>
      <x:c r="C230" s="25" t="str">
        <x:v>eez</x:v>
      </x:c>
      <x:c r="D230" s="31" t="n">
        <x:v>2019</x:v>
      </x:c>
      <x:c r="E230" s="25" t="n">
        <x:v>648</x:v>
      </x:c>
      <x:c r="F230" s="25" t="n">
        <x:v>49</x:v>
      </x:c>
      <x:c r="G230" s="32" t="n">
        <x:v>324367.1527000878</x:v>
      </x:c>
      <x:c r="H230" s="32" t="n">
        <x:v>324367.1527000878</x:v>
      </x:c>
      <x:c r="I230" s="32" t="n">
        <x:v>0</x:v>
      </x:c>
      <x:c r="J230" s="36" t="b">
        <x:v>1</x:v>
      </x:c>
      <x:c r="K230" s="25" t="str">
        <x:v>available</x:v>
      </x:c>
    </x:row>
    <x:row r="231" ht="18" customHeight="1">
      <x:c r="A231" s="25" t="str">
        <x:v>EEZ_918</x:v>
      </x:c>
      <x:c r="B231" s="25" t="str">
        <x:v>France (Mediterranean)</x:v>
      </x:c>
      <x:c r="C231" s="25" t="str">
        <x:v>eez</x:v>
      </x:c>
      <x:c r="D231" s="31" t="n">
        <x:v>2019</x:v>
      </x:c>
      <x:c r="E231" s="25" t="n">
        <x:v>2913</x:v>
      </x:c>
      <x:c r="F231" s="25" t="n">
        <x:v>159</x:v>
      </x:c>
      <x:c r="G231" s="32" t="n">
        <x:v>49423.405775673295</x:v>
      </x:c>
      <x:c r="H231" s="32" t="n">
        <x:v>49423.405775673295</x:v>
      </x:c>
      <x:c r="I231" s="32" t="n">
        <x:v>0</x:v>
      </x:c>
      <x:c r="J231" s="36" t="b">
        <x:v>1</x:v>
      </x:c>
      <x:c r="K231" s="25" t="str">
        <x:v>available</x:v>
      </x:c>
    </x:row>
    <x:row r="232" ht="18" customHeight="1">
      <x:c r="A232" s="25" t="str">
        <x:v>EEZ_919</x:v>
      </x:c>
      <x:c r="B232" s="25" t="str">
        <x:v>France (Atlantic Coast)</x:v>
      </x:c>
      <x:c r="C232" s="25" t="str">
        <x:v>eez</x:v>
      </x:c>
      <x:c r="D232" s="31" t="n">
        <x:v>2019</x:v>
      </x:c>
      <x:c r="E232" s="25" t="n">
        <x:v>8900</x:v>
      </x:c>
      <x:c r="F232" s="25" t="n">
        <x:v>348</x:v>
      </x:c>
      <x:c r="G232" s="32" t="n">
        <x:v>270826.2519812341</x:v>
      </x:c>
      <x:c r="H232" s="32" t="n">
        <x:v>270826.25198123406</x:v>
      </x:c>
      <x:c r="I232" s="32" t="n">
        <x:v>-5.820766091346741e-11</x:v>
      </x:c>
      <x:c r="J232" s="36" t="b">
        <x:v>1</x:v>
      </x:c>
      <x:c r="K232" s="25" t="str">
        <x:v>available</x:v>
      </x:c>
    </x:row>
    <x:row r="233" ht="18" customHeight="1">
      <x:c r="A233" s="25" t="str">
        <x:v>EEZ_920</x:v>
      </x:c>
      <x:c r="B233" s="25" t="str">
        <x:v>Honduras (Pacific)</x:v>
      </x:c>
      <x:c r="C233" s="25" t="str">
        <x:v>eez</x:v>
      </x:c>
      <x:c r="D233" s="31" t="n">
        <x:v>2019</x:v>
      </x:c>
      <x:c r="E233" s="25" t="n">
        <x:v>112</x:v>
      </x:c>
      <x:c r="F233" s="25" t="n">
        <x:v>25</x:v>
      </x:c>
      <x:c r="G233" s="32" t="n">
        <x:v>6195.8538133156</x:v>
      </x:c>
      <x:c r="H233" s="32" t="n">
        <x:v>6195.853813315601</x:v>
      </x:c>
      <x:c r="I233" s="32" t="n">
        <x:v>9.094947017729282e-13</x:v>
      </x:c>
      <x:c r="J233" s="36" t="b">
        <x:v>1</x:v>
      </x:c>
      <x:c r="K233" s="25" t="str">
        <x:v>available</x:v>
      </x:c>
    </x:row>
    <x:row r="234" ht="18" customHeight="1">
      <x:c r="A234" s="25" t="str">
        <x:v>EEZ_921</x:v>
      </x:c>
      <x:c r="B234" s="25" t="str">
        <x:v>Honduras (Caribbean)</x:v>
      </x:c>
      <x:c r="C234" s="25" t="str">
        <x:v>eez</x:v>
      </x:c>
      <x:c r="D234" s="31" t="n">
        <x:v>2019</x:v>
      </x:c>
      <x:c r="E234" s="25" t="n">
        <x:v>392</x:v>
      </x:c>
      <x:c r="F234" s="25" t="n">
        <x:v>88</x:v>
      </x:c>
      <x:c r="G234" s="32" t="n">
        <x:v>21241.895209552</x:v>
      </x:c>
      <x:c r="H234" s="32" t="n">
        <x:v>21241.895209552</x:v>
      </x:c>
      <x:c r="I234" s="32" t="n">
        <x:v>0</x:v>
      </x:c>
      <x:c r="J234" s="36" t="b">
        <x:v>1</x:v>
      </x:c>
      <x:c r="K234" s="25" t="str">
        <x:v>available</x:v>
      </x:c>
    </x:row>
    <x:row r="235" ht="18" customHeight="1">
      <x:c r="A235" s="25" t="str">
        <x:v>EEZ_922</x:v>
      </x:c>
      <x:c r="B235" s="25" t="str">
        <x:v>Iran (Persian Gulf)</x:v>
      </x:c>
      <x:c r="C235" s="25" t="str">
        <x:v>eez</x:v>
      </x:c>
      <x:c r="D235" s="31" t="n">
        <x:v>2019</x:v>
      </x:c>
      <x:c r="E235" s="25" t="n">
        <x:v>4913</x:v>
      </x:c>
      <x:c r="F235" s="25" t="n">
        <x:v>165</x:v>
      </x:c>
      <x:c r="G235" s="32" t="n">
        <x:v>441683.3346972359</x:v>
      </x:c>
      <x:c r="H235" s="32" t="n">
        <x:v>441683.3346972359</x:v>
      </x:c>
      <x:c r="I235" s="32" t="n">
        <x:v>0</x:v>
      </x:c>
      <x:c r="J235" s="36" t="b">
        <x:v>1</x:v>
      </x:c>
      <x:c r="K235" s="25" t="str">
        <x:v>available</x:v>
      </x:c>
    </x:row>
    <x:row r="236" ht="18" customHeight="1">
      <x:c r="A236" s="25" t="str">
        <x:v>EEZ_923</x:v>
      </x:c>
      <x:c r="B236" s="25" t="str">
        <x:v>Iran (Sea of Oman)</x:v>
      </x:c>
      <x:c r="C236" s="25" t="str">
        <x:v>eez</x:v>
      </x:c>
      <x:c r="D236" s="31" t="n">
        <x:v>2019</x:v>
      </x:c>
      <x:c r="E236" s="25" t="n">
        <x:v>3566</x:v>
      </x:c>
      <x:c r="F236" s="25" t="n">
        <x:v>152</x:v>
      </x:c>
      <x:c r="G236" s="32" t="n">
        <x:v>367466.8570909228</x:v>
      </x:c>
      <x:c r="H236" s="32" t="n">
        <x:v>367466.85709092283</x:v>
      </x:c>
      <x:c r="I236" s="32" t="n">
        <x:v>5.820766091346741e-11</x:v>
      </x:c>
      <x:c r="J236" s="36" t="b">
        <x:v>1</x:v>
      </x:c>
      <x:c r="K236" s="25" t="str">
        <x:v>available</x:v>
      </x:c>
    </x:row>
    <x:row r="237" ht="18" customHeight="1">
      <x:c r="A237" s="25" t="str">
        <x:v>EEZ_924</x:v>
      </x:c>
      <x:c r="B237" s="25" t="str">
        <x:v>Canada (Arctic)</x:v>
      </x:c>
      <x:c r="C237" s="25" t="str">
        <x:v>eez</x:v>
      </x:c>
      <x:c r="D237" s="31" t="n">
        <x:v>2019</x:v>
      </x:c>
      <x:c r="E237" s="25" t="n">
        <x:v>37</x:v>
      </x:c>
      <x:c r="F237" s="25" t="n">
        <x:v>16</x:v>
      </x:c>
      <x:c r="G237" s="32" t="n">
        <x:v>1114.2683023097002</x:v>
      </x:c>
      <x:c r="H237" s="32" t="n">
        <x:v>1114.2683023096997</x:v>
      </x:c>
      <x:c r="I237" s="32" t="n">
        <x:v>-4.547473508864641e-13</x:v>
      </x:c>
      <x:c r="J237" s="36" t="b">
        <x:v>1</x:v>
      </x:c>
      <x:c r="K237" s="25" t="str">
        <x:v>available</x:v>
      </x:c>
    </x:row>
    <x:row r="238" ht="18" customHeight="1">
      <x:c r="A238" s="25" t="str">
        <x:v>EEZ_925</x:v>
      </x:c>
      <x:c r="B238" s="25" t="str">
        <x:v>Canada (Pacific)</x:v>
      </x:c>
      <x:c r="C238" s="25" t="str">
        <x:v>eez</x:v>
      </x:c>
      <x:c r="D238" s="31" t="n">
        <x:v>2019</x:v>
      </x:c>
      <x:c r="E238" s="25" t="n">
        <x:v>166</x:v>
      </x:c>
      <x:c r="F238" s="25" t="n">
        <x:v>26</x:v>
      </x:c>
      <x:c r="G238" s="32" t="n">
        <x:v>198174.6028298108</x:v>
      </x:c>
      <x:c r="H238" s="32" t="n">
        <x:v>198174.60282981078</x:v>
      </x:c>
      <x:c r="I238" s="32" t="n">
        <x:v>-2.9103830456733704e-11</x:v>
      </x:c>
      <x:c r="J238" s="36" t="b">
        <x:v>1</x:v>
      </x:c>
      <x:c r="K238" s="25" t="str">
        <x:v>available</x:v>
      </x:c>
    </x:row>
    <x:row r="239" ht="18" customHeight="1">
      <x:c r="A239" s="25" t="str">
        <x:v>EEZ_926</x:v>
      </x:c>
      <x:c r="B239" s="25" t="str">
        <x:v>Canada (East Coast)</x:v>
      </x:c>
      <x:c r="C239" s="25" t="str">
        <x:v>eez</x:v>
      </x:c>
      <x:c r="D239" s="31" t="n">
        <x:v>2019</x:v>
      </x:c>
      <x:c r="E239" s="25" t="n">
        <x:v>813</x:v>
      </x:c>
      <x:c r="F239" s="25" t="n">
        <x:v>112</x:v>
      </x:c>
      <x:c r="G239" s="32" t="n">
        <x:v>694924.7188260404</x:v>
      </x:c>
      <x:c r="H239" s="32" t="n">
        <x:v>694924.7188260403</x:v>
      </x:c>
      <x:c r="I239" s="32" t="n">
        <x:v>-1.1641532182693481e-10</x:v>
      </x:c>
      <x:c r="J239" s="36" t="b">
        <x:v>1</x:v>
      </x:c>
      <x:c r="K239" s="25" t="str">
        <x:v>available</x:v>
      </x:c>
    </x:row>
    <x:row r="240" ht="18" customHeight="1">
      <x:c r="A240" s="25" t="str">
        <x:v>EEZ_927</x:v>
      </x:c>
      <x:c r="B240" s="25" t="str">
        <x:v>Colombia (Caribbean)</x:v>
      </x:c>
      <x:c r="C240" s="25" t="str">
        <x:v>eez</x:v>
      </x:c>
      <x:c r="D240" s="31" t="n">
        <x:v>2019</x:v>
      </x:c>
      <x:c r="E240" s="25" t="n">
        <x:v>660</x:v>
      </x:c>
      <x:c r="F240" s="25" t="n">
        <x:v>89</x:v>
      </x:c>
      <x:c r="G240" s="32" t="n">
        <x:v>20344.1120639465</x:v>
      </x:c>
      <x:c r="H240" s="32" t="n">
        <x:v>20344.112063946497</x:v>
      </x:c>
      <x:c r="I240" s="32" t="n">
        <x:v>-3.637978807091713e-12</x:v>
      </x:c>
      <x:c r="J240" s="36" t="b">
        <x:v>1</x:v>
      </x:c>
      <x:c r="K240" s="25" t="str">
        <x:v>available</x:v>
      </x:c>
    </x:row>
    <x:row r="241" ht="18" customHeight="1">
      <x:c r="A241" s="25" t="str">
        <x:v>EEZ_928</x:v>
      </x:c>
      <x:c r="B241" s="25" t="str">
        <x:v>Colombia (Pacific)</x:v>
      </x:c>
      <x:c r="C241" s="25" t="str">
        <x:v>eez</x:v>
      </x:c>
      <x:c r="D241" s="31" t="n">
        <x:v>2019</x:v>
      </x:c>
      <x:c r="E241" s="25" t="n">
        <x:v>625</x:v>
      </x:c>
      <x:c r="F241" s="25" t="n">
        <x:v>87</x:v>
      </x:c>
      <x:c r="G241" s="32" t="n">
        <x:v>54847.975202943504</x:v>
      </x:c>
      <x:c r="H241" s="32" t="n">
        <x:v>54847.97520294351</x:v>
      </x:c>
      <x:c r="I241" s="32" t="n">
        <x:v>7.275957614183426e-12</x:v>
      </x:c>
      <x:c r="J241" s="36" t="b">
        <x:v>1</x:v>
      </x:c>
      <x:c r="K241" s="25" t="str">
        <x:v>available</x:v>
      </x:c>
    </x:row>
    <x:row r="242" ht="18" customHeight="1">
      <x:c r="A242" s="25" t="str">
        <x:v>EEZ_929</x:v>
      </x:c>
      <x:c r="B242" s="25" t="str">
        <x:v>Costa Rica (Caribbean)</x:v>
      </x:c>
      <x:c r="C242" s="25" t="str">
        <x:v>eez</x:v>
      </x:c>
      <x:c r="D242" s="31" t="n">
        <x:v>2019</x:v>
      </x:c>
      <x:c r="E242" s="25" t="n">
        <x:v>32</x:v>
      </x:c>
      <x:c r="F242" s="25" t="n">
        <x:v>14</x:v>
      </x:c>
      <x:c r="G242" s="32" t="n">
        <x:v>601.562955336</x:v>
      </x:c>
      <x:c r="H242" s="32" t="n">
        <x:v>601.562955336</x:v>
      </x:c>
      <x:c r="I242" s="32" t="n">
        <x:v>0</x:v>
      </x:c>
      <x:c r="J242" s="36" t="b">
        <x:v>1</x:v>
      </x:c>
      <x:c r="K242" s="25" t="str">
        <x:v>available</x:v>
      </x:c>
    </x:row>
    <x:row r="243" ht="18" customHeight="1">
      <x:c r="A243" s="25" t="str">
        <x:v>EEZ_930</x:v>
      </x:c>
      <x:c r="B243" s="25" t="str">
        <x:v>Costa Rica (Pacific)</x:v>
      </x:c>
      <x:c r="C243" s="25" t="str">
        <x:v>eez</x:v>
      </x:c>
      <x:c r="D243" s="31" t="n">
        <x:v>2019</x:v>
      </x:c>
      <x:c r="E243" s="25" t="n">
        <x:v>165</x:v>
      </x:c>
      <x:c r="F243" s="25" t="n">
        <x:v>63</x:v>
      </x:c>
      <x:c r="G243" s="32" t="n">
        <x:v>53716.9931959015</x:v>
      </x:c>
      <x:c r="H243" s="32" t="n">
        <x:v>53716.993195901494</x:v>
      </x:c>
      <x:c r="I243" s="32" t="n">
        <x:v>-7.275957614183426e-12</x:v>
      </x:c>
      <x:c r="J243" s="36" t="b">
        <x:v>1</x:v>
      </x:c>
      <x:c r="K243" s="25" t="str">
        <x:v>available</x:v>
      </x:c>
    </x:row>
    <x:row r="244" ht="18" customHeight="1">
      <x:c r="A244" s="25" t="str">
        <x:v>EEZ_931</x:v>
      </x:c>
      <x:c r="B244" s="25" t="str">
        <x:v>Denmark (Baltic Sea)</x:v>
      </x:c>
      <x:c r="C244" s="25" t="str">
        <x:v>eez</x:v>
      </x:c>
      <x:c r="D244" s="31" t="n">
        <x:v>2019</x:v>
      </x:c>
      <x:c r="E244" s="25" t="n">
        <x:v>3387</x:v>
      </x:c>
      <x:c r="F244" s="25" t="n">
        <x:v>67</x:v>
      </x:c>
      <x:c r="G244" s="32" t="n">
        <x:v>66565.8646210142</x:v>
      </x:c>
      <x:c r="H244" s="32" t="n">
        <x:v>66565.86462101419</x:v>
      </x:c>
      <x:c r="I244" s="32" t="n">
        <x:v>-1.4551915228366852e-11</x:v>
      </x:c>
      <x:c r="J244" s="36" t="b">
        <x:v>1</x:v>
      </x:c>
      <x:c r="K244" s="25" t="str">
        <x:v>available</x:v>
      </x:c>
    </x:row>
    <x:row r="245" ht="18" customHeight="1">
      <x:c r="A245" s="25" t="str">
        <x:v>EEZ_932</x:v>
      </x:c>
      <x:c r="B245" s="25" t="str">
        <x:v>Denmark (North Sea)</x:v>
      </x:c>
      <x:c r="C245" s="25" t="str">
        <x:v>eez</x:v>
      </x:c>
      <x:c r="D245" s="31" t="n">
        <x:v>2019</x:v>
      </x:c>
      <x:c r="E245" s="25" t="n">
        <x:v>4729</x:v>
      </x:c>
      <x:c r="F245" s="25" t="n">
        <x:v>191</x:v>
      </x:c>
      <x:c r="G245" s="32" t="n">
        <x:v>136822.7965781429</x:v>
      </x:c>
      <x:c r="H245" s="32" t="n">
        <x:v>136822.7965781429</x:v>
      </x:c>
      <x:c r="I245" s="32" t="n">
        <x:v>0</x:v>
      </x:c>
      <x:c r="J245" s="36" t="b">
        <x:v>1</x:v>
      </x:c>
      <x:c r="K245" s="25" t="str">
        <x:v>available</x:v>
      </x:c>
    </x:row>
    <x:row r="246" ht="18" customHeight="1">
      <x:c r="A246" s="25" t="str">
        <x:v>EEZ_933</x:v>
      </x:c>
      <x:c r="B246" s="25" t="str">
        <x:v>Egypt (Mediterranean)</x:v>
      </x:c>
      <x:c r="C246" s="25" t="str">
        <x:v>eez</x:v>
      </x:c>
      <x:c r="D246" s="31" t="n">
        <x:v>2019</x:v>
      </x:c>
      <x:c r="E246" s="25" t="n">
        <x:v>211</x:v>
      </x:c>
      <x:c r="F246" s="25" t="n">
        <x:v>88</x:v>
      </x:c>
      <x:c r="G246" s="32" t="n">
        <x:v>55812.690645263196</x:v>
      </x:c>
      <x:c r="H246" s="32" t="n">
        <x:v>55812.690645263196</x:v>
      </x:c>
      <x:c r="I246" s="32" t="n">
        <x:v>0</x:v>
      </x:c>
      <x:c r="J246" s="36" t="b">
        <x:v>1</x:v>
      </x:c>
      <x:c r="K246" s="25" t="str">
        <x:v>available</x:v>
      </x:c>
    </x:row>
    <x:row r="247" ht="18" customHeight="1">
      <x:c r="A247" s="25" t="str">
        <x:v>EEZ_934</x:v>
      </x:c>
      <x:c r="B247" s="25" t="str">
        <x:v>Egypt (Red Sea)</x:v>
      </x:c>
      <x:c r="C247" s="25" t="str">
        <x:v>eez</x:v>
      </x:c>
      <x:c r="D247" s="31" t="n">
        <x:v>2019</x:v>
      </x:c>
      <x:c r="E247" s="25" t="n">
        <x:v>158</x:v>
      </x:c>
      <x:c r="F247" s="25" t="n">
        <x:v>57</x:v>
      </x:c>
      <x:c r="G247" s="32" t="n">
        <x:v>65184.463024507</x:v>
      </x:c>
      <x:c r="H247" s="32" t="n">
        <x:v>65184.463024507</x:v>
      </x:c>
      <x:c r="I247" s="32" t="n">
        <x:v>0</x:v>
      </x:c>
      <x:c r="J247" s="36" t="b">
        <x:v>1</x:v>
      </x:c>
      <x:c r="K247" s="25" t="str">
        <x:v>available</x:v>
      </x:c>
    </x:row>
    <x:row r="248" ht="18" customHeight="1">
      <x:c r="A248" s="25" t="str">
        <x:v>EEZ_935</x:v>
      </x:c>
      <x:c r="B248" s="25" t="str">
        <x:v>Guatemala (Caribbean)</x:v>
      </x:c>
      <x:c r="C248" s="25" t="str">
        <x:v>eez</x:v>
      </x:c>
      <x:c r="D248" s="31" t="n">
        <x:v>2019</x:v>
      </x:c>
      <x:c r="E248" s="25" t="n">
        <x:v>59</x:v>
      </x:c>
      <x:c r="F248" s="25" t="n">
        <x:v>23</x:v>
      </x:c>
      <x:c r="G248" s="32" t="n">
        <x:v>4694.347823298999</x:v>
      </x:c>
      <x:c r="H248" s="32" t="n">
        <x:v>4694.347823299001</x:v>
      </x:c>
      <x:c r="I248" s="32" t="n">
        <x:v>1.8189894035458565e-12</x:v>
      </x:c>
      <x:c r="J248" s="36" t="b">
        <x:v>1</x:v>
      </x:c>
      <x:c r="K248" s="25" t="str">
        <x:v>available</x:v>
      </x:c>
    </x:row>
    <x:row r="249" ht="18" customHeight="1">
      <x:c r="A249" s="25" t="str">
        <x:v>EEZ_936</x:v>
      </x:c>
      <x:c r="B249" s="25" t="str">
        <x:v>Guatemala (Pacific)</x:v>
      </x:c>
      <x:c r="C249" s="25" t="str">
        <x:v>eez</x:v>
      </x:c>
      <x:c r="D249" s="31" t="n">
        <x:v>2019</x:v>
      </x:c>
      <x:c r="E249" s="25" t="n">
        <x:v>230</x:v>
      </x:c>
      <x:c r="F249" s="25" t="n">
        <x:v>77</x:v>
      </x:c>
      <x:c r="G249" s="32" t="n">
        <x:v>32146.8257039048</x:v>
      </x:c>
      <x:c r="H249" s="32" t="n">
        <x:v>32146.8257039048</x:v>
      </x:c>
      <x:c r="I249" s="32" t="n">
        <x:v>0</x:v>
      </x:c>
      <x:c r="J249" s="36" t="b">
        <x:v>1</x:v>
      </x:c>
      <x:c r="K249" s="25" t="str">
        <x:v>available</x:v>
      </x:c>
    </x:row>
    <x:row r="250" ht="18" customHeight="1">
      <x:c r="A250" s="25" t="str">
        <x:v>EEZ_937</x:v>
      </x:c>
      <x:c r="B250" s="25" t="str">
        <x:v>Indonesia (Central)</x:v>
      </x:c>
      <x:c r="C250" s="25" t="str">
        <x:v>eez</x:v>
      </x:c>
      <x:c r="D250" s="31" t="n">
        <x:v>2019</x:v>
      </x:c>
      <x:c r="E250" s="25" t="n">
        <x:v>1813</x:v>
      </x:c>
      <x:c r="F250" s="25" t="n">
        <x:v>138</x:v>
      </x:c>
      <x:c r="G250" s="32" t="n">
        <x:v>1876235.8826732747</x:v>
      </x:c>
      <x:c r="H250" s="32" t="n">
        <x:v>1876235.8826732747</x:v>
      </x:c>
      <x:c r="I250" s="32" t="n">
        <x:v>0</x:v>
      </x:c>
      <x:c r="J250" s="36" t="b">
        <x:v>1</x:v>
      </x:c>
      <x:c r="K250" s="25" t="str">
        <x:v>available</x:v>
      </x:c>
    </x:row>
    <x:row r="251" ht="18" customHeight="1">
      <x:c r="A251" s="25" t="str">
        <x:v>EEZ_938</x:v>
      </x:c>
      <x:c r="B251" s="25" t="str">
        <x:v>Indonesia (Indian Ocean)</x:v>
      </x:c>
      <x:c r="C251" s="25" t="str">
        <x:v>eez</x:v>
      </x:c>
      <x:c r="D251" s="31" t="n">
        <x:v>2019</x:v>
      </x:c>
      <x:c r="E251" s="25" t="n">
        <x:v>1376</x:v>
      </x:c>
      <x:c r="F251" s="25" t="n">
        <x:v>147</x:v>
      </x:c>
      <x:c r="G251" s="32" t="n">
        <x:v>2112707.5725245103</x:v>
      </x:c>
      <x:c r="H251" s="32" t="n">
        <x:v>2112707.572524511</x:v>
      </x:c>
      <x:c r="I251" s="32" t="n">
        <x:v>4.656612873077393e-10</x:v>
      </x:c>
      <x:c r="J251" s="36" t="b">
        <x:v>1</x:v>
      </x:c>
      <x:c r="K251" s="25" t="str">
        <x:v>available</x:v>
      </x:c>
    </x:row>
    <x:row r="252" ht="18" customHeight="1">
      <x:c r="A252" s="25" t="str">
        <x:v>EEZ_939</x:v>
      </x:c>
      <x:c r="B252" s="25" t="str">
        <x:v>Israel (Mediterranean)</x:v>
      </x:c>
      <x:c r="C252" s="25" t="str">
        <x:v>eez</x:v>
      </x:c>
      <x:c r="D252" s="31" t="n">
        <x:v>2019</x:v>
      </x:c>
      <x:c r="E252" s="25" t="n">
        <x:v>267</x:v>
      </x:c>
      <x:c r="F252" s="25" t="n">
        <x:v>50</x:v>
      </x:c>
      <x:c r="G252" s="32" t="n">
        <x:v>2520.914048787</x:v>
      </x:c>
      <x:c r="H252" s="32" t="n">
        <x:v>2520.9140487869995</x:v>
      </x:c>
      <x:c r="I252" s="32" t="n">
        <x:v>-4.547473508864641e-13</x:v>
      </x:c>
      <x:c r="J252" s="36" t="b">
        <x:v>1</x:v>
      </x:c>
      <x:c r="K252" s="25" t="str">
        <x:v>available</x:v>
      </x:c>
    </x:row>
    <x:row r="253" ht="18" customHeight="1">
      <x:c r="A253" s="25" t="str">
        <x:v>EEZ_940</x:v>
      </x:c>
      <x:c r="B253" s="25" t="str">
        <x:v>Israel (Red Sea)</x:v>
      </x:c>
      <x:c r="C253" s="25" t="str">
        <x:v>eez</x:v>
      </x:c>
      <x:c r="D253" s="31" t="n">
        <x:v>2019</x:v>
      </x:c>
      <x:c r="E253" s="25" t="n">
        <x:v>21</x:v>
      </x:c>
      <x:c r="F253" s="25" t="n">
        <x:v>10</x:v>
      </x:c>
      <x:c r="G253" s="32" t="n">
        <x:v>111.2352</x:v>
      </x:c>
      <x:c r="H253" s="32" t="n">
        <x:v>111.23519999999999</x:v>
      </x:c>
      <x:c r="I253" s="32" t="n">
        <x:v>-1.4210854715202004e-14</x:v>
      </x:c>
      <x:c r="J253" s="36" t="b">
        <x:v>1</x:v>
      </x:c>
      <x:c r="K253" s="25" t="str">
        <x:v>available</x:v>
      </x:c>
    </x:row>
    <x:row r="254" ht="18" customHeight="1">
      <x:c r="A254" s="25" t="str">
        <x:v>EEZ_941</x:v>
      </x:c>
      <x:c r="B254" s="25" t="str">
        <x:v>Gilbert Isl. (Kiribati)</x:v>
      </x:c>
      <x:c r="C254" s="25" t="str">
        <x:v>eez</x:v>
      </x:c>
      <x:c r="D254" s="31" t="n">
        <x:v>2019</x:v>
      </x:c>
      <x:c r="E254" s="25" t="n">
        <x:v>753</x:v>
      </x:c>
      <x:c r="F254" s="25" t="n">
        <x:v>38</x:v>
      </x:c>
      <x:c r="G254" s="32" t="n">
        <x:v>599962.7992743407</x:v>
      </x:c>
      <x:c r="H254" s="32" t="n">
        <x:v>599962.7992743407</x:v>
      </x:c>
      <x:c r="I254" s="32" t="n">
        <x:v>0</x:v>
      </x:c>
      <x:c r="J254" s="36" t="b">
        <x:v>1</x:v>
      </x:c>
      <x:c r="K254" s="25" t="str">
        <x:v>available</x:v>
      </x:c>
    </x:row>
    <x:row r="255" ht="18" customHeight="1">
      <x:c r="A255" s="25" t="str">
        <x:v>EEZ_942</x:v>
      </x:c>
      <x:c r="B255" s="25" t="str">
        <x:v>Line Isl. (Kiribati)</x:v>
      </x:c>
      <x:c r="C255" s="25" t="str">
        <x:v>eez</x:v>
      </x:c>
      <x:c r="D255" s="31" t="n">
        <x:v>2019</x:v>
      </x:c>
      <x:c r="E255" s="25" t="n">
        <x:v>805</x:v>
      </x:c>
      <x:c r="F255" s="25" t="n">
        <x:v>40</x:v>
      </x:c>
      <x:c r="G255" s="32" t="n">
        <x:v>110424.34936910501</x:v>
      </x:c>
      <x:c r="H255" s="32" t="n">
        <x:v>110424.34936910501</x:v>
      </x:c>
      <x:c r="I255" s="32" t="n">
        <x:v>0</x:v>
      </x:c>
      <x:c r="J255" s="36" t="b">
        <x:v>1</x:v>
      </x:c>
      <x:c r="K255" s="25" t="str">
        <x:v>available</x:v>
      </x:c>
    </x:row>
    <x:row r="256" ht="18" customHeight="1">
      <x:c r="A256" s="25" t="str">
        <x:v>EEZ_943</x:v>
      </x:c>
      <x:c r="B256" s="25" t="str">
        <x:v>Phoenix Isl. (Kiribati)</x:v>
      </x:c>
      <x:c r="C256" s="25" t="str">
        <x:v>eez</x:v>
      </x:c>
      <x:c r="D256" s="31" t="n">
        <x:v>2019</x:v>
      </x:c>
      <x:c r="E256" s="25" t="n">
        <x:v>601</x:v>
      </x:c>
      <x:c r="F256" s="25" t="n">
        <x:v>30</x:v>
      </x:c>
      <x:c r="G256" s="32" t="n">
        <x:v>77760.62795477301</x:v>
      </x:c>
      <x:c r="H256" s="32" t="n">
        <x:v>77760.62795477301</x:v>
      </x:c>
      <x:c r="I256" s="32" t="n">
        <x:v>0</x:v>
      </x:c>
      <x:c r="J256" s="36" t="b">
        <x:v>1</x:v>
      </x:c>
      <x:c r="K256" s="25" t="str">
        <x:v>available</x:v>
      </x:c>
    </x:row>
    <x:row r="257" ht="18" customHeight="1">
      <x:c r="A257" s="25" t="str">
        <x:v>EEZ_944</x:v>
      </x:c>
      <x:c r="B257" s="25" t="str">
        <x:v>Mexico (Atlantic)</x:v>
      </x:c>
      <x:c r="C257" s="25" t="str">
        <x:v>eez</x:v>
      </x:c>
      <x:c r="D257" s="31" t="n">
        <x:v>2019</x:v>
      </x:c>
      <x:c r="E257" s="25" t="n">
        <x:v>565</x:v>
      </x:c>
      <x:c r="F257" s="25" t="n">
        <x:v>103</x:v>
      </x:c>
      <x:c r="G257" s="32" t="n">
        <x:v>513071.27373900806</x:v>
      </x:c>
      <x:c r="H257" s="32" t="n">
        <x:v>513071.273739008</x:v>
      </x:c>
      <x:c r="I257" s="32" t="n">
        <x:v>-5.820766091346741e-11</x:v>
      </x:c>
      <x:c r="J257" s="36" t="b">
        <x:v>1</x:v>
      </x:c>
      <x:c r="K257" s="25" t="str">
        <x:v>available</x:v>
      </x:c>
    </x:row>
    <x:row r="258" ht="18" customHeight="1">
      <x:c r="A258" s="25" t="str">
        <x:v>EEZ_945</x:v>
      </x:c>
      <x:c r="B258" s="25" t="str">
        <x:v>Mexico (Pacific)</x:v>
      </x:c>
      <x:c r="C258" s="25" t="str">
        <x:v>eez</x:v>
      </x:c>
      <x:c r="D258" s="31" t="n">
        <x:v>2019</x:v>
      </x:c>
      <x:c r="E258" s="25" t="n">
        <x:v>706</x:v>
      </x:c>
      <x:c r="F258" s="25" t="n">
        <x:v>136</x:v>
      </x:c>
      <x:c r="G258" s="32" t="n">
        <x:v>2162472.0180045683</x:v>
      </x:c>
      <x:c r="H258" s="32" t="n">
        <x:v>2162472.0180045674</x:v>
      </x:c>
      <x:c r="I258" s="32" t="n">
        <x:v>-9.313225746154785e-10</x:v>
      </x:c>
      <x:c r="J258" s="36" t="b">
        <x:v>1</x:v>
      </x:c>
      <x:c r="K258" s="25" t="str">
        <x:v>available</x:v>
      </x:c>
    </x:row>
    <x:row r="259" ht="18" customHeight="1">
      <x:c r="A259" s="25" t="str">
        <x:v>EEZ_946</x:v>
      </x:c>
      <x:c r="B259" s="25" t="str">
        <x:v>Morocco (Central)</x:v>
      </x:c>
      <x:c r="C259" s="25" t="str">
        <x:v>eez</x:v>
      </x:c>
      <x:c r="D259" s="31" t="n">
        <x:v>2019</x:v>
      </x:c>
      <x:c r="E259" s="25" t="n">
        <x:v>1209</x:v>
      </x:c>
      <x:c r="F259" s="25" t="n">
        <x:v>232</x:v>
      </x:c>
      <x:c r="G259" s="32" t="n">
        <x:v>947648.9249708245</x:v>
      </x:c>
      <x:c r="H259" s="32" t="n">
        <x:v>947648.9249708245</x:v>
      </x:c>
      <x:c r="I259" s="32" t="n">
        <x:v>0</x:v>
      </x:c>
      <x:c r="J259" s="36" t="b">
        <x:v>1</x:v>
      </x:c>
      <x:c r="K259" s="25" t="str">
        <x:v>available</x:v>
      </x:c>
    </x:row>
    <x:row r="260" ht="18" customHeight="1">
      <x:c r="A260" s="25" t="str">
        <x:v>EEZ_947</x:v>
      </x:c>
      <x:c r="B260" s="25" t="str">
        <x:v>Morocco (Mediterranean)</x:v>
      </x:c>
      <x:c r="C260" s="25" t="str">
        <x:v>eez</x:v>
      </x:c>
      <x:c r="D260" s="31" t="n">
        <x:v>2019</x:v>
      </x:c>
      <x:c r="E260" s="25" t="n">
        <x:v>1371</x:v>
      </x:c>
      <x:c r="F260" s="25" t="n">
        <x:v>110</x:v>
      </x:c>
      <x:c r="G260" s="32" t="n">
        <x:v>66046.1481549044</x:v>
      </x:c>
      <x:c r="H260" s="32" t="n">
        <x:v>66046.1481549044</x:v>
      </x:c>
      <x:c r="I260" s="32" t="n">
        <x:v>0</x:v>
      </x:c>
      <x:c r="J260" s="36" t="b">
        <x:v>1</x:v>
      </x:c>
      <x:c r="K260" s="25" t="str">
        <x:v>available</x:v>
      </x:c>
    </x:row>
    <x:row r="261" ht="18" customHeight="1">
      <x:c r="A261" s="25" t="str">
        <x:v>EEZ_948</x:v>
      </x:c>
      <x:c r="B261" s="25" t="str">
        <x:v>Morocco (South)</x:v>
      </x:c>
      <x:c r="C261" s="25" t="str">
        <x:v>eez</x:v>
      </x:c>
      <x:c r="D261" s="31" t="n">
        <x:v>2019</x:v>
      </x:c>
      <x:c r="E261" s="25" t="n">
        <x:v>1394</x:v>
      </x:c>
      <x:c r="F261" s="25" t="n">
        <x:v>227</x:v>
      </x:c>
      <x:c r="G261" s="32" t="n">
        <x:v>1708699.3094834064</x:v>
      </x:c>
      <x:c r="H261" s="32" t="n">
        <x:v>1708699.3094834066</x:v>
      </x:c>
      <x:c r="I261" s="32" t="n">
        <x:v>2.3283064365386963e-10</x:v>
      </x:c>
      <x:c r="J261" s="36" t="b">
        <x:v>1</x:v>
      </x:c>
      <x:c r="K261" s="25" t="str">
        <x:v>available</x:v>
      </x:c>
    </x:row>
    <x:row r="262" ht="18" customHeight="1">
      <x:c r="A262" s="25" t="str">
        <x:v>EEZ_949</x:v>
      </x:c>
      <x:c r="B262" s="25" t="str">
        <x:v>Nicaragua (Caribbean)</x:v>
      </x:c>
      <x:c r="C262" s="25" t="str">
        <x:v>eez</x:v>
      </x:c>
      <x:c r="D262" s="31" t="n">
        <x:v>2019</x:v>
      </x:c>
      <x:c r="E262" s="25" t="n">
        <x:v>94</x:v>
      </x:c>
      <x:c r="F262" s="25" t="n">
        <x:v>27</x:v>
      </x:c>
      <x:c r="G262" s="32" t="n">
        <x:v>34605.779645753995</x:v>
      </x:c>
      <x:c r="H262" s="32" t="n">
        <x:v>34605.779645754</x:v>
      </x:c>
      <x:c r="I262" s="32" t="n">
        <x:v>7.275957614183426e-12</x:v>
      </x:c>
      <x:c r="J262" s="36" t="b">
        <x:v>1</x:v>
      </x:c>
      <x:c r="K262" s="25" t="str">
        <x:v>available</x:v>
      </x:c>
    </x:row>
    <x:row r="263" ht="18" customHeight="1">
      <x:c r="A263" s="25" t="str">
        <x:v>EEZ_950</x:v>
      </x:c>
      <x:c r="B263" s="25" t="str">
        <x:v>Nicaragua (Pacific)</x:v>
      </x:c>
      <x:c r="C263" s="25" t="str">
        <x:v>eez</x:v>
      </x:c>
      <x:c r="D263" s="31" t="n">
        <x:v>2019</x:v>
      </x:c>
      <x:c r="E263" s="25" t="n">
        <x:v>175</x:v>
      </x:c>
      <x:c r="F263" s="25" t="n">
        <x:v>46</x:v>
      </x:c>
      <x:c r="G263" s="32" t="n">
        <x:v>24556.3459940686</x:v>
      </x:c>
      <x:c r="H263" s="32" t="n">
        <x:v>24556.345994068597</x:v>
      </x:c>
      <x:c r="I263" s="32" t="n">
        <x:v>-3.637978807091713e-12</x:v>
      </x:c>
      <x:c r="J263" s="36" t="b">
        <x:v>1</x:v>
      </x:c>
      <x:c r="K263" s="25" t="str">
        <x:v>available</x:v>
      </x:c>
    </x:row>
    <x:row r="264" ht="18" customHeight="1">
      <x:c r="A264" s="25" t="str">
        <x:v>EEZ_951</x:v>
      </x:c>
      <x:c r="B264" s="25" t="str">
        <x:v>Panama (Caribbean)</x:v>
      </x:c>
      <x:c r="C264" s="25" t="str">
        <x:v>eez</x:v>
      </x:c>
      <x:c r="D264" s="31" t="n">
        <x:v>2019</x:v>
      </x:c>
      <x:c r="E264" s="25" t="n">
        <x:v>32</x:v>
      </x:c>
      <x:c r="F264" s="25" t="n">
        <x:v>12</x:v>
      </x:c>
      <x:c r="G264" s="32" t="n">
        <x:v>1550.4602980179</x:v>
      </x:c>
      <x:c r="H264" s="32" t="n">
        <x:v>1550.4602980179</x:v>
      </x:c>
      <x:c r="I264" s="32" t="n">
        <x:v>0</x:v>
      </x:c>
      <x:c r="J264" s="36" t="b">
        <x:v>1</x:v>
      </x:c>
      <x:c r="K264" s="25" t="str">
        <x:v>available</x:v>
      </x:c>
    </x:row>
    <x:row r="265" ht="18" customHeight="1">
      <x:c r="A265" s="25" t="str">
        <x:v>EEZ_952</x:v>
      </x:c>
      <x:c r="B265" s="25" t="str">
        <x:v>Panama (Pacific)</x:v>
      </x:c>
      <x:c r="C265" s="25" t="str">
        <x:v>eez</x:v>
      </x:c>
      <x:c r="D265" s="31" t="n">
        <x:v>2019</x:v>
      </x:c>
      <x:c r="E265" s="25" t="n">
        <x:v>408</x:v>
      </x:c>
      <x:c r="F265" s="25" t="n">
        <x:v>67</x:v>
      </x:c>
      <x:c r="G265" s="32" t="n">
        <x:v>303382.6234939234</x:v>
      </x:c>
      <x:c r="H265" s="32" t="n">
        <x:v>303382.62349392334</x:v>
      </x:c>
      <x:c r="I265" s="32" t="n">
        <x:v>-5.820766091346741e-11</x:v>
      </x:c>
      <x:c r="J265" s="36" t="b">
        <x:v>1</x:v>
      </x:c>
      <x:c r="K265" s="25" t="str">
        <x:v>available</x:v>
      </x:c>
    </x:row>
    <x:row r="266" ht="18" customHeight="1">
      <x:c r="A266" s="25" t="str">
        <x:v>EEZ_953</x:v>
      </x:c>
      <x:c r="B266" s="25" t="str">
        <x:v>South Africa (Atlantic and Cape)</x:v>
      </x:c>
      <x:c r="C266" s="25" t="str">
        <x:v>eez</x:v>
      </x:c>
      <x:c r="D266" s="31" t="n">
        <x:v>2019</x:v>
      </x:c>
      <x:c r="E266" s="25" t="n">
        <x:v>860</x:v>
      </x:c>
      <x:c r="F266" s="25" t="n">
        <x:v>100</x:v>
      </x:c>
      <x:c r="G266" s="32" t="n">
        <x:v>649172.6258836818</x:v>
      </x:c>
      <x:c r="H266" s="32" t="n">
        <x:v>649172.6258836818</x:v>
      </x:c>
      <x:c r="I266" s="32" t="n">
        <x:v>0</x:v>
      </x:c>
      <x:c r="J266" s="36" t="b">
        <x:v>1</x:v>
      </x:c>
      <x:c r="K266" s="25" t="str">
        <x:v>available</x:v>
      </x:c>
    </x:row>
    <x:row r="267" ht="18" customHeight="1">
      <x:c r="A267" s="25" t="str">
        <x:v>EEZ_954</x:v>
      </x:c>
      <x:c r="B267" s="25" t="str">
        <x:v>South Africa (Indian Ocean Coast)</x:v>
      </x:c>
      <x:c r="C267" s="25" t="str">
        <x:v>eez</x:v>
      </x:c>
      <x:c r="D267" s="31" t="n">
        <x:v>2019</x:v>
      </x:c>
      <x:c r="E267" s="25" t="n">
        <x:v>482</x:v>
      </x:c>
      <x:c r="F267" s="25" t="n">
        <x:v>74</x:v>
      </x:c>
      <x:c r="G267" s="32" t="n">
        <x:v>11740.798835807702</x:v>
      </x:c>
      <x:c r="H267" s="32" t="n">
        <x:v>11740.7988358077</x:v>
      </x:c>
      <x:c r="I267" s="32" t="n">
        <x:v>-1.8189894035458565e-12</x:v>
      </x:c>
      <x:c r="J267" s="36" t="b">
        <x:v>1</x:v>
      </x:c>
      <x:c r="K267" s="25" t="str">
        <x:v>available</x:v>
      </x:c>
    </x:row>
    <x:row r="268" ht="18" customHeight="1">
      <x:c r="A268" s="25" t="str">
        <x:v>EEZ_956</x:v>
      </x:c>
      <x:c r="B268" s="25" t="str">
        <x:v>Thailand (Andaman Sea)</x:v>
      </x:c>
      <x:c r="C268" s="25" t="str">
        <x:v>eez</x:v>
      </x:c>
      <x:c r="D268" s="31" t="n">
        <x:v>2019</x:v>
      </x:c>
      <x:c r="E268" s="25" t="n">
        <x:v>1009</x:v>
      </x:c>
      <x:c r="F268" s="25" t="n">
        <x:v>69</x:v>
      </x:c>
      <x:c r="G268" s="32" t="n">
        <x:v>421454.1155394422</x:v>
      </x:c>
      <x:c r="H268" s="32" t="n">
        <x:v>421454.1155394422</x:v>
      </x:c>
      <x:c r="I268" s="32" t="n">
        <x:v>0</x:v>
      </x:c>
      <x:c r="J268" s="36" t="b">
        <x:v>1</x:v>
      </x:c>
      <x:c r="K268" s="25" t="str">
        <x:v>available</x:v>
      </x:c>
    </x:row>
    <x:row r="269" ht="18" customHeight="1">
      <x:c r="A269" s="25" t="str">
        <x:v>EEZ_957</x:v>
      </x:c>
      <x:c r="B269" s="25" t="str">
        <x:v>Thailand (Gulf of Thailand)</x:v>
      </x:c>
      <x:c r="C269" s="25" t="str">
        <x:v>eez</x:v>
      </x:c>
      <x:c r="D269" s="31" t="n">
        <x:v>2019</x:v>
      </x:c>
      <x:c r="E269" s="25" t="n">
        <x:v>1054</x:v>
      </x:c>
      <x:c r="F269" s="25" t="n">
        <x:v>59</x:v>
      </x:c>
      <x:c r="G269" s="32" t="n">
        <x:v>1326966.3114427114</x:v>
      </x:c>
      <x:c r="H269" s="32" t="n">
        <x:v>1326966.3114427112</x:v>
      </x:c>
      <x:c r="I269" s="32" t="n">
        <x:v>-2.3283064365386963e-10</x:v>
      </x:c>
      <x:c r="J269" s="36" t="b">
        <x:v>1</x:v>
      </x:c>
      <x:c r="K269" s="25" t="str">
        <x:v>available</x:v>
      </x:c>
    </x:row>
    <x:row r="270" ht="18" customHeight="1">
      <x:c r="A270" s="25" t="str">
        <x:v>EEZ_958</x:v>
      </x:c>
      <x:c r="B270" s="25" t="str">
        <x:v>USA (Alaska, Arctic)</x:v>
      </x:c>
      <x:c r="C270" s="25" t="str">
        <x:v>eez</x:v>
      </x:c>
      <x:c r="D270" s="31" t="n">
        <x:v>2019</x:v>
      </x:c>
      <x:c r="E270" s="25" t="n">
        <x:v>74</x:v>
      </x:c>
      <x:c r="F270" s="25" t="n">
        <x:v>19</x:v>
      </x:c>
      <x:c r="G270" s="32" t="n">
        <x:v>1473.4283625649998</x:v>
      </x:c>
      <x:c r="H270" s="32" t="n">
        <x:v>1473.428362565</x:v>
      </x:c>
      <x:c r="I270" s="32" t="n">
        <x:v>2.2737367544323206e-13</x:v>
      </x:c>
      <x:c r="J270" s="36" t="b">
        <x:v>1</x:v>
      </x:c>
      <x:c r="K270" s="25" t="str">
        <x:v>available</x:v>
      </x:c>
    </x:row>
    <x:row r="271" ht="18" customHeight="1">
      <x:c r="A271" s="25" t="str">
        <x:v>EEZ_959</x:v>
      </x:c>
      <x:c r="B271" s="25" t="str">
        <x:v>USA (Alaska, Subarctic)</x:v>
      </x:c>
      <x:c r="C271" s="25" t="str">
        <x:v>eez</x:v>
      </x:c>
      <x:c r="D271" s="31" t="n">
        <x:v>2019</x:v>
      </x:c>
      <x:c r="E271" s="25" t="n">
        <x:v>474</x:v>
      </x:c>
      <x:c r="F271" s="25" t="n">
        <x:v>82</x:v>
      </x:c>
      <x:c r="G271" s="32" t="n">
        <x:v>2640185.1931024343</x:v>
      </x:c>
      <x:c r="H271" s="32" t="n">
        <x:v>2640185.1931024347</x:v>
      </x:c>
      <x:c r="I271" s="32" t="n">
        <x:v>4.656612873077393e-10</x:v>
      </x:c>
      <x:c r="J271" s="36" t="b">
        <x:v>1</x:v>
      </x:c>
      <x:c r="K271" s="25" t="str">
        <x:v>available</x:v>
      </x:c>
    </x:row>
    <x:row r="272" ht="18" customHeight="1">
      <x:c r="A272" s="25" t="str">
        <x:v>EEZ_962</x:v>
      </x:c>
      <x:c r="B272" s="25" t="str">
        <x:v>Spain (mainland, Med and Gulf of Cadiz)</x:v>
      </x:c>
      <x:c r="C272" s="25" t="str">
        <x:v>eez</x:v>
      </x:c>
      <x:c r="D272" s="31" t="n">
        <x:v>2019</x:v>
      </x:c>
      <x:c r="E272" s="25" t="n">
        <x:v>5796</x:v>
      </x:c>
      <x:c r="F272" s="25" t="n">
        <x:v>375</x:v>
      </x:c>
      <x:c r="G272" s="32" t="n">
        <x:v>200667.82998734072</x:v>
      </x:c>
      <x:c r="H272" s="32" t="n">
        <x:v>200667.8299873407</x:v>
      </x:c>
      <x:c r="I272" s="32" t="n">
        <x:v>-2.9103830456733704e-11</x:v>
      </x:c>
      <x:c r="J272" s="36" t="b">
        <x:v>1</x:v>
      </x:c>
      <x:c r="K272" s="25" t="str">
        <x:v>available</x:v>
      </x:c>
    </x:row>
    <x:row r="273" ht="18" customHeight="1">
      <x:c r="A273" s="25" t="str">
        <x:v>EEZ_963</x:v>
      </x:c>
      <x:c r="B273" s="25" t="str">
        <x:v>Spain (Northwest)</x:v>
      </x:c>
      <x:c r="C273" s="25" t="str">
        <x:v>eez</x:v>
      </x:c>
      <x:c r="D273" s="31" t="n">
        <x:v>2019</x:v>
      </x:c>
      <x:c r="E273" s="25" t="n">
        <x:v>4044</x:v>
      </x:c>
      <x:c r="F273" s="25" t="n">
        <x:v>312</x:v>
      </x:c>
      <x:c r="G273" s="32" t="n">
        <x:v>194491.9853032628</x:v>
      </x:c>
      <x:c r="H273" s="32" t="n">
        <x:v>194491.98530326283</x:v>
      </x:c>
      <x:c r="I273" s="32" t="n">
        <x:v>2.9103830456733704e-11</x:v>
      </x:c>
      <x:c r="J273" s="36" t="b">
        <x:v>1</x:v>
      </x:c>
      <x:c r="K273" s="25" t="str">
        <x:v>available</x:v>
      </x:c>
    </x:row>
    <x:row r="274" ht="18" customHeight="1">
      <x:c r="A274" s="25" t="str">
        <x:v>EEZ_966</x:v>
      </x:c>
      <x:c r="B274" s="25" t="str">
        <x:v>Türkiye (Marmara Sea)</x:v>
      </x:c>
      <x:c r="C274" s="25" t="str">
        <x:v>eez</x:v>
      </x:c>
      <x:c r="D274" s="31" t="n">
        <x:v>2019</x:v>
      </x:c>
      <x:c r="E274" s="25" t="n">
        <x:v>1993</x:v>
      </x:c>
      <x:c r="F274" s="25" t="n">
        <x:v>89</x:v>
      </x:c>
      <x:c r="G274" s="32" t="n">
        <x:v>135279.2422413837</x:v>
      </x:c>
      <x:c r="H274" s="32" t="n">
        <x:v>135279.2422413837</x:v>
      </x:c>
      <x:c r="I274" s="32" t="n">
        <x:v>0</x:v>
      </x:c>
      <x:c r="J274" s="36" t="b">
        <x:v>1</x:v>
      </x:c>
      <x:c r="K274" s="25" t="str">
        <x:v>available</x:v>
      </x:c>
    </x:row>
    <x:row r="275" ht="18" customHeight="1">
      <x:c r="A275" s="25" t="str">
        <x:v>EEZ_967</x:v>
      </x:c>
      <x:c r="B275" s="25" t="str">
        <x:v>Aruba (Netherlands)</x:v>
      </x:c>
      <x:c r="C275" s="25" t="str">
        <x:v>eez</x:v>
      </x:c>
      <x:c r="D275" s="31" t="n">
        <x:v>2019</x:v>
      </x:c>
      <x:c r="E275" s="25" t="n">
        <x:v>399</x:v>
      </x:c>
      <x:c r="F275" s="25" t="n">
        <x:v>63</x:v>
      </x:c>
      <x:c r="G275" s="32" t="n">
        <x:v>2447.9523494379</x:v>
      </x:c>
      <x:c r="H275" s="32" t="n">
        <x:v>2447.9523494378996</x:v>
      </x:c>
      <x:c r="I275" s="32" t="n">
        <x:v>-4.547473508864641e-13</x:v>
      </x:c>
      <x:c r="J275" s="36" t="b">
        <x:v>1</x:v>
      </x:c>
      <x:c r="K275" s="25" t="str">
        <x:v>available</x:v>
      </x:c>
    </x:row>
    <x:row r="276" ht="18" customHeight="1">
      <x:c r="A276" s="25" t="str">
        <x:v>EEZ_968</x:v>
      </x:c>
      <x:c r="B276" s="25" t="str">
        <x:v>United Arab Emirates (Fujairah)</x:v>
      </x:c>
      <x:c r="C276" s="25" t="str">
        <x:v>eez</x:v>
      </x:c>
      <x:c r="D276" s="31" t="n">
        <x:v>2019</x:v>
      </x:c>
      <x:c r="E276" s="25" t="n">
        <x:v>869</x:v>
      </x:c>
      <x:c r="F276" s="25" t="n">
        <x:v>51</x:v>
      </x:c>
      <x:c r="G276" s="32" t="n">
        <x:v>34815.7976770108</x:v>
      </x:c>
      <x:c r="H276" s="32" t="n">
        <x:v>34815.79767701079</x:v>
      </x:c>
      <x:c r="I276" s="32" t="n">
        <x:v>-7.275957614183426e-12</x:v>
      </x:c>
      <x:c r="J276" s="36" t="b">
        <x:v>1</x:v>
      </x:c>
      <x:c r="K276" s="25" t="str">
        <x:v>available</x:v>
      </x:c>
    </x:row>
    <x:row r="277" ht="18" customHeight="1">
      <x:c r="A277" s="25" t="str">
        <x:v>EEZ_969</x:v>
      </x:c>
      <x:c r="B277" s="25" t="str">
        <x:v>Fernando de Noronha (Brazil)</x:v>
      </x:c>
      <x:c r="C277" s="25" t="str">
        <x:v>eez</x:v>
      </x:c>
      <x:c r="D277" s="31" t="n">
        <x:v>2019</x:v>
      </x:c>
      <x:c r="E277" s="25" t="n">
        <x:v>238</x:v>
      </x:c>
      <x:c r="F277" s="25" t="n">
        <x:v>39</x:v>
      </x:c>
      <x:c r="G277" s="32" t="n">
        <x:v>7461.650372688001</x:v>
      </x:c>
      <x:c r="H277" s="32" t="n">
        <x:v>7461.650372688001</x:v>
      </x:c>
      <x:c r="I277" s="32" t="n">
        <x:v>0</x:v>
      </x:c>
      <x:c r="J277" s="36" t="b">
        <x:v>1</x:v>
      </x:c>
      <x:c r="K277" s="25" t="str">
        <x:v>available</x:v>
      </x:c>
    </x:row>
    <x:row r="278" ht="18" customHeight="1">
      <x:c r="A278" s="25" t="str">
        <x:v>EEZ_970</x:v>
      </x:c>
      <x:c r="B278" s="25" t="str">
        <x:v>St Paul and St. Peter Archipelago (Brazil)</x:v>
      </x:c>
      <x:c r="C278" s="25" t="str">
        <x:v>eez</x:v>
      </x:c>
      <x:c r="D278" s="31" t="n">
        <x:v>2019</x:v>
      </x:c>
      <x:c r="E278" s="25" t="n">
        <x:v>68</x:v>
      </x:c>
      <x:c r="F278" s="25" t="n">
        <x:v>16</x:v>
      </x:c>
      <x:c r="G278" s="32" t="n">
        <x:v>6274.562444918601</x:v>
      </x:c>
      <x:c r="H278" s="32" t="n">
        <x:v>6274.562444918601</x:v>
      </x:c>
      <x:c r="I278" s="32" t="n">
        <x:v>0</x:v>
      </x:c>
      <x:c r="J278" s="36" t="b">
        <x:v>1</x:v>
      </x:c>
      <x:c r="K278" s="25" t="str">
        <x:v>available</x:v>
      </x:c>
    </x:row>
    <x:row r="279" ht="18" customHeight="1">
      <x:c r="A279" s="25" t="str">
        <x:v>EEZ_971</x:v>
      </x:c>
      <x:c r="B279" s="25" t="str">
        <x:v>Ogasawara Isl.  / Bonin Islands (Japan)</x:v>
      </x:c>
      <x:c r="C279" s="25" t="str">
        <x:v>eez</x:v>
      </x:c>
      <x:c r="D279" s="31" t="n">
        <x:v>2019</x:v>
      </x:c>
      <x:c r="E279" s="25" t="n">
        <x:v>217</x:v>
      </x:c>
      <x:c r="F279" s="25" t="n">
        <x:v>29</x:v>
      </x:c>
      <x:c r="G279" s="32" t="n">
        <x:v>18442.865565138098</x:v>
      </x:c>
      <x:c r="H279" s="32" t="n">
        <x:v>18442.865565138098</x:v>
      </x:c>
      <x:c r="I279" s="32" t="n">
        <x:v>0</x:v>
      </x:c>
      <x:c r="J279" s="36" t="b">
        <x:v>1</x:v>
      </x:c>
      <x:c r="K279" s="25" t="str">
        <x:v>available</x:v>
      </x:c>
    </x:row>
    <x:row r="280" ht="18" customHeight="1">
      <x:c r="A280" s="25" t="str">
        <x:v>EEZ_972</x:v>
      </x:c>
      <x:c r="B280" s="25" t="str">
        <x:v>Glorieuses Isl. (France)</x:v>
      </x:c>
      <x:c r="C280" s="25" t="str">
        <x:v>eez</x:v>
      </x:c>
      <x:c r="D280" s="31" t="n">
        <x:v>2019</x:v>
      </x:c>
      <x:c r="E280" s="25" t="n">
        <x:v>17</x:v>
      </x:c>
      <x:c r="F280" s="25" t="n">
        <x:v>9</x:v>
      </x:c>
      <x:c r="G280" s="32" t="n">
        <x:v>102.51420178960001</x:v>
      </x:c>
      <x:c r="H280" s="32" t="n">
        <x:v>102.51420178960001</x:v>
      </x:c>
      <x:c r="I280" s="32" t="n">
        <x:v>0</x:v>
      </x:c>
      <x:c r="J280" s="36" t="b">
        <x:v>1</x:v>
      </x:c>
      <x:c r="K280" s="25" t="str">
        <x:v>available</x:v>
      </x:c>
    </x:row>
    <x:row r="281" ht="18" customHeight="1">
      <x:c r="A281" s="25" t="str">
        <x:v>EEZ_973</x:v>
      </x:c>
      <x:c r="B281" s="25" t="str">
        <x:v>Korea (North, Yellow Sea)</x:v>
      </x:c>
      <x:c r="C281" s="25" t="str">
        <x:v>eez</x:v>
      </x:c>
      <x:c r="D281" s="31" t="n">
        <x:v>2019</x:v>
      </x:c>
      <x:c r="E281" s="25" t="n">
        <x:v>320</x:v>
      </x:c>
      <x:c r="F281" s="25" t="n">
        <x:v>58</x:v>
      </x:c>
      <x:c r="G281" s="32" t="n">
        <x:v>89045.4804653548</x:v>
      </x:c>
      <x:c r="H281" s="32" t="n">
        <x:v>89045.48046535479</x:v>
      </x:c>
      <x:c r="I281" s="32" t="n">
        <x:v>-1.4551915228366852e-11</x:v>
      </x:c>
      <x:c r="J281" s="36" t="b">
        <x:v>1</x:v>
      </x:c>
      <x:c r="K281" s="25" t="str">
        <x:v>available</x:v>
      </x:c>
    </x:row>
    <x:row r="282" ht="18" customHeight="1">
      <x:c r="A282" s="25" t="str">
        <x:v>EEZ_974</x:v>
      </x:c>
      <x:c r="B282" s="25" t="str">
        <x:v>Korea (North, Sea of Japan)</x:v>
      </x:c>
      <x:c r="C282" s="25" t="str">
        <x:v>eez</x:v>
      </x:c>
      <x:c r="D282" s="31" t="n">
        <x:v>2019</x:v>
      </x:c>
      <x:c r="E282" s="25" t="n">
        <x:v>265</x:v>
      </x:c>
      <x:c r="F282" s="25" t="n">
        <x:v>53</x:v>
      </x:c>
      <x:c r="G282" s="32" t="n">
        <x:v>177084.6873231058</x:v>
      </x:c>
      <x:c r="H282" s="32" t="n">
        <x:v>177084.68732310584</x:v>
      </x:c>
      <x:c r="I282" s="32" t="n">
        <x:v>2.9103830456733704e-11</x:v>
      </x:c>
      <x:c r="J282" s="36" t="b">
        <x:v>1</x:v>
      </x:c>
      <x:c r="K282" s="25" t="str">
        <x:v>available</x:v>
      </x:c>
    </x:row>
    <x:row r="283" ht="18" customHeight="1">
      <x:c r="A283" s="25" t="str">
        <x:v>EEZ_977</x:v>
      </x:c>
      <x:c r="B283" s="25" t="str">
        <x:v>Socotra (Yemen)</x:v>
      </x:c>
      <x:c r="C283" s="25" t="str">
        <x:v>eez</x:v>
      </x:c>
      <x:c r="D283" s="31" t="n">
        <x:v>2019</x:v>
      </x:c>
      <x:c r="E283" s="25" t="n">
        <x:v>1042</x:v>
      </x:c>
      <x:c r="F283" s="25" t="n">
        <x:v>73</x:v>
      </x:c>
      <x:c r="G283" s="32" t="n">
        <x:v>5568.2319259029</x:v>
      </x:c>
      <x:c r="H283" s="32" t="n">
        <x:v>5568.2319259029</x:v>
      </x:c>
      <x:c r="I283" s="32" t="n">
        <x:v>0</x:v>
      </x:c>
      <x:c r="J283" s="36" t="b">
        <x:v>1</x:v>
      </x:c>
      <x:c r="K283" s="25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acb57bcd969749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PPR eez configuration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Scope</x:v>
      </x:c>
      <x:c r="B4" s="17" t="str">
        <x:v>all Sea Around Us EEZ units; overlapping alternatives to LMEs</x:v>
      </x:c>
      <x:c r="C4" s="18" t="str">
        <x:v>All EEZs; flags only, no filtering or replacements</x:v>
      </x:c>
    </x:row>
    <x:row r="5">
      <x:c r="A5" s="22" t="str">
        <x:v>Spatial units</x:v>
      </x:c>
      <x:c r="B5" s="17" t="n">
        <x:v>282</x:v>
      </x:c>
      <x:c r="C5" s="18" t="str">
        <x:v>0 LMEs + 0 High Seas units + 282 EEZs</x:v>
      </x:c>
    </x:row>
    <x:row r="6">
      <x:c r="A6" s="22" t="str">
        <x:v>Year</x:v>
      </x:c>
      <x:c r="B6" s="17" t="n">
        <x:v>2019</x:v>
      </x:c>
      <x:c r="C6" s="18" t="str">
        <x:v>Latest year present in every configured catch archive</x:v>
      </x:c>
    </x:row>
    <x:row r="7">
      <x:c r="A7" s="22" t="str">
        <x:v>Transfer efficiency</x:v>
      </x:c>
      <x:c r="B7" s="24" t="n">
        <x:v>0.1</x:v>
      </x:c>
      <x:c r="C7" s="18" t="str">
        <x:v>Fixed TE for the approved 1995 trophic-chain method</x:v>
      </x:c>
    </x:row>
    <x:row r="8">
      <x:c r="A8" s="22" t="str">
        <x:v>SPPR</x:v>
      </x:c>
      <x:c r="B8" s="17" t="str">
        <x:v>(1 / TE)^(TL - 1)</x:v>
      </x:c>
      <x:c r="C8" s="18" t="str">
        <x:v>With TE=0.10, SPPR = 10^(TL-1)</x:v>
      </x:c>
    </x:row>
    <x:row r="9">
      <x:c r="A9" s="22" t="str">
        <x:v>PPR</x:v>
      </x:c>
      <x:c r="B9" s="17" t="str">
        <x:v>Catch tonnes × SPPR</x:v>
      </x:c>
      <x:c r="C9" s="18" t="str">
        <x:v>Unit: tonnes primary-production equivalent</x:v>
      </x:c>
    </x:row>
    <x:row r="10">
      <x:c r="A10" s="22" t="str">
        <x:v>Wet-weight/carbon divisor</x:v>
      </x:c>
      <x:c r="B10" s="17" t="str">
        <x:v>Not applied</x:v>
      </x:c>
      <x:c r="C10" s="18" t="str">
        <x:v>The paper's separate /9 conversion is omitted per the approved specification</x:v>
      </x:c>
    </x:row>
    <x:row r="11">
      <x:c r="A11" s="22" t="str">
        <x:v>Catch types</x:v>
      </x:c>
      <x:c r="B11" s="17" t="str">
        <x:v>Landings, Discards</x:v>
      </x:c>
      <x:c r="C11" s="18" t="str">
        <x:v>Sea Around Us reconstructed catch scope</x:v>
      </x:c>
    </x:row>
    <x:row r="12">
      <x:c r="A12" s="22" t="str">
        <x:v>Reporting status</x:v>
      </x:c>
      <x:c r="B12" s="17" t="str">
        <x:v>Reported, Unreported</x:v>
      </x:c>
      <x:c r="C12" s="18" t="str">
        <x:v>Both reported and reconstructed unreported catch</x:v>
      </x:c>
    </x:row>
    <x:row r="13">
      <x:c r="A13" s="22" t="str">
        <x:v>TL primary source</x:v>
      </x:c>
      <x:c r="B13" s="17" t="str">
        <x:v>2020 supplement MeanTL</x:v>
      </x:c>
      <x:c r="C13" s="18" t="str">
        <x:v>The supplement's alternative SPPR columns are not used</x:v>
      </x:c>
    </x:row>
    <x:row r="14">
      <x:c r="A14" s="23" t="str">
        <x:v>TL secondary source</x:v>
      </x:c>
      <x:c r="B14" s="20" t="str">
        <x:v>Sea Around Us exploited organisms</x:v>
      </x:c>
      <x:c r="C14" s="21" t="str">
        <x:v>Exact scientific-name matches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Sources and reproducibility notes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Sea Around Us data</x:v>
      </x:c>
      <x:c r="B4" s="17" t="str">
        <x:v>https://www.seaaroundus.org/data/</x:v>
      </x:c>
      <x:c r="C4" s="18" t="str">
        <x:v>Region, catch, and High Seas definitions</x:v>
      </x:c>
    </x:row>
    <x:row r="5">
      <x:c r="A5" s="22" t="str">
        <x:v>Sea Around Us guide</x:v>
      </x:c>
      <x:c r="B5" s="17" t="str">
        <x:v>https://www.seaaroundus.org/tools-guide/</x:v>
      </x:c>
      <x:c r="C5" s="18" t="str">
        <x:v>Download fields and reconstructed-catch notes</x:v>
      </x:c>
    </x:row>
    <x:row r="6">
      <x:c r="A6" s="22" t="str">
        <x:v>Sea Around Us API</x:v>
      </x:c>
      <x:c r="B6" s="17" t="str">
        <x:v>https://api.seaaroundus.org/api/v1/</x:v>
      </x:c>
      <x:c r="C6" s="18" t="str">
        <x:v>Frozen raw downloads stored with the pipeline</x:v>
      </x:c>
    </x:row>
    <x:row r="7">
      <x:c r="A7" s="22" t="str">
        <x:v>1995 method</x:v>
      </x:c>
      <x:c r="B7" s="17" t="str">
        <x:v>Pauly &amp; Christensen (1995), Nature 374:255-257</x:v>
      </x:c>
      <x:c r="C7" s="18" t="str">
        <x:v>TE=0.10 trophic-chain calculation</x:v>
      </x:c>
    </x:row>
    <x:row r="8">
      <x:c r="A8" s="22" t="str">
        <x:v>2020 supplement</x:v>
      </x:c>
      <x:c r="B8" s="17" t="str">
        <x:v>sources/2020 sup.xlsx</x:v>
      </x:c>
      <x:c r="C8" s="18" t="str">
        <x:v>MeanTL only; no Luong regression SPPR used</x:v>
      </x:c>
    </x:row>
    <x:row r="9">
      <x:c r="A9" s="23" t="str">
        <x:v>Interpretation</x:v>
      </x:c>
      <x:c r="B9" s="20" t="str">
        <x:v>EEZ fractions sum to 100%</x:v>
      </x:c>
      <x:c r="C9" s="21" t="str">
        <x:v>EEZs overlap LMEs; do not sum spatial systems as a world total</x:v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15" hidden="0" customWidth="1"/>
    <x:col min="5" max="5" width="15" hidden="0" customWidth="1"/>
    <x:col min="6" max="6" width="15" hidden="0" customWidth="1"/>
    <x:col min="7" max="7" width="24" hidden="0" customWidth="1"/>
    <x:col min="8" max="8" width="15" hidden="0" customWidth="1"/>
    <x:col min="9" max="9" width="24" hidden="0" customWidth="1"/>
    <x:col min="10" max="10" width="15" hidden="0" customWidth="1"/>
    <x:col min="11" max="11" width="15" hidden="0" customWidth="1"/>
    <x:col min="12" max="12" width="24" hidden="0" customWidth="1"/>
    <x:col min="13" max="13" width="24" hidden="0" customWidth="1"/>
    <x:col min="14" max="14" width="24" hidden="0" customWidth="1"/>
    <x:col min="15" max="15" width="15" hidden="0" customWidth="1"/>
    <x:col min="16" max="16" width="15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 ht="48" customHeight="1">
      <x:c r="A1" s="30" t="str">
        <x:v>unit_id</x:v>
      </x:c>
      <x:c r="B1" s="30" t="str">
        <x:v>eez_unit_id</x:v>
      </x:c>
      <x:c r="C1" s="30" t="str">
        <x:v>eez_name</x:v>
      </x:c>
      <x:c r="D1" s="30" t="str">
        <x:v>sau_region_id</x:v>
      </x:c>
      <x:c r="E1" s="30" t="str">
        <x:v>area_km2</x:v>
      </x:c>
      <x:c r="F1" s="30" t="str">
        <x:v>lme_union_intersection_km2</x:v>
      </x:c>
      <x:c r="G1" s="30" t="str">
        <x:v>lme_overlap_fraction_of_eez</x:v>
      </x:c>
      <x:c r="H1" s="30" t="str">
        <x:v>hs_union_intersection_km2</x:v>
      </x:c>
      <x:c r="I1" s="30" t="str">
        <x:v>hs_overlap_fraction_of_eez</x:v>
      </x:c>
      <x:c r="J1" s="30" t="str">
        <x:v>uncovered_by_lme_or_hs_km2</x:v>
      </x:c>
      <x:c r="K1" s="30" t="str">
        <x:v>geometry_repaired</x:v>
      </x:c>
      <x:c r="L1" s="30" t="str">
        <x:v>flag_add_low_lme_overlap</x:v>
      </x:c>
      <x:c r="M1" s="30" t="str">
        <x:v>flag_prefer_eez_candidate</x:v>
      </x:c>
      <x:c r="N1" s="30" t="str">
        <x:v>flag_review_110_120</x:v>
      </x:c>
      <x:c r="O1" s="30" t="str">
        <x:v>prefer_eez_lme_ids</x:v>
      </x:c>
      <x:c r="P1" s="30" t="str">
        <x:v>review_110_120_lme_ids</x:v>
      </x:c>
      <x:c r="Q1" s="30" t="str">
        <x:v>mostly_contained_lme_ids</x:v>
      </x:c>
      <x:c r="R1" s="30" t="str">
        <x:v>mostly_contained_lme_count</x:v>
      </x:c>
      <x:c r="S1" s="30" t="str">
        <x:v>max_lme_containment_fraction</x:v>
      </x:c>
      <x:c r="T1" s="30" t="str">
        <x:v>max_eez_to_lme_area_ratio</x:v>
      </x:c>
      <x:c r="U1" s="30" t="str">
        <x:v>max_eez_to_mostly_contained_lme_area_ratio</x:v>
      </x:c>
    </x:row>
    <x:row r="2" ht="18" customHeight="1">
      <x:c r="A2" s="25" t="str">
        <x:v>EEZ_008</x:v>
      </x:c>
      <x:c r="B2" s="25" t="str">
        <x:v>EEZ_008</x:v>
      </x:c>
      <x:c r="C2" s="25" t="str">
        <x:v>Albania</x:v>
      </x:c>
      <x:c r="D2" s="25" t="n">
        <x:v>8</x:v>
      </x:c>
      <x:c r="E2" s="32" t="n">
        <x:v>12219.555135005918</x:v>
      </x:c>
      <x:c r="F2" s="32" t="n">
        <x:v>12091.177754117587</x:v>
      </x:c>
      <x:c r="G2" s="34" t="n">
        <x:f>F2/E2</x:f>
        <x:v>0.9894941035520547</x:v>
      </x:c>
      <x:c r="H2" s="32" t="n">
        <x:v>0</x:v>
      </x:c>
      <x:c r="I2" s="34" t="n">
        <x:f>H2/E2</x:f>
        <x:v>0</x:v>
      </x:c>
      <x:c r="J2" s="32" t="n">
        <x:v>128.3787959285591</x:v>
      </x:c>
      <x:c r="K2" s="36" t="b">
        <x:v>1</x:v>
      </x:c>
      <x:c r="L2" s="25" t="b">
        <x:f>G2&lt;'Selection Rules'!$B$4</x:f>
        <x:v>0</x:v>
      </x:c>
      <x:c r="M2" s="25" t="b">
        <x:f>SUMIF('EEZ LME Pairs'!$A$2:$A$351,A2,'EEZ LME Pairs'!$L$2:$L$351)&gt;0</x:f>
        <x:v>0</x:v>
      </x:c>
      <x:c r="N2" s="25" t="b">
        <x:f>SUMIF('EEZ LME Pairs'!$A$2:$A$351,A2,'EEZ LME Pairs'!$M$2:$M$351)&gt;0</x:f>
        <x:v>0</x:v>
      </x:c>
      <x:c r="O2" s="25" t="str"/>
      <x:c r="P2" s="25" t="str"/>
      <x:c r="Q2" s="25" t="str"/>
      <x:c r="R2" s="35" t="n">
        <x:v>0</x:v>
      </x:c>
      <x:c r="S2" s="34" t="n">
        <x:v>0.004783278732778517</x:v>
      </x:c>
      <x:c r="T2" s="33" t="n">
        <x:v>0.004834064918232108</x:v>
      </x:c>
      <x:c r="U2" s="33" t="n">
        <x:v>0</x:v>
      </x:c>
    </x:row>
    <x:row r="3" ht="18" customHeight="1">
      <x:c r="A3" s="25" t="str">
        <x:v>EEZ_012</x:v>
      </x:c>
      <x:c r="B3" s="25" t="str">
        <x:v>EEZ_012</x:v>
      </x:c>
      <x:c r="C3" s="25" t="str">
        <x:v>Algeria</x:v>
      </x:c>
      <x:c r="D3" s="25" t="n">
        <x:v>12</x:v>
      </x:c>
      <x:c r="E3" s="32" t="n">
        <x:v>131003.5061804871</x:v>
      </x:c>
      <x:c r="F3" s="32" t="n">
        <x:v>130687.93479332548</x:v>
      </x:c>
      <x:c r="G3" s="34" t="n">
        <x:f>F3/E3</x:f>
        <x:v>0.9975911225862394</x:v>
      </x:c>
      <x:c r="H3" s="32" t="n">
        <x:v>0</x:v>
      </x:c>
      <x:c r="I3" s="34" t="n">
        <x:f>H3/E3</x:f>
        <x:v>0</x:v>
      </x:c>
      <x:c r="J3" s="32" t="n">
        <x:v>315.56895027805956</x:v>
      </x:c>
      <x:c r="K3" s="36" t="b">
        <x:v>0</x:v>
      </x:c>
      <x:c r="L3" s="25" t="b">
        <x:f>G3&lt;'Selection Rules'!$B$4</x:f>
        <x:v>0</x:v>
      </x:c>
      <x:c r="M3" s="25" t="b">
        <x:f>SUMIF('EEZ LME Pairs'!$A$2:$A$351,A3,'EEZ LME Pairs'!$L$2:$L$351)&gt;0</x:f>
        <x:v>0</x:v>
      </x:c>
      <x:c r="N3" s="25" t="b">
        <x:f>SUMIF('EEZ LME Pairs'!$A$2:$A$351,A3,'EEZ LME Pairs'!$M$2:$M$351)&gt;0</x:f>
        <x:v>0</x:v>
      </x:c>
      <x:c r="O3" s="25" t="str"/>
      <x:c r="P3" s="25" t="str"/>
      <x:c r="Q3" s="25" t="str"/>
      <x:c r="R3" s="35" t="n">
        <x:v>0</x:v>
      </x:c>
      <x:c r="S3" s="34" t="n">
        <x:v>0.0517002422625686</x:v>
      </x:c>
      <x:c r="T3" s="33" t="n">
        <x:v>0.051825082533349456</x:v>
      </x:c>
      <x:c r="U3" s="33" t="n">
        <x:v>0</x:v>
      </x:c>
    </x:row>
    <x:row r="4" ht="18" customHeight="1">
      <x:c r="A4" s="25" t="str">
        <x:v>EEZ_016</x:v>
      </x:c>
      <x:c r="B4" s="25" t="str">
        <x:v>EEZ_016</x:v>
      </x:c>
      <x:c r="C4" s="25" t="str">
        <x:v>American Samoa</x:v>
      </x:c>
      <x:c r="D4" s="25" t="n">
        <x:v>16</x:v>
      </x:c>
      <x:c r="E4" s="32" t="n">
        <x:v>404096.0922091678</x:v>
      </x:c>
      <x:c r="F4" s="32" t="n">
        <x:v>0</x:v>
      </x:c>
      <x:c r="G4" s="34" t="n">
        <x:f>F4/E4</x:f>
        <x:v>0</x:v>
      </x:c>
      <x:c r="H4" s="32" t="n">
        <x:v>0</x:v>
      </x:c>
      <x:c r="I4" s="34" t="n">
        <x:f>H4/E4</x:f>
        <x:v>0</x:v>
      </x:c>
      <x:c r="J4" s="32" t="n">
        <x:v>404096.09220916766</x:v>
      </x:c>
      <x:c r="K4" s="36" t="b">
        <x:v>0</x:v>
      </x:c>
      <x:c r="L4" s="25" t="b">
        <x:f>G4&lt;'Selection Rules'!$B$4</x:f>
        <x:v>1</x:v>
      </x:c>
      <x:c r="M4" s="25" t="b">
        <x:f>SUMIF('EEZ LME Pairs'!$A$2:$A$351,A4,'EEZ LME Pairs'!$L$2:$L$351)&gt;0</x:f>
        <x:v>0</x:v>
      </x:c>
      <x:c r="N4" s="25" t="b">
        <x:f>SUMIF('EEZ LME Pairs'!$A$2:$A$351,A4,'EEZ LME Pairs'!$M$2:$M$351)&gt;0</x:f>
        <x:v>0</x:v>
      </x:c>
      <x:c r="O4" s="25" t="str"/>
      <x:c r="P4" s="25" t="str"/>
      <x:c r="Q4" s="25" t="str"/>
      <x:c r="R4" s="35" t="n">
        <x:v>0</x:v>
      </x:c>
      <x:c r="S4" s="34" t="n">
        <x:v>0</x:v>
      </x:c>
      <x:c r="T4" s="33" t="n">
        <x:v>0</x:v>
      </x:c>
      <x:c r="U4" s="33" t="n">
        <x:v>0</x:v>
      </x:c>
    </x:row>
    <x:row r="5" ht="18" customHeight="1">
      <x:c r="A5" s="25" t="str">
        <x:v>EEZ_024</x:v>
      </x:c>
      <x:c r="B5" s="25" t="str">
        <x:v>EEZ_024</x:v>
      </x:c>
      <x:c r="C5" s="25" t="str">
        <x:v>Angola</x:v>
      </x:c>
      <x:c r="D5" s="25" t="n">
        <x:v>24</x:v>
      </x:c>
      <x:c r="E5" s="32" t="n">
        <x:v>493804.0339161999</x:v>
      </x:c>
      <x:c r="F5" s="32" t="n">
        <x:v>492555.7261566849</x:v>
      </x:c>
      <x:c r="G5" s="34" t="n">
        <x:f>F5/E5</x:f>
        <x:v>0.9974720584001409</x:v>
      </x:c>
      <x:c r="H5" s="32" t="n">
        <x:v>38.774028398767584</x:v>
      </x:c>
      <x:c r="I5" s="34" t="n">
        <x:f>H5/E5</x:f>
        <x:v>0.00007852108475352726</x:v>
      </x:c>
      <x:c r="J5" s="32" t="n">
        <x:v>1248.3080538561546</x:v>
      </x:c>
      <x:c r="K5" s="36" t="b">
        <x:v>0</x:v>
      </x:c>
      <x:c r="L5" s="25" t="b">
        <x:f>G5&lt;'Selection Rules'!$B$4</x:f>
        <x:v>0</x:v>
      </x:c>
      <x:c r="M5" s="25" t="b">
        <x:f>SUMIF('EEZ LME Pairs'!$A$2:$A$351,A5,'EEZ LME Pairs'!$L$2:$L$351)&gt;0</x:f>
        <x:v>0</x:v>
      </x:c>
      <x:c r="N5" s="25" t="b">
        <x:f>SUMIF('EEZ LME Pairs'!$A$2:$A$351,A5,'EEZ LME Pairs'!$M$2:$M$351)&gt;0</x:f>
        <x:v>0</x:v>
      </x:c>
      <x:c r="O5" s="25" t="str"/>
      <x:c r="P5" s="25" t="str"/>
      <x:c r="Q5" s="25" t="str"/>
      <x:c r="R5" s="35" t="n">
        <x:v>0</x:v>
      </x:c>
      <x:c r="S5" s="34" t="n">
        <x:v>0.3270219687440637</x:v>
      </x:c>
      <x:c r="T5" s="33" t="n">
        <x:v>0.3386495288268319</x:v>
      </x:c>
      <x:c r="U5" s="33" t="n">
        <x:v>0</x:v>
      </x:c>
    </x:row>
    <x:row r="6" ht="18" customHeight="1">
      <x:c r="A6" s="25" t="str">
        <x:v>EEZ_028</x:v>
      </x:c>
      <x:c r="B6" s="25" t="str">
        <x:v>EEZ_028</x:v>
      </x:c>
      <x:c r="C6" s="25" t="str">
        <x:v>Antigua &amp; Barbuda</x:v>
      </x:c>
      <x:c r="D6" s="25" t="n">
        <x:v>28</x:v>
      </x:c>
      <x:c r="E6" s="32" t="n">
        <x:v>111055.89188966993</x:v>
      </x:c>
      <x:c r="F6" s="32" t="n">
        <x:v>3710.2403699359897</x:v>
      </x:c>
      <x:c r="G6" s="34" t="n">
        <x:f>F6/E6</x:f>
        <x:v>0.033408766584144683</x:v>
      </x:c>
      <x:c r="H6" s="32" t="n">
        <x:v>600.4081068854225</x:v>
      </x:c>
      <x:c r="I6" s="34" t="n">
        <x:f>H6/E6</x:f>
        <x:v>0.005406359776768139</x:v>
      </x:c>
      <x:c r="J6" s="32" t="n">
        <x:v>106745.24336309021</x:v>
      </x:c>
      <x:c r="K6" s="36" t="b">
        <x:v>0</x:v>
      </x:c>
      <x:c r="L6" s="25" t="b">
        <x:f>G6&lt;'Selection Rules'!$B$4</x:f>
        <x:v>1</x:v>
      </x:c>
      <x:c r="M6" s="25" t="b">
        <x:f>SUMIF('EEZ LME Pairs'!$A$2:$A$351,A6,'EEZ LME Pairs'!$L$2:$L$351)&gt;0</x:f>
        <x:v>0</x:v>
      </x:c>
      <x:c r="N6" s="25" t="b">
        <x:f>SUMIF('EEZ LME Pairs'!$A$2:$A$351,A6,'EEZ LME Pairs'!$M$2:$M$351)&gt;0</x:f>
        <x:v>0</x:v>
      </x:c>
      <x:c r="O6" s="25" t="str"/>
      <x:c r="P6" s="25" t="str"/>
      <x:c r="Q6" s="25" t="str"/>
      <x:c r="R6" s="35" t="n">
        <x:v>0</x:v>
      </x:c>
      <x:c r="S6" s="34" t="n">
        <x:v>0.001137211640725506</x:v>
      </x:c>
      <x:c r="T6" s="33" t="n">
        <x:v>0.03403931832865719</x:v>
      </x:c>
      <x:c r="U6" s="33" t="n">
        <x:v>0</x:v>
      </x:c>
    </x:row>
    <x:row r="7" ht="18" customHeight="1">
      <x:c r="A7" s="25" t="str">
        <x:v>EEZ_032</x:v>
      </x:c>
      <x:c r="B7" s="25" t="str">
        <x:v>EEZ_032</x:v>
      </x:c>
      <x:c r="C7" s="25" t="str">
        <x:v>Argentina</x:v>
      </x:c>
      <x:c r="D7" s="25" t="n">
        <x:v>32</x:v>
      </x:c>
      <x:c r="E7" s="32" t="n">
        <x:v>1092159.2771767338</x:v>
      </x:c>
      <x:c r="F7" s="32" t="n">
        <x:v>842172.4996658075</x:v>
      </x:c>
      <x:c r="G7" s="34" t="n">
        <x:f>F7/E7</x:f>
        <x:v>0.7711077653827654</x:v>
      </x:c>
      <x:c r="H7" s="32" t="n">
        <x:v>160.92558330174904</x:v>
      </x:c>
      <x:c r="I7" s="34" t="n">
        <x:f>H7/E7</x:f>
        <x:v>0.00014734625861325534</x:v>
      </x:c>
      <x:c r="J7" s="32" t="n">
        <x:v>249868.5880439054</x:v>
      </x:c>
      <x:c r="K7" s="36" t="b">
        <x:v>1</x:v>
      </x:c>
      <x:c r="L7" s="25" t="b">
        <x:f>G7&lt;'Selection Rules'!$B$4</x:f>
        <x:v>0</x:v>
      </x:c>
      <x:c r="M7" s="25" t="b">
        <x:f>SUMIF('EEZ LME Pairs'!$A$2:$A$351,A7,'EEZ LME Pairs'!$L$2:$L$351)&gt;0</x:f>
        <x:v>0</x:v>
      </x:c>
      <x:c r="N7" s="25" t="b">
        <x:f>SUMIF('EEZ LME Pairs'!$A$2:$A$351,A7,'EEZ LME Pairs'!$M$2:$M$351)&gt;0</x:f>
        <x:v>0</x:v>
      </x:c>
      <x:c r="O7" s="25" t="str"/>
      <x:c r="P7" s="25" t="str"/>
      <x:c r="Q7" s="25" t="str"/>
      <x:c r="R7" s="35" t="n">
        <x:v>0</x:v>
      </x:c>
      <x:c r="S7" s="34" t="n">
        <x:v>0.716240633385013</x:v>
      </x:c>
      <x:c r="T7" s="33" t="n">
        <x:v>0.9332213162645734</x:v>
      </x:c>
      <x:c r="U7" s="33" t="n">
        <x:v>0</x:v>
      </x:c>
    </x:row>
    <x:row r="8" ht="18" customHeight="1">
      <x:c r="A8" s="25" t="str">
        <x:v>EEZ_036</x:v>
      </x:c>
      <x:c r="B8" s="25" t="str">
        <x:v>EEZ_036</x:v>
      </x:c>
      <x:c r="C8" s="25" t="str">
        <x:v>Australia</x:v>
      </x:c>
      <x:c r="D8" s="25" t="n">
        <x:v>36</x:v>
      </x:c>
      <x:c r="E8" s="32" t="n">
        <x:v>6329385.118514362</x:v>
      </x:c>
      <x:c r="F8" s="32" t="n">
        <x:v>6289530.651828255</x:v>
      </x:c>
      <x:c r="G8" s="34" t="n">
        <x:f>F8/E8</x:f>
        <x:v>0.993703264070703</x:v>
      </x:c>
      <x:c r="H8" s="32" t="n">
        <x:v>1529.8940719088484</x:v>
      </x:c>
      <x:c r="I8" s="34" t="n">
        <x:f>H8/E8</x:f>
        <x:v>0.0002417129062716832</x:v>
      </x:c>
      <x:c r="J8" s="32" t="n">
        <x:v>38770.25807817534</x:v>
      </x:c>
      <x:c r="K8" s="36" t="b">
        <x:v>1</x:v>
      </x:c>
      <x:c r="L8" s="25" t="b">
        <x:f>G8&lt;'Selection Rules'!$B$4</x:f>
        <x:v>0</x:v>
      </x:c>
      <x:c r="M8" s="25" t="b">
        <x:f>SUMIF('EEZ LME Pairs'!$A$2:$A$351,A8,'EEZ LME Pairs'!$L$2:$L$351)&gt;0</x:f>
        <x:v>1</x:v>
      </x:c>
      <x:c r="N8" s="25" t="b">
        <x:f>SUMIF('EEZ LME Pairs'!$A$2:$A$351,A8,'EEZ LME Pairs'!$M$2:$M$351)&gt;0</x:f>
        <x:v>0</x:v>
      </x:c>
      <x:c r="O8" s="25" t="str">
        <x:v>LME_039;LME_040;LME_041;LME_042;LME_043;LME_044;LME_045</x:v>
      </x:c>
      <x:c r="P8" s="25" t="str"/>
      <x:c r="Q8" s="25" t="str">
        <x:v>LME_039;LME_040;LME_041;LME_042;LME_043;LME_044;LME_045</x:v>
      </x:c>
      <x:c r="R8" s="35" t="n">
        <x:v>7</x:v>
      </x:c>
      <x:c r="S8" s="34" t="n">
        <x:v>0.9983792292995102</x:v>
      </x:c>
      <x:c r="T8" s="33" t="n">
        <x:v>10.924848123304493</x:v>
      </x:c>
      <x:c r="U8" s="33" t="n">
        <x:v>10.924848123304493</x:v>
      </x:c>
    </x:row>
    <x:row r="9" ht="18" customHeight="1">
      <x:c r="A9" s="25" t="str">
        <x:v>EEZ_037</x:v>
      </x:c>
      <x:c r="B9" s="25" t="str">
        <x:v>EEZ_037</x:v>
      </x:c>
      <x:c r="C9" s="25" t="str">
        <x:v>Macquarie Isl. (Australia)</x:v>
      </x:c>
      <x:c r="D9" s="25" t="n">
        <x:v>37</x:v>
      </x:c>
      <x:c r="E9" s="32" t="n">
        <x:v>476009.8592070779</x:v>
      </x:c>
      <x:c r="F9" s="32" t="n">
        <x:v>0</x:v>
      </x:c>
      <x:c r="G9" s="34" t="n">
        <x:f>F9/E9</x:f>
        <x:v>0</x:v>
      </x:c>
      <x:c r="H9" s="32" t="n">
        <x:v>578.5041692232294</x:v>
      </x:c>
      <x:c r="I9" s="34" t="n">
        <x:f>H9/E9</x:f>
        <x:v>0.0012153197208706627</x:v>
      </x:c>
      <x:c r="J9" s="32" t="n">
        <x:v>475431.3554055311</x:v>
      </x:c>
      <x:c r="K9" s="36" t="b">
        <x:v>0</x:v>
      </x:c>
      <x:c r="L9" s="25" t="b">
        <x:f>G9&lt;'Selection Rules'!$B$4</x:f>
        <x:v>1</x:v>
      </x:c>
      <x:c r="M9" s="25" t="b">
        <x:f>SUMIF('EEZ LME Pairs'!$A$2:$A$351,A9,'EEZ LME Pairs'!$L$2:$L$351)&gt;0</x:f>
        <x:v>0</x:v>
      </x:c>
      <x:c r="N9" s="25" t="b">
        <x:f>SUMIF('EEZ LME Pairs'!$A$2:$A$351,A9,'EEZ LME Pairs'!$M$2:$M$351)&gt;0</x:f>
        <x:v>0</x:v>
      </x:c>
      <x:c r="O9" s="25" t="str"/>
      <x:c r="P9" s="25" t="str"/>
      <x:c r="Q9" s="25" t="str"/>
      <x:c r="R9" s="35" t="n">
        <x:v>0</x:v>
      </x:c>
      <x:c r="S9" s="34" t="n">
        <x:v>0</x:v>
      </x:c>
      <x:c r="T9" s="33" t="n">
        <x:v>0</x:v>
      </x:c>
      <x:c r="U9" s="33" t="n">
        <x:v>0</x:v>
      </x:c>
    </x:row>
    <x:row r="10" ht="18" customHeight="1">
      <x:c r="A10" s="25" t="str">
        <x:v>EEZ_038</x:v>
      </x:c>
      <x:c r="B10" s="25" t="str">
        <x:v>EEZ_038</x:v>
      </x:c>
      <x:c r="C10" s="25" t="str">
        <x:v>Lord Howe Isl. (Australia)</x:v>
      </x:c>
      <x:c r="D10" s="25" t="n">
        <x:v>38</x:v>
      </x:c>
      <x:c r="E10" s="32" t="n">
        <x:v>541148.0055378617</x:v>
      </x:c>
      <x:c r="F10" s="32" t="n">
        <x:v>33748.080844045675</x:v>
      </x:c>
      <x:c r="G10" s="34" t="n">
        <x:f>F10/E10</x:f>
        <x:v>0.06236386441173804</x:v>
      </x:c>
      <x:c r="H10" s="32" t="n">
        <x:v>487.2843144613548</x:v>
      </x:c>
      <x:c r="I10" s="34" t="n">
        <x:f>H10/E10</x:f>
        <x:v>0.0009004640310501185</x:v>
      </x:c>
      <x:c r="J10" s="32" t="n">
        <x:v>506912.7880247162</x:v>
      </x:c>
      <x:c r="K10" s="36" t="b">
        <x:v>0</x:v>
      </x:c>
      <x:c r="L10" s="25" t="b">
        <x:f>G10&lt;'Selection Rules'!$B$4</x:f>
        <x:v>1</x:v>
      </x:c>
      <x:c r="M10" s="25" t="b">
        <x:f>SUMIF('EEZ LME Pairs'!$A$2:$A$351,A10,'EEZ LME Pairs'!$L$2:$L$351)&gt;0</x:f>
        <x:v>0</x:v>
      </x:c>
      <x:c r="N10" s="25" t="b">
        <x:f>SUMIF('EEZ LME Pairs'!$A$2:$A$351,A10,'EEZ LME Pairs'!$M$2:$M$351)&gt;0</x:f>
        <x:v>0</x:v>
      </x:c>
      <x:c r="O10" s="25" t="str"/>
      <x:c r="P10" s="25" t="str"/>
      <x:c r="Q10" s="25" t="str"/>
      <x:c r="R10" s="35" t="n">
        <x:v>0</x:v>
      </x:c>
      <x:c r="S10" s="34" t="n">
        <x:v>0.051764453749833295</x:v>
      </x:c>
      <x:c r="T10" s="33" t="n">
        <x:v>0.8300392260504348</x:v>
      </x:c>
      <x:c r="U10" s="33" t="n">
        <x:v>0</x:v>
      </x:c>
    </x:row>
    <x:row r="11" ht="18" customHeight="1">
      <x:c r="A11" s="25" t="str">
        <x:v>EEZ_044</x:v>
      </x:c>
      <x:c r="B11" s="25" t="str">
        <x:v>EEZ_044</x:v>
      </x:c>
      <x:c r="C11" s="25" t="str">
        <x:v>Bahamas</x:v>
      </x:c>
      <x:c r="D11" s="25" t="n">
        <x:v>44</x:v>
      </x:c>
      <x:c r="E11" s="32" t="n">
        <x:v>619981.826721081</x:v>
      </x:c>
      <x:c r="F11" s="32" t="n">
        <x:v>301349.39447074186</x:v>
      </x:c>
      <x:c r="G11" s="34" t="n">
        <x:f>F11/E11</x:f>
        <x:v>0.4860616577497096</x:v>
      </x:c>
      <x:c r="H11" s="32" t="n">
        <x:v>31.93484582975077</x:v>
      </x:c>
      <x:c r="I11" s="34" t="n">
        <x:f>H11/E11</x:f>
        <x:v>0.00005150932568240859</x:v>
      </x:c>
      <x:c r="J11" s="32" t="n">
        <x:v>318600.4977320989</x:v>
      </x:c>
      <x:c r="K11" s="36" t="b">
        <x:v>1</x:v>
      </x:c>
      <x:c r="L11" s="25" t="b">
        <x:f>G11&lt;'Selection Rules'!$B$4</x:f>
        <x:v>0</x:v>
      </x:c>
      <x:c r="M11" s="25" t="b">
        <x:f>SUMIF('EEZ LME Pairs'!$A$2:$A$351,A11,'EEZ LME Pairs'!$L$2:$L$351)&gt;0</x:f>
        <x:v>0</x:v>
      </x:c>
      <x:c r="N11" s="25" t="b">
        <x:f>SUMIF('EEZ LME Pairs'!$A$2:$A$351,A11,'EEZ LME Pairs'!$M$2:$M$351)&gt;0</x:f>
        <x:v>0</x:v>
      </x:c>
      <x:c r="O11" s="25" t="str"/>
      <x:c r="P11" s="25" t="str"/>
      <x:c r="Q11" s="25" t="str"/>
      <x:c r="R11" s="35" t="n">
        <x:v>0</x:v>
      </x:c>
      <x:c r="S11" s="34" t="n">
        <x:v>0.15065076323918136</x:v>
      </x:c>
      <x:c r="T11" s="33" t="n">
        <x:v>2.055135542340474</x:v>
      </x:c>
      <x:c r="U11" s="33" t="n">
        <x:v>0</x:v>
      </x:c>
    </x:row>
    <x:row r="12" ht="18" customHeight="1">
      <x:c r="A12" s="25" t="str">
        <x:v>EEZ_048</x:v>
      </x:c>
      <x:c r="B12" s="25" t="str">
        <x:v>EEZ_048</x:v>
      </x:c>
      <x:c r="C12" s="25" t="str">
        <x:v>Bahrain</x:v>
      </x:c>
      <x:c r="D12" s="25" t="n">
        <x:v>48</x:v>
      </x:c>
      <x:c r="E12" s="32" t="n">
        <x:v>7423.356182623587</x:v>
      </x:c>
      <x:c r="F12" s="32" t="n">
        <x:v>7405.216550648655</x:v>
      </x:c>
      <x:c r="G12" s="34" t="n">
        <x:f>F12/E12</x:f>
        <x:v>0.9975564109374958</x:v>
      </x:c>
      <x:c r="H12" s="32" t="n">
        <x:v>0</x:v>
      </x:c>
      <x:c r="I12" s="34" t="n">
        <x:f>H12/E12</x:f>
        <x:v>0</x:v>
      </x:c>
      <x:c r="J12" s="32" t="n">
        <x:v>18.13995553798193</x:v>
      </x:c>
      <x:c r="K12" s="36" t="b">
        <x:v>1</x:v>
      </x:c>
      <x:c r="L12" s="25" t="b">
        <x:f>G12&lt;'Selection Rules'!$B$4</x:f>
        <x:v>0</x:v>
      </x:c>
      <x:c r="M12" s="25" t="b">
        <x:f>SUMIF('EEZ LME Pairs'!$A$2:$A$351,A12,'EEZ LME Pairs'!$L$2:$L$351)&gt;0</x:f>
        <x:v>0</x:v>
      </x:c>
      <x:c r="N12" s="25" t="b">
        <x:f>SUMIF('EEZ LME Pairs'!$A$2:$A$351,A12,'EEZ LME Pairs'!$M$2:$M$351)&gt;0</x:f>
        <x:v>0</x:v>
      </x:c>
      <x:c r="O12" s="25" t="str"/>
      <x:c r="P12" s="25" t="str"/>
      <x:c r="Q12" s="25" t="str"/>
      <x:c r="R12" s="35" t="n">
        <x:v>0</x:v>
      </x:c>
      <x:c r="S12" s="34" t="n">
        <x:v>0.0018833674779694307</x:v>
      </x:c>
      <x:c r="T12" s="33" t="n">
        <x:v>0.0018879809275141207</x:v>
      </x:c>
      <x:c r="U12" s="33" t="n">
        <x:v>0</x:v>
      </x:c>
    </x:row>
    <x:row r="13" ht="18" customHeight="1">
      <x:c r="A13" s="25" t="str">
        <x:v>EEZ_050</x:v>
      </x:c>
      <x:c r="B13" s="25" t="str">
        <x:v>EEZ_050</x:v>
      </x:c>
      <x:c r="C13" s="25" t="str">
        <x:v>Bangladesh</x:v>
      </x:c>
      <x:c r="D13" s="25" t="n">
        <x:v>50</x:v>
      </x:c>
      <x:c r="E13" s="32" t="n">
        <x:v>112185.80624509312</x:v>
      </x:c>
      <x:c r="F13" s="32" t="n">
        <x:v>109806.93274044056</x:v>
      </x:c>
      <x:c r="G13" s="34" t="n">
        <x:f>F13/E13</x:f>
        <x:v>0.978795236364791</x:v>
      </x:c>
      <x:c r="H13" s="32" t="n">
        <x:v>4.723430958801576</x:v>
      </x:c>
      <x:c r="I13" s="34" t="n">
        <x:f>H13/E13</x:f>
        <x:v>0.00004210364142218013</x:v>
      </x:c>
      <x:c r="J13" s="32" t="n">
        <x:v>2378.876062706684</x:v>
      </x:c>
      <x:c r="K13" s="36" t="b">
        <x:v>1</x:v>
      </x:c>
      <x:c r="L13" s="25" t="b">
        <x:f>G13&lt;'Selection Rules'!$B$4</x:f>
        <x:v>0</x:v>
      </x:c>
      <x:c r="M13" s="25" t="b">
        <x:f>SUMIF('EEZ LME Pairs'!$A$2:$A$351,A13,'EEZ LME Pairs'!$L$2:$L$351)&gt;0</x:f>
        <x:v>0</x:v>
      </x:c>
      <x:c r="N13" s="25" t="b">
        <x:f>SUMIF('EEZ LME Pairs'!$A$2:$A$351,A13,'EEZ LME Pairs'!$M$2:$M$351)&gt;0</x:f>
        <x:v>0</x:v>
      </x:c>
      <x:c r="O13" s="25" t="str"/>
      <x:c r="P13" s="25" t="str"/>
      <x:c r="Q13" s="25" t="str"/>
      <x:c r="R13" s="35" t="n">
        <x:v>0</x:v>
      </x:c>
      <x:c r="S13" s="34" t="n">
        <x:v>0.029964567497176582</x:v>
      </x:c>
      <x:c r="T13" s="33" t="n">
        <x:v>0.030613724284625526</x:v>
      </x:c>
      <x:c r="U13" s="33" t="n">
        <x:v>0</x:v>
      </x:c>
    </x:row>
    <x:row r="14" ht="18" customHeight="1">
      <x:c r="A14" s="25" t="str">
        <x:v>EEZ_052</x:v>
      </x:c>
      <x:c r="B14" s="25" t="str">
        <x:v>EEZ_052</x:v>
      </x:c>
      <x:c r="C14" s="25" t="str">
        <x:v>Barbados</x:v>
      </x:c>
      <x:c r="D14" s="25" t="n">
        <x:v>52</x:v>
      </x:c>
      <x:c r="E14" s="32" t="n">
        <x:v>184229.9230477758</x:v>
      </x:c>
      <x:c r="F14" s="32" t="n">
        <x:v>37352.78269379093</x:v>
      </x:c>
      <x:c r="G14" s="34" t="n">
        <x:f>F14/E14</x:f>
        <x:v>0.20275089993987752</x:v>
      </x:c>
      <x:c r="H14" s="32" t="n">
        <x:v>80.3501979700314</x:v>
      </x:c>
      <x:c r="I14" s="34" t="n">
        <x:f>H14/E14</x:f>
        <x:v>0.0004361408648539381</x:v>
      </x:c>
      <x:c r="J14" s="32" t="n">
        <x:v>146839.8420311445</x:v>
      </x:c>
      <x:c r="K14" s="36" t="b">
        <x:v>0</x:v>
      </x:c>
      <x:c r="L14" s="25" t="b">
        <x:f>G14&lt;'Selection Rules'!$B$4</x:f>
        <x:v>0</x:v>
      </x:c>
      <x:c r="M14" s="25" t="b">
        <x:f>SUMIF('EEZ LME Pairs'!$A$2:$A$351,A14,'EEZ LME Pairs'!$L$2:$L$351)&gt;0</x:f>
        <x:v>0</x:v>
      </x:c>
      <x:c r="N14" s="25" t="b">
        <x:f>SUMIF('EEZ LME Pairs'!$A$2:$A$351,A14,'EEZ LME Pairs'!$M$2:$M$351)&gt;0</x:f>
        <x:v>0</x:v>
      </x:c>
      <x:c r="O14" s="25" t="str"/>
      <x:c r="P14" s="25" t="str"/>
      <x:c r="Q14" s="25" t="str"/>
      <x:c r="R14" s="35" t="n">
        <x:v>0</x:v>
      </x:c>
      <x:c r="S14" s="34" t="n">
        <x:v>0.021908189598352824</x:v>
      </x:c>
      <x:c r="T14" s="33" t="n">
        <x:v>0.17465419610648458</x:v>
      </x:c>
      <x:c r="U14" s="33" t="n">
        <x:v>0</x:v>
      </x:c>
    </x:row>
    <x:row r="15" ht="18" customHeight="1">
      <x:c r="A15" s="25" t="str">
        <x:v>EEZ_056</x:v>
      </x:c>
      <x:c r="B15" s="25" t="str">
        <x:v>EEZ_056</x:v>
      </x:c>
      <x:c r="C15" s="25" t="str">
        <x:v>Belgium</x:v>
      </x:c>
      <x:c r="D15" s="25" t="n">
        <x:v>56</x:v>
      </x:c>
      <x:c r="E15" s="32" t="n">
        <x:v>3563.4444389643254</x:v>
      </x:c>
      <x:c r="F15" s="32" t="n">
        <x:v>3497.8226299905527</x:v>
      </x:c>
      <x:c r="G15" s="34" t="n">
        <x:f>F15/E15</x:f>
        <x:v>0.9815847250889521</x:v>
      </x:c>
      <x:c r="H15" s="32" t="n">
        <x:v>0</x:v>
      </x:c>
      <x:c r="I15" s="34" t="n">
        <x:f>H15/E15</x:f>
        <x:v>0</x:v>
      </x:c>
      <x:c r="J15" s="32" t="n">
        <x:v>65.62059861460236</x:v>
      </x:c>
      <x:c r="K15" s="36" t="b">
        <x:v>1</x:v>
      </x:c>
      <x:c r="L15" s="25" t="b">
        <x:f>G15&lt;'Selection Rules'!$B$4</x:f>
        <x:v>0</x:v>
      </x:c>
      <x:c r="M15" s="25" t="b">
        <x:f>SUMIF('EEZ LME Pairs'!$A$2:$A$351,A15,'EEZ LME Pairs'!$L$2:$L$351)&gt;0</x:f>
        <x:v>0</x:v>
      </x:c>
      <x:c r="N15" s="25" t="b">
        <x:f>SUMIF('EEZ LME Pairs'!$A$2:$A$351,A15,'EEZ LME Pairs'!$M$2:$M$351)&gt;0</x:f>
        <x:v>0</x:v>
      </x:c>
      <x:c r="O15" s="25" t="str"/>
      <x:c r="P15" s="25" t="str"/>
      <x:c r="Q15" s="25" t="str"/>
      <x:c r="R15" s="35" t="n">
        <x:v>0</x:v>
      </x:c>
      <x:c r="S15" s="34" t="n">
        <x:v>0.00502176232795075</x:v>
      </x:c>
      <x:c r="T15" s="33" t="n">
        <x:v>0.005115974403020251</x:v>
      </x:c>
      <x:c r="U15" s="33" t="n">
        <x:v>0</x:v>
      </x:c>
    </x:row>
    <x:row r="16" ht="18" customHeight="1">
      <x:c r="A16" s="25" t="str">
        <x:v>EEZ_060</x:v>
      </x:c>
      <x:c r="B16" s="25" t="str">
        <x:v>EEZ_060</x:v>
      </x:c>
      <x:c r="C16" s="25" t="str">
        <x:v>Bermuda (UK)</x:v>
      </x:c>
      <x:c r="D16" s="25" t="n">
        <x:v>60</x:v>
      </x:c>
      <x:c r="E16" s="32" t="n">
        <x:v>450302.31188821484</x:v>
      </x:c>
      <x:c r="F16" s="32" t="n">
        <x:v>0</x:v>
      </x:c>
      <x:c r="G16" s="34" t="n">
        <x:f>F16/E16</x:f>
        <x:v>0</x:v>
      </x:c>
      <x:c r="H16" s="32" t="n">
        <x:v>19.25645803027242</x:v>
      </x:c>
      <x:c r="I16" s="34" t="n">
        <x:f>H16/E16</x:f>
        <x:v>0.00004276340032438637</x:v>
      </x:c>
      <x:c r="J16" s="32" t="n">
        <x:v>450283.0566425625</x:v>
      </x:c>
      <x:c r="K16" s="36" t="b">
        <x:v>1</x:v>
      </x:c>
      <x:c r="L16" s="25" t="b">
        <x:f>G16&lt;'Selection Rules'!$B$4</x:f>
        <x:v>1</x:v>
      </x:c>
      <x:c r="M16" s="25" t="b">
        <x:f>SUMIF('EEZ LME Pairs'!$A$2:$A$351,A16,'EEZ LME Pairs'!$L$2:$L$351)&gt;0</x:f>
        <x:v>0</x:v>
      </x:c>
      <x:c r="N16" s="25" t="b">
        <x:f>SUMIF('EEZ LME Pairs'!$A$2:$A$351,A16,'EEZ LME Pairs'!$M$2:$M$351)&gt;0</x:f>
        <x:v>0</x:v>
      </x:c>
      <x:c r="O16" s="25" t="str"/>
      <x:c r="P16" s="25" t="str"/>
      <x:c r="Q16" s="25" t="str"/>
      <x:c r="R16" s="35" t="n">
        <x:v>0</x:v>
      </x:c>
      <x:c r="S16" s="34" t="n">
        <x:v>0</x:v>
      </x:c>
      <x:c r="T16" s="33" t="n">
        <x:v>0</x:v>
      </x:c>
      <x:c r="U16" s="33" t="n">
        <x:v>0</x:v>
      </x:c>
    </x:row>
    <x:row r="17" ht="18" customHeight="1">
      <x:c r="A17" s="25" t="str">
        <x:v>EEZ_070</x:v>
      </x:c>
      <x:c r="B17" s="25" t="str">
        <x:v>EEZ_070</x:v>
      </x:c>
      <x:c r="C17" s="25" t="str">
        <x:v>Bosnia &amp; Herzegovina</x:v>
      </x:c>
      <x:c r="D17" s="25" t="n">
        <x:v>70</x:v>
      </x:c>
      <x:c r="E17" s="32" t="n">
        <x:v>8.423500003006835</x:v>
      </x:c>
      <x:c r="F17" s="32" t="n">
        <x:v>8.049444373667589</x:v>
      </x:c>
      <x:c r="G17" s="34" t="n">
        <x:f>F17/E17</x:f>
        <x:v>0.9555937995838163</x:v>
      </x:c>
      <x:c r="H17" s="32" t="n">
        <x:v>0</x:v>
      </x:c>
      <x:c r="I17" s="34" t="n">
        <x:f>H17/E17</x:f>
        <x:v>0</x:v>
      </x:c>
      <x:c r="J17" s="32" t="n">
        <x:v>0.3740560665439997</x:v>
      </x:c>
      <x:c r="K17" s="36" t="b">
        <x:v>1</x:v>
      </x:c>
      <x:c r="L17" s="25" t="b">
        <x:f>G17&lt;'Selection Rules'!$B$4</x:f>
        <x:v>0</x:v>
      </x:c>
      <x:c r="M17" s="25" t="b">
        <x:f>SUMIF('EEZ LME Pairs'!$A$2:$A$351,A17,'EEZ LME Pairs'!$L$2:$L$351)&gt;0</x:f>
        <x:v>0</x:v>
      </x:c>
      <x:c r="N17" s="25" t="b">
        <x:f>SUMIF('EEZ LME Pairs'!$A$2:$A$351,A17,'EEZ LME Pairs'!$M$2:$M$351)&gt;0</x:f>
        <x:v>0</x:v>
      </x:c>
      <x:c r="O17" s="25" t="str"/>
      <x:c r="P17" s="25" t="str"/>
      <x:c r="Q17" s="25" t="str"/>
      <x:c r="R17" s="35" t="n">
        <x:v>0</x:v>
      </x:c>
      <x:c r="S17" s="34" t="n">
        <x:v>0.0000031843660614563343</x:v>
      </x:c>
      <x:c r="T17" s="33" t="n">
        <x:v>0.000003332342741071783</x:v>
      </x:c>
      <x:c r="U17" s="33" t="n">
        <x:v>0</x:v>
      </x:c>
    </x:row>
    <x:row r="18" ht="18" customHeight="1">
      <x:c r="A18" s="25" t="str">
        <x:v>EEZ_074</x:v>
      </x:c>
      <x:c r="B18" s="25" t="str">
        <x:v>EEZ_074</x:v>
      </x:c>
      <x:c r="C18" s="25" t="str">
        <x:v>Bouvet Isl. (Norway)</x:v>
      </x:c>
      <x:c r="D18" s="25" t="n">
        <x:v>74</x:v>
      </x:c>
      <x:c r="E18" s="32" t="n">
        <x:v>441141.3659608816</x:v>
      </x:c>
      <x:c r="F18" s="32" t="n">
        <x:v>0</x:v>
      </x:c>
      <x:c r="G18" s="34" t="n">
        <x:f>F18/E18</x:f>
        <x:v>0</x:v>
      </x:c>
      <x:c r="H18" s="32" t="n">
        <x:v>42.10749581152647</x:v>
      </x:c>
      <x:c r="I18" s="34" t="n">
        <x:f>H18/E18</x:f>
        <x:v>0.00009545125227558091</x:v>
      </x:c>
      <x:c r="J18" s="32" t="n">
        <x:v>441099.258357131</x:v>
      </x:c>
      <x:c r="K18" s="36" t="b">
        <x:v>0</x:v>
      </x:c>
      <x:c r="L18" s="25" t="b">
        <x:f>G18&lt;'Selection Rules'!$B$4</x:f>
        <x:v>1</x:v>
      </x:c>
      <x:c r="M18" s="25" t="b">
        <x:f>SUMIF('EEZ LME Pairs'!$A$2:$A$351,A18,'EEZ LME Pairs'!$L$2:$L$351)&gt;0</x:f>
        <x:v>0</x:v>
      </x:c>
      <x:c r="N18" s="25" t="b">
        <x:f>SUMIF('EEZ LME Pairs'!$A$2:$A$351,A18,'EEZ LME Pairs'!$M$2:$M$351)&gt;0</x:f>
        <x:v>0</x:v>
      </x:c>
      <x:c r="O18" s="25" t="str"/>
      <x:c r="P18" s="25" t="str"/>
      <x:c r="Q18" s="25" t="str"/>
      <x:c r="R18" s="35" t="n">
        <x:v>0</x:v>
      </x:c>
      <x:c r="S18" s="34" t="n">
        <x:v>0</x:v>
      </x:c>
      <x:c r="T18" s="33" t="n">
        <x:v>0</x:v>
      </x:c>
      <x:c r="U18" s="33" t="n">
        <x:v>0</x:v>
      </x:c>
    </x:row>
    <x:row r="19" ht="18" customHeight="1">
      <x:c r="A19" s="25" t="str">
        <x:v>EEZ_076</x:v>
      </x:c>
      <x:c r="B19" s="25" t="str">
        <x:v>EEZ_076</x:v>
      </x:c>
      <x:c r="C19" s="25" t="str">
        <x:v>Brazil (mainland)</x:v>
      </x:c>
      <x:c r="D19" s="25" t="n">
        <x:v>76</x:v>
      </x:c>
      <x:c r="E19" s="32" t="n">
        <x:v>2412664.317181936</x:v>
      </x:c>
      <x:c r="F19" s="32" t="n">
        <x:v>2025236.5650772238</x:v>
      </x:c>
      <x:c r="G19" s="34" t="n">
        <x:f>F19/E19</x:f>
        <x:v>0.8394191229398877</x:v>
      </x:c>
      <x:c r="H19" s="32" t="n">
        <x:v>1726.2164341040789</x:v>
      </x:c>
      <x:c r="I19" s="34" t="n">
        <x:f>H19/E19</x:f>
        <x:v>0.0007154813961522635</x:v>
      </x:c>
      <x:c r="J19" s="32" t="n">
        <x:v>386149.8690002099</x:v>
      </x:c>
      <x:c r="K19" s="36" t="b">
        <x:v>1</x:v>
      </x:c>
      <x:c r="L19" s="25" t="b">
        <x:f>G19&lt;'Selection Rules'!$B$4</x:f>
        <x:v>0</x:v>
      </x:c>
      <x:c r="M19" s="25" t="b">
        <x:f>SUMIF('EEZ LME Pairs'!$A$2:$A$351,A19,'EEZ LME Pairs'!$L$2:$L$351)&gt;0</x:f>
        <x:v>1</x:v>
      </x:c>
      <x:c r="N19" s="25" t="b">
        <x:f>SUMIF('EEZ LME Pairs'!$A$2:$A$351,A19,'EEZ LME Pairs'!$M$2:$M$351)&gt;0</x:f>
        <x:v>0</x:v>
      </x:c>
      <x:c r="O19" s="25" t="str">
        <x:v>LME_015</x:v>
      </x:c>
      <x:c r="P19" s="25" t="str"/>
      <x:c r="Q19" s="25" t="str">
        <x:v>LME_015</x:v>
      </x:c>
      <x:c r="R19" s="35" t="n">
        <x:v>1</x:v>
      </x:c>
      <x:c r="S19" s="34" t="n">
        <x:v>0.9841685946613736</x:v>
      </x:c>
      <x:c r="T19" s="33" t="n">
        <x:v>4.258297022074654</x:v>
      </x:c>
      <x:c r="U19" s="33" t="n">
        <x:v>4.258297022074654</x:v>
      </x:c>
    </x:row>
    <x:row r="20" ht="18" customHeight="1">
      <x:c r="A20" s="25" t="str">
        <x:v>EEZ_077</x:v>
      </x:c>
      <x:c r="B20" s="25" t="str">
        <x:v>EEZ_077</x:v>
      </x:c>
      <x:c r="C20" s="25" t="str">
        <x:v>Trindade &amp; Martim Vaz Isl. (Brazil)</x:v>
      </x:c>
      <x:c r="D20" s="25" t="n">
        <x:v>77</x:v>
      </x:c>
      <x:c r="E20" s="32" t="n">
        <x:v>468534.3484073179</x:v>
      </x:c>
      <x:c r="F20" s="32" t="n">
        <x:v>0</x:v>
      </x:c>
      <x:c r="G20" s="34" t="n">
        <x:f>F20/E20</x:f>
        <x:v>0</x:v>
      </x:c>
      <x:c r="H20" s="32" t="n">
        <x:v>14.202723991803028</x:v>
      </x:c>
      <x:c r="I20" s="34" t="n">
        <x:f>H20/E20</x:f>
        <x:v>0.000030313090257058303</x:v>
      </x:c>
      <x:c r="J20" s="32" t="n">
        <x:v>468520.1461406714</x:v>
      </x:c>
      <x:c r="K20" s="36" t="b">
        <x:v>0</x:v>
      </x:c>
      <x:c r="L20" s="25" t="b">
        <x:f>G20&lt;'Selection Rules'!$B$4</x:f>
        <x:v>1</x:v>
      </x:c>
      <x:c r="M20" s="25" t="b">
        <x:f>SUMIF('EEZ LME Pairs'!$A$2:$A$351,A20,'EEZ LME Pairs'!$L$2:$L$351)&gt;0</x:f>
        <x:v>0</x:v>
      </x:c>
      <x:c r="N20" s="25" t="b">
        <x:f>SUMIF('EEZ LME Pairs'!$A$2:$A$351,A20,'EEZ LME Pairs'!$M$2:$M$351)&gt;0</x:f>
        <x:v>0</x:v>
      </x:c>
      <x:c r="O20" s="25" t="str"/>
      <x:c r="P20" s="25" t="str"/>
      <x:c r="Q20" s="25" t="str"/>
      <x:c r="R20" s="35" t="n">
        <x:v>0</x:v>
      </x:c>
      <x:c r="S20" s="34" t="n">
        <x:v>0</x:v>
      </x:c>
      <x:c r="T20" s="33" t="n">
        <x:v>0</x:v>
      </x:c>
      <x:c r="U20" s="33" t="n">
        <x:v>0</x:v>
      </x:c>
    </x:row>
    <x:row r="21" ht="18" customHeight="1">
      <x:c r="A21" s="25" t="str">
        <x:v>EEZ_084</x:v>
      </x:c>
      <x:c r="B21" s="25" t="str">
        <x:v>EEZ_084</x:v>
      </x:c>
      <x:c r="C21" s="25" t="str">
        <x:v>Belize</x:v>
      </x:c>
      <x:c r="D21" s="25" t="n">
        <x:v>84</x:v>
      </x:c>
      <x:c r="E21" s="32" t="n">
        <x:v>34287.26243474843</x:v>
      </x:c>
      <x:c r="F21" s="32" t="n">
        <x:v>33948.2527876345</x:v>
      </x:c>
      <x:c r="G21" s="34" t="n">
        <x:f>F21/E21</x:f>
        <x:v>0.9901126650819937</x:v>
      </x:c>
      <x:c r="H21" s="32" t="n">
        <x:v>0</x:v>
      </x:c>
      <x:c r="I21" s="34" t="n">
        <x:f>H21/E21</x:f>
        <x:v>0</x:v>
      </x:c>
      <x:c r="J21" s="32" t="n">
        <x:v>339.00989220997366</x:v>
      </x:c>
      <x:c r="K21" s="36" t="b">
        <x:v>1</x:v>
      </x:c>
      <x:c r="L21" s="25" t="b">
        <x:f>G21&lt;'Selection Rules'!$B$4</x:f>
        <x:v>0</x:v>
      </x:c>
      <x:c r="M21" s="25" t="b">
        <x:f>SUMIF('EEZ LME Pairs'!$A$2:$A$351,A21,'EEZ LME Pairs'!$L$2:$L$351)&gt;0</x:f>
        <x:v>0</x:v>
      </x:c>
      <x:c r="N21" s="25" t="b">
        <x:f>SUMIF('EEZ LME Pairs'!$A$2:$A$351,A21,'EEZ LME Pairs'!$M$2:$M$351)&gt;0</x:f>
        <x:v>0</x:v>
      </x:c>
      <x:c r="O21" s="25" t="str"/>
      <x:c r="P21" s="25" t="str"/>
      <x:c r="Q21" s="25" t="str"/>
      <x:c r="R21" s="35" t="n">
        <x:v>0</x:v>
      </x:c>
      <x:c r="S21" s="34" t="n">
        <x:v>0.010405349627807568</x:v>
      </x:c>
      <x:c r="T21" s="33" t="n">
        <x:v>0.01050925818320471</x:v>
      </x:c>
      <x:c r="U21" s="33" t="n">
        <x:v>0</x:v>
      </x:c>
    </x:row>
    <x:row r="22" ht="18" customHeight="1">
      <x:c r="A22" s="25" t="str">
        <x:v>EEZ_086</x:v>
      </x:c>
      <x:c r="B22" s="25" t="str">
        <x:v>EEZ_086</x:v>
      </x:c>
      <x:c r="C22" s="25" t="str">
        <x:v>Chagos Archipelago (UK)</x:v>
      </x:c>
      <x:c r="D22" s="25" t="n">
        <x:v>86</x:v>
      </x:c>
      <x:c r="E22" s="32" t="n">
        <x:v>637338.2382261321</x:v>
      </x:c>
      <x:c r="F22" s="32" t="n">
        <x:v>0</x:v>
      </x:c>
      <x:c r="G22" s="34" t="n">
        <x:f>F22/E22</x:f>
        <x:v>0</x:v>
      </x:c>
      <x:c r="H22" s="32" t="n">
        <x:v>848.8232771535552</x:v>
      </x:c>
      <x:c r="I22" s="34" t="n">
        <x:f>H22/E22</x:f>
        <x:v>0.0013318254362331022</x:v>
      </x:c>
      <x:c r="J22" s="32" t="n">
        <x:v>636489.4155300824</x:v>
      </x:c>
      <x:c r="K22" s="36" t="b">
        <x:v>1</x:v>
      </x:c>
      <x:c r="L22" s="25" t="b">
        <x:f>G22&lt;'Selection Rules'!$B$4</x:f>
        <x:v>1</x:v>
      </x:c>
      <x:c r="M22" s="25" t="b">
        <x:f>SUMIF('EEZ LME Pairs'!$A$2:$A$351,A22,'EEZ LME Pairs'!$L$2:$L$351)&gt;0</x:f>
        <x:v>0</x:v>
      </x:c>
      <x:c r="N22" s="25" t="b">
        <x:f>SUMIF('EEZ LME Pairs'!$A$2:$A$351,A22,'EEZ LME Pairs'!$M$2:$M$351)&gt;0</x:f>
        <x:v>0</x:v>
      </x:c>
      <x:c r="O22" s="25" t="str"/>
      <x:c r="P22" s="25" t="str"/>
      <x:c r="Q22" s="25" t="str"/>
      <x:c r="R22" s="35" t="n">
        <x:v>0</x:v>
      </x:c>
      <x:c r="S22" s="34" t="n">
        <x:v>0</x:v>
      </x:c>
      <x:c r="T22" s="33" t="n">
        <x:v>0</x:v>
      </x:c>
      <x:c r="U22" s="33" t="n">
        <x:v>0</x:v>
      </x:c>
    </x:row>
    <x:row r="23" ht="18" customHeight="1">
      <x:c r="A23" s="25" t="str">
        <x:v>EEZ_090</x:v>
      </x:c>
      <x:c r="B23" s="25" t="str">
        <x:v>EEZ_090</x:v>
      </x:c>
      <x:c r="C23" s="25" t="str">
        <x:v>Solomon Isl.</x:v>
      </x:c>
      <x:c r="D23" s="25" t="n">
        <x:v>90</x:v>
      </x:c>
      <x:c r="E23" s="32" t="n">
        <x:v>1598531.4968482617</x:v>
      </x:c>
      <x:c r="F23" s="32" t="n">
        <x:v>199.9353264221019</x:v>
      </x:c>
      <x:c r="G23" s="34" t="n">
        <x:f>F23/E23</x:f>
        <x:v>0.00012507437408415385</x:v>
      </x:c>
      <x:c r="H23" s="32" t="n">
        <x:v>3.088121009678503</x:v>
      </x:c>
      <x:c r="I23" s="34" t="n">
        <x:f>H23/E23</x:f>
        <x:v>0.0000019318487097484064</x:v>
      </x:c>
      <x:c r="J23" s="32" t="n">
        <x:v>1598328.4736950367</x:v>
      </x:c>
      <x:c r="K23" s="36" t="b">
        <x:v>1</x:v>
      </x:c>
      <x:c r="L23" s="25" t="b">
        <x:f>G23&lt;'Selection Rules'!$B$4</x:f>
        <x:v>1</x:v>
      </x:c>
      <x:c r="M23" s="25" t="b">
        <x:f>SUMIF('EEZ LME Pairs'!$A$2:$A$351,A23,'EEZ LME Pairs'!$L$2:$L$351)&gt;0</x:f>
        <x:v>0</x:v>
      </x:c>
      <x:c r="N23" s="25" t="b">
        <x:f>SUMIF('EEZ LME Pairs'!$A$2:$A$351,A23,'EEZ LME Pairs'!$M$2:$M$351)&gt;0</x:f>
        <x:v>0</x:v>
      </x:c>
      <x:c r="O23" s="25" t="str"/>
      <x:c r="P23" s="25" t="str"/>
      <x:c r="Q23" s="25" t="str"/>
      <x:c r="R23" s="35" t="n">
        <x:v>0</x:v>
      </x:c>
      <x:c r="S23" s="34" t="n">
        <x:v>0.00015597855674148985</x:v>
      </x:c>
      <x:c r="T23" s="33" t="n">
        <x:v>1.2470864466332865</x:v>
      </x:c>
      <x:c r="U23" s="33" t="n">
        <x:v>0</x:v>
      </x:c>
    </x:row>
    <x:row r="24" ht="18" customHeight="1">
      <x:c r="A24" s="25" t="str">
        <x:v>EEZ_092</x:v>
      </x:c>
      <x:c r="B24" s="25" t="str">
        <x:v>EEZ_092</x:v>
      </x:c>
      <x:c r="C24" s="25" t="str">
        <x:v>British Virgin Isl. (UK)</x:v>
      </x:c>
      <x:c r="D24" s="25" t="n">
        <x:v>92</x:v>
      </x:c>
      <x:c r="E24" s="32" t="n">
        <x:v>80973.83009765265</x:v>
      </x:c>
      <x:c r="F24" s="32" t="n">
        <x:v>1653.925646292676</x:v>
      </x:c>
      <x:c r="G24" s="34" t="n">
        <x:f>F24/E24</x:f>
        <x:v>0.020425434295229437</x:v>
      </x:c>
      <x:c r="H24" s="32" t="n">
        <x:v>170.30001588219662</x:v>
      </x:c>
      <x:c r="I24" s="34" t="n">
        <x:f>H24/E24</x:f>
        <x:v>0.00210314882816854</x:v>
      </x:c>
      <x:c r="J24" s="32" t="n">
        <x:v>79149.60453531303</x:v>
      </x:c>
      <x:c r="K24" s="36" t="b">
        <x:v>0</x:v>
      </x:c>
      <x:c r="L24" s="25" t="b">
        <x:f>G24&lt;'Selection Rules'!$B$4</x:f>
        <x:v>1</x:v>
      </x:c>
      <x:c r="M24" s="25" t="b">
        <x:f>SUMIF('EEZ LME Pairs'!$A$2:$A$351,A24,'EEZ LME Pairs'!$L$2:$L$351)&gt;0</x:f>
        <x:v>0</x:v>
      </x:c>
      <x:c r="N24" s="25" t="b">
        <x:f>SUMIF('EEZ LME Pairs'!$A$2:$A$351,A24,'EEZ LME Pairs'!$M$2:$M$351)&gt;0</x:f>
        <x:v>0</x:v>
      </x:c>
      <x:c r="O24" s="25" t="str"/>
      <x:c r="P24" s="25" t="str"/>
      <x:c r="Q24" s="25" t="str"/>
      <x:c r="R24" s="35" t="n">
        <x:v>0</x:v>
      </x:c>
      <x:c r="S24" s="34" t="n">
        <x:v>0.0005069384488129366</x:v>
      </x:c>
      <x:c r="T24" s="33" t="n">
        <x:v>0.024818980173720823</x:v>
      </x:c>
      <x:c r="U24" s="33" t="n">
        <x:v>0</x:v>
      </x:c>
    </x:row>
    <x:row r="25" ht="18" customHeight="1">
      <x:c r="A25" s="25" t="str">
        <x:v>EEZ_096</x:v>
      </x:c>
      <x:c r="B25" s="25" t="str">
        <x:v>EEZ_096</x:v>
      </x:c>
      <x:c r="C25" s="25" t="str">
        <x:v>Brunei Darussalam</x:v>
      </x:c>
      <x:c r="D25" s="25" t="n">
        <x:v>96</x:v>
      </x:c>
      <x:c r="E25" s="32" t="n">
        <x:v>43003.451351345146</x:v>
      </x:c>
      <x:c r="F25" s="32" t="n">
        <x:v>42968.62984542821</x:v>
      </x:c>
      <x:c r="G25" s="34" t="n">
        <x:f>F25/E25</x:f>
        <x:v>0.9991902625295714</x:v>
      </x:c>
      <x:c r="H25" s="32" t="n">
        <x:v>0</x:v>
      </x:c>
      <x:c r="I25" s="34" t="n">
        <x:f>H25/E25</x:f>
        <x:v>0</x:v>
      </x:c>
      <x:c r="J25" s="32" t="n">
        <x:v>34.821472028312165</x:v>
      </x:c>
      <x:c r="K25" s="36" t="b">
        <x:v>1</x:v>
      </x:c>
      <x:c r="L25" s="25" t="b">
        <x:f>G25&lt;'Selection Rules'!$B$4</x:f>
        <x:v>0</x:v>
      </x:c>
      <x:c r="M25" s="25" t="b">
        <x:f>SUMIF('EEZ LME Pairs'!$A$2:$A$351,A25,'EEZ LME Pairs'!$L$2:$L$351)&gt;0</x:f>
        <x:v>0</x:v>
      </x:c>
      <x:c r="N25" s="25" t="b">
        <x:f>SUMIF('EEZ LME Pairs'!$A$2:$A$351,A25,'EEZ LME Pairs'!$M$2:$M$351)&gt;0</x:f>
        <x:v>0</x:v>
      </x:c>
      <x:c r="O25" s="25" t="str"/>
      <x:c r="P25" s="25" t="str"/>
      <x:c r="Q25" s="25" t="str"/>
      <x:c r="R25" s="35" t="n">
        <x:v>0</x:v>
      </x:c>
      <x:c r="S25" s="34" t="n">
        <x:v>0.013576941162664606</x:v>
      </x:c>
      <x:c r="T25" s="33" t="n">
        <x:v>0.01358794382992978</x:v>
      </x:c>
      <x:c r="U25" s="33" t="n">
        <x:v>0</x:v>
      </x:c>
    </x:row>
    <x:row r="26" ht="18" customHeight="1">
      <x:c r="A26" s="25" t="str">
        <x:v>EEZ_100</x:v>
      </x:c>
      <x:c r="B26" s="25" t="str">
        <x:v>EEZ_100</x:v>
      </x:c>
      <x:c r="C26" s="25" t="str">
        <x:v>Bulgaria</x:v>
      </x:c>
      <x:c r="D26" s="25" t="n">
        <x:v>100</x:v>
      </x:c>
      <x:c r="E26" s="32" t="n">
        <x:v>34853.710469157086</x:v>
      </x:c>
      <x:c r="F26" s="32" t="n">
        <x:v>34762.912876961906</x:v>
      </x:c>
      <x:c r="G26" s="34" t="n">
        <x:f>F26/E26</x:f>
        <x:v>0.9973948945184609</x:v>
      </x:c>
      <x:c r="H26" s="32" t="n">
        <x:v>0</x:v>
      </x:c>
      <x:c r="I26" s="34" t="n">
        <x:f>H26/E26</x:f>
        <x:v>0</x:v>
      </x:c>
      <x:c r="J26" s="32" t="n">
        <x:v>90.79697035922494</x:v>
      </x:c>
      <x:c r="K26" s="36" t="b">
        <x:v>0</x:v>
      </x:c>
      <x:c r="L26" s="25" t="b">
        <x:f>G26&lt;'Selection Rules'!$B$4</x:f>
        <x:v>0</x:v>
      </x:c>
      <x:c r="M26" s="25" t="b">
        <x:f>SUMIF('EEZ LME Pairs'!$A$2:$A$351,A26,'EEZ LME Pairs'!$L$2:$L$351)&gt;0</x:f>
        <x:v>0</x:v>
      </x:c>
      <x:c r="N26" s="25" t="b">
        <x:f>SUMIF('EEZ LME Pairs'!$A$2:$A$351,A26,'EEZ LME Pairs'!$M$2:$M$351)&gt;0</x:f>
        <x:v>0</x:v>
      </x:c>
      <x:c r="O26" s="25" t="str"/>
      <x:c r="P26" s="25" t="str"/>
      <x:c r="Q26" s="25" t="str"/>
      <x:c r="R26" s="35" t="n">
        <x:v>0</x:v>
      </x:c>
      <x:c r="S26" s="34" t="n">
        <x:v>0.07521098431448477</x:v>
      </x:c>
      <x:c r="T26" s="33" t="n">
        <x:v>0.07540742862013185</x:v>
      </x:c>
      <x:c r="U26" s="33" t="n">
        <x:v>0</x:v>
      </x:c>
    </x:row>
    <x:row r="27" ht="18" customHeight="1">
      <x:c r="A27" s="25" t="str">
        <x:v>EEZ_104</x:v>
      </x:c>
      <x:c r="B27" s="25" t="str">
        <x:v>EEZ_104</x:v>
      </x:c>
      <x:c r="C27" s="25" t="str">
        <x:v>Myanmar</x:v>
      </x:c>
      <x:c r="D27" s="25" t="n">
        <x:v>104</x:v>
      </x:c>
      <x:c r="E27" s="32" t="n">
        <x:v>498939.3659281432</x:v>
      </x:c>
      <x:c r="F27" s="32" t="n">
        <x:v>496007.1054981319</x:v>
      </x:c>
      <x:c r="G27" s="34" t="n">
        <x:f>F27/E27</x:f>
        <x:v>0.9941230124735565</x:v>
      </x:c>
      <x:c r="H27" s="32" t="n">
        <x:v>101.42282690801359</x:v>
      </x:c>
      <x:c r="I27" s="34" t="n">
        <x:f>H27/E27</x:f>
        <x:v>0.00020327685854040311</x:v>
      </x:c>
      <x:c r="J27" s="32" t="n">
        <x:v>2932.2640087083996</x:v>
      </x:c>
      <x:c r="K27" s="36" t="b">
        <x:v>1</x:v>
      </x:c>
      <x:c r="L27" s="25" t="b">
        <x:f>G27&lt;'Selection Rules'!$B$4</x:f>
        <x:v>0</x:v>
      </x:c>
      <x:c r="M27" s="25" t="b">
        <x:f>SUMIF('EEZ LME Pairs'!$A$2:$A$351,A27,'EEZ LME Pairs'!$L$2:$L$351)&gt;0</x:f>
        <x:v>0</x:v>
      </x:c>
      <x:c r="N27" s="25" t="b">
        <x:f>SUMIF('EEZ LME Pairs'!$A$2:$A$351,A27,'EEZ LME Pairs'!$M$2:$M$351)&gt;0</x:f>
        <x:v>0</x:v>
      </x:c>
      <x:c r="O27" s="25" t="str"/>
      <x:c r="P27" s="25" t="str"/>
      <x:c r="Q27" s="25" t="str"/>
      <x:c r="R27" s="35" t="n">
        <x:v>0</x:v>
      </x:c>
      <x:c r="S27" s="34" t="n">
        <x:v>0.1353524592742242</x:v>
      </x:c>
      <x:c r="T27" s="33" t="n">
        <x:v>0.1361526265622229</x:v>
      </x:c>
      <x:c r="U27" s="33" t="n">
        <x:v>0</x:v>
      </x:c>
    </x:row>
    <x:row r="28" ht="18" customHeight="1">
      <x:c r="A28" s="25" t="str">
        <x:v>EEZ_111</x:v>
      </x:c>
      <x:c r="B28" s="25" t="str">
        <x:v>EEZ_111</x:v>
      </x:c>
      <x:c r="C28" s="25" t="str">
        <x:v>Eritrea</x:v>
      </x:c>
      <x:c r="D28" s="25" t="n">
        <x:v>111</x:v>
      </x:c>
      <x:c r="E28" s="32" t="n">
        <x:v>78805.68437606614</x:v>
      </x:c>
      <x:c r="F28" s="32" t="n">
        <x:v>78274.10580671318</x:v>
      </x:c>
      <x:c r="G28" s="34" t="n">
        <x:f>F28/E28</x:f>
        <x:v>0.9932545656628495</x:v>
      </x:c>
      <x:c r="H28" s="32" t="n">
        <x:v>0</x:v>
      </x:c>
      <x:c r="I28" s="34" t="n">
        <x:f>H28/E28</x:f>
        <x:v>0</x:v>
      </x:c>
      <x:c r="J28" s="32" t="n">
        <x:v>531.5773006539715</x:v>
      </x:c>
      <x:c r="K28" s="36" t="b">
        <x:v>1</x:v>
      </x:c>
      <x:c r="L28" s="25" t="b">
        <x:f>G28&lt;'Selection Rules'!$B$4</x:f>
        <x:v>0</x:v>
      </x:c>
      <x:c r="M28" s="25" t="b">
        <x:f>SUMIF('EEZ LME Pairs'!$A$2:$A$351,A28,'EEZ LME Pairs'!$L$2:$L$351)&gt;0</x:f>
        <x:v>0</x:v>
      </x:c>
      <x:c r="N28" s="25" t="b">
        <x:f>SUMIF('EEZ LME Pairs'!$A$2:$A$351,A28,'EEZ LME Pairs'!$M$2:$M$351)&gt;0</x:f>
        <x:v>0</x:v>
      </x:c>
      <x:c r="O28" s="25" t="str"/>
      <x:c r="P28" s="25" t="str"/>
      <x:c r="Q28" s="25" t="str"/>
      <x:c r="R28" s="35" t="n">
        <x:v>0</x:v>
      </x:c>
      <x:c r="S28" s="34" t="n">
        <x:v>0.16980300687989358</x:v>
      </x:c>
      <x:c r="T28" s="33" t="n">
        <x:v>0.1709561805704617</x:v>
      </x:c>
      <x:c r="U28" s="33" t="n">
        <x:v>0</x:v>
      </x:c>
    </x:row>
    <x:row r="29" ht="18" customHeight="1">
      <x:c r="A29" s="25" t="str">
        <x:v>EEZ_116</x:v>
      </x:c>
      <x:c r="B29" s="25" t="str">
        <x:v>EEZ_116</x:v>
      </x:c>
      <x:c r="C29" s="25" t="str">
        <x:v>Cambodia</x:v>
      </x:c>
      <x:c r="D29" s="25" t="n">
        <x:v>116</x:v>
      </x:c>
      <x:c r="E29" s="32" t="n">
        <x:v>48875.105169272894</x:v>
      </x:c>
      <x:c r="F29" s="32" t="n">
        <x:v>48722.2470468064</x:v>
      </x:c>
      <x:c r="G29" s="34" t="n">
        <x:f>F29/E29</x:f>
        <x:v>0.9968724748123386</x:v>
      </x:c>
      <x:c r="H29" s="32" t="n">
        <x:v>0</x:v>
      </x:c>
      <x:c r="I29" s="34" t="n">
        <x:f>H29/E29</x:f>
        <x:v>0</x:v>
      </x:c>
      <x:c r="J29" s="32" t="n">
        <x:v>152.85804416299837</x:v>
      </x:c>
      <x:c r="K29" s="36" t="b">
        <x:v>1</x:v>
      </x:c>
      <x:c r="L29" s="25" t="b">
        <x:f>G29&lt;'Selection Rules'!$B$4</x:f>
        <x:v>0</x:v>
      </x:c>
      <x:c r="M29" s="25" t="b">
        <x:f>SUMIF('EEZ LME Pairs'!$A$2:$A$351,A29,'EEZ LME Pairs'!$L$2:$L$351)&gt;0</x:f>
        <x:v>0</x:v>
      </x:c>
      <x:c r="N29" s="25" t="b">
        <x:f>SUMIF('EEZ LME Pairs'!$A$2:$A$351,A29,'EEZ LME Pairs'!$M$2:$M$351)&gt;0</x:f>
        <x:v>0</x:v>
      </x:c>
      <x:c r="O29" s="25" t="str"/>
      <x:c r="P29" s="25" t="str"/>
      <x:c r="Q29" s="25" t="str"/>
      <x:c r="R29" s="35" t="n">
        <x:v>0</x:v>
      </x:c>
      <x:c r="S29" s="34" t="n">
        <x:v>0.12579675358076725</x:v>
      </x:c>
      <x:c r="T29" s="33" t="n">
        <x:v>0.12619142042661827</x:v>
      </x:c>
      <x:c r="U29" s="33" t="n">
        <x:v>0</x:v>
      </x:c>
    </x:row>
    <x:row r="30" ht="18" customHeight="1">
      <x:c r="A30" s="25" t="str">
        <x:v>EEZ_120</x:v>
      </x:c>
      <x:c r="B30" s="25" t="str">
        <x:v>EEZ_120</x:v>
      </x:c>
      <x:c r="C30" s="25" t="str">
        <x:v>Cameroon</x:v>
      </x:c>
      <x:c r="D30" s="25" t="n">
        <x:v>120</x:v>
      </x:c>
      <x:c r="E30" s="32" t="n">
        <x:v>15340.603212116264</x:v>
      </x:c>
      <x:c r="F30" s="32" t="n">
        <x:v>14723.82416032674</x:v>
      </x:c>
      <x:c r="G30" s="34" t="n">
        <x:f>F30/E30</x:f>
        <x:v>0.9597943416395529</x:v>
      </x:c>
      <x:c r="H30" s="32" t="n">
        <x:v>0</x:v>
      </x:c>
      <x:c r="I30" s="34" t="n">
        <x:f>H30/E30</x:f>
        <x:v>0</x:v>
      </x:c>
      <x:c r="J30" s="32" t="n">
        <x:v>616.7794387311618</x:v>
      </x:c>
      <x:c r="K30" s="36" t="b">
        <x:v>1</x:v>
      </x:c>
      <x:c r="L30" s="25" t="b">
        <x:f>G30&lt;'Selection Rules'!$B$4</x:f>
        <x:v>0</x:v>
      </x:c>
      <x:c r="M30" s="25" t="b">
        <x:f>SUMIF('EEZ LME Pairs'!$A$2:$A$351,A30,'EEZ LME Pairs'!$L$2:$L$351)&gt;0</x:f>
        <x:v>0</x:v>
      </x:c>
      <x:c r="N30" s="25" t="b">
        <x:f>SUMIF('EEZ LME Pairs'!$A$2:$A$351,A30,'EEZ LME Pairs'!$M$2:$M$351)&gt;0</x:f>
        <x:v>0</x:v>
      </x:c>
      <x:c r="O30" s="25" t="str"/>
      <x:c r="P30" s="25" t="str"/>
      <x:c r="Q30" s="25" t="str"/>
      <x:c r="R30" s="35" t="n">
        <x:v>0</x:v>
      </x:c>
      <x:c r="S30" s="34" t="n">
        <x:v>0.007673892078287319</x:v>
      </x:c>
      <x:c r="T30" s="33" t="n">
        <x:v>0.007995350405148795</x:v>
      </x:c>
      <x:c r="U30" s="33" t="n">
        <x:v>0</x:v>
      </x:c>
    </x:row>
    <x:row r="31" ht="18" customHeight="1">
      <x:c r="A31" s="25" t="str">
        <x:v>EEZ_132</x:v>
      </x:c>
      <x:c r="B31" s="25" t="str">
        <x:v>EEZ_132</x:v>
      </x:c>
      <x:c r="C31" s="25" t="str">
        <x:v>Cape Verde</x:v>
      </x:c>
      <x:c r="D31" s="25" t="n">
        <x:v>132</x:v>
      </x:c>
      <x:c r="E31" s="32" t="n">
        <x:v>796315.7467094944</x:v>
      </x:c>
      <x:c r="F31" s="32" t="n">
        <x:v>34675.69598091593</x:v>
      </x:c>
      <x:c r="G31" s="34" t="n">
        <x:f>F31/E31</x:f>
        <x:v>0.04354515922132838</x:v>
      </x:c>
      <x:c r="H31" s="32" t="n">
        <x:v>25.585125938625204</x:v>
      </x:c>
      <x:c r="I31" s="34" t="n">
        <x:f>H31/E31</x:f>
        <x:v>0.0000321293733601867</x:v>
      </x:c>
      <x:c r="J31" s="32" t="n">
        <x:v>761630.9250234914</x:v>
      </x:c>
      <x:c r="K31" s="36" t="b">
        <x:v>0</x:v>
      </x:c>
      <x:c r="L31" s="25" t="b">
        <x:f>G31&lt;'Selection Rules'!$B$4</x:f>
        <x:v>1</x:v>
      </x:c>
      <x:c r="M31" s="25" t="b">
        <x:f>SUMIF('EEZ LME Pairs'!$A$2:$A$351,A31,'EEZ LME Pairs'!$L$2:$L$351)&gt;0</x:f>
        <x:v>0</x:v>
      </x:c>
      <x:c r="N31" s="25" t="b">
        <x:f>SUMIF('EEZ LME Pairs'!$A$2:$A$351,A31,'EEZ LME Pairs'!$M$2:$M$351)&gt;0</x:f>
        <x:v>0</x:v>
      </x:c>
      <x:c r="O31" s="25" t="str"/>
      <x:c r="P31" s="25" t="str"/>
      <x:c r="Q31" s="25" t="str"/>
      <x:c r="R31" s="35" t="n">
        <x:v>0</x:v>
      </x:c>
      <x:c r="S31" s="34" t="n">
        <x:v>0.030869491714913308</x:v>
      </x:c>
      <x:c r="T31" s="33" t="n">
        <x:v>0.7089075402850625</x:v>
      </x:c>
      <x:c r="U31" s="33" t="n">
        <x:v>0</x:v>
      </x:c>
    </x:row>
    <x:row r="32" ht="18" customHeight="1">
      <x:c r="A32" s="25" t="str">
        <x:v>EEZ_136</x:v>
      </x:c>
      <x:c r="B32" s="25" t="str">
        <x:v>EEZ_136</x:v>
      </x:c>
      <x:c r="C32" s="25" t="str">
        <x:v>Cayman Isl. (UK)</x:v>
      </x:c>
      <x:c r="D32" s="25" t="n">
        <x:v>136</x:v>
      </x:c>
      <x:c r="E32" s="32" t="n">
        <x:v>120299.77201997675</x:v>
      </x:c>
      <x:c r="F32" s="32" t="n">
        <x:v>120268.45821429986</x:v>
      </x:c>
      <x:c r="G32" s="34" t="n">
        <x:f>F32/E32</x:f>
        <x:v>0.9997397018701607</x:v>
      </x:c>
      <x:c r="H32" s="32" t="n">
        <x:v>0</x:v>
      </x:c>
      <x:c r="I32" s="34" t="n">
        <x:f>H32/E32</x:f>
        <x:v>0</x:v>
      </x:c>
      <x:c r="J32" s="32" t="n">
        <x:v>31.313699292382502</x:v>
      </x:c>
      <x:c r="K32" s="36" t="b">
        <x:v>0</x:v>
      </x:c>
      <x:c r="L32" s="25" t="b">
        <x:f>G32&lt;'Selection Rules'!$B$4</x:f>
        <x:v>0</x:v>
      </x:c>
      <x:c r="M32" s="25" t="b">
        <x:f>SUMIF('EEZ LME Pairs'!$A$2:$A$351,A32,'EEZ LME Pairs'!$L$2:$L$351)&gt;0</x:f>
        <x:v>0</x:v>
      </x:c>
      <x:c r="N32" s="25" t="b">
        <x:f>SUMIF('EEZ LME Pairs'!$A$2:$A$351,A32,'EEZ LME Pairs'!$M$2:$M$351)&gt;0</x:f>
        <x:v>0</x:v>
      </x:c>
      <x:c r="O32" s="25" t="str"/>
      <x:c r="P32" s="25" t="str"/>
      <x:c r="Q32" s="25" t="str"/>
      <x:c r="R32" s="35" t="n">
        <x:v>0</x:v>
      </x:c>
      <x:c r="S32" s="34" t="n">
        <x:v>0.03686302693530622</x:v>
      </x:c>
      <x:c r="T32" s="33" t="n">
        <x:v>0.03687262481058668</x:v>
      </x:c>
      <x:c r="U32" s="33" t="n">
        <x:v>0</x:v>
      </x:c>
    </x:row>
    <x:row r="33" ht="18" customHeight="1">
      <x:c r="A33" s="25" t="str">
        <x:v>EEZ_144</x:v>
      </x:c>
      <x:c r="B33" s="25" t="str">
        <x:v>EEZ_144</x:v>
      </x:c>
      <x:c r="C33" s="25" t="str">
        <x:v>Sri Lanka</x:v>
      </x:c>
      <x:c r="D33" s="25" t="n">
        <x:v>144</x:v>
      </x:c>
      <x:c r="E33" s="32" t="n">
        <x:v>530837.5864557527</x:v>
      </x:c>
      <x:c r="F33" s="32" t="n">
        <x:v>395604.8393330295</x:v>
      </x:c>
      <x:c r="G33" s="34" t="n">
        <x:f>F33/E33</x:f>
        <x:v>0.7452464735482792</x:v>
      </x:c>
      <x:c r="H33" s="32" t="n">
        <x:v>136.62576319396308</x:v>
      </x:c>
      <x:c r="I33" s="34" t="n">
        <x:f>H33/E33</x:f>
        <x:v>0.000257377711525993</x:v>
      </x:c>
      <x:c r="J33" s="32" t="n">
        <x:v>135134.52018034324</x:v>
      </x:c>
      <x:c r="K33" s="36" t="b">
        <x:v>1</x:v>
      </x:c>
      <x:c r="L33" s="25" t="b">
        <x:f>G33&lt;'Selection Rules'!$B$4</x:f>
        <x:v>0</x:v>
      </x:c>
      <x:c r="M33" s="25" t="b">
        <x:f>SUMIF('EEZ LME Pairs'!$A$2:$A$351,A33,'EEZ LME Pairs'!$L$2:$L$351)&gt;0</x:f>
        <x:v>0</x:v>
      </x:c>
      <x:c r="N33" s="25" t="b">
        <x:f>SUMIF('EEZ LME Pairs'!$A$2:$A$351,A33,'EEZ LME Pairs'!$M$2:$M$351)&gt;0</x:f>
        <x:v>0</x:v>
      </x:c>
      <x:c r="O33" s="25" t="str"/>
      <x:c r="P33" s="25" t="str"/>
      <x:c r="Q33" s="25" t="str"/>
      <x:c r="R33" s="35" t="n">
        <x:v>0</x:v>
      </x:c>
      <x:c r="S33" s="34" t="n">
        <x:v>0.1079542758782345</x:v>
      </x:c>
      <x:c r="T33" s="33" t="n">
        <x:v>0.14485714419316995</x:v>
      </x:c>
      <x:c r="U33" s="33" t="n">
        <x:v>0</x:v>
      </x:c>
    </x:row>
    <x:row r="34" ht="18" customHeight="1">
      <x:c r="A34" s="25" t="str">
        <x:v>EEZ_152</x:v>
      </x:c>
      <x:c r="B34" s="25" t="str">
        <x:v>EEZ_152</x:v>
      </x:c>
      <x:c r="C34" s="25" t="str">
        <x:v>Chile (mainland)</x:v>
      </x:c>
      <x:c r="D34" s="25" t="n">
        <x:v>152</x:v>
      </x:c>
      <x:c r="E34" s="32" t="n">
        <x:v>1961185.5065139579</x:v>
      </x:c>
      <x:c r="F34" s="32" t="n">
        <x:v>1573025.8605883648</x:v>
      </x:c>
      <x:c r="G34" s="34" t="n">
        <x:f>F34/E34</x:f>
        <x:v>0.8020790768459463</x:v>
      </x:c>
      <x:c r="H34" s="32" t="n">
        <x:v>52.43347013456374</x:v>
      </x:c>
      <x:c r="I34" s="34" t="n">
        <x:f>H34/E34</x:f>
        <x:v>0.00002673559944248475</x:v>
      </x:c>
      <x:c r="J34" s="32" t="n">
        <x:v>388136.1809724435</x:v>
      </x:c>
      <x:c r="K34" s="36" t="b">
        <x:v>1</x:v>
      </x:c>
      <x:c r="L34" s="25" t="b">
        <x:f>G34&lt;'Selection Rules'!$B$4</x:f>
        <x:v>0</x:v>
      </x:c>
      <x:c r="M34" s="25" t="b">
        <x:f>SUMIF('EEZ LME Pairs'!$A$2:$A$351,A34,'EEZ LME Pairs'!$L$2:$L$351)&gt;0</x:f>
        <x:v>0</x:v>
      </x:c>
      <x:c r="N34" s="25" t="b">
        <x:f>SUMIF('EEZ LME Pairs'!$A$2:$A$351,A34,'EEZ LME Pairs'!$M$2:$M$351)&gt;0</x:f>
        <x:v>0</x:v>
      </x:c>
      <x:c r="O34" s="25" t="str"/>
      <x:c r="P34" s="25" t="str"/>
      <x:c r="Q34" s="25" t="str"/>
      <x:c r="R34" s="35" t="n">
        <x:v>0</x:v>
      </x:c>
      <x:c r="S34" s="34" t="n">
        <x:v>0.6145477155701293</x:v>
      </x:c>
      <x:c r="T34" s="33" t="n">
        <x:v>0.7661934256990527</x:v>
      </x:c>
      <x:c r="U34" s="33" t="n">
        <x:v>0</x:v>
      </x:c>
    </x:row>
    <x:row r="35" ht="18" customHeight="1">
      <x:c r="A35" s="25" t="str">
        <x:v>EEZ_153</x:v>
      </x:c>
      <x:c r="B35" s="25" t="str">
        <x:v>EEZ_153</x:v>
      </x:c>
      <x:c r="C35" s="25" t="str">
        <x:v>Easter Isl. (Chile)</x:v>
      </x:c>
      <x:c r="D35" s="25" t="n">
        <x:v>153</x:v>
      </x:c>
      <x:c r="E35" s="32" t="n">
        <x:v>720251.4583650454</x:v>
      </x:c>
      <x:c r="F35" s="32" t="n">
        <x:v>0</x:v>
      </x:c>
      <x:c r="G35" s="34" t="n">
        <x:f>F35/E35</x:f>
        <x:v>0</x:v>
      </x:c>
      <x:c r="H35" s="32" t="n">
        <x:v>1.4568102450452534</x:v>
      </x:c>
      <x:c r="I35" s="34" t="n">
        <x:f>H35/E35</x:f>
        <x:v>0.0000020226411597307695</x:v>
      </x:c>
      <x:c r="J35" s="32" t="n">
        <x:v>720250.0015617382</x:v>
      </x:c>
      <x:c r="K35" s="36" t="b">
        <x:v>0</x:v>
      </x:c>
      <x:c r="L35" s="25" t="b">
        <x:f>G35&lt;'Selection Rules'!$B$4</x:f>
        <x:v>1</x:v>
      </x:c>
      <x:c r="M35" s="25" t="b">
        <x:f>SUMIF('EEZ LME Pairs'!$A$2:$A$351,A35,'EEZ LME Pairs'!$L$2:$L$351)&gt;0</x:f>
        <x:v>0</x:v>
      </x:c>
      <x:c r="N35" s="25" t="b">
        <x:f>SUMIF('EEZ LME Pairs'!$A$2:$A$351,A35,'EEZ LME Pairs'!$M$2:$M$351)&gt;0</x:f>
        <x:v>0</x:v>
      </x:c>
      <x:c r="O35" s="25" t="str"/>
      <x:c r="P35" s="25" t="str"/>
      <x:c r="Q35" s="25" t="str"/>
      <x:c r="R35" s="35" t="n">
        <x:v>0</x:v>
      </x:c>
      <x:c r="S35" s="34" t="n">
        <x:v>0</x:v>
      </x:c>
      <x:c r="T35" s="33" t="n">
        <x:v>0</x:v>
      </x:c>
      <x:c r="U35" s="33" t="n">
        <x:v>0</x:v>
      </x:c>
    </x:row>
    <x:row r="36" ht="18" customHeight="1">
      <x:c r="A36" s="25" t="str">
        <x:v>EEZ_154</x:v>
      </x:c>
      <x:c r="B36" s="25" t="str">
        <x:v>EEZ_154</x:v>
      </x:c>
      <x:c r="C36" s="25" t="str">
        <x:v>Desventuradas Isl. (Chile)</x:v>
      </x:c>
      <x:c r="D36" s="25" t="n">
        <x:v>154</x:v>
      </x:c>
      <x:c r="E36" s="32" t="n">
        <x:v>449751.05945564446</x:v>
      </x:c>
      <x:c r="F36" s="32" t="n">
        <x:v>0</x:v>
      </x:c>
      <x:c r="G36" s="34" t="n">
        <x:f>F36/E36</x:f>
        <x:v>0</x:v>
      </x:c>
      <x:c r="H36" s="32" t="n">
        <x:v>29.259933519466458</x:v>
      </x:c>
      <x:c r="I36" s="34" t="n">
        <x:f>H36/E36</x:f>
        <x:v>0.0000650580646877879</x:v>
      </x:c>
      <x:c r="J36" s="32" t="n">
        <x:v>449721.79858920677</x:v>
      </x:c>
      <x:c r="K36" s="36" t="b">
        <x:v>0</x:v>
      </x:c>
      <x:c r="L36" s="25" t="b">
        <x:f>G36&lt;'Selection Rules'!$B$4</x:f>
        <x:v>1</x:v>
      </x:c>
      <x:c r="M36" s="25" t="b">
        <x:f>SUMIF('EEZ LME Pairs'!$A$2:$A$351,A36,'EEZ LME Pairs'!$L$2:$L$351)&gt;0</x:f>
        <x:v>0</x:v>
      </x:c>
      <x:c r="N36" s="25" t="b">
        <x:f>SUMIF('EEZ LME Pairs'!$A$2:$A$351,A36,'EEZ LME Pairs'!$M$2:$M$351)&gt;0</x:f>
        <x:v>0</x:v>
      </x:c>
      <x:c r="O36" s="25" t="str"/>
      <x:c r="P36" s="25" t="str"/>
      <x:c r="Q36" s="25" t="str"/>
      <x:c r="R36" s="35" t="n">
        <x:v>0</x:v>
      </x:c>
      <x:c r="S36" s="34" t="n">
        <x:v>0</x:v>
      </x:c>
      <x:c r="T36" s="33" t="n">
        <x:v>0</x:v>
      </x:c>
      <x:c r="U36" s="33" t="n">
        <x:v>0</x:v>
      </x:c>
    </x:row>
    <x:row r="37" ht="18" customHeight="1">
      <x:c r="A37" s="25" t="str">
        <x:v>EEZ_155</x:v>
      </x:c>
      <x:c r="B37" s="25" t="str">
        <x:v>EEZ_155</x:v>
      </x:c>
      <x:c r="C37" s="25" t="str">
        <x:v>Juan Fernandez Islands (Chile)</x:v>
      </x:c>
      <x:c r="D37" s="25" t="n">
        <x:v>155</x:v>
      </x:c>
      <x:c r="E37" s="32" t="n">
        <x:v>503102.73879556305</x:v>
      </x:c>
      <x:c r="F37" s="32" t="n">
        <x:v>4080.0904086684336</x:v>
      </x:c>
      <x:c r="G37" s="34" t="n">
        <x:f>F37/E37</x:f>
        <x:v>0.008109855292054746</x:v>
      </x:c>
      <x:c r="H37" s="32" t="n">
        <x:v>17.441033363783692</x:v>
      </x:c>
      <x:c r="I37" s="34" t="n">
        <x:f>H37/E37</x:f>
        <x:v>0.000034666941797092654</x:v>
      </x:c>
      <x:c r="J37" s="32" t="n">
        <x:v>499005.20808535523</x:v>
      </x:c>
      <x:c r="K37" s="36" t="b">
        <x:v>0</x:v>
      </x:c>
      <x:c r="L37" s="25" t="b">
        <x:f>G37&lt;'Selection Rules'!$B$4</x:f>
        <x:v>1</x:v>
      </x:c>
      <x:c r="M37" s="25" t="b">
        <x:f>SUMIF('EEZ LME Pairs'!$A$2:$A$351,A37,'EEZ LME Pairs'!$L$2:$L$351)&gt;0</x:f>
        <x:v>0</x:v>
      </x:c>
      <x:c r="N37" s="25" t="b">
        <x:f>SUMIF('EEZ LME Pairs'!$A$2:$A$351,A37,'EEZ LME Pairs'!$M$2:$M$351)&gt;0</x:f>
        <x:v>0</x:v>
      </x:c>
      <x:c r="O37" s="25" t="str"/>
      <x:c r="P37" s="25" t="str"/>
      <x:c r="Q37" s="25" t="str"/>
      <x:c r="R37" s="35" t="n">
        <x:v>0</x:v>
      </x:c>
      <x:c r="S37" s="34" t="n">
        <x:v>0.0015940044615852184</x:v>
      </x:c>
      <x:c r="T37" s="33" t="n">
        <x:v>0.19655152948867904</x:v>
      </x:c>
      <x:c r="U37" s="33" t="n">
        <x:v>0</x:v>
      </x:c>
    </x:row>
    <x:row r="38" ht="18" customHeight="1">
      <x:c r="A38" s="25" t="str">
        <x:v>EEZ_156</x:v>
      </x:c>
      <x:c r="B38" s="25" t="str">
        <x:v>EEZ_156</x:v>
      </x:c>
      <x:c r="C38" s="25" t="str">
        <x:v>China</x:v>
      </x:c>
      <x:c r="D38" s="25" t="n">
        <x:v>156</x:v>
      </x:c>
      <x:c r="E38" s="32" t="n">
        <x:v>2613096.913290415</x:v>
      </x:c>
      <x:c r="F38" s="32" t="n">
        <x:v>2607739.454344189</x:v>
      </x:c>
      <x:c r="G38" s="34" t="n">
        <x:f>F38/E38</x:f>
        <x:v>0.997949766455665</x:v>
      </x:c>
      <x:c r="H38" s="32" t="n">
        <x:v>0</x:v>
      </x:c>
      <x:c r="I38" s="34" t="n">
        <x:f>H38/E38</x:f>
        <x:v>0</x:v>
      </x:c>
      <x:c r="J38" s="32" t="n">
        <x:v>5357.470237510266</x:v>
      </x:c>
      <x:c r="K38" s="36" t="b">
        <x:v>1</x:v>
      </x:c>
      <x:c r="L38" s="25" t="b">
        <x:f>G38&lt;'Selection Rules'!$B$4</x:f>
        <x:v>0</x:v>
      </x:c>
      <x:c r="M38" s="25" t="b">
        <x:f>SUMIF('EEZ LME Pairs'!$A$2:$A$351,A38,'EEZ LME Pairs'!$L$2:$L$351)&gt;0</x:f>
        <x:v>0</x:v>
      </x:c>
      <x:c r="N38" s="25" t="b">
        <x:f>SUMIF('EEZ LME Pairs'!$A$2:$A$351,A38,'EEZ LME Pairs'!$M$2:$M$351)&gt;0</x:f>
        <x:v>0</x:v>
      </x:c>
      <x:c r="O38" s="25" t="str"/>
      <x:c r="P38" s="25" t="str"/>
      <x:c r="Q38" s="25" t="str"/>
      <x:c r="R38" s="35" t="n">
        <x:v>0</x:v>
      </x:c>
      <x:c r="S38" s="34" t="n">
        <x:v>0.6263672596815184</x:v>
      </x:c>
      <x:c r="T38" s="33" t="n">
        <x:v>5.932556412379066</x:v>
      </x:c>
      <x:c r="U38" s="33" t="n">
        <x:v>0</x:v>
      </x:c>
    </x:row>
    <x:row r="39" ht="18" customHeight="1">
      <x:c r="A39" s="25" t="str">
        <x:v>EEZ_157</x:v>
      </x:c>
      <x:c r="B39" s="25" t="str">
        <x:v>EEZ_157</x:v>
      </x:c>
      <x:c r="C39" s="25" t="str">
        <x:v>Taiwan</x:v>
      </x:c>
      <x:c r="D39" s="25" t="n">
        <x:v>157</x:v>
      </x:c>
      <x:c r="E39" s="32" t="n">
        <x:v>1147428.8675345082</x:v>
      </x:c>
      <x:c r="F39" s="32" t="n">
        <x:v>1146238.5674145387</x:v>
      </x:c>
      <x:c r="G39" s="34" t="n">
        <x:f>F39/E39</x:f>
        <x:v>0.9989626371153385</x:v>
      </x:c>
      <x:c r="H39" s="32" t="n">
        <x:v>0</x:v>
      </x:c>
      <x:c r="I39" s="34" t="n">
        <x:f>H39/E39</x:f>
        <x:v>0</x:v>
      </x:c>
      <x:c r="J39" s="32" t="n">
        <x:v>1190.3006391652875</x:v>
      </x:c>
      <x:c r="K39" s="36" t="b">
        <x:v>1</x:v>
      </x:c>
      <x:c r="L39" s="25" t="b">
        <x:f>G39&lt;'Selection Rules'!$B$4</x:f>
        <x:v>0</x:v>
      </x:c>
      <x:c r="M39" s="25" t="b">
        <x:f>SUMIF('EEZ LME Pairs'!$A$2:$A$351,A39,'EEZ LME Pairs'!$L$2:$L$351)&gt;0</x:f>
        <x:v>0</x:v>
      </x:c>
      <x:c r="N39" s="25" t="b">
        <x:f>SUMIF('EEZ LME Pairs'!$A$2:$A$351,A39,'EEZ LME Pairs'!$M$2:$M$351)&gt;0</x:f>
        <x:v>0</x:v>
      </x:c>
      <x:c r="O39" s="25" t="str"/>
      <x:c r="P39" s="25" t="str"/>
      <x:c r="Q39" s="25" t="str"/>
      <x:c r="R39" s="35" t="n">
        <x:v>0</x:v>
      </x:c>
      <x:c r="S39" s="34" t="n">
        <x:v>0.3091232058063244</x:v>
      </x:c>
      <x:c r="T39" s="33" t="n">
        <x:v>1.4717033443027812</x:v>
      </x:c>
      <x:c r="U39" s="33" t="n">
        <x:v>0</x:v>
      </x:c>
    </x:row>
    <x:row r="40" ht="18" customHeight="1">
      <x:c r="A40" s="25" t="str">
        <x:v>EEZ_162</x:v>
      </x:c>
      <x:c r="B40" s="25" t="str">
        <x:v>EEZ_162</x:v>
      </x:c>
      <x:c r="C40" s="25" t="str">
        <x:v>Christmas Isl. (Australia)</x:v>
      </x:c>
      <x:c r="D40" s="25" t="n">
        <x:v>162</x:v>
      </x:c>
      <x:c r="E40" s="32" t="n">
        <x:v>326317.05112261674</x:v>
      </x:c>
      <x:c r="F40" s="32" t="n">
        <x:v>0</x:v>
      </x:c>
      <x:c r="G40" s="34" t="n">
        <x:f>F40/E40</x:f>
        <x:v>0</x:v>
      </x:c>
      <x:c r="H40" s="32" t="n">
        <x:v>120.61074455896247</x:v>
      </x:c>
      <x:c r="I40" s="34" t="n">
        <x:f>H40/E40</x:f>
        <x:v>0.0003696121429880225</x:v>
      </x:c>
      <x:c r="J40" s="32" t="n">
        <x:v>326196.4411635516</x:v>
      </x:c>
      <x:c r="K40" s="36" t="b">
        <x:v>0</x:v>
      </x:c>
      <x:c r="L40" s="25" t="b">
        <x:f>G40&lt;'Selection Rules'!$B$4</x:f>
        <x:v>1</x:v>
      </x:c>
      <x:c r="M40" s="25" t="b">
        <x:f>SUMIF('EEZ LME Pairs'!$A$2:$A$351,A40,'EEZ LME Pairs'!$L$2:$L$351)&gt;0</x:f>
        <x:v>0</x:v>
      </x:c>
      <x:c r="N40" s="25" t="b">
        <x:f>SUMIF('EEZ LME Pairs'!$A$2:$A$351,A40,'EEZ LME Pairs'!$M$2:$M$351)&gt;0</x:f>
        <x:v>0</x:v>
      </x:c>
      <x:c r="O40" s="25" t="str"/>
      <x:c r="P40" s="25" t="str"/>
      <x:c r="Q40" s="25" t="str"/>
      <x:c r="R40" s="35" t="n">
        <x:v>0</x:v>
      </x:c>
      <x:c r="S40" s="34" t="n">
        <x:v>0</x:v>
      </x:c>
      <x:c r="T40" s="33" t="n">
        <x:v>0</x:v>
      </x:c>
      <x:c r="U40" s="33" t="n">
        <x:v>0</x:v>
      </x:c>
    </x:row>
    <x:row r="41" ht="18" customHeight="1">
      <x:c r="A41" s="25" t="str">
        <x:v>EEZ_166</x:v>
      </x:c>
      <x:c r="B41" s="25" t="str">
        <x:v>EEZ_166</x:v>
      </x:c>
      <x:c r="C41" s="25" t="str">
        <x:v>Cocos (Keeling) Isl. (Australia)</x:v>
      </x:c>
      <x:c r="D41" s="25" t="n">
        <x:v>166</x:v>
      </x:c>
      <x:c r="E41" s="32" t="n">
        <x:v>464499.95185125654</x:v>
      </x:c>
      <x:c r="F41" s="32" t="n">
        <x:v>0</x:v>
      </x:c>
      <x:c r="G41" s="34" t="n">
        <x:f>F41/E41</x:f>
        <x:v>0</x:v>
      </x:c>
      <x:c r="H41" s="32" t="n">
        <x:v>814.6521371419475</x:v>
      </x:c>
      <x:c r="I41" s="34" t="n">
        <x:f>H41/E41</x:f>
        <x:v>0.0017538260959880953</x:v>
      </x:c>
      <x:c r="J41" s="32" t="n">
        <x:v>463685.3002205829</x:v>
      </x:c>
      <x:c r="K41" s="36" t="b">
        <x:v>1</x:v>
      </x:c>
      <x:c r="L41" s="25" t="b">
        <x:f>G41&lt;'Selection Rules'!$B$4</x:f>
        <x:v>1</x:v>
      </x:c>
      <x:c r="M41" s="25" t="b">
        <x:f>SUMIF('EEZ LME Pairs'!$A$2:$A$351,A41,'EEZ LME Pairs'!$L$2:$L$351)&gt;0</x:f>
        <x:v>0</x:v>
      </x:c>
      <x:c r="N41" s="25" t="b">
        <x:f>SUMIF('EEZ LME Pairs'!$A$2:$A$351,A41,'EEZ LME Pairs'!$M$2:$M$351)&gt;0</x:f>
        <x:v>0</x:v>
      </x:c>
      <x:c r="O41" s="25" t="str"/>
      <x:c r="P41" s="25" t="str"/>
      <x:c r="Q41" s="25" t="str"/>
      <x:c r="R41" s="35" t="n">
        <x:v>0</x:v>
      </x:c>
      <x:c r="S41" s="34" t="n">
        <x:v>0</x:v>
      </x:c>
      <x:c r="T41" s="33" t="n">
        <x:v>0</x:v>
      </x:c>
      <x:c r="U41" s="33" t="n">
        <x:v>0</x:v>
      </x:c>
    </x:row>
    <x:row r="42" ht="18" customHeight="1">
      <x:c r="A42" s="25" t="str">
        <x:v>EEZ_174</x:v>
      </x:c>
      <x:c r="B42" s="25" t="str">
        <x:v>EEZ_174</x:v>
      </x:c>
      <x:c r="C42" s="25" t="str">
        <x:v>Comoros Isl.</x:v>
      </x:c>
      <x:c r="D42" s="25" t="n">
        <x:v>174</x:v>
      </x:c>
      <x:c r="E42" s="32" t="n">
        <x:v>231439.09730520734</x:v>
      </x:c>
      <x:c r="F42" s="32" t="n">
        <x:v>230893.20354782563</x:v>
      </x:c>
      <x:c r="G42" s="34" t="n">
        <x:f>F42/E42</x:f>
        <x:v>0.9976413070922852</x:v>
      </x:c>
      <x:c r="H42" s="32" t="n">
        <x:v>0</x:v>
      </x:c>
      <x:c r="I42" s="34" t="n">
        <x:f>H42/E42</x:f>
        <x:v>0</x:v>
      </x:c>
      <x:c r="J42" s="32" t="n">
        <x:v>545.8934951975939</x:v>
      </x:c>
      <x:c r="K42" s="36" t="b">
        <x:v>0</x:v>
      </x:c>
      <x:c r="L42" s="25" t="b">
        <x:f>G42&lt;'Selection Rules'!$B$4</x:f>
        <x:v>0</x:v>
      </x:c>
      <x:c r="M42" s="25" t="b">
        <x:f>SUMIF('EEZ LME Pairs'!$A$2:$A$351,A42,'EEZ LME Pairs'!$L$2:$L$351)&gt;0</x:f>
        <x:v>0</x:v>
      </x:c>
      <x:c r="N42" s="25" t="b">
        <x:f>SUMIF('EEZ LME Pairs'!$A$2:$A$351,A42,'EEZ LME Pairs'!$M$2:$M$351)&gt;0</x:f>
        <x:v>0</x:v>
      </x:c>
      <x:c r="O42" s="25" t="str"/>
      <x:c r="P42" s="25" t="str"/>
      <x:c r="Q42" s="25" t="str"/>
      <x:c r="R42" s="35" t="n">
        <x:v>0</x:v>
      </x:c>
      <x:c r="S42" s="34" t="n">
        <x:v>0.07905666720586947</x:v>
      </x:c>
      <x:c r="T42" s="33" t="n">
        <x:v>0.2753126152760138</x:v>
      </x:c>
      <x:c r="U42" s="33" t="n">
        <x:v>0</x:v>
      </x:c>
    </x:row>
    <x:row r="43" ht="18" customHeight="1">
      <x:c r="A43" s="25" t="str">
        <x:v>EEZ_175</x:v>
      </x:c>
      <x:c r="B43" s="25" t="str">
        <x:v>EEZ_175</x:v>
      </x:c>
      <x:c r="C43" s="25" t="str">
        <x:v>Mayotte (France)</x:v>
      </x:c>
      <x:c r="D43" s="25" t="n">
        <x:v>175</x:v>
      </x:c>
      <x:c r="E43" s="32" t="n">
        <x:v>66564.53664489921</x:v>
      </x:c>
      <x:c r="F43" s="32" t="n">
        <x:v>66506.09368664381</x:v>
      </x:c>
      <x:c r="G43" s="34" t="n">
        <x:f>F43/E43</x:f>
        <x:v>0.9991220105900057</x:v>
      </x:c>
      <x:c r="H43" s="32" t="n">
        <x:v>0</x:v>
      </x:c>
      <x:c r="I43" s="34" t="n">
        <x:f>H43/E43</x:f>
        <x:v>0</x:v>
      </x:c>
      <x:c r="J43" s="32" t="n">
        <x:v>58.44270173605069</x:v>
      </x:c>
      <x:c r="K43" s="36" t="b">
        <x:v>1</x:v>
      </x:c>
      <x:c r="L43" s="25" t="b">
        <x:f>G43&lt;'Selection Rules'!$B$4</x:f>
        <x:v>0</x:v>
      </x:c>
      <x:c r="M43" s="25" t="b">
        <x:f>SUMIF('EEZ LME Pairs'!$A$2:$A$351,A43,'EEZ LME Pairs'!$L$2:$L$351)&gt;0</x:f>
        <x:v>0</x:v>
      </x:c>
      <x:c r="N43" s="25" t="b">
        <x:f>SUMIF('EEZ LME Pairs'!$A$2:$A$351,A43,'EEZ LME Pairs'!$M$2:$M$351)&gt;0</x:f>
        <x:v>0</x:v>
      </x:c>
      <x:c r="O43" s="25" t="str"/>
      <x:c r="P43" s="25" t="str"/>
      <x:c r="Q43" s="25" t="str"/>
      <x:c r="R43" s="35" t="n">
        <x:v>0</x:v>
      </x:c>
      <x:c r="S43" s="34" t="n">
        <x:v>0.02531784669836139</x:v>
      </x:c>
      <x:c r="T43" s="33" t="n">
        <x:v>0.025340095033449007</x:v>
      </x:c>
      <x:c r="U43" s="33" t="n">
        <x:v>0</x:v>
      </x:c>
    </x:row>
    <x:row r="44" ht="18" customHeight="1">
      <x:c r="A44" s="25" t="str">
        <x:v>EEZ_178</x:v>
      </x:c>
      <x:c r="B44" s="25" t="str">
        <x:v>EEZ_178</x:v>
      </x:c>
      <x:c r="C44" s="25" t="str">
        <x:v>Congo, R. of</x:v>
      </x:c>
      <x:c r="D44" s="25" t="n">
        <x:v>178</x:v>
      </x:c>
      <x:c r="E44" s="32" t="n">
        <x:v>33792.9398921022</x:v>
      </x:c>
      <x:c r="F44" s="32" t="n">
        <x:v>33682.66997879706</x:v>
      </x:c>
      <x:c r="G44" s="34" t="n">
        <x:f>F44/E44</x:f>
        <x:v>0.9967368949355332</x:v>
      </x:c>
      <x:c r="H44" s="32" t="n">
        <x:v>0</x:v>
      </x:c>
      <x:c r="I44" s="34" t="n">
        <x:f>H44/E44</x:f>
        <x:v>0</x:v>
      </x:c>
      <x:c r="J44" s="32" t="n">
        <x:v>110.26989272332257</x:v>
      </x:c>
      <x:c r="K44" s="36" t="b">
        <x:v>0</x:v>
      </x:c>
      <x:c r="L44" s="25" t="b">
        <x:f>G44&lt;'Selection Rules'!$B$4</x:f>
        <x:v>0</x:v>
      </x:c>
      <x:c r="M44" s="25" t="b">
        <x:f>SUMIF('EEZ LME Pairs'!$A$2:$A$351,A44,'EEZ LME Pairs'!$L$2:$L$351)&gt;0</x:f>
        <x:v>0</x:v>
      </x:c>
      <x:c r="N44" s="25" t="b">
        <x:f>SUMIF('EEZ LME Pairs'!$A$2:$A$351,A44,'EEZ LME Pairs'!$M$2:$M$351)&gt;0</x:f>
        <x:v>0</x:v>
      </x:c>
      <x:c r="O44" s="25" t="str"/>
      <x:c r="P44" s="25" t="str"/>
      <x:c r="Q44" s="25" t="str"/>
      <x:c r="R44" s="35" t="n">
        <x:v>0</x:v>
      </x:c>
      <x:c r="S44" s="34" t="n">
        <x:v>0.017555029964451907</x:v>
      </x:c>
      <x:c r="T44" s="33" t="n">
        <x:v>0.01761250140699099</x:v>
      </x:c>
      <x:c r="U44" s="33" t="n">
        <x:v>0</x:v>
      </x:c>
    </x:row>
    <x:row r="45" ht="18" customHeight="1">
      <x:c r="A45" s="25" t="str">
        <x:v>EEZ_180</x:v>
      </x:c>
      <x:c r="B45" s="25" t="str">
        <x:v>EEZ_180</x:v>
      </x:c>
      <x:c r="C45" s="25" t="str">
        <x:v>Congo (ex-Zaire)</x:v>
      </x:c>
      <x:c r="D45" s="25" t="n">
        <x:v>180</x:v>
      </x:c>
      <x:c r="E45" s="32" t="n">
        <x:v>13151.36244471965</x:v>
      </x:c>
      <x:c r="F45" s="32" t="n">
        <x:v>13099.237671266514</x:v>
      </x:c>
      <x:c r="G45" s="34" t="n">
        <x:f>F45/E45</x:f>
        <x:v>0.996036549545932</x:v>
      </x:c>
      <x:c r="H45" s="32" t="n">
        <x:v>0</x:v>
      </x:c>
      <x:c r="I45" s="34" t="n">
        <x:f>H45/E45</x:f>
        <x:v>0</x:v>
      </x:c>
      <x:c r="J45" s="32" t="n">
        <x:v>52.124571753349194</x:v>
      </x:c>
      <x:c r="K45" s="36" t="b">
        <x:v>1</x:v>
      </x:c>
      <x:c r="L45" s="25" t="b">
        <x:f>G45&lt;'Selection Rules'!$B$4</x:f>
        <x:v>0</x:v>
      </x:c>
      <x:c r="M45" s="25" t="b">
        <x:f>SUMIF('EEZ LME Pairs'!$A$2:$A$351,A45,'EEZ LME Pairs'!$L$2:$L$351)&gt;0</x:f>
        <x:v>0</x:v>
      </x:c>
      <x:c r="N45" s="25" t="b">
        <x:f>SUMIF('EEZ LME Pairs'!$A$2:$A$351,A45,'EEZ LME Pairs'!$M$2:$M$351)&gt;0</x:f>
        <x:v>0</x:v>
      </x:c>
      <x:c r="O45" s="25" t="str"/>
      <x:c r="P45" s="25" t="str"/>
      <x:c r="Q45" s="25" t="str"/>
      <x:c r="R45" s="35" t="n">
        <x:v>0</x:v>
      </x:c>
      <x:c r="S45" s="34" t="n">
        <x:v>0.006009103014642253</x:v>
      </x:c>
      <x:c r="T45" s="33" t="n">
        <x:v>0.009019170337703254</x:v>
      </x:c>
      <x:c r="U45" s="33" t="n">
        <x:v>0</x:v>
      </x:c>
    </x:row>
    <x:row r="46" ht="18" customHeight="1">
      <x:c r="A46" s="25" t="str">
        <x:v>EEZ_184</x:v>
      </x:c>
      <x:c r="B46" s="25" t="str">
        <x:v>EEZ_184</x:v>
      </x:c>
      <x:c r="C46" s="25" t="str">
        <x:v>Cook Islands</x:v>
      </x:c>
      <x:c r="D46" s="25" t="n">
        <x:v>184</x:v>
      </x:c>
      <x:c r="E46" s="32" t="n">
        <x:v>1960345.8962946818</x:v>
      </x:c>
      <x:c r="F46" s="32" t="n">
        <x:v>0</x:v>
      </x:c>
      <x:c r="G46" s="34" t="n">
        <x:f>F46/E46</x:f>
        <x:v>0</x:v>
      </x:c>
      <x:c r="H46" s="32" t="n">
        <x:v>137.58184527079507</x:v>
      </x:c>
      <x:c r="I46" s="34" t="n">
        <x:f>H46/E46</x:f>
        <x:v>0.00007018243338119222</x:v>
      </x:c>
      <x:c r="J46" s="32" t="n">
        <x:v>1960208.3146001515</x:v>
      </x:c>
      <x:c r="K46" s="36" t="b">
        <x:v>1</x:v>
      </x:c>
      <x:c r="L46" s="25" t="b">
        <x:f>G46&lt;'Selection Rules'!$B$4</x:f>
        <x:v>1</x:v>
      </x:c>
      <x:c r="M46" s="25" t="b">
        <x:f>SUMIF('EEZ LME Pairs'!$A$2:$A$351,A46,'EEZ LME Pairs'!$L$2:$L$351)&gt;0</x:f>
        <x:v>0</x:v>
      </x:c>
      <x:c r="N46" s="25" t="b">
        <x:f>SUMIF('EEZ LME Pairs'!$A$2:$A$351,A46,'EEZ LME Pairs'!$M$2:$M$351)&gt;0</x:f>
        <x:v>0</x:v>
      </x:c>
      <x:c r="O46" s="25" t="str"/>
      <x:c r="P46" s="25" t="str"/>
      <x:c r="Q46" s="25" t="str"/>
      <x:c r="R46" s="35" t="n">
        <x:v>0</x:v>
      </x:c>
      <x:c r="S46" s="34" t="n">
        <x:v>0</x:v>
      </x:c>
      <x:c r="T46" s="33" t="n">
        <x:v>0</x:v>
      </x:c>
      <x:c r="U46" s="33" t="n">
        <x:v>0</x:v>
      </x:c>
    </x:row>
    <x:row r="47" ht="18" customHeight="1">
      <x:c r="A47" s="25" t="str">
        <x:v>EEZ_191</x:v>
      </x:c>
      <x:c r="B47" s="25" t="str">
        <x:v>EEZ_191</x:v>
      </x:c>
      <x:c r="C47" s="25" t="str">
        <x:v>Croatia</x:v>
      </x:c>
      <x:c r="D47" s="25" t="n">
        <x:v>191</x:v>
      </x:c>
      <x:c r="E47" s="32" t="n">
        <x:v>56134.81411396706</x:v>
      </x:c>
      <x:c r="F47" s="32" t="n">
        <x:v>55724.960883408385</x:v>
      </x:c>
      <x:c r="G47" s="34" t="n">
        <x:f>F47/E47</x:f>
        <x:v>0.99269876925705</x:v>
      </x:c>
      <x:c r="H47" s="32" t="n">
        <x:v>0</x:v>
      </x:c>
      <x:c r="I47" s="34" t="n">
        <x:f>H47/E47</x:f>
        <x:v>0</x:v>
      </x:c>
      <x:c r="J47" s="32" t="n">
        <x:v>409.8540451867391</x:v>
      </x:c>
      <x:c r="K47" s="36" t="b">
        <x:v>1</x:v>
      </x:c>
      <x:c r="L47" s="25" t="b">
        <x:f>G47&lt;'Selection Rules'!$B$4</x:f>
        <x:v>0</x:v>
      </x:c>
      <x:c r="M47" s="25" t="b">
        <x:f>SUMIF('EEZ LME Pairs'!$A$2:$A$351,A47,'EEZ LME Pairs'!$L$2:$L$351)&gt;0</x:f>
        <x:v>0</x:v>
      </x:c>
      <x:c r="N47" s="25" t="b">
        <x:f>SUMIF('EEZ LME Pairs'!$A$2:$A$351,A47,'EEZ LME Pairs'!$M$2:$M$351)&gt;0</x:f>
        <x:v>0</x:v>
      </x:c>
      <x:c r="O47" s="25" t="str"/>
      <x:c r="P47" s="25" t="str"/>
      <x:c r="Q47" s="25" t="str"/>
      <x:c r="R47" s="35" t="n">
        <x:v>0</x:v>
      </x:c>
      <x:c r="S47" s="34" t="n">
        <x:v>0.02204483514335488</x:v>
      </x:c>
      <x:c r="T47" s="33" t="n">
        <x:v>0.022206973380105577</x:v>
      </x:c>
      <x:c r="U47" s="33" t="n">
        <x:v>0</x:v>
      </x:c>
    </x:row>
    <x:row r="48" ht="18" customHeight="1">
      <x:c r="A48" s="25" t="str">
        <x:v>EEZ_192</x:v>
      </x:c>
      <x:c r="B48" s="25" t="str">
        <x:v>EEZ_192</x:v>
      </x:c>
      <x:c r="C48" s="25" t="str">
        <x:v>Cuba</x:v>
      </x:c>
      <x:c r="D48" s="25" t="n">
        <x:v>192</x:v>
      </x:c>
      <x:c r="E48" s="32" t="n">
        <x:v>352563.4221543121</x:v>
      </x:c>
      <x:c r="F48" s="32" t="n">
        <x:v>350861.757668383</x:v>
      </x:c>
      <x:c r="G48" s="34" t="n">
        <x:f>F48/E48</x:f>
        <x:v>0.9951734514161135</x:v>
      </x:c>
      <x:c r="H48" s="32" t="n">
        <x:v>0</x:v>
      </x:c>
      <x:c r="I48" s="34" t="n">
        <x:f>H48/E48</x:f>
        <x:v>0</x:v>
      </x:c>
      <x:c r="J48" s="32" t="n">
        <x:v>1701.6631883185453</x:v>
      </x:c>
      <x:c r="K48" s="36" t="b">
        <x:v>1</x:v>
      </x:c>
      <x:c r="L48" s="25" t="b">
        <x:f>G48&lt;'Selection Rules'!$B$4</x:f>
        <x:v>0</x:v>
      </x:c>
      <x:c r="M48" s="25" t="b">
        <x:f>SUMIF('EEZ LME Pairs'!$A$2:$A$351,A48,'EEZ LME Pairs'!$L$2:$L$351)&gt;0</x:f>
        <x:v>0</x:v>
      </x:c>
      <x:c r="N48" s="25" t="b">
        <x:f>SUMIF('EEZ LME Pairs'!$A$2:$A$351,A48,'EEZ LME Pairs'!$M$2:$M$351)&gt;0</x:f>
        <x:v>0</x:v>
      </x:c>
      <x:c r="O48" s="25" t="str"/>
      <x:c r="P48" s="25" t="str"/>
      <x:c r="Q48" s="25" t="str"/>
      <x:c r="R48" s="35" t="n">
        <x:v>0</x:v>
      </x:c>
      <x:c r="S48" s="34" t="n">
        <x:v>0.0903921364918693</x:v>
      </x:c>
      <x:c r="T48" s="33" t="n">
        <x:v>0.23006677186084742</x:v>
      </x:c>
      <x:c r="U48" s="33" t="n">
        <x:v>0</x:v>
      </x:c>
    </x:row>
    <x:row r="49" ht="18" customHeight="1">
      <x:c r="A49" s="25" t="str">
        <x:v>EEZ_197</x:v>
      </x:c>
      <x:c r="B49" s="25" t="str">
        <x:v>EEZ_197</x:v>
      </x:c>
      <x:c r="C49" s="25" t="str">
        <x:v>Cyprus (North)</x:v>
      </x:c>
      <x:c r="D49" s="25" t="n">
        <x:v>197</x:v>
      </x:c>
      <x:c r="E49" s="32" t="n">
        <x:v>17555.247741041076</x:v>
      </x:c>
      <x:c r="F49" s="32" t="n">
        <x:v>17474.78948393912</x:v>
      </x:c>
      <x:c r="G49" s="34" t="n">
        <x:f>F49/E49</x:f>
        <x:v>0.9954168543623648</x:v>
      </x:c>
      <x:c r="H49" s="32" t="n">
        <x:v>0</x:v>
      </x:c>
      <x:c r="I49" s="34" t="n">
        <x:f>H49/E49</x:f>
        <x:v>0</x:v>
      </x:c>
      <x:c r="J49" s="32" t="n">
        <x:v>80.45823376687449</x:v>
      </x:c>
      <x:c r="K49" s="36" t="b">
        <x:v>0</x:v>
      </x:c>
      <x:c r="L49" s="25" t="b">
        <x:f>G49&lt;'Selection Rules'!$B$4</x:f>
        <x:v>0</x:v>
      </x:c>
      <x:c r="M49" s="25" t="b">
        <x:f>SUMIF('EEZ LME Pairs'!$A$2:$A$351,A49,'EEZ LME Pairs'!$L$2:$L$351)&gt;0</x:f>
        <x:v>0</x:v>
      </x:c>
      <x:c r="N49" s="25" t="b">
        <x:f>SUMIF('EEZ LME Pairs'!$A$2:$A$351,A49,'EEZ LME Pairs'!$M$2:$M$351)&gt;0</x:f>
        <x:v>0</x:v>
      </x:c>
      <x:c r="O49" s="25" t="str"/>
      <x:c r="P49" s="25" t="str"/>
      <x:c r="Q49" s="25" t="str"/>
      <x:c r="R49" s="35" t="n">
        <x:v>0</x:v>
      </x:c>
      <x:c r="S49" s="34" t="n">
        <x:v>0.0069130394572061125</x:v>
      </x:c>
      <x:c r="T49" s="33" t="n">
        <x:v>0.006944868802361604</x:v>
      </x:c>
      <x:c r="U49" s="33" t="n">
        <x:v>0</x:v>
      </x:c>
    </x:row>
    <x:row r="50" ht="18" customHeight="1">
      <x:c r="A50" s="25" t="str">
        <x:v>EEZ_198</x:v>
      </x:c>
      <x:c r="B50" s="25" t="str">
        <x:v>EEZ_198</x:v>
      </x:c>
      <x:c r="C50" s="25" t="str">
        <x:v>Cyprus (South)</x:v>
      </x:c>
      <x:c r="D50" s="25" t="n">
        <x:v>198</x:v>
      </x:c>
      <x:c r="E50" s="32" t="n">
        <x:v>80948.3455476028</x:v>
      </x:c>
      <x:c r="F50" s="32" t="n">
        <x:v>80803.57254860135</x:v>
      </x:c>
      <x:c r="G50" s="34" t="n">
        <x:f>F50/E50</x:f>
        <x:v>0.9982115385061661</x:v>
      </x:c>
      <x:c r="H50" s="32" t="n">
        <x:v>0</x:v>
      </x:c>
      <x:c r="I50" s="34" t="n">
        <x:f>H50/E50</x:f>
        <x:v>0</x:v>
      </x:c>
      <x:c r="J50" s="32" t="n">
        <x:v>144.7739171330594</x:v>
      </x:c>
      <x:c r="K50" s="36" t="b">
        <x:v>0</x:v>
      </x:c>
      <x:c r="L50" s="25" t="b">
        <x:f>G50&lt;'Selection Rules'!$B$4</x:f>
        <x:v>0</x:v>
      </x:c>
      <x:c r="M50" s="25" t="b">
        <x:f>SUMIF('EEZ LME Pairs'!$A$2:$A$351,A50,'EEZ LME Pairs'!$L$2:$L$351)&gt;0</x:f>
        <x:v>0</x:v>
      </x:c>
      <x:c r="N50" s="25" t="b">
        <x:f>SUMIF('EEZ LME Pairs'!$A$2:$A$351,A50,'EEZ LME Pairs'!$M$2:$M$351)&gt;0</x:f>
        <x:v>0</x:v>
      </x:c>
      <x:c r="O50" s="25" t="str"/>
      <x:c r="P50" s="25" t="str"/>
      <x:c r="Q50" s="25" t="str"/>
      <x:c r="R50" s="35" t="n">
        <x:v>0</x:v>
      </x:c>
      <x:c r="S50" s="34" t="n">
        <x:v>0.0319659521978848</x:v>
      </x:c>
      <x:c r="T50" s="33" t="n">
        <x:v>0.03202322450181469</x:v>
      </x:c>
      <x:c r="U50" s="33" t="n">
        <x:v>0</x:v>
      </x:c>
    </x:row>
    <x:row r="51" ht="18" customHeight="1">
      <x:c r="A51" s="25" t="str">
        <x:v>EEZ_204</x:v>
      </x:c>
      <x:c r="B51" s="25" t="str">
        <x:v>EEZ_204</x:v>
      </x:c>
      <x:c r="C51" s="25" t="str">
        <x:v>Benin</x:v>
      </x:c>
      <x:c r="D51" s="25" t="n">
        <x:v>204</x:v>
      </x:c>
      <x:c r="E51" s="32" t="n">
        <x:v>35693.59622507248</x:v>
      </x:c>
      <x:c r="F51" s="32" t="n">
        <x:v>35439.778364044076</x:v>
      </x:c>
      <x:c r="G51" s="34" t="n">
        <x:f>F51/E51</x:f>
        <x:v>0.9928889804370535</x:v>
      </x:c>
      <x:c r="H51" s="32" t="n">
        <x:v>20.922270802069715</x:v>
      </x:c>
      <x:c r="I51" s="34" t="n">
        <x:f>H51/E51</x:f>
        <x:v>0.0005861631501107516</x:v>
      </x:c>
      <x:c r="J51" s="32" t="n">
        <x:v>253.81783474723557</x:v>
      </x:c>
      <x:c r="K51" s="36" t="b">
        <x:v>0</x:v>
      </x:c>
      <x:c r="L51" s="25" t="b">
        <x:f>G51&lt;'Selection Rules'!$B$4</x:f>
        <x:v>0</x:v>
      </x:c>
      <x:c r="M51" s="25" t="b">
        <x:f>SUMIF('EEZ LME Pairs'!$A$2:$A$351,A51,'EEZ LME Pairs'!$L$2:$L$351)&gt;0</x:f>
        <x:v>0</x:v>
      </x:c>
      <x:c r="N51" s="25" t="b">
        <x:f>SUMIF('EEZ LME Pairs'!$A$2:$A$351,A51,'EEZ LME Pairs'!$M$2:$M$351)&gt;0</x:f>
        <x:v>0</x:v>
      </x:c>
      <x:c r="O51" s="25" t="str"/>
      <x:c r="P51" s="25" t="str"/>
      <x:c r="Q51" s="25" t="str"/>
      <x:c r="R51" s="35" t="n">
        <x:v>0</x:v>
      </x:c>
      <x:c r="S51" s="34" t="n">
        <x:v>0.018470815155270166</x:v>
      </x:c>
      <x:c r="T51" s="33" t="n">
        <x:v>0.01860310217879507</x:v>
      </x:c>
      <x:c r="U51" s="33" t="n">
        <x:v>0</x:v>
      </x:c>
    </x:row>
    <x:row r="52" ht="18" customHeight="1">
      <x:c r="A52" s="25" t="str">
        <x:v>EEZ_212</x:v>
      </x:c>
      <x:c r="B52" s="25" t="str">
        <x:v>EEZ_212</x:v>
      </x:c>
      <x:c r="C52" s="25" t="str">
        <x:v>Dominica</x:v>
      </x:c>
      <x:c r="D52" s="25" t="n">
        <x:v>212</x:v>
      </x:c>
      <x:c r="E52" s="32" t="n">
        <x:v>28621.6644516181</x:v>
      </x:c>
      <x:c r="F52" s="32" t="n">
        <x:v>15849.358869789028</x:v>
      </x:c>
      <x:c r="G52" s="34" t="n">
        <x:f>F52/E52</x:f>
        <x:v>0.5537539193983877</x:v>
      </x:c>
      <x:c r="H52" s="32" t="n">
        <x:v>0</x:v>
      </x:c>
      <x:c r="I52" s="34" t="n">
        <x:f>H52/E52</x:f>
        <x:v>0</x:v>
      </x:c>
      <x:c r="J52" s="32" t="n">
        <x:v>12772.305489125287</x:v>
      </x:c>
      <x:c r="K52" s="36" t="b">
        <x:v>0</x:v>
      </x:c>
      <x:c r="L52" s="25" t="b">
        <x:f>G52&lt;'Selection Rules'!$B$4</x:f>
        <x:v>0</x:v>
      </x:c>
      <x:c r="M52" s="25" t="b">
        <x:f>SUMIF('EEZ LME Pairs'!$A$2:$A$351,A52,'EEZ LME Pairs'!$L$2:$L$351)&gt;0</x:f>
        <x:v>0</x:v>
      </x:c>
      <x:c r="N52" s="25" t="b">
        <x:f>SUMIF('EEZ LME Pairs'!$A$2:$A$351,A52,'EEZ LME Pairs'!$M$2:$M$351)&gt;0</x:f>
        <x:v>0</x:v>
      </x:c>
      <x:c r="O52" s="25" t="str"/>
      <x:c r="P52" s="25" t="str"/>
      <x:c r="Q52" s="25" t="str"/>
      <x:c r="R52" s="35" t="n">
        <x:v>0</x:v>
      </x:c>
      <x:c r="S52" s="34" t="n">
        <x:v>0.004857926605189488</x:v>
      </x:c>
      <x:c r="T52" s="33" t="n">
        <x:v>0.008772717329869669</x:v>
      </x:c>
      <x:c r="U52" s="33" t="n">
        <x:v>0</x:v>
      </x:c>
    </x:row>
    <x:row r="53" ht="18" customHeight="1">
      <x:c r="A53" s="25" t="str">
        <x:v>EEZ_214</x:v>
      </x:c>
      <x:c r="B53" s="25" t="str">
        <x:v>EEZ_214</x:v>
      </x:c>
      <x:c r="C53" s="25" t="str">
        <x:v>Dominican Republic</x:v>
      </x:c>
      <x:c r="D53" s="25" t="n">
        <x:v>214</x:v>
      </x:c>
      <x:c r="E53" s="32" t="n">
        <x:v>377566.62882686494</x:v>
      </x:c>
      <x:c r="F53" s="32" t="n">
        <x:v>232051.7406143485</x:v>
      </x:c>
      <x:c r="G53" s="34" t="n">
        <x:f>F53/E53</x:f>
        <x:v>0.614598120960412</x:v>
      </x:c>
      <x:c r="H53" s="32" t="n">
        <x:v>0</x:v>
      </x:c>
      <x:c r="I53" s="34" t="n">
        <x:f>H53/E53</x:f>
        <x:v>0</x:v>
      </x:c>
      <x:c r="J53" s="32" t="n">
        <x:v>145514.88887857684</x:v>
      </x:c>
      <x:c r="K53" s="36" t="b">
        <x:v>0</x:v>
      </x:c>
      <x:c r="L53" s="25" t="b">
        <x:f>G53&lt;'Selection Rules'!$B$4</x:f>
        <x:v>0</x:v>
      </x:c>
      <x:c r="M53" s="25" t="b">
        <x:f>SUMIF('EEZ LME Pairs'!$A$2:$A$351,A53,'EEZ LME Pairs'!$L$2:$L$351)&gt;0</x:f>
        <x:v>0</x:v>
      </x:c>
      <x:c r="N53" s="25" t="b">
        <x:f>SUMIF('EEZ LME Pairs'!$A$2:$A$351,A53,'EEZ LME Pairs'!$M$2:$M$351)&gt;0</x:f>
        <x:v>0</x:v>
      </x:c>
      <x:c r="O53" s="25" t="str"/>
      <x:c r="P53" s="25" t="str"/>
      <x:c r="Q53" s="25" t="str"/>
      <x:c r="R53" s="35" t="n">
        <x:v>0</x:v>
      </x:c>
      <x:c r="S53" s="34" t="n">
        <x:v>0.07112529495812843</x:v>
      </x:c>
      <x:c r="T53" s="33" t="n">
        <x:v>0.11572650896976923</x:v>
      </x:c>
      <x:c r="U53" s="33" t="n">
        <x:v>0</x:v>
      </x:c>
    </x:row>
    <x:row r="54" ht="18" customHeight="1">
      <x:c r="A54" s="25" t="str">
        <x:v>EEZ_218</x:v>
      </x:c>
      <x:c r="B54" s="25" t="str">
        <x:v>EEZ_218</x:v>
      </x:c>
      <x:c r="C54" s="25" t="str">
        <x:v>Ecuador (mainland)</x:v>
      </x:c>
      <x:c r="D54" s="25" t="n">
        <x:v>218</x:v>
      </x:c>
      <x:c r="E54" s="32" t="n">
        <x:v>234368.6690185131</x:v>
      </x:c>
      <x:c r="F54" s="32" t="n">
        <x:v>138902.81774784098</x:v>
      </x:c>
      <x:c r="G54" s="34" t="n">
        <x:f>F54/E54</x:f>
        <x:v>0.5926680316508895</x:v>
      </x:c>
      <x:c r="H54" s="32" t="n">
        <x:v>0</x:v>
      </x:c>
      <x:c r="I54" s="34" t="n">
        <x:f>H54/E54</x:f>
        <x:v>0</x:v>
      </x:c>
      <x:c r="J54" s="32" t="n">
        <x:v>95465.85126968741</x:v>
      </x:c>
      <x:c r="K54" s="36" t="b">
        <x:v>1</x:v>
      </x:c>
      <x:c r="L54" s="25" t="b">
        <x:f>G54&lt;'Selection Rules'!$B$4</x:f>
        <x:v>0</x:v>
      </x:c>
      <x:c r="M54" s="25" t="b">
        <x:f>SUMIF('EEZ LME Pairs'!$A$2:$A$351,A54,'EEZ LME Pairs'!$L$2:$L$351)&gt;0</x:f>
        <x:v>0</x:v>
      </x:c>
      <x:c r="N54" s="25" t="b">
        <x:f>SUMIF('EEZ LME Pairs'!$A$2:$A$351,A54,'EEZ LME Pairs'!$M$2:$M$351)&gt;0</x:f>
        <x:v>0</x:v>
      </x:c>
      <x:c r="O54" s="25" t="str"/>
      <x:c r="P54" s="25" t="str"/>
      <x:c r="Q54" s="25" t="str"/>
      <x:c r="R54" s="35" t="n">
        <x:v>0</x:v>
      </x:c>
      <x:c r="S54" s="34" t="n">
        <x:v>0.07009408523433382</x:v>
      </x:c>
      <x:c r="T54" s="33" t="n">
        <x:v>0.1182687128223961</x:v>
      </x:c>
      <x:c r="U54" s="33" t="n">
        <x:v>0</x:v>
      </x:c>
    </x:row>
    <x:row r="55" ht="18" customHeight="1">
      <x:c r="A55" s="25" t="str">
        <x:v>EEZ_219</x:v>
      </x:c>
      <x:c r="B55" s="25" t="str">
        <x:v>EEZ_219</x:v>
      </x:c>
      <x:c r="C55" s="25" t="str">
        <x:v>Galapagos Isl. (Ecuador)</x:v>
      </x:c>
      <x:c r="D55" s="25" t="n">
        <x:v>219</x:v>
      </x:c>
      <x:c r="E55" s="32" t="n">
        <x:v>835646.4733697383</x:v>
      </x:c>
      <x:c r="F55" s="32" t="n">
        <x:v>0</x:v>
      </x:c>
      <x:c r="G55" s="34" t="n">
        <x:f>F55/E55</x:f>
        <x:v>0</x:v>
      </x:c>
      <x:c r="H55" s="32" t="n">
        <x:v>34.32922598293462</x:v>
      </x:c>
      <x:c r="I55" s="34" t="n">
        <x:f>H55/E55</x:f>
        <x:v>0.00004108103974220374</x:v>
      </x:c>
      <x:c r="J55" s="32" t="n">
        <x:v>835612.1441837808</x:v>
      </x:c>
      <x:c r="K55" s="36" t="b">
        <x:v>0</x:v>
      </x:c>
      <x:c r="L55" s="25" t="b">
        <x:f>G55&lt;'Selection Rules'!$B$4</x:f>
        <x:v>1</x:v>
      </x:c>
      <x:c r="M55" s="25" t="b">
        <x:f>SUMIF('EEZ LME Pairs'!$A$2:$A$351,A55,'EEZ LME Pairs'!$L$2:$L$351)&gt;0</x:f>
        <x:v>0</x:v>
      </x:c>
      <x:c r="N55" s="25" t="b">
        <x:f>SUMIF('EEZ LME Pairs'!$A$2:$A$351,A55,'EEZ LME Pairs'!$M$2:$M$351)&gt;0</x:f>
        <x:v>0</x:v>
      </x:c>
      <x:c r="O55" s="25" t="str"/>
      <x:c r="P55" s="25" t="str"/>
      <x:c r="Q55" s="25" t="str"/>
      <x:c r="R55" s="35" t="n">
        <x:v>0</x:v>
      </x:c>
      <x:c r="S55" s="34" t="n">
        <x:v>0</x:v>
      </x:c>
      <x:c r="T55" s="33" t="n">
        <x:v>0</x:v>
      </x:c>
      <x:c r="U55" s="33" t="n">
        <x:v>0</x:v>
      </x:c>
    </x:row>
    <x:row r="56" ht="18" customHeight="1">
      <x:c r="A56" s="25" t="str">
        <x:v>EEZ_222</x:v>
      </x:c>
      <x:c r="B56" s="25" t="str">
        <x:v>EEZ_222</x:v>
      </x:c>
      <x:c r="C56" s="25" t="str">
        <x:v>El Salvador</x:v>
      </x:c>
      <x:c r="D56" s="25" t="n">
        <x:v>222</x:v>
      </x:c>
      <x:c r="E56" s="32" t="n">
        <x:v>94248.68859363357</x:v>
      </x:c>
      <x:c r="F56" s="32" t="n">
        <x:v>88848.93824858099</x:v>
      </x:c>
      <x:c r="G56" s="34" t="n">
        <x:f>F56/E56</x:f>
        <x:v>0.9427074219744918</x:v>
      </x:c>
      <x:c r="H56" s="32" t="n">
        <x:v>0</x:v>
      </x:c>
      <x:c r="I56" s="34" t="n">
        <x:f>H56/E56</x:f>
        <x:v>0</x:v>
      </x:c>
      <x:c r="J56" s="32" t="n">
        <x:v>5399.750614129578</x:v>
      </x:c>
      <x:c r="K56" s="36" t="b">
        <x:v>1</x:v>
      </x:c>
      <x:c r="L56" s="25" t="b">
        <x:f>G56&lt;'Selection Rules'!$B$4</x:f>
        <x:v>0</x:v>
      </x:c>
      <x:c r="M56" s="25" t="b">
        <x:f>SUMIF('EEZ LME Pairs'!$A$2:$A$351,A56,'EEZ LME Pairs'!$L$2:$L$351)&gt;0</x:f>
        <x:v>0</x:v>
      </x:c>
      <x:c r="N56" s="25" t="b">
        <x:f>SUMIF('EEZ LME Pairs'!$A$2:$A$351,A56,'EEZ LME Pairs'!$M$2:$M$351)&gt;0</x:f>
        <x:v>0</x:v>
      </x:c>
      <x:c r="O56" s="25" t="str"/>
      <x:c r="P56" s="25" t="str"/>
      <x:c r="Q56" s="25" t="str"/>
      <x:c r="R56" s="35" t="n">
        <x:v>0</x:v>
      </x:c>
      <x:c r="S56" s="34" t="n">
        <x:v>0.044835555905581324</x:v>
      </x:c>
      <x:c r="T56" s="33" t="n">
        <x:v>0.04756041467423019</x:v>
      </x:c>
      <x:c r="U56" s="33" t="n">
        <x:v>0</x:v>
      </x:c>
    </x:row>
    <x:row r="57" ht="18" customHeight="1">
      <x:c r="A57" s="25" t="str">
        <x:v>EEZ_226</x:v>
      </x:c>
      <x:c r="B57" s="25" t="str">
        <x:v>EEZ_226</x:v>
      </x:c>
      <x:c r="C57" s="25" t="str">
        <x:v>Equatorial Guinea</x:v>
      </x:c>
      <x:c r="D57" s="25" t="n">
        <x:v>226</x:v>
      </x:c>
      <x:c r="E57" s="32" t="n">
        <x:v>302959.3278481262</x:v>
      </x:c>
      <x:c r="F57" s="32" t="n">
        <x:v>79558.89955054523</x:v>
      </x:c>
      <x:c r="G57" s="34" t="n">
        <x:f>F57/E57</x:f>
        <x:v>0.2626058755663341</x:v>
      </x:c>
      <x:c r="H57" s="32" t="n">
        <x:v>0</x:v>
      </x:c>
      <x:c r="I57" s="34" t="n">
        <x:f>H57/E57</x:f>
        <x:v>0</x:v>
      </x:c>
      <x:c r="J57" s="32" t="n">
        <x:v>223400.42833192088</x:v>
      </x:c>
      <x:c r="K57" s="36" t="b">
        <x:v>0</x:v>
      </x:c>
      <x:c r="L57" s="25" t="b">
        <x:f>G57&lt;'Selection Rules'!$B$4</x:f>
        <x:v>0</x:v>
      </x:c>
      <x:c r="M57" s="25" t="b">
        <x:f>SUMIF('EEZ LME Pairs'!$A$2:$A$351,A57,'EEZ LME Pairs'!$L$2:$L$351)&gt;0</x:f>
        <x:v>0</x:v>
      </x:c>
      <x:c r="N57" s="25" t="b">
        <x:f>SUMIF('EEZ LME Pairs'!$A$2:$A$351,A57,'EEZ LME Pairs'!$M$2:$M$351)&gt;0</x:f>
        <x:v>0</x:v>
      </x:c>
      <x:c r="O57" s="25" t="str"/>
      <x:c r="P57" s="25" t="str"/>
      <x:c r="Q57" s="25" t="str"/>
      <x:c r="R57" s="35" t="n">
        <x:v>0</x:v>
      </x:c>
      <x:c r="S57" s="34" t="n">
        <x:v>0.04146520648237878</x:v>
      </x:c>
      <x:c r="T57" s="33" t="n">
        <x:v>0.15789900508872923</x:v>
      </x:c>
      <x:c r="U57" s="33" t="n">
        <x:v>0</x:v>
      </x:c>
    </x:row>
    <x:row r="58" ht="18" customHeight="1">
      <x:c r="A58" s="25" t="str">
        <x:v>EEZ_233</x:v>
      </x:c>
      <x:c r="B58" s="25" t="str">
        <x:v>EEZ_233</x:v>
      </x:c>
      <x:c r="C58" s="25" t="str">
        <x:v>Estonia</x:v>
      </x:c>
      <x:c r="D58" s="25" t="n">
        <x:v>233</x:v>
      </x:c>
      <x:c r="E58" s="32" t="n">
        <x:v>36339.615107312</x:v>
      </x:c>
      <x:c r="F58" s="32" t="n">
        <x:v>35687.41928133159</x:v>
      </x:c>
      <x:c r="G58" s="34" t="n">
        <x:f>F58/E58</x:f>
        <x:v>0.9820527591155147</x:v>
      </x:c>
      <x:c r="H58" s="32" t="n">
        <x:v>0</x:v>
      </x:c>
      <x:c r="I58" s="34" t="n">
        <x:f>H58/E58</x:f>
        <x:v>0</x:v>
      </x:c>
      <x:c r="J58" s="32" t="n">
        <x:v>652.1971777125171</x:v>
      </x:c>
      <x:c r="K58" s="36" t="b">
        <x:v>0</x:v>
      </x:c>
      <x:c r="L58" s="25" t="b">
        <x:f>G58&lt;'Selection Rules'!$B$4</x:f>
        <x:v>0</x:v>
      </x:c>
      <x:c r="M58" s="25" t="b">
        <x:f>SUMIF('EEZ LME Pairs'!$A$2:$A$351,A58,'EEZ LME Pairs'!$L$2:$L$351)&gt;0</x:f>
        <x:v>0</x:v>
      </x:c>
      <x:c r="N58" s="25" t="b">
        <x:f>SUMIF('EEZ LME Pairs'!$A$2:$A$351,A58,'EEZ LME Pairs'!$M$2:$M$351)&gt;0</x:f>
        <x:v>0</x:v>
      </x:c>
      <x:c r="O58" s="25" t="str"/>
      <x:c r="P58" s="25" t="str"/>
      <x:c r="Q58" s="25" t="str"/>
      <x:c r="R58" s="35" t="n">
        <x:v>0</x:v>
      </x:c>
      <x:c r="S58" s="34" t="n">
        <x:v>0.09001861027043917</x:v>
      </x:c>
      <x:c r="T58" s="33" t="n">
        <x:v>0.09166372115436484</x:v>
      </x:c>
      <x:c r="U58" s="33" t="n">
        <x:v>0</x:v>
      </x:c>
    </x:row>
    <x:row r="59" ht="18" customHeight="1">
      <x:c r="A59" s="25" t="str">
        <x:v>EEZ_234</x:v>
      </x:c>
      <x:c r="B59" s="25" t="str">
        <x:v>EEZ_234</x:v>
      </x:c>
      <x:c r="C59" s="25" t="str">
        <x:v>Faeroe Isl. (Denmark)</x:v>
      </x:c>
      <x:c r="D59" s="25" t="n">
        <x:v>234</x:v>
      </x:c>
      <x:c r="E59" s="32" t="n">
        <x:v>272076.4346233961</x:v>
      </x:c>
      <x:c r="F59" s="32" t="n">
        <x:v>232789.07953940396</x:v>
      </x:c>
      <x:c r="G59" s="34" t="n">
        <x:f>F59/E59</x:f>
        <x:v>0.8556017718389575</x:v>
      </x:c>
      <x:c r="H59" s="32" t="n">
        <x:v>73.58754524559646</x:v>
      </x:c>
      <x:c r="I59" s="34" t="n">
        <x:f>H59/E59</x:f>
        <x:v>0.0002704664420770405</x:v>
      </x:c>
      <x:c r="J59" s="32" t="n">
        <x:v>39287.356704353704</x:v>
      </x:c>
      <x:c r="K59" s="36" t="b">
        <x:v>1</x:v>
      </x:c>
      <x:c r="L59" s="25" t="b">
        <x:f>G59&lt;'Selection Rules'!$B$4</x:f>
        <x:v>0</x:v>
      </x:c>
      <x:c r="M59" s="25" t="b">
        <x:f>SUMIF('EEZ LME Pairs'!$A$2:$A$351,A59,'EEZ LME Pairs'!$L$2:$L$351)&gt;0</x:f>
        <x:v>1</x:v>
      </x:c>
      <x:c r="N59" s="25" t="b">
        <x:f>SUMIF('EEZ LME Pairs'!$A$2:$A$351,A59,'EEZ LME Pairs'!$M$2:$M$351)&gt;0</x:f>
        <x:v>0</x:v>
      </x:c>
      <x:c r="O59" s="25" t="str">
        <x:v>LME_060</x:v>
      </x:c>
      <x:c r="P59" s="25" t="str"/>
      <x:c r="Q59" s="25" t="str">
        <x:v>LME_060</x:v>
      </x:c>
      <x:c r="R59" s="35" t="n">
        <x:v>1</x:v>
      </x:c>
      <x:c r="S59" s="34" t="n">
        <x:v>0.9882425936116437</x:v>
      </x:c>
      <x:c r="T59" s="33" t="n">
        <x:v>2.611430109768178</x:v>
      </x:c>
      <x:c r="U59" s="33" t="n">
        <x:v>2.611430109768178</x:v>
      </x:c>
    </x:row>
    <x:row r="60" ht="18" customHeight="1">
      <x:c r="A60" s="25" t="str">
        <x:v>EEZ_238</x:v>
      </x:c>
      <x:c r="B60" s="25" t="str">
        <x:v>EEZ_238</x:v>
      </x:c>
      <x:c r="C60" s="25" t="str">
        <x:v>Falkland Isl. (UK)</x:v>
      </x:c>
      <x:c r="D60" s="25" t="n">
        <x:v>238</x:v>
      </x:c>
      <x:c r="E60" s="32" t="n">
        <x:v>550413.2949961914</x:v>
      </x:c>
      <x:c r="F60" s="32" t="n">
        <x:v>234808.65587391448</x:v>
      </x:c>
      <x:c r="G60" s="34" t="n">
        <x:f>F60/E60</x:f>
        <x:v>0.42660425903327653</x:v>
      </x:c>
      <x:c r="H60" s="32" t="n">
        <x:v>4.760315814280201</x:v>
      </x:c>
      <x:c r="I60" s="34" t="n">
        <x:f>H60/E60</x:f>
        <x:v>0.000008648620695677672</x:v>
      </x:c>
      <x:c r="J60" s="32" t="n">
        <x:v>315599.8741549809</x:v>
      </x:c>
      <x:c r="K60" s="36" t="b">
        <x:v>1</x:v>
      </x:c>
      <x:c r="L60" s="25" t="b">
        <x:f>G60&lt;'Selection Rules'!$B$4</x:f>
        <x:v>0</x:v>
      </x:c>
      <x:c r="M60" s="25" t="b">
        <x:f>SUMIF('EEZ LME Pairs'!$A$2:$A$351,A60,'EEZ LME Pairs'!$L$2:$L$351)&gt;0</x:f>
        <x:v>0</x:v>
      </x:c>
      <x:c r="N60" s="25" t="b">
        <x:f>SUMIF('EEZ LME Pairs'!$A$2:$A$351,A60,'EEZ LME Pairs'!$M$2:$M$351)&gt;0</x:f>
        <x:v>0</x:v>
      </x:c>
      <x:c r="O60" s="25" t="str"/>
      <x:c r="P60" s="25" t="str"/>
      <x:c r="Q60" s="25" t="str"/>
      <x:c r="R60" s="35" t="n">
        <x:v>0</x:v>
      </x:c>
      <x:c r="S60" s="34" t="n">
        <x:v>0.20063780758372868</x:v>
      </x:c>
      <x:c r="T60" s="33" t="n">
        <x:v>0.47031365331042857</x:v>
      </x:c>
      <x:c r="U60" s="33" t="n">
        <x:v>0</x:v>
      </x:c>
    </x:row>
    <x:row r="61" ht="18" customHeight="1">
      <x:c r="A61" s="25" t="str">
        <x:v>EEZ_239</x:v>
      </x:c>
      <x:c r="B61" s="25" t="str">
        <x:v>EEZ_239</x:v>
      </x:c>
      <x:c r="C61" s="25" t="str">
        <x:v>South Georgia &amp; Sandwich Isl. (UK)</x:v>
      </x:c>
      <x:c r="D61" s="25" t="n">
        <x:v>239</x:v>
      </x:c>
      <x:c r="E61" s="32" t="n">
        <x:v>1277378.995750381</x:v>
      </x:c>
      <x:c r="F61" s="32" t="n">
        <x:v>0</x:v>
      </x:c>
      <x:c r="G61" s="34" t="n">
        <x:f>F61/E61</x:f>
        <x:v>0</x:v>
      </x:c>
      <x:c r="H61" s="32" t="n">
        <x:v>353.26338331306033</x:v>
      </x:c>
      <x:c r="I61" s="34" t="n">
        <x:f>H61/E61</x:f>
        <x:v>0.0002765533052354129</x:v>
      </x:c>
      <x:c r="J61" s="32" t="n">
        <x:v>1277025.730729948</x:v>
      </x:c>
      <x:c r="K61" s="36" t="b">
        <x:v>0</x:v>
      </x:c>
      <x:c r="L61" s="25" t="b">
        <x:f>G61&lt;'Selection Rules'!$B$4</x:f>
        <x:v>1</x:v>
      </x:c>
      <x:c r="M61" s="25" t="b">
        <x:f>SUMIF('EEZ LME Pairs'!$A$2:$A$351,A61,'EEZ LME Pairs'!$L$2:$L$351)&gt;0</x:f>
        <x:v>0</x:v>
      </x:c>
      <x:c r="N61" s="25" t="b">
        <x:f>SUMIF('EEZ LME Pairs'!$A$2:$A$351,A61,'EEZ LME Pairs'!$M$2:$M$351)&gt;0</x:f>
        <x:v>0</x:v>
      </x:c>
      <x:c r="O61" s="25" t="str"/>
      <x:c r="P61" s="25" t="str"/>
      <x:c r="Q61" s="25" t="str"/>
      <x:c r="R61" s="35" t="n">
        <x:v>0</x:v>
      </x:c>
      <x:c r="S61" s="34" t="n">
        <x:v>0</x:v>
      </x:c>
      <x:c r="T61" s="33" t="n">
        <x:v>0</x:v>
      </x:c>
      <x:c r="U61" s="33" t="n">
        <x:v>0</x:v>
      </x:c>
    </x:row>
    <x:row r="62" ht="18" customHeight="1">
      <x:c r="A62" s="25" t="str">
        <x:v>EEZ_242</x:v>
      </x:c>
      <x:c r="B62" s="25" t="str">
        <x:v>EEZ_242</x:v>
      </x:c>
      <x:c r="C62" s="25" t="str">
        <x:v>Fiji</x:v>
      </x:c>
      <x:c r="D62" s="25" t="n">
        <x:v>242</x:v>
      </x:c>
      <x:c r="E62" s="32" t="n">
        <x:v>1280507.33915883</x:v>
      </x:c>
      <x:c r="F62" s="32" t="n">
        <x:v>0</x:v>
      </x:c>
      <x:c r="G62" s="34" t="n">
        <x:f>F62/E62</x:f>
        <x:v>0</x:v>
      </x:c>
      <x:c r="H62" s="32" t="n">
        <x:v>191.8542000072172</x:v>
      </x:c>
      <x:c r="I62" s="34" t="n">
        <x:f>H62/E62</x:f>
        <x:v>0.0001498267086335069</x:v>
      </x:c>
      <x:c r="J62" s="32" t="n">
        <x:v>1280315.4853429245</x:v>
      </x:c>
      <x:c r="K62" s="36" t="b">
        <x:v>1</x:v>
      </x:c>
      <x:c r="L62" s="25" t="b">
        <x:f>G62&lt;'Selection Rules'!$B$4</x:f>
        <x:v>1</x:v>
      </x:c>
      <x:c r="M62" s="25" t="b">
        <x:f>SUMIF('EEZ LME Pairs'!$A$2:$A$351,A62,'EEZ LME Pairs'!$L$2:$L$351)&gt;0</x:f>
        <x:v>0</x:v>
      </x:c>
      <x:c r="N62" s="25" t="b">
        <x:f>SUMIF('EEZ LME Pairs'!$A$2:$A$351,A62,'EEZ LME Pairs'!$M$2:$M$351)&gt;0</x:f>
        <x:v>0</x:v>
      </x:c>
      <x:c r="O62" s="25" t="str"/>
      <x:c r="P62" s="25" t="str"/>
      <x:c r="Q62" s="25" t="str"/>
      <x:c r="R62" s="35" t="n">
        <x:v>0</x:v>
      </x:c>
      <x:c r="S62" s="34" t="n">
        <x:v>0</x:v>
      </x:c>
      <x:c r="T62" s="33" t="n">
        <x:v>0</x:v>
      </x:c>
      <x:c r="U62" s="33" t="n">
        <x:v>0</x:v>
      </x:c>
    </x:row>
    <x:row r="63" ht="18" customHeight="1">
      <x:c r="A63" s="25" t="str">
        <x:v>EEZ_246</x:v>
      </x:c>
      <x:c r="B63" s="25" t="str">
        <x:v>EEZ_246</x:v>
      </x:c>
      <x:c r="C63" s="25" t="str">
        <x:v>Finland</x:v>
      </x:c>
      <x:c r="D63" s="25" t="n">
        <x:v>246</x:v>
      </x:c>
      <x:c r="E63" s="32" t="n">
        <x:v>84203.40825310622</x:v>
      </x:c>
      <x:c r="F63" s="32" t="n">
        <x:v>82533.72569687314</x:v>
      </x:c>
      <x:c r="G63" s="34" t="n">
        <x:f>F63/E63</x:f>
        <x:v>0.9801708435457364</x:v>
      </x:c>
      <x:c r="H63" s="32" t="n">
        <x:v>0</x:v>
      </x:c>
      <x:c r="I63" s="34" t="n">
        <x:f>H63/E63</x:f>
        <x:v>0</x:v>
      </x:c>
      <x:c r="J63" s="32" t="n">
        <x:v>1669.690300566693</x:v>
      </x:c>
      <x:c r="K63" s="36" t="b">
        <x:v>1</x:v>
      </x:c>
      <x:c r="L63" s="25" t="b">
        <x:f>G63&lt;'Selection Rules'!$B$4</x:f>
        <x:v>0</x:v>
      </x:c>
      <x:c r="M63" s="25" t="b">
        <x:f>SUMIF('EEZ LME Pairs'!$A$2:$A$351,A63,'EEZ LME Pairs'!$L$2:$L$351)&gt;0</x:f>
        <x:v>0</x:v>
      </x:c>
      <x:c r="N63" s="25" t="b">
        <x:f>SUMIF('EEZ LME Pairs'!$A$2:$A$351,A63,'EEZ LME Pairs'!$M$2:$M$351)&gt;0</x:f>
        <x:v>0</x:v>
      </x:c>
      <x:c r="O63" s="25" t="str"/>
      <x:c r="P63" s="25" t="str"/>
      <x:c r="Q63" s="25" t="str"/>
      <x:c r="R63" s="35" t="n">
        <x:v>0</x:v>
      </x:c>
      <x:c r="S63" s="34" t="n">
        <x:v>0.20818460503140468</x:v>
      </x:c>
      <x:c r="T63" s="33" t="n">
        <x:v>0.21239624337151633</x:v>
      </x:c>
      <x:c r="U63" s="33" t="n">
        <x:v>0</x:v>
      </x:c>
    </x:row>
    <x:row r="64" ht="18" customHeight="1">
      <x:c r="A64" s="25" t="str">
        <x:v>EEZ_251</x:v>
      </x:c>
      <x:c r="B64" s="25" t="str">
        <x:v>EEZ_251</x:v>
      </x:c>
      <x:c r="C64" s="25" t="str">
        <x:v>Mozambique Channel Isl. (France)</x:v>
      </x:c>
      <x:c r="D64" s="25" t="n">
        <x:v>251</x:v>
      </x:c>
      <x:c r="E64" s="32" t="n">
        <x:v>309792.82429001847</x:v>
      </x:c>
      <x:c r="F64" s="32" t="n">
        <x:v>309792.82429001824</x:v>
      </x:c>
      <x:c r="G64" s="34" t="n">
        <x:f>F64/E64</x:f>
        <x:v>0.9999999999999992</x:v>
      </x:c>
      <x:c r="H64" s="32" t="n">
        <x:v>830.4469794001255</x:v>
      </x:c>
      <x:c r="I64" s="34" t="n">
        <x:f>H64/E64</x:f>
        <x:v>0.00268065272752311</x:v>
      </x:c>
      <x:c r="J64" s="32" t="n">
        <x:v>0</x:v>
      </x:c>
      <x:c r="K64" s="36" t="b">
        <x:v>0</x:v>
      </x:c>
      <x:c r="L64" s="25" t="b">
        <x:f>G64&lt;'Selection Rules'!$B$4</x:f>
        <x:v>0</x:v>
      </x:c>
      <x:c r="M64" s="25" t="b">
        <x:f>SUMIF('EEZ LME Pairs'!$A$2:$A$351,A64,'EEZ LME Pairs'!$L$2:$L$351)&gt;0</x:f>
        <x:v>0</x:v>
      </x:c>
      <x:c r="N64" s="25" t="b">
        <x:f>SUMIF('EEZ LME Pairs'!$A$2:$A$351,A64,'EEZ LME Pairs'!$M$2:$M$351)&gt;0</x:f>
        <x:v>0</x:v>
      </x:c>
      <x:c r="O64" s="25" t="str"/>
      <x:c r="P64" s="25" t="str"/>
      <x:c r="Q64" s="25" t="str"/>
      <x:c r="R64" s="35" t="n">
        <x:v>0</x:v>
      </x:c>
      <x:c r="S64" s="34" t="n">
        <x:v>0.11793336217553593</x:v>
      </x:c>
      <x:c r="T64" s="33" t="n">
        <x:v>0.11793336217553602</x:v>
      </x:c>
      <x:c r="U64" s="33" t="n">
        <x:v>0</x:v>
      </x:c>
    </x:row>
    <x:row r="65" ht="18" customHeight="1">
      <x:c r="A65" s="25" t="str">
        <x:v>EEZ_252</x:v>
      </x:c>
      <x:c r="B65" s="25" t="str">
        <x:v>EEZ_252</x:v>
      </x:c>
      <x:c r="C65" s="25" t="str">
        <x:v>Tromelin Isl. (France)</x:v>
      </x:c>
      <x:c r="D65" s="25" t="n">
        <x:v>252</x:v>
      </x:c>
      <x:c r="E65" s="32" t="n">
        <x:v>273405.44161107263</x:v>
      </x:c>
      <x:c r="F65" s="32" t="n">
        <x:v>0</x:v>
      </x:c>
      <x:c r="G65" s="34" t="n">
        <x:f>F65/E65</x:f>
        <x:v>0</x:v>
      </x:c>
      <x:c r="H65" s="32" t="n">
        <x:v>0</x:v>
      </x:c>
      <x:c r="I65" s="34" t="n">
        <x:f>H65/E65</x:f>
        <x:v>0</x:v>
      </x:c>
      <x:c r="J65" s="32" t="n">
        <x:v>273405.4416110727</x:v>
      </x:c>
      <x:c r="K65" s="36" t="b">
        <x:v>0</x:v>
      </x:c>
      <x:c r="L65" s="25" t="b">
        <x:f>G65&lt;'Selection Rules'!$B$4</x:f>
        <x:v>1</x:v>
      </x:c>
      <x:c r="M65" s="25" t="b">
        <x:f>SUMIF('EEZ LME Pairs'!$A$2:$A$351,A65,'EEZ LME Pairs'!$L$2:$L$351)&gt;0</x:f>
        <x:v>0</x:v>
      </x:c>
      <x:c r="N65" s="25" t="b">
        <x:f>SUMIF('EEZ LME Pairs'!$A$2:$A$351,A65,'EEZ LME Pairs'!$M$2:$M$351)&gt;0</x:f>
        <x:v>0</x:v>
      </x:c>
      <x:c r="O65" s="25" t="str"/>
      <x:c r="P65" s="25" t="str"/>
      <x:c r="Q65" s="25" t="str"/>
      <x:c r="R65" s="35" t="n">
        <x:v>0</x:v>
      </x:c>
      <x:c r="S65" s="34" t="n">
        <x:v>0</x:v>
      </x:c>
      <x:c r="T65" s="33" t="n">
        <x:v>0</x:v>
      </x:c>
      <x:c r="U65" s="33" t="n">
        <x:v>0</x:v>
      </x:c>
    </x:row>
    <x:row r="66" ht="18" customHeight="1">
      <x:c r="A66" s="25" t="str">
        <x:v>EEZ_254</x:v>
      </x:c>
      <x:c r="B66" s="25" t="str">
        <x:v>EEZ_254</x:v>
      </x:c>
      <x:c r="C66" s="25" t="str">
        <x:v>French Guiana</x:v>
      </x:c>
      <x:c r="D66" s="25" t="n">
        <x:v>254</x:v>
      </x:c>
      <x:c r="E66" s="32" t="n">
        <x:v>131176.9272345226</x:v>
      </x:c>
      <x:c r="F66" s="32" t="n">
        <x:v>117681.16436888558</x:v>
      </x:c>
      <x:c r="G66" s="34" t="n">
        <x:f>F66/E66</x:f>
        <x:v>0.8971178609672048</x:v>
      </x:c>
      <x:c r="H66" s="32" t="n">
        <x:v>1021.5717430318334</x:v>
      </x:c>
      <x:c r="I66" s="34" t="n">
        <x:f>H66/E66</x:f>
        <x:v>0.007787739540547649</x:v>
      </x:c>
      <x:c r="J66" s="32" t="n">
        <x:v>12598.408498217652</x:v>
      </x:c>
      <x:c r="K66" s="36" t="b">
        <x:v>0</x:v>
      </x:c>
      <x:c r="L66" s="25" t="b">
        <x:f>G66&lt;'Selection Rules'!$B$4</x:f>
        <x:v>0</x:v>
      </x:c>
      <x:c r="M66" s="25" t="b">
        <x:f>SUMIF('EEZ LME Pairs'!$A$2:$A$351,A66,'EEZ LME Pairs'!$L$2:$L$351)&gt;0</x:f>
        <x:v>0</x:v>
      </x:c>
      <x:c r="N66" s="25" t="b">
        <x:f>SUMIF('EEZ LME Pairs'!$A$2:$A$351,A66,'EEZ LME Pairs'!$M$2:$M$351)&gt;0</x:f>
        <x:v>0</x:v>
      </x:c>
      <x:c r="O66" s="25" t="str"/>
      <x:c r="P66" s="25" t="str"/>
      <x:c r="Q66" s="25" t="str"/>
      <x:c r="R66" s="35" t="n">
        <x:v>0</x:v>
      </x:c>
      <x:c r="S66" s="34" t="n">
        <x:v>0.11156444523071697</x:v>
      </x:c>
      <x:c r="T66" s="33" t="n">
        <x:v>0.12435873822692216</x:v>
      </x:c>
      <x:c r="U66" s="33" t="n">
        <x:v>0</x:v>
      </x:c>
    </x:row>
    <x:row r="67" ht="18" customHeight="1">
      <x:c r="A67" s="25" t="str">
        <x:v>EEZ_258</x:v>
      </x:c>
      <x:c r="B67" s="25" t="str">
        <x:v>EEZ_258</x:v>
      </x:c>
      <x:c r="C67" s="25" t="str">
        <x:v>French Polynesia</x:v>
      </x:c>
      <x:c r="D67" s="25" t="n">
        <x:v>258</x:v>
      </x:c>
      <x:c r="E67" s="32" t="n">
        <x:v>4769684.917023894</x:v>
      </x:c>
      <x:c r="F67" s="32" t="n">
        <x:v>0</x:v>
      </x:c>
      <x:c r="G67" s="34" t="n">
        <x:f>F67/E67</x:f>
        <x:v>0</x:v>
      </x:c>
      <x:c r="H67" s="32" t="n">
        <x:v>2514.298795864968</x:v>
      </x:c>
      <x:c r="I67" s="34" t="n">
        <x:f>H67/E67</x:f>
        <x:v>0.0005271414861998466</x:v>
      </x:c>
      <x:c r="J67" s="32" t="n">
        <x:v>4767170.617945272</x:v>
      </x:c>
      <x:c r="K67" s="36" t="b">
        <x:v>1</x:v>
      </x:c>
      <x:c r="L67" s="25" t="b">
        <x:f>G67&lt;'Selection Rules'!$B$4</x:f>
        <x:v>1</x:v>
      </x:c>
      <x:c r="M67" s="25" t="b">
        <x:f>SUMIF('EEZ LME Pairs'!$A$2:$A$351,A67,'EEZ LME Pairs'!$L$2:$L$351)&gt;0</x:f>
        <x:v>0</x:v>
      </x:c>
      <x:c r="N67" s="25" t="b">
        <x:f>SUMIF('EEZ LME Pairs'!$A$2:$A$351,A67,'EEZ LME Pairs'!$M$2:$M$351)&gt;0</x:f>
        <x:v>0</x:v>
      </x:c>
      <x:c r="O67" s="25" t="str"/>
      <x:c r="P67" s="25" t="str"/>
      <x:c r="Q67" s="25" t="str"/>
      <x:c r="R67" s="35" t="n">
        <x:v>0</x:v>
      </x:c>
      <x:c r="S67" s="34" t="n">
        <x:v>0</x:v>
      </x:c>
      <x:c r="T67" s="33" t="n">
        <x:v>0</x:v>
      </x:c>
      <x:c r="U67" s="33" t="n">
        <x:v>0</x:v>
      </x:c>
    </x:row>
    <x:row r="68" ht="18" customHeight="1">
      <x:c r="A68" s="25" t="str">
        <x:v>EEZ_262</x:v>
      </x:c>
      <x:c r="B68" s="25" t="str">
        <x:v>EEZ_262</x:v>
      </x:c>
      <x:c r="C68" s="25" t="str">
        <x:v>Djibouti</x:v>
      </x:c>
      <x:c r="D68" s="25" t="n">
        <x:v>262</x:v>
      </x:c>
      <x:c r="E68" s="32" t="n">
        <x:v>7601.555570830089</x:v>
      </x:c>
      <x:c r="F68" s="32" t="n">
        <x:v>7405.223954422472</x:v>
      </x:c>
      <x:c r="G68" s="34" t="n">
        <x:f>F68/E68</x:f>
        <x:v>0.9741721790259599</x:v>
      </x:c>
      <x:c r="H68" s="32" t="n">
        <x:v>0</x:v>
      </x:c>
      <x:c r="I68" s="34" t="n">
        <x:f>H68/E68</x:f>
        <x:v>0</x:v>
      </x:c>
      <x:c r="J68" s="32" t="n">
        <x:v>196.33184518340963</x:v>
      </x:c>
      <x:c r="K68" s="36" t="b">
        <x:v>0</x:v>
      </x:c>
      <x:c r="L68" s="25" t="b">
        <x:f>G68&lt;'Selection Rules'!$B$4</x:f>
        <x:v>0</x:v>
      </x:c>
      <x:c r="M68" s="25" t="b">
        <x:f>SUMIF('EEZ LME Pairs'!$A$2:$A$351,A68,'EEZ LME Pairs'!$L$2:$L$351)&gt;0</x:f>
        <x:v>0</x:v>
      </x:c>
      <x:c r="N68" s="25" t="b">
        <x:f>SUMIF('EEZ LME Pairs'!$A$2:$A$351,A68,'EEZ LME Pairs'!$M$2:$M$351)&gt;0</x:f>
        <x:v>0</x:v>
      </x:c>
      <x:c r="O68" s="25" t="str"/>
      <x:c r="P68" s="25" t="str"/>
      <x:c r="Q68" s="25" t="str"/>
      <x:c r="R68" s="35" t="n">
        <x:v>0</x:v>
      </x:c>
      <x:c r="S68" s="34" t="n">
        <x:v>0.001758869507098695</x:v>
      </x:c>
      <x:c r="T68" s="33" t="n">
        <x:v>0.016490344790126652</x:v>
      </x:c>
      <x:c r="U68" s="33" t="n">
        <x:v>0</x:v>
      </x:c>
    </x:row>
    <x:row r="69" ht="18" customHeight="1">
      <x:c r="A69" s="25" t="str">
        <x:v>EEZ_266</x:v>
      </x:c>
      <x:c r="B69" s="25" t="str">
        <x:v>EEZ_266</x:v>
      </x:c>
      <x:c r="C69" s="25" t="str">
        <x:v>Gabon</x:v>
      </x:c>
      <x:c r="D69" s="25" t="n">
        <x:v>266</x:v>
      </x:c>
      <x:c r="E69" s="32" t="n">
        <x:v>200070.47822587713</x:v>
      </x:c>
      <x:c r="F69" s="32" t="n">
        <x:v>196046.95356566543</x:v>
      </x:c>
      <x:c r="G69" s="34" t="n">
        <x:f>F69/E69</x:f>
        <x:v>0.9798894634736206</x:v>
      </x:c>
      <x:c r="H69" s="32" t="n">
        <x:v>13.374591388587847</x:v>
      </x:c>
      <x:c r="I69" s="34" t="n">
        <x:f>H69/E69</x:f>
        <x:v>0.00006684939980744233</x:v>
      </x:c>
      <x:c r="J69" s="32" t="n">
        <x:v>4023.524629591258</x:v>
      </x:c>
      <x:c r="K69" s="36" t="b">
        <x:v>1</x:v>
      </x:c>
      <x:c r="L69" s="25" t="b">
        <x:f>G69&lt;'Selection Rules'!$B$4</x:f>
        <x:v>0</x:v>
      </x:c>
      <x:c r="M69" s="25" t="b">
        <x:f>SUMIF('EEZ LME Pairs'!$A$2:$A$351,A69,'EEZ LME Pairs'!$L$2:$L$351)&gt;0</x:f>
        <x:v>0</x:v>
      </x:c>
      <x:c r="N69" s="25" t="b">
        <x:f>SUMIF('EEZ LME Pairs'!$A$2:$A$351,A69,'EEZ LME Pairs'!$M$2:$M$351)&gt;0</x:f>
        <x:v>0</x:v>
      </x:c>
      <x:c r="O69" s="25" t="str"/>
      <x:c r="P69" s="25" t="str"/>
      <x:c r="Q69" s="25" t="str"/>
      <x:c r="R69" s="35" t="n">
        <x:v>0</x:v>
      </x:c>
      <x:c r="S69" s="34" t="n">
        <x:v>0.10217747424569464</x:v>
      </x:c>
      <x:c r="T69" s="33" t="n">
        <x:v>0.10427449018941852</x:v>
      </x:c>
      <x:c r="U69" s="33" t="n">
        <x:v>0</x:v>
      </x:c>
    </x:row>
    <x:row r="70" ht="18" customHeight="1">
      <x:c r="A70" s="25" t="str">
        <x:v>EEZ_268</x:v>
      </x:c>
      <x:c r="B70" s="25" t="str">
        <x:v>EEZ_268</x:v>
      </x:c>
      <x:c r="C70" s="25" t="str">
        <x:v>Georgia</x:v>
      </x:c>
      <x:c r="D70" s="25" t="n">
        <x:v>268</x:v>
      </x:c>
      <x:c r="E70" s="32" t="n">
        <x:v>22850.06585155267</x:v>
      </x:c>
      <x:c r="F70" s="32" t="n">
        <x:v>22624.717493003325</x:v>
      </x:c>
      <x:c r="G70" s="34" t="n">
        <x:f>F70/E70</x:f>
        <x:v>0.990137955837268</x:v>
      </x:c>
      <x:c r="H70" s="32" t="n">
        <x:v>0</x:v>
      </x:c>
      <x:c r="I70" s="34" t="n">
        <x:f>H70/E70</x:f>
        <x:v>0</x:v>
      </x:c>
      <x:c r="J70" s="32" t="n">
        <x:v>225.34723180834285</x:v>
      </x:c>
      <x:c r="K70" s="36" t="b">
        <x:v>1</x:v>
      </x:c>
      <x:c r="L70" s="25" t="b">
        <x:f>G70&lt;'Selection Rules'!$B$4</x:f>
        <x:v>0</x:v>
      </x:c>
      <x:c r="M70" s="25" t="b">
        <x:f>SUMIF('EEZ LME Pairs'!$A$2:$A$351,A70,'EEZ LME Pairs'!$L$2:$L$351)&gt;0</x:f>
        <x:v>0</x:v>
      </x:c>
      <x:c r="N70" s="25" t="b">
        <x:f>SUMIF('EEZ LME Pairs'!$A$2:$A$351,A70,'EEZ LME Pairs'!$M$2:$M$351)&gt;0</x:f>
        <x:v>0</x:v>
      </x:c>
      <x:c r="O70" s="25" t="str"/>
      <x:c r="P70" s="25" t="str"/>
      <x:c r="Q70" s="25" t="str"/>
      <x:c r="R70" s="35" t="n">
        <x:v>0</x:v>
      </x:c>
      <x:c r="S70" s="34" t="n">
        <x:v>0.04894950197380109</x:v>
      </x:c>
      <x:c r="T70" s="33" t="n">
        <x:v>0.04943705236752491</x:v>
      </x:c>
      <x:c r="U70" s="33" t="n">
        <x:v>0</x:v>
      </x:c>
    </x:row>
    <x:row r="71" ht="18" customHeight="1">
      <x:c r="A71" s="25" t="str">
        <x:v>EEZ_270</x:v>
      </x:c>
      <x:c r="B71" s="25" t="str">
        <x:v>EEZ_270</x:v>
      </x:c>
      <x:c r="C71" s="25" t="str">
        <x:v>Gambia</x:v>
      </x:c>
      <x:c r="D71" s="25" t="n">
        <x:v>270</x:v>
      </x:c>
      <x:c r="E71" s="32" t="n">
        <x:v>22854.919108268692</x:v>
      </x:c>
      <x:c r="F71" s="32" t="n">
        <x:v>22654.05603769782</x:v>
      </x:c>
      <x:c r="G71" s="34" t="n">
        <x:f>F71/E71</x:f>
        <x:v>0.9912113856269043</x:v>
      </x:c>
      <x:c r="H71" s="32" t="n">
        <x:v>21.49629162011495</x:v>
      </x:c>
      <x:c r="I71" s="34" t="n">
        <x:f>H71/E71</x:f>
        <x:v>0.0009405542639762743</x:v>
      </x:c>
      <x:c r="J71" s="32" t="n">
        <x:v>199.59128998230054</x:v>
      </x:c>
      <x:c r="K71" s="36" t="b">
        <x:v>0</x:v>
      </x:c>
      <x:c r="L71" s="25" t="b">
        <x:f>G71&lt;'Selection Rules'!$B$4</x:f>
        <x:v>0</x:v>
      </x:c>
      <x:c r="M71" s="25" t="b">
        <x:f>SUMIF('EEZ LME Pairs'!$A$2:$A$351,A71,'EEZ LME Pairs'!$L$2:$L$351)&gt;0</x:f>
        <x:v>0</x:v>
      </x:c>
      <x:c r="N71" s="25" t="b">
        <x:f>SUMIF('EEZ LME Pairs'!$A$2:$A$351,A71,'EEZ LME Pairs'!$M$2:$M$351)&gt;0</x:f>
        <x:v>0</x:v>
      </x:c>
      <x:c r="O71" s="25" t="str"/>
      <x:c r="P71" s="25" t="str"/>
      <x:c r="Q71" s="25" t="str"/>
      <x:c r="R71" s="35" t="n">
        <x:v>0</x:v>
      </x:c>
      <x:c r="S71" s="34" t="n">
        <x:v>0.02016741626612977</x:v>
      </x:c>
      <x:c r="T71" s="33" t="n">
        <x:v>0.02034623144827441</x:v>
      </x:c>
      <x:c r="U71" s="33" t="n">
        <x:v>0</x:v>
      </x:c>
    </x:row>
    <x:row r="72" ht="18" customHeight="1">
      <x:c r="A72" s="25" t="str">
        <x:v>EEZ_274</x:v>
      </x:c>
      <x:c r="B72" s="25" t="str">
        <x:v>EEZ_274</x:v>
      </x:c>
      <x:c r="C72" s="25" t="str">
        <x:v>Gaza Strip</x:v>
      </x:c>
      <x:c r="D72" s="25" t="n">
        <x:v>274</x:v>
      </x:c>
      <x:c r="E72" s="32" t="n">
        <x:v>2336.6988125930247</x:v>
      </x:c>
      <x:c r="F72" s="32" t="n">
        <x:v>2327.714319858605</x:v>
      </x:c>
      <x:c r="G72" s="34" t="n">
        <x:f>F72/E72</x:f>
        <x:v>0.9961550488723664</x:v>
      </x:c>
      <x:c r="H72" s="32" t="n">
        <x:v>0</x:v>
      </x:c>
      <x:c r="I72" s="34" t="n">
        <x:f>H72/E72</x:f>
        <x:v>0</x:v>
      </x:c>
      <x:c r="J72" s="32" t="n">
        <x:v>8.983623684352883</x:v>
      </x:c>
      <x:c r="K72" s="36" t="b">
        <x:v>0</x:v>
      </x:c>
      <x:c r="L72" s="25" t="b">
        <x:f>G72&lt;'Selection Rules'!$B$4</x:f>
        <x:v>0</x:v>
      </x:c>
      <x:c r="M72" s="25" t="b">
        <x:f>SUMIF('EEZ LME Pairs'!$A$2:$A$351,A72,'EEZ LME Pairs'!$L$2:$L$351)&gt;0</x:f>
        <x:v>0</x:v>
      </x:c>
      <x:c r="N72" s="25" t="b">
        <x:f>SUMIF('EEZ LME Pairs'!$A$2:$A$351,A72,'EEZ LME Pairs'!$M$2:$M$351)&gt;0</x:f>
        <x:v>0</x:v>
      </x:c>
      <x:c r="O72" s="25" t="str"/>
      <x:c r="P72" s="25" t="str"/>
      <x:c r="Q72" s="25" t="str"/>
      <x:c r="R72" s="35" t="n">
        <x:v>0</x:v>
      </x:c>
      <x:c r="S72" s="34" t="n">
        <x:v>0.0009208454816051326</x:v>
      </x:c>
      <x:c r="T72" s="33" t="n">
        <x:v>0.0009243997534796586</x:v>
      </x:c>
      <x:c r="U72" s="33" t="n">
        <x:v>0</x:v>
      </x:c>
    </x:row>
    <x:row r="73" ht="18" customHeight="1">
      <x:c r="A73" s="25" t="str">
        <x:v>EEZ_277</x:v>
      </x:c>
      <x:c r="B73" s="25" t="str">
        <x:v>EEZ_277</x:v>
      </x:c>
      <x:c r="C73" s="25" t="str">
        <x:v>Germany (North Sea)</x:v>
      </x:c>
      <x:c r="D73" s="25" t="n">
        <x:v>277</x:v>
      </x:c>
      <x:c r="E73" s="32" t="n">
        <x:v>41220.36710931834</x:v>
      </x:c>
      <x:c r="F73" s="32" t="n">
        <x:v>41055.378198530474</x:v>
      </x:c>
      <x:c r="G73" s="34" t="n">
        <x:f>F73/E73</x:f>
        <x:v>0.9959973934644905</x:v>
      </x:c>
      <x:c r="H73" s="32" t="n">
        <x:v>0</x:v>
      </x:c>
      <x:c r="I73" s="34" t="n">
        <x:f>H73/E73</x:f>
        <x:v>0</x:v>
      </x:c>
      <x:c r="J73" s="32" t="n">
        <x:v>164.98674870846418</x:v>
      </x:c>
      <x:c r="K73" s="36" t="b">
        <x:v>0</x:v>
      </x:c>
      <x:c r="L73" s="25" t="b">
        <x:f>G73&lt;'Selection Rules'!$B$4</x:f>
        <x:v>0</x:v>
      </x:c>
      <x:c r="M73" s="25" t="b">
        <x:f>SUMIF('EEZ LME Pairs'!$A$2:$A$351,A73,'EEZ LME Pairs'!$L$2:$L$351)&gt;0</x:f>
        <x:v>0</x:v>
      </x:c>
      <x:c r="N73" s="25" t="b">
        <x:f>SUMIF('EEZ LME Pairs'!$A$2:$A$351,A73,'EEZ LME Pairs'!$M$2:$M$351)&gt;0</x:f>
        <x:v>0</x:v>
      </x:c>
      <x:c r="O73" s="25" t="str"/>
      <x:c r="P73" s="25" t="str"/>
      <x:c r="Q73" s="25" t="str"/>
      <x:c r="R73" s="35" t="n">
        <x:v>0</x:v>
      </x:c>
      <x:c r="S73" s="34" t="n">
        <x:v>0.05894248319781375</x:v>
      </x:c>
      <x:c r="T73" s="33" t="n">
        <x:v>0.05917935487038519</x:v>
      </x:c>
      <x:c r="U73" s="33" t="n">
        <x:v>0</x:v>
      </x:c>
    </x:row>
    <x:row r="74" ht="18" customHeight="1">
      <x:c r="A74" s="25" t="str">
        <x:v>EEZ_278</x:v>
      </x:c>
      <x:c r="B74" s="25" t="str">
        <x:v>EEZ_278</x:v>
      </x:c>
      <x:c r="C74" s="25" t="str">
        <x:v>Germany (Baltic Sea)</x:v>
      </x:c>
      <x:c r="D74" s="25" t="n">
        <x:v>278</x:v>
      </x:c>
      <x:c r="E74" s="32" t="n">
        <x:v>15527.898722394531</x:v>
      </x:c>
      <x:c r="F74" s="32" t="n">
        <x:v>15251.1180334079</x:v>
      </x:c>
      <x:c r="G74" s="34" t="n">
        <x:f>F74/E74</x:f>
        <x:v>0.9821752644105377</x:v>
      </x:c>
      <x:c r="H74" s="32" t="n">
        <x:v>0</x:v>
      </x:c>
      <x:c r="I74" s="34" t="n">
        <x:f>H74/E74</x:f>
        <x:v>0</x:v>
      </x:c>
      <x:c r="J74" s="32" t="n">
        <x:v>276.77815266692767</x:v>
      </x:c>
      <x:c r="K74" s="36" t="b">
        <x:v>1</x:v>
      </x:c>
      <x:c r="L74" s="25" t="b">
        <x:f>G74&lt;'Selection Rules'!$B$4</x:f>
        <x:v>0</x:v>
      </x:c>
      <x:c r="M74" s="25" t="b">
        <x:f>SUMIF('EEZ LME Pairs'!$A$2:$A$351,A74,'EEZ LME Pairs'!$L$2:$L$351)&gt;0</x:f>
        <x:v>0</x:v>
      </x:c>
      <x:c r="N74" s="25" t="b">
        <x:f>SUMIF('EEZ LME Pairs'!$A$2:$A$351,A74,'EEZ LME Pairs'!$M$2:$M$351)&gt;0</x:f>
        <x:v>0</x:v>
      </x:c>
      <x:c r="O74" s="25" t="str"/>
      <x:c r="P74" s="25" t="str"/>
      <x:c r="Q74" s="25" t="str"/>
      <x:c r="R74" s="35" t="n">
        <x:v>0</x:v>
      </x:c>
      <x:c r="S74" s="34" t="n">
        <x:v>0.03846970383638754</x:v>
      </x:c>
      <x:c r="T74" s="33" t="n">
        <x:v>0.039167860595100114</x:v>
      </x:c>
      <x:c r="U74" s="33" t="n">
        <x:v>0</x:v>
      </x:c>
    </x:row>
    <x:row r="75" ht="18" customHeight="1">
      <x:c r="A75" s="25" t="str">
        <x:v>EEZ_288</x:v>
      </x:c>
      <x:c r="B75" s="25" t="str">
        <x:v>EEZ_288</x:v>
      </x:c>
      <x:c r="C75" s="25" t="str">
        <x:v>Ghana</x:v>
      </x:c>
      <x:c r="D75" s="25" t="n">
        <x:v>288</x:v>
      </x:c>
      <x:c r="E75" s="32" t="n">
        <x:v>225676.86432471164</x:v>
      </x:c>
      <x:c r="F75" s="32" t="n">
        <x:v>206072.43047817194</x:v>
      </x:c>
      <x:c r="G75" s="34" t="n">
        <x:f>F75/E75</x:f>
        <x:v>0.9131305111616042</x:v>
      </x:c>
      <x:c r="H75" s="32" t="n">
        <x:v>0</x:v>
      </x:c>
      <x:c r="I75" s="34" t="n">
        <x:f>H75/E75</x:f>
        <x:v>0</x:v>
      </x:c>
      <x:c r="J75" s="32" t="n">
        <x:v>19604.434078654813</x:v>
      </x:c>
      <x:c r="K75" s="36" t="b">
        <x:v>1</x:v>
      </x:c>
      <x:c r="L75" s="25" t="b">
        <x:f>G75&lt;'Selection Rules'!$B$4</x:f>
        <x:v>0</x:v>
      </x:c>
      <x:c r="M75" s="25" t="b">
        <x:f>SUMIF('EEZ LME Pairs'!$A$2:$A$351,A75,'EEZ LME Pairs'!$L$2:$L$351)&gt;0</x:f>
        <x:v>0</x:v>
      </x:c>
      <x:c r="N75" s="25" t="b">
        <x:f>SUMIF('EEZ LME Pairs'!$A$2:$A$351,A75,'EEZ LME Pairs'!$M$2:$M$351)&gt;0</x:f>
        <x:v>0</x:v>
      </x:c>
      <x:c r="O75" s="25" t="str"/>
      <x:c r="P75" s="25" t="str"/>
      <x:c r="Q75" s="25" t="str"/>
      <x:c r="R75" s="35" t="n">
        <x:v>0</x:v>
      </x:c>
      <x:c r="S75" s="34" t="n">
        <x:v>0.10740264041327462</x:v>
      </x:c>
      <x:c r="T75" s="33" t="n">
        <x:v>0.11762025154174997</x:v>
      </x:c>
      <x:c r="U75" s="33" t="n">
        <x:v>0</x:v>
      </x:c>
    </x:row>
    <x:row r="76" ht="18" customHeight="1">
      <x:c r="A76" s="25" t="str">
        <x:v>EEZ_300</x:v>
      </x:c>
      <x:c r="B76" s="25" t="str">
        <x:v>EEZ_300</x:v>
      </x:c>
      <x:c r="C76" s="25" t="str">
        <x:v>Greece (without Crete)</x:v>
      </x:c>
      <x:c r="D76" s="25" t="n">
        <x:v>300</x:v>
      </x:c>
      <x:c r="E76" s="32" t="n">
        <x:v>387855.22647616203</x:v>
      </x:c>
      <x:c r="F76" s="32" t="n">
        <x:v>386666.84271458525</x:v>
      </x:c>
      <x:c r="G76" s="34" t="n">
        <x:f>F76/E76</x:f>
        <x:v>0.9969360119950587</x:v>
      </x:c>
      <x:c r="H76" s="32" t="n">
        <x:v>0</x:v>
      </x:c>
      <x:c r="I76" s="34" t="n">
        <x:f>H76/E76</x:f>
        <x:v>0</x:v>
      </x:c>
      <x:c r="J76" s="32" t="n">
        <x:v>1188.3844793057888</x:v>
      </x:c>
      <x:c r="K76" s="36" t="b">
        <x:v>1</x:v>
      </x:c>
      <x:c r="L76" s="25" t="b">
        <x:f>G76&lt;'Selection Rules'!$B$4</x:f>
        <x:v>0</x:v>
      </x:c>
      <x:c r="M76" s="25" t="b">
        <x:f>SUMIF('EEZ LME Pairs'!$A$2:$A$351,A76,'EEZ LME Pairs'!$L$2:$L$351)&gt;0</x:f>
        <x:v>0</x:v>
      </x:c>
      <x:c r="N76" s="25" t="b">
        <x:f>SUMIF('EEZ LME Pairs'!$A$2:$A$351,A76,'EEZ LME Pairs'!$M$2:$M$351)&gt;0</x:f>
        <x:v>0</x:v>
      </x:c>
      <x:c r="O76" s="25" t="str"/>
      <x:c r="P76" s="25" t="str"/>
      <x:c r="Q76" s="25" t="str"/>
      <x:c r="R76" s="35" t="n">
        <x:v>0</x:v>
      </x:c>
      <x:c r="S76" s="34" t="n">
        <x:v>0.15296568481903608</x:v>
      </x:c>
      <x:c r="T76" s="33" t="n">
        <x:v>0.15343581030132783</x:v>
      </x:c>
      <x:c r="U76" s="33" t="n">
        <x:v>0</x:v>
      </x:c>
    </x:row>
    <x:row r="77" ht="18" customHeight="1">
      <x:c r="A77" s="25" t="str">
        <x:v>EEZ_304</x:v>
      </x:c>
      <x:c r="B77" s="25" t="str">
        <x:v>EEZ_304</x:v>
      </x:c>
      <x:c r="C77" s="25" t="str">
        <x:v>Greenland (Denmark)</x:v>
      </x:c>
      <x:c r="D77" s="25" t="n">
        <x:v>304</x:v>
      </x:c>
      <x:c r="E77" s="32" t="n">
        <x:v>2279905.916216645</x:v>
      </x:c>
      <x:c r="F77" s="32" t="n">
        <x:v>1757732.0768598486</x:v>
      </x:c>
      <x:c r="G77" s="34" t="n">
        <x:f>F77/E77</x:f>
        <x:v>0.770966935239455</x:v>
      </x:c>
      <x:c r="H77" s="32" t="n">
        <x:v>170.19964214800584</x:v>
      </x:c>
      <x:c r="I77" s="34" t="n">
        <x:f>H77/E77</x:f>
        <x:v>0.00007465204635743962</x:v>
      </x:c>
      <x:c r="J77" s="32" t="n">
        <x:v>522142.5825593087</x:v>
      </x:c>
      <x:c r="K77" s="36" t="b">
        <x:v>1</x:v>
      </x:c>
      <x:c r="L77" s="25" t="b">
        <x:f>G77&lt;'Selection Rules'!$B$4</x:f>
        <x:v>0</x:v>
      </x:c>
      <x:c r="M77" s="25" t="b">
        <x:f>SUMIF('EEZ LME Pairs'!$A$2:$A$351,A77,'EEZ LME Pairs'!$L$2:$L$351)&gt;0</x:f>
        <x:v>0</x:v>
      </x:c>
      <x:c r="N77" s="25" t="b">
        <x:f>SUMIF('EEZ LME Pairs'!$A$2:$A$351,A77,'EEZ LME Pairs'!$M$2:$M$351)&gt;0</x:f>
        <x:v>0</x:v>
      </x:c>
      <x:c r="O77" s="25" t="str"/>
      <x:c r="P77" s="25" t="str"/>
      <x:c r="Q77" s="25" t="str"/>
      <x:c r="R77" s="35" t="n">
        <x:v>0</x:v>
      </x:c>
      <x:c r="S77" s="34" t="n">
        <x:v>0.6613777810996865</x:v>
      </x:c>
      <x:c r="T77" s="33" t="n">
        <x:v>4.742027426293079</x:v>
      </x:c>
      <x:c r="U77" s="33" t="n">
        <x:v>0</x:v>
      </x:c>
    </x:row>
    <x:row r="78" ht="18" customHeight="1">
      <x:c r="A78" s="25" t="str">
        <x:v>EEZ_308</x:v>
      </x:c>
      <x:c r="B78" s="25" t="str">
        <x:v>EEZ_308</x:v>
      </x:c>
      <x:c r="C78" s="25" t="str">
        <x:v>Grenada</x:v>
      </x:c>
      <x:c r="D78" s="25" t="n">
        <x:v>308</x:v>
      </x:c>
      <x:c r="E78" s="32" t="n">
        <x:v>25686.23111047267</x:v>
      </x:c>
      <x:c r="F78" s="32" t="n">
        <x:v>25641.31259630884</x:v>
      </x:c>
      <x:c r="G78" s="34" t="n">
        <x:f>F78/E78</x:f>
        <x:v>0.9982512609977446</x:v>
      </x:c>
      <x:c r="H78" s="32" t="n">
        <x:v>0</x:v>
      </x:c>
      <x:c r="I78" s="34" t="n">
        <x:f>H78/E78</x:f>
        <x:v>0</x:v>
      </x:c>
      <x:c r="J78" s="32" t="n">
        <x:v>44.9185261414267</x:v>
      </x:c>
      <x:c r="K78" s="36" t="b">
        <x:v>0</x:v>
      </x:c>
      <x:c r="L78" s="25" t="b">
        <x:f>G78&lt;'Selection Rules'!$B$4</x:f>
        <x:v>0</x:v>
      </x:c>
      <x:c r="M78" s="25" t="b">
        <x:f>SUMIF('EEZ LME Pairs'!$A$2:$A$351,A78,'EEZ LME Pairs'!$L$2:$L$351)&gt;0</x:f>
        <x:v>0</x:v>
      </x:c>
      <x:c r="N78" s="25" t="b">
        <x:f>SUMIF('EEZ LME Pairs'!$A$2:$A$351,A78,'EEZ LME Pairs'!$M$2:$M$351)&gt;0</x:f>
        <x:v>0</x:v>
      </x:c>
      <x:c r="O78" s="25" t="str"/>
      <x:c r="P78" s="25" t="str"/>
      <x:c r="Q78" s="25" t="str"/>
      <x:c r="R78" s="35" t="n">
        <x:v>0</x:v>
      </x:c>
      <x:c r="S78" s="34" t="n">
        <x:v>0.007859221037074487</x:v>
      </x:c>
      <x:c r="T78" s="33" t="n">
        <x:v>0.007872988839722832</x:v>
      </x:c>
      <x:c r="U78" s="33" t="n">
        <x:v>0</x:v>
      </x:c>
    </x:row>
    <x:row r="79" ht="18" customHeight="1">
      <x:c r="A79" s="25" t="str">
        <x:v>EEZ_312</x:v>
      </x:c>
      <x:c r="B79" s="25" t="str">
        <x:v>EEZ_312</x:v>
      </x:c>
      <x:c r="C79" s="25" t="str">
        <x:v>Guadeloupe  (France)</x:v>
      </x:c>
      <x:c r="D79" s="25" t="n">
        <x:v>312</x:v>
      </x:c>
      <x:c r="E79" s="32" t="n">
        <x:v>90549.31835227297</x:v>
      </x:c>
      <x:c r="F79" s="32" t="n">
        <x:v>17904.528788659834</x:v>
      </x:c>
      <x:c r="G79" s="34" t="n">
        <x:f>F79/E79</x:f>
        <x:v>0.19773234204816512</x:v>
      </x:c>
      <x:c r="H79" s="32" t="n">
        <x:v>0.7683212665220748</x:v>
      </x:c>
      <x:c r="I79" s="34" t="n">
        <x:f>H79/E79</x:f>
        <x:v>0.00000848511375351274</x:v>
      </x:c>
      <x:c r="J79" s="32" t="n">
        <x:v>72644.02110015132</x:v>
      </x:c>
      <x:c r="K79" s="36" t="b">
        <x:v>0</x:v>
      </x:c>
      <x:c r="L79" s="25" t="b">
        <x:f>G79&lt;'Selection Rules'!$B$4</x:f>
        <x:v>0</x:v>
      </x:c>
      <x:c r="M79" s="25" t="b">
        <x:f>SUMIF('EEZ LME Pairs'!$A$2:$A$351,A79,'EEZ LME Pairs'!$L$2:$L$351)&gt;0</x:f>
        <x:v>0</x:v>
      </x:c>
      <x:c r="N79" s="25" t="b">
        <x:f>SUMIF('EEZ LME Pairs'!$A$2:$A$351,A79,'EEZ LME Pairs'!$M$2:$M$351)&gt;0</x:f>
        <x:v>0</x:v>
      </x:c>
      <x:c r="O79" s="25" t="str"/>
      <x:c r="P79" s="25" t="str"/>
      <x:c r="Q79" s="25" t="str"/>
      <x:c r="R79" s="35" t="n">
        <x:v>0</x:v>
      </x:c>
      <x:c r="S79" s="34" t="n">
        <x:v>0.005487848907352649</x:v>
      </x:c>
      <x:c r="T79" s="33" t="n">
        <x:v>0.0277539265984918</x:v>
      </x:c>
      <x:c r="U79" s="33" t="n">
        <x:v>0</x:v>
      </x:c>
    </x:row>
    <x:row r="80" ht="18" customHeight="1">
      <x:c r="A80" s="25" t="str">
        <x:v>EEZ_316</x:v>
      </x:c>
      <x:c r="B80" s="25" t="str">
        <x:v>EEZ_316</x:v>
      </x:c>
      <x:c r="C80" s="25" t="str">
        <x:v>Guam (USA)</x:v>
      </x:c>
      <x:c r="D80" s="25" t="n">
        <x:v>316</x:v>
      </x:c>
      <x:c r="E80" s="32" t="n">
        <x:v>207707.8662407343</x:v>
      </x:c>
      <x:c r="F80" s="32" t="n">
        <x:v>0</x:v>
      </x:c>
      <x:c r="G80" s="34" t="n">
        <x:f>F80/E80</x:f>
        <x:v>0</x:v>
      </x:c>
      <x:c r="H80" s="32" t="n">
        <x:v>0.1172857163018955</x:v>
      </x:c>
      <x:c r="I80" s="34" t="n">
        <x:f>H80/E80</x:f>
        <x:v>5.646667043700737e-7</x:v>
      </x:c>
      <x:c r="J80" s="32" t="n">
        <x:v>207707.74856101745</x:v>
      </x:c>
      <x:c r="K80" s="36" t="b">
        <x:v>0</x:v>
      </x:c>
      <x:c r="L80" s="25" t="b">
        <x:f>G80&lt;'Selection Rules'!$B$4</x:f>
        <x:v>1</x:v>
      </x:c>
      <x:c r="M80" s="25" t="b">
        <x:f>SUMIF('EEZ LME Pairs'!$A$2:$A$351,A80,'EEZ LME Pairs'!$L$2:$L$351)&gt;0</x:f>
        <x:v>0</x:v>
      </x:c>
      <x:c r="N80" s="25" t="b">
        <x:f>SUMIF('EEZ LME Pairs'!$A$2:$A$351,A80,'EEZ LME Pairs'!$M$2:$M$351)&gt;0</x:f>
        <x:v>0</x:v>
      </x:c>
      <x:c r="O80" s="25" t="str"/>
      <x:c r="P80" s="25" t="str"/>
      <x:c r="Q80" s="25" t="str"/>
      <x:c r="R80" s="35" t="n">
        <x:v>0</x:v>
      </x:c>
      <x:c r="S80" s="34" t="n">
        <x:v>0</x:v>
      </x:c>
      <x:c r="T80" s="33" t="n">
        <x:v>0</x:v>
      </x:c>
      <x:c r="U80" s="33" t="n">
        <x:v>0</x:v>
      </x:c>
    </x:row>
    <x:row r="81" ht="18" customHeight="1">
      <x:c r="A81" s="25" t="str">
        <x:v>EEZ_324</x:v>
      </x:c>
      <x:c r="B81" s="25" t="str">
        <x:v>EEZ_324</x:v>
      </x:c>
      <x:c r="C81" s="25" t="str">
        <x:v>Guinea</x:v>
      </x:c>
      <x:c r="D81" s="25" t="n">
        <x:v>324</x:v>
      </x:c>
      <x:c r="E81" s="32" t="n">
        <x:v>101986.56743171386</x:v>
      </x:c>
      <x:c r="F81" s="32" t="n">
        <x:v>101457.45133847129</x:v>
      </x:c>
      <x:c r="G81" s="34" t="n">
        <x:f>F81/E81</x:f>
        <x:v>0.9948119040912241</x:v>
      </x:c>
      <x:c r="H81" s="32" t="n">
        <x:v>0</x:v>
      </x:c>
      <x:c r="I81" s="34" t="n">
        <x:f>H81/E81</x:f>
        <x:v>0</x:v>
      </x:c>
      <x:c r="J81" s="32" t="n">
        <x:v>529.1163149614665</x:v>
      </x:c>
      <x:c r="K81" s="36" t="b">
        <x:v>1</x:v>
      </x:c>
      <x:c r="L81" s="25" t="b">
        <x:f>G81&lt;'Selection Rules'!$B$4</x:f>
        <x:v>0</x:v>
      </x:c>
      <x:c r="M81" s="25" t="b">
        <x:f>SUMIF('EEZ LME Pairs'!$A$2:$A$351,A81,'EEZ LME Pairs'!$L$2:$L$351)&gt;0</x:f>
        <x:v>0</x:v>
      </x:c>
      <x:c r="N81" s="25" t="b">
        <x:f>SUMIF('EEZ LME Pairs'!$A$2:$A$351,A81,'EEZ LME Pairs'!$M$2:$M$351)&gt;0</x:f>
        <x:v>0</x:v>
      </x:c>
      <x:c r="O81" s="25" t="str"/>
      <x:c r="P81" s="25" t="str"/>
      <x:c r="Q81" s="25" t="str"/>
      <x:c r="R81" s="35" t="n">
        <x:v>0</x:v>
      </x:c>
      <x:c r="S81" s="34" t="n">
        <x:v>0.05287848616172543</x:v>
      </x:c>
      <x:c r="T81" s="33" t="n">
        <x:v>0.053154255537413105</x:v>
      </x:c>
      <x:c r="U81" s="33" t="n">
        <x:v>0</x:v>
      </x:c>
    </x:row>
    <x:row r="82" ht="18" customHeight="1">
      <x:c r="A82" s="25" t="str">
        <x:v>EEZ_328</x:v>
      </x:c>
      <x:c r="B82" s="25" t="str">
        <x:v>EEZ_328</x:v>
      </x:c>
      <x:c r="C82" s="25" t="str">
        <x:v>Guyana</x:v>
      </x:c>
      <x:c r="D82" s="25" t="n">
        <x:v>328</x:v>
      </x:c>
      <x:c r="E82" s="32" t="n">
        <x:v>138655.59958907196</x:v>
      </x:c>
      <x:c r="F82" s="32" t="n">
        <x:v>138133.96332562107</x:v>
      </x:c>
      <x:c r="G82" s="34" t="n">
        <x:f>F82/E82</x:f>
        <x:v>0.9962378997675041</x:v>
      </x:c>
      <x:c r="H82" s="32" t="n">
        <x:v>287.88176981083217</x:v>
      </x:c>
      <x:c r="I82" s="34" t="n">
        <x:f>H82/E82</x:f>
        <x:v>0.002076236161136051</x:v>
      </x:c>
      <x:c r="J82" s="32" t="n">
        <x:v>521.6363677376065</x:v>
      </x:c>
      <x:c r="K82" s="36" t="b">
        <x:v>1</x:v>
      </x:c>
      <x:c r="L82" s="25" t="b">
        <x:f>G82&lt;'Selection Rules'!$B$4</x:f>
        <x:v>0</x:v>
      </x:c>
      <x:c r="M82" s="25" t="b">
        <x:f>SUMIF('EEZ LME Pairs'!$A$2:$A$351,A82,'EEZ LME Pairs'!$L$2:$L$351)&gt;0</x:f>
        <x:v>0</x:v>
      </x:c>
      <x:c r="N82" s="25" t="b">
        <x:f>SUMIF('EEZ LME Pairs'!$A$2:$A$351,A82,'EEZ LME Pairs'!$M$2:$M$351)&gt;0</x:f>
        <x:v>0</x:v>
      </x:c>
      <x:c r="O82" s="25" t="str"/>
      <x:c r="P82" s="25" t="str"/>
      <x:c r="Q82" s="25" t="str"/>
      <x:c r="R82" s="35" t="n">
        <x:v>0</x:v>
      </x:c>
      <x:c r="S82" s="34" t="n">
        <x:v>0.1309541681422867</x:v>
      </x:c>
      <x:c r="T82" s="33" t="n">
        <x:v>0.13144869129436648</x:v>
      </x:c>
      <x:c r="U82" s="33" t="n">
        <x:v>0</x:v>
      </x:c>
    </x:row>
    <x:row r="83" ht="18" customHeight="1">
      <x:c r="A83" s="25" t="str">
        <x:v>EEZ_332</x:v>
      </x:c>
      <x:c r="B83" s="25" t="str">
        <x:v>EEZ_332</x:v>
      </x:c>
      <x:c r="C83" s="25" t="str">
        <x:v>Haiti</x:v>
      </x:c>
      <x:c r="D83" s="25" t="n">
        <x:v>332</x:v>
      </x:c>
      <x:c r="E83" s="32" t="n">
        <x:v>117475.29404810692</x:v>
      </x:c>
      <x:c r="F83" s="32" t="n">
        <x:v>117095.21354853609</x:v>
      </x:c>
      <x:c r="G83" s="34" t="n">
        <x:f>F83/E83</x:f>
        <x:v>0.9967645920561374</x:v>
      </x:c>
      <x:c r="H83" s="32" t="n">
        <x:v>0</x:v>
      </x:c>
      <x:c r="I83" s="34" t="n">
        <x:f>H83/E83</x:f>
        <x:v>0</x:v>
      </x:c>
      <x:c r="J83" s="32" t="n">
        <x:v>380.08078622799434</x:v>
      </x:c>
      <x:c r="K83" s="36" t="b">
        <x:v>0</x:v>
      </x:c>
      <x:c r="L83" s="25" t="b">
        <x:f>G83&lt;'Selection Rules'!$B$4</x:f>
        <x:v>0</x:v>
      </x:c>
      <x:c r="M83" s="25" t="b">
        <x:f>SUMIF('EEZ LME Pairs'!$A$2:$A$351,A83,'EEZ LME Pairs'!$L$2:$L$351)&gt;0</x:f>
        <x:v>0</x:v>
      </x:c>
      <x:c r="N83" s="25" t="b">
        <x:f>SUMIF('EEZ LME Pairs'!$A$2:$A$351,A83,'EEZ LME Pairs'!$M$2:$M$351)&gt;0</x:f>
        <x:v>0</x:v>
      </x:c>
      <x:c r="O83" s="25" t="str"/>
      <x:c r="P83" s="25" t="str"/>
      <x:c r="Q83" s="25" t="str"/>
      <x:c r="R83" s="35" t="n">
        <x:v>0</x:v>
      </x:c>
      <x:c r="S83" s="34" t="n">
        <x:v>0.03589040780205073</x:v>
      </x:c>
      <x:c r="T83" s="33" t="n">
        <x:v>0.03600690482796503</x:v>
      </x:c>
      <x:c r="U83" s="33" t="n">
        <x:v>0</x:v>
      </x:c>
    </x:row>
    <x:row r="84" ht="18" customHeight="1">
      <x:c r="A84" s="25" t="str">
        <x:v>EEZ_334</x:v>
      </x:c>
      <x:c r="B84" s="25" t="str">
        <x:v>EEZ_334</x:v>
      </x:c>
      <x:c r="C84" s="25" t="str">
        <x:v>Heard &amp; McDonald Isl. (Australia)</x:v>
      </x:c>
      <x:c r="D84" s="25" t="n">
        <x:v>334</x:v>
      </x:c>
      <x:c r="E84" s="32" t="n">
        <x:v>416044.35401642794</x:v>
      </x:c>
      <x:c r="F84" s="32" t="n">
        <x:v>0</x:v>
      </x:c>
      <x:c r="G84" s="34" t="n">
        <x:f>F84/E84</x:f>
        <x:v>0</x:v>
      </x:c>
      <x:c r="H84" s="32" t="n">
        <x:v>566.7679177314639</x:v>
      </x:c>
      <x:c r="I84" s="34" t="n">
        <x:f>H84/E84</x:f>
        <x:v>0.0013622776328051898</x:v>
      </x:c>
      <x:c r="J84" s="32" t="n">
        <x:v>415477.5898400843</x:v>
      </x:c>
      <x:c r="K84" s="36" t="b">
        <x:v>0</x:v>
      </x:c>
      <x:c r="L84" s="25" t="b">
        <x:f>G84&lt;'Selection Rules'!$B$4</x:f>
        <x:v>1</x:v>
      </x:c>
      <x:c r="M84" s="25" t="b">
        <x:f>SUMIF('EEZ LME Pairs'!$A$2:$A$351,A84,'EEZ LME Pairs'!$L$2:$L$351)&gt;0</x:f>
        <x:v>0</x:v>
      </x:c>
      <x:c r="N84" s="25" t="b">
        <x:f>SUMIF('EEZ LME Pairs'!$A$2:$A$351,A84,'EEZ LME Pairs'!$M$2:$M$351)&gt;0</x:f>
        <x:v>0</x:v>
      </x:c>
      <x:c r="O84" s="25" t="str"/>
      <x:c r="P84" s="25" t="str"/>
      <x:c r="Q84" s="25" t="str"/>
      <x:c r="R84" s="35" t="n">
        <x:v>0</x:v>
      </x:c>
      <x:c r="S84" s="34" t="n">
        <x:v>0</x:v>
      </x:c>
      <x:c r="T84" s="33" t="n">
        <x:v>0</x:v>
      </x:c>
      <x:c r="U84" s="33" t="n">
        <x:v>0</x:v>
      </x:c>
    </x:row>
    <x:row r="85" ht="18" customHeight="1">
      <x:c r="A85" s="25" t="str">
        <x:v>EEZ_344</x:v>
      </x:c>
      <x:c r="B85" s="25" t="str">
        <x:v>EEZ_344</x:v>
      </x:c>
      <x:c r="C85" s="25" t="str">
        <x:v>Hong Kong (China)</x:v>
      </x:c>
      <x:c r="D85" s="25" t="n">
        <x:v>344</x:v>
      </x:c>
      <x:c r="E85" s="32" t="n">
        <x:v>2062.218966103303</x:v>
      </x:c>
      <x:c r="F85" s="32" t="n">
        <x:v>1907.387235383704</x:v>
      </x:c>
      <x:c r="G85" s="34" t="n">
        <x:f>F85/E85</x:f>
        <x:v>0.9249198396171461</x:v>
      </x:c>
      <x:c r="H85" s="32" t="n">
        <x:v>0</x:v>
      </x:c>
      <x:c r="I85" s="34" t="n">
        <x:f>H85/E85</x:f>
        <x:v>0</x:v>
      </x:c>
      <x:c r="J85" s="32" t="n">
        <x:v>154.83178073175017</x:v>
      </x:c>
      <x:c r="K85" s="36" t="b">
        <x:v>1</x:v>
      </x:c>
      <x:c r="L85" s="25" t="b">
        <x:f>G85&lt;'Selection Rules'!$B$4</x:f>
        <x:v>0</x:v>
      </x:c>
      <x:c r="M85" s="25" t="b">
        <x:f>SUMIF('EEZ LME Pairs'!$A$2:$A$351,A85,'EEZ LME Pairs'!$L$2:$L$351)&gt;0</x:f>
        <x:v>0</x:v>
      </x:c>
      <x:c r="N85" s="25" t="b">
        <x:f>SUMIF('EEZ LME Pairs'!$A$2:$A$351,A85,'EEZ LME Pairs'!$M$2:$M$351)&gt;0</x:f>
        <x:v>0</x:v>
      </x:c>
      <x:c r="O85" s="25" t="str"/>
      <x:c r="P85" s="25" t="str"/>
      <x:c r="Q85" s="25" t="str"/>
      <x:c r="R85" s="35" t="n">
        <x:v>0</x:v>
      </x:c>
      <x:c r="S85" s="34" t="n">
        <x:v>0.0006026835010187647</x:v>
      </x:c>
      <x:c r="T85" s="33" t="n">
        <x:v>0.0006516061989417749</x:v>
      </x:c>
      <x:c r="U85" s="33" t="n">
        <x:v>0</x:v>
      </x:c>
    </x:row>
    <x:row r="86" ht="18" customHeight="1">
      <x:c r="A86" s="25" t="str">
        <x:v>EEZ_352</x:v>
      </x:c>
      <x:c r="B86" s="25" t="str">
        <x:v>EEZ_352</x:v>
      </x:c>
      <x:c r="C86" s="25" t="str">
        <x:v>Iceland</x:v>
      </x:c>
      <x:c r="D86" s="25" t="n">
        <x:v>352</x:v>
      </x:c>
      <x:c r="E86" s="32" t="n">
        <x:v>795723.2675435634</x:v>
      </x:c>
      <x:c r="F86" s="32" t="n">
        <x:v>489401.7118933019</x:v>
      </x:c>
      <x:c r="G86" s="34" t="n">
        <x:f>F86/E86</x:f>
        <x:v>0.6150400922724164</x:v>
      </x:c>
      <x:c r="H86" s="32" t="n">
        <x:v>89.20667100173651</x:v>
      </x:c>
      <x:c r="I86" s="34" t="n">
        <x:f>H86/E86</x:f>
        <x:v>0.00011210765682034391</x:v>
      </x:c>
      <x:c r="J86" s="32" t="n">
        <x:v>306321.55311280454</x:v>
      </x:c>
      <x:c r="K86" s="36" t="b">
        <x:v>1</x:v>
      </x:c>
      <x:c r="L86" s="25" t="b">
        <x:f>G86&lt;'Selection Rules'!$B$4</x:f>
        <x:v>0</x:v>
      </x:c>
      <x:c r="M86" s="25" t="b">
        <x:f>SUMIF('EEZ LME Pairs'!$A$2:$A$351,A86,'EEZ LME Pairs'!$L$2:$L$351)&gt;0</x:f>
        <x:v>0</x:v>
      </x:c>
      <x:c r="N86" s="25" t="b">
        <x:f>SUMIF('EEZ LME Pairs'!$A$2:$A$351,A86,'EEZ LME Pairs'!$M$2:$M$351)&gt;0</x:f>
        <x:v>0</x:v>
      </x:c>
      <x:c r="O86" s="25" t="str"/>
      <x:c r="P86" s="25" t="str"/>
      <x:c r="Q86" s="25" t="str"/>
      <x:c r="R86" s="35" t="n">
        <x:v>0</x:v>
      </x:c>
      <x:c r="S86" s="34" t="n">
        <x:v>0.8485076642727684</x:v>
      </x:c>
      <x:c r="T86" s="33" t="n">
        <x:v>1.6550426627659869</x:v>
      </x:c>
      <x:c r="U86" s="33" t="n">
        <x:v>0</x:v>
      </x:c>
    </x:row>
    <x:row r="87" ht="18" customHeight="1">
      <x:c r="A87" s="25" t="str">
        <x:v>EEZ_356</x:v>
      </x:c>
      <x:c r="B87" s="25" t="str">
        <x:v>EEZ_356</x:v>
      </x:c>
      <x:c r="C87" s="25" t="str">
        <x:v>India (mainland)</x:v>
      </x:c>
      <x:c r="D87" s="25" t="n">
        <x:v>356</x:v>
      </x:c>
      <x:c r="E87" s="32" t="n">
        <x:v>1655050.8316858804</x:v>
      </x:c>
      <x:c r="F87" s="32" t="n">
        <x:v>1631805.7945526564</x:v>
      </x:c>
      <x:c r="G87" s="34" t="n">
        <x:f>F87/E87</x:f>
        <x:v>0.9859550917179105</x:v>
      </x:c>
      <x:c r="H87" s="32" t="n">
        <x:v>364.1441344917492</x:v>
      </x:c>
      <x:c r="I87" s="34" t="n">
        <x:f>H87/E87</x:f>
        <x:v>0.00022001990967299894</x:v>
      </x:c>
      <x:c r="J87" s="32" t="n">
        <x:v>23245.04416172081</x:v>
      </x:c>
      <x:c r="K87" s="36" t="b">
        <x:v>1</x:v>
      </x:c>
      <x:c r="L87" s="25" t="b">
        <x:f>G87&lt;'Selection Rules'!$B$4</x:f>
        <x:v>0</x:v>
      </x:c>
      <x:c r="M87" s="25" t="b">
        <x:f>SUMIF('EEZ LME Pairs'!$A$2:$A$351,A87,'EEZ LME Pairs'!$L$2:$L$351)&gt;0</x:f>
        <x:v>0</x:v>
      </x:c>
      <x:c r="N87" s="25" t="b">
        <x:f>SUMIF('EEZ LME Pairs'!$A$2:$A$351,A87,'EEZ LME Pairs'!$M$2:$M$351)&gt;0</x:f>
        <x:v>0</x:v>
      </x:c>
      <x:c r="O87" s="25" t="str"/>
      <x:c r="P87" s="25" t="str"/>
      <x:c r="Q87" s="25" t="str"/>
      <x:c r="R87" s="35" t="n">
        <x:v>0</x:v>
      </x:c>
      <x:c r="S87" s="34" t="n">
        <x:v>0.2669570887315023</x:v>
      </x:c>
      <x:c r="T87" s="33" t="n">
        <x:v>0.45163707900425987</x:v>
      </x:c>
      <x:c r="U87" s="33" t="n">
        <x:v>0</x:v>
      </x:c>
    </x:row>
    <x:row r="88" ht="18" customHeight="1">
      <x:c r="A88" s="25" t="str">
        <x:v>EEZ_357</x:v>
      </x:c>
      <x:c r="B88" s="25" t="str">
        <x:v>EEZ_357</x:v>
      </x:c>
      <x:c r="C88" s="25" t="str">
        <x:v>Andaman &amp; Nicobar Isl. (India)</x:v>
      </x:c>
      <x:c r="D88" s="25" t="n">
        <x:v>357</x:v>
      </x:c>
      <x:c r="E88" s="32" t="n">
        <x:v>660062.0566406576</x:v>
      </x:c>
      <x:c r="F88" s="32" t="n">
        <x:v>659199.2647798238</x:v>
      </x:c>
      <x:c r="G88" s="34" t="n">
        <x:f>F88/E88</x:f>
        <x:v>0.9986928625086785</x:v>
      </x:c>
      <x:c r="H88" s="32" t="n">
        <x:v>97.41777780195102</x:v>
      </x:c>
      <x:c r="I88" s="34" t="n">
        <x:f>H88/E88</x:f>
        <x:v>0.00014758881656938802</x:v>
      </x:c>
      <x:c r="J88" s="32" t="n">
        <x:v>862.7921438613998</x:v>
      </x:c>
      <x:c r="K88" s="36" t="b">
        <x:v>1</x:v>
      </x:c>
      <x:c r="L88" s="25" t="b">
        <x:f>G88&lt;'Selection Rules'!$B$4</x:f>
        <x:v>0</x:v>
      </x:c>
      <x:c r="M88" s="25" t="b">
        <x:f>SUMIF('EEZ LME Pairs'!$A$2:$A$351,A88,'EEZ LME Pairs'!$L$2:$L$351)&gt;0</x:f>
        <x:v>0</x:v>
      </x:c>
      <x:c r="N88" s="25" t="b">
        <x:f>SUMIF('EEZ LME Pairs'!$A$2:$A$351,A88,'EEZ LME Pairs'!$M$2:$M$351)&gt;0</x:f>
        <x:v>0</x:v>
      </x:c>
      <x:c r="O88" s="25" t="str"/>
      <x:c r="P88" s="25" t="str"/>
      <x:c r="Q88" s="25" t="str"/>
      <x:c r="R88" s="35" t="n">
        <x:v>0</x:v>
      </x:c>
      <x:c r="S88" s="34" t="n">
        <x:v>0.17988500699017848</x:v>
      </x:c>
      <x:c r="T88" s="33" t="n">
        <x:v>0.18012044918225828</x:v>
      </x:c>
      <x:c r="U88" s="33" t="n">
        <x:v>0</x:v>
      </x:c>
    </x:row>
    <x:row r="89" ht="18" customHeight="1">
      <x:c r="A89" s="25" t="str">
        <x:v>EEZ_361</x:v>
      </x:c>
      <x:c r="B89" s="25" t="str">
        <x:v>EEZ_361</x:v>
      </x:c>
      <x:c r="C89" s="25" t="str">
        <x:v>Indonesia (Eastern)</x:v>
      </x:c>
      <x:c r="D89" s="25" t="n">
        <x:v>361</x:v>
      </x:c>
      <x:c r="E89" s="32" t="n">
        <x:v>3605063.517602203</x:v>
      </x:c>
      <x:c r="F89" s="32" t="n">
        <x:v>2169628.0792906564</x:v>
      </x:c>
      <x:c r="G89" s="34" t="n">
        <x:f>F89/E89</x:f>
        <x:v>0.6018279757616358</x:v>
      </x:c>
      <x:c r="H89" s="32" t="n">
        <x:v>147.57774005345965</x:v>
      </x:c>
      <x:c r="I89" s="34" t="n">
        <x:f>H89/E89</x:f>
        <x:v>0.00004093623852475599</x:v>
      </x:c>
      <x:c r="J89" s="32" t="n">
        <x:v>1435287.862371355</x:v>
      </x:c>
      <x:c r="K89" s="36" t="b">
        <x:v>1</x:v>
      </x:c>
      <x:c r="L89" s="25" t="b">
        <x:f>G89&lt;'Selection Rules'!$B$4</x:f>
        <x:v>0</x:v>
      </x:c>
      <x:c r="M89" s="25" t="b">
        <x:f>SUMIF('EEZ LME Pairs'!$A$2:$A$351,A89,'EEZ LME Pairs'!$L$2:$L$351)&gt;0</x:f>
        <x:v>0</x:v>
      </x:c>
      <x:c r="N89" s="25" t="b">
        <x:f>SUMIF('EEZ LME Pairs'!$A$2:$A$351,A89,'EEZ LME Pairs'!$M$2:$M$351)&gt;0</x:f>
        <x:v>0</x:v>
      </x:c>
      <x:c r="O89" s="25" t="str"/>
      <x:c r="P89" s="25" t="str"/>
      <x:c r="Q89" s="25" t="str"/>
      <x:c r="R89" s="35" t="n">
        <x:v>0</x:v>
      </x:c>
      <x:c r="S89" s="34" t="n">
        <x:v>0.7817480644417429</x:v>
      </x:c>
      <x:c r="T89" s="33" t="n">
        <x:v>4.626421127814643</x:v>
      </x:c>
      <x:c r="U89" s="33" t="n">
        <x:v>0</x:v>
      </x:c>
    </x:row>
    <x:row r="90" ht="18" customHeight="1">
      <x:c r="A90" s="25" t="str">
        <x:v>EEZ_368</x:v>
      </x:c>
      <x:c r="B90" s="25" t="str">
        <x:v>EEZ_368</x:v>
      </x:c>
      <x:c r="C90" s="25" t="str">
        <x:v>Iraq</x:v>
      </x:c>
      <x:c r="D90" s="25" t="n">
        <x:v>368</x:v>
      </x:c>
      <x:c r="E90" s="32" t="n">
        <x:v>1139.5025804027696</x:v>
      </x:c>
      <x:c r="F90" s="32" t="n">
        <x:v>1130.017865152761</x:v>
      </x:c>
      <x:c r="G90" s="34" t="n">
        <x:f>F90/E90</x:f>
        <x:v>0.9916764424994491</x:v>
      </x:c>
      <x:c r="H90" s="32" t="n">
        <x:v>0</x:v>
      </x:c>
      <x:c r="I90" s="34" t="n">
        <x:f>H90/E90</x:f>
        <x:v>0</x:v>
      </x:c>
      <x:c r="J90" s="32" t="n">
        <x:v>9.485096200500498</x:v>
      </x:c>
      <x:c r="K90" s="36" t="b">
        <x:v>0</x:v>
      </x:c>
      <x:c r="L90" s="25" t="b">
        <x:f>G90&lt;'Selection Rules'!$B$4</x:f>
        <x:v>0</x:v>
      </x:c>
      <x:c r="M90" s="25" t="b">
        <x:f>SUMIF('EEZ LME Pairs'!$A$2:$A$351,A90,'EEZ LME Pairs'!$L$2:$L$351)&gt;0</x:f>
        <x:v>0</x:v>
      </x:c>
      <x:c r="N90" s="25" t="b">
        <x:f>SUMIF('EEZ LME Pairs'!$A$2:$A$351,A90,'EEZ LME Pairs'!$M$2:$M$351)&gt;0</x:f>
        <x:v>0</x:v>
      </x:c>
      <x:c r="O90" s="25" t="str"/>
      <x:c r="P90" s="25" t="str"/>
      <x:c r="Q90" s="25" t="str"/>
      <x:c r="R90" s="35" t="n">
        <x:v>0</x:v>
      </x:c>
      <x:c r="S90" s="34" t="n">
        <x:v>0.0002873972533006795</x:v>
      </x:c>
      <x:c r="T90" s="33" t="n">
        <x:v>0.0002898094993325801</x:v>
      </x:c>
      <x:c r="U90" s="33" t="n">
        <x:v>0</x:v>
      </x:c>
    </x:row>
    <x:row r="91" ht="18" customHeight="1">
      <x:c r="A91" s="25" t="str">
        <x:v>EEZ_372</x:v>
      </x:c>
      <x:c r="B91" s="25" t="str">
        <x:v>EEZ_372</x:v>
      </x:c>
      <x:c r="C91" s="25" t="str">
        <x:v>Ireland</x:v>
      </x:c>
      <x:c r="D91" s="25" t="n">
        <x:v>372</x:v>
      </x:c>
      <x:c r="E91" s="32" t="n">
        <x:v>427981.0954464815</x:v>
      </x:c>
      <x:c r="F91" s="32" t="n">
        <x:v>291366.7216076104</x:v>
      </x:c>
      <x:c r="G91" s="34" t="n">
        <x:f>F91/E91</x:f>
        <x:v>0.6807934385598241</x:v>
      </x:c>
      <x:c r="H91" s="32" t="n">
        <x:v>81.00732657680865</x:v>
      </x:c>
      <x:c r="I91" s="34" t="n">
        <x:f>H91/E91</x:f>
        <x:v>0.00018927781492848327</x:v>
      </x:c>
      <x:c r="J91" s="32" t="n">
        <x:v>136536.44093634983</x:v>
      </x:c>
      <x:c r="K91" s="36" t="b">
        <x:v>1</x:v>
      </x:c>
      <x:c r="L91" s="25" t="b">
        <x:f>G91&lt;'Selection Rules'!$B$4</x:f>
        <x:v>0</x:v>
      </x:c>
      <x:c r="M91" s="25" t="b">
        <x:f>SUMIF('EEZ LME Pairs'!$A$2:$A$351,A91,'EEZ LME Pairs'!$L$2:$L$351)&gt;0</x:f>
        <x:v>0</x:v>
      </x:c>
      <x:c r="N91" s="25" t="b">
        <x:f>SUMIF('EEZ LME Pairs'!$A$2:$A$351,A91,'EEZ LME Pairs'!$M$2:$M$351)&gt;0</x:f>
        <x:v>0</x:v>
      </x:c>
      <x:c r="O91" s="25" t="str"/>
      <x:c r="P91" s="25" t="str"/>
      <x:c r="Q91" s="25" t="str"/>
      <x:c r="R91" s="35" t="n">
        <x:v>0</x:v>
      </x:c>
      <x:c r="S91" s="34" t="n">
        <x:v>0.38203963379000133</x:v>
      </x:c>
      <x:c r="T91" s="33" t="n">
        <x:v>0.5611682077873462</x:v>
      </x:c>
      <x:c r="U91" s="33" t="n">
        <x:v>0</x:v>
      </x:c>
    </x:row>
    <x:row r="92" ht="18" customHeight="1">
      <x:c r="A92" s="25" t="str">
        <x:v>EEZ_380</x:v>
      </x:c>
      <x:c r="B92" s="25" t="str">
        <x:v>EEZ_380</x:v>
      </x:c>
      <x:c r="C92" s="25" t="str">
        <x:v>Italy (mainland)</x:v>
      </x:c>
      <x:c r="D92" s="25" t="n">
        <x:v>380</x:v>
      </x:c>
      <x:c r="E92" s="32" t="n">
        <x:v>313880.6871942103</x:v>
      </x:c>
      <x:c r="F92" s="32" t="n">
        <x:v>312911.51465259824</x:v>
      </x:c>
      <x:c r="G92" s="34" t="n">
        <x:f>F92/E92</x:f>
        <x:v>0.9969122899842118</x:v>
      </x:c>
      <x:c r="H92" s="32" t="n">
        <x:v>0</x:v>
      </x:c>
      <x:c r="I92" s="34" t="n">
        <x:f>H92/E92</x:f>
        <x:v>0</x:v>
      </x:c>
      <x:c r="J92" s="32" t="n">
        <x:v>969.1708930325603</x:v>
      </x:c>
      <x:c r="K92" s="36" t="b">
        <x:v>1</x:v>
      </x:c>
      <x:c r="L92" s="25" t="b">
        <x:f>G92&lt;'Selection Rules'!$B$4</x:f>
        <x:v>0</x:v>
      </x:c>
      <x:c r="M92" s="25" t="b">
        <x:f>SUMIF('EEZ LME Pairs'!$A$2:$A$351,A92,'EEZ LME Pairs'!$L$2:$L$351)&gt;0</x:f>
        <x:v>0</x:v>
      </x:c>
      <x:c r="N92" s="25" t="b">
        <x:f>SUMIF('EEZ LME Pairs'!$A$2:$A$351,A92,'EEZ LME Pairs'!$M$2:$M$351)&gt;0</x:f>
        <x:v>0</x:v>
      </x:c>
      <x:c r="O92" s="25" t="str"/>
      <x:c r="P92" s="25" t="str"/>
      <x:c r="Q92" s="25" t="str"/>
      <x:c r="R92" s="35" t="n">
        <x:v>0</x:v>
      </x:c>
      <x:c r="S92" s="34" t="n">
        <x:v>0.12378802327751558</x:v>
      </x:c>
      <x:c r="T92" s="33" t="n">
        <x:v>0.12417142864140639</x:v>
      </x:c>
      <x:c r="U92" s="33" t="n">
        <x:v>0</x:v>
      </x:c>
    </x:row>
    <x:row r="93" ht="18" customHeight="1">
      <x:c r="A93" s="25" t="str">
        <x:v>EEZ_384</x:v>
      </x:c>
      <x:c r="B93" s="25" t="str">
        <x:v>EEZ_384</x:v>
      </x:c>
      <x:c r="C93" s="25" t="str">
        <x:v>Côte d'Ivoire</x:v>
      </x:c>
      <x:c r="D93" s="25" t="n">
        <x:v>384</x:v>
      </x:c>
      <x:c r="E93" s="32" t="n">
        <x:v>170058.23435710688</x:v>
      </x:c>
      <x:c r="F93" s="32" t="n">
        <x:v>168592.29301724624</x:v>
      </x:c>
      <x:c r="G93" s="34" t="n">
        <x:f>F93/E93</x:f>
        <x:v>0.9913797685516228</x:v>
      </x:c>
      <x:c r="H93" s="32" t="n">
        <x:v>79.17626453495753</x:v>
      </x:c>
      <x:c r="I93" s="34" t="n">
        <x:f>H93/E93</x:f>
        <x:v>0.0004655832446707317</x:v>
      </x:c>
      <x:c r="J93" s="32" t="n">
        <x:v>1386.7651705040957</x:v>
      </x:c>
      <x:c r="K93" s="36" t="b">
        <x:v>0</x:v>
      </x:c>
      <x:c r="L93" s="25" t="b">
        <x:f>G93&lt;'Selection Rules'!$B$4</x:f>
        <x:v>0</x:v>
      </x:c>
      <x:c r="M93" s="25" t="b">
        <x:f>SUMIF('EEZ LME Pairs'!$A$2:$A$351,A93,'EEZ LME Pairs'!$L$2:$L$351)&gt;0</x:f>
        <x:v>0</x:v>
      </x:c>
      <x:c r="N93" s="25" t="b">
        <x:f>SUMIF('EEZ LME Pairs'!$A$2:$A$351,A93,'EEZ LME Pairs'!$M$2:$M$351)&gt;0</x:f>
        <x:v>0</x:v>
      </x:c>
      <x:c r="O93" s="25" t="str"/>
      <x:c r="P93" s="25" t="str"/>
      <x:c r="Q93" s="25" t="str"/>
      <x:c r="R93" s="35" t="n">
        <x:v>0</x:v>
      </x:c>
      <x:c r="S93" s="34" t="n">
        <x:v>0.08786841297190759</x:v>
      </x:c>
      <x:c r="T93" s="33" t="n">
        <x:v>0.08863244516304868</x:v>
      </x:c>
      <x:c r="U93" s="33" t="n">
        <x:v>0</x:v>
      </x:c>
    </x:row>
    <x:row r="94" ht="18" customHeight="1">
      <x:c r="A94" s="25" t="str">
        <x:v>EEZ_388</x:v>
      </x:c>
      <x:c r="B94" s="25" t="str">
        <x:v>EEZ_388</x:v>
      </x:c>
      <x:c r="C94" s="25" t="str">
        <x:v>Jamaica</x:v>
      </x:c>
      <x:c r="D94" s="25" t="n">
        <x:v>388</x:v>
      </x:c>
      <x:c r="E94" s="32" t="n">
        <x:v>286012.3556760835</x:v>
      </x:c>
      <x:c r="F94" s="32" t="n">
        <x:v>285786.0072552433</x:v>
      </x:c>
      <x:c r="G94" s="34" t="n">
        <x:f>F94/E94</x:f>
        <x:v>0.9992086061446362</x:v>
      </x:c>
      <x:c r="H94" s="32" t="n">
        <x:v>0</x:v>
      </x:c>
      <x:c r="I94" s="34" t="n">
        <x:f>H94/E94</x:f>
        <x:v>0</x:v>
      </x:c>
      <x:c r="J94" s="32" t="n">
        <x:v>226.3489230919504</x:v>
      </x:c>
      <x:c r="K94" s="36" t="b">
        <x:v>0</x:v>
      </x:c>
      <x:c r="L94" s="25" t="b">
        <x:f>G94&lt;'Selection Rules'!$B$4</x:f>
        <x:v>0</x:v>
      </x:c>
      <x:c r="M94" s="25" t="b">
        <x:f>SUMIF('EEZ LME Pairs'!$A$2:$A$351,A94,'EEZ LME Pairs'!$L$2:$L$351)&gt;0</x:f>
        <x:v>0</x:v>
      </x:c>
      <x:c r="N94" s="25" t="b">
        <x:f>SUMIF('EEZ LME Pairs'!$A$2:$A$351,A94,'EEZ LME Pairs'!$M$2:$M$351)&gt;0</x:f>
        <x:v>0</x:v>
      </x:c>
      <x:c r="O94" s="25" t="str"/>
      <x:c r="P94" s="25" t="str"/>
      <x:c r="Q94" s="25" t="str"/>
      <x:c r="R94" s="35" t="n">
        <x:v>0</x:v>
      </x:c>
      <x:c r="S94" s="34" t="n">
        <x:v>0.08759518031246413</x:v>
      </x:c>
      <x:c r="T94" s="33" t="n">
        <x:v>0.08766455750460646</x:v>
      </x:c>
      <x:c r="U94" s="33" t="n">
        <x:v>0</x:v>
      </x:c>
    </x:row>
    <x:row r="95" ht="18" customHeight="1">
      <x:c r="A95" s="25" t="str">
        <x:v>EEZ_390</x:v>
      </x:c>
      <x:c r="B95" s="25" t="str">
        <x:v>EEZ_390</x:v>
      </x:c>
      <x:c r="C95" s="25" t="str">
        <x:v>Japan (main islands)</x:v>
      </x:c>
      <x:c r="D95" s="25" t="n">
        <x:v>390</x:v>
      </x:c>
      <x:c r="E95" s="32" t="n">
        <x:v>2583959.1756775146</x:v>
      </x:c>
      <x:c r="F95" s="32" t="n">
        <x:v>2276333.0392822586</x:v>
      </x:c>
      <x:c r="G95" s="34" t="n">
        <x:f>F95/E95</x:f>
        <x:v>0.8809477567250665</x:v>
      </x:c>
      <x:c r="H95" s="32" t="n">
        <x:v>898.503278910763</x:v>
      </x:c>
      <x:c r="I95" s="34" t="n">
        <x:f>H95/E95</x:f>
        <x:v>0.00034772348083834384</x:v>
      </x:c>
      <x:c r="J95" s="32" t="n">
        <x:v>306742.26939942193</x:v>
      </x:c>
      <x:c r="K95" s="36" t="b">
        <x:v>1</x:v>
      </x:c>
      <x:c r="L95" s="25" t="b">
        <x:f>G95&lt;'Selection Rules'!$B$4</x:f>
        <x:v>0</x:v>
      </x:c>
      <x:c r="M95" s="25" t="b">
        <x:f>SUMIF('EEZ LME Pairs'!$A$2:$A$351,A95,'EEZ LME Pairs'!$L$2:$L$351)&gt;0</x:f>
        <x:v>0</x:v>
      </x:c>
      <x:c r="N95" s="25" t="b">
        <x:f>SUMIF('EEZ LME Pairs'!$A$2:$A$351,A95,'EEZ LME Pairs'!$M$2:$M$351)&gt;0</x:f>
        <x:v>0</x:v>
      </x:c>
      <x:c r="O95" s="25" t="str"/>
      <x:c r="P95" s="25" t="str"/>
      <x:c r="Q95" s="25" t="str"/>
      <x:c r="R95" s="35" t="n">
        <x:v>0</x:v>
      </x:c>
      <x:c r="S95" s="34" t="n">
        <x:v>0.8339153026592265</x:v>
      </x:c>
      <x:c r="T95" s="33" t="n">
        <x:v>4.835883253262839</x:v>
      </x:c>
      <x:c r="U95" s="33" t="n">
        <x:v>0</x:v>
      </x:c>
    </x:row>
    <x:row r="96" ht="18" customHeight="1">
      <x:c r="A96" s="25" t="str">
        <x:v>EEZ_393</x:v>
      </x:c>
      <x:c r="B96" s="25" t="str">
        <x:v>EEZ_393</x:v>
      </x:c>
      <x:c r="C96" s="25" t="str">
        <x:v>Japan (Daito Islands)</x:v>
      </x:c>
      <x:c r="D96" s="25" t="n">
        <x:v>393</x:v>
      </x:c>
      <x:c r="E96" s="32" t="n">
        <x:v>792374.5938506415</x:v>
      </x:c>
      <x:c r="F96" s="32" t="n">
        <x:v>124632.03750151751</x:v>
      </x:c>
      <x:c r="G96" s="34" t="n">
        <x:f>F96/E96</x:f>
        <x:v>0.15728929027854469</x:v>
      </x:c>
      <x:c r="H96" s="32" t="n">
        <x:v>7.364223333084343</x:v>
      </x:c>
      <x:c r="I96" s="34" t="n">
        <x:f>H96/E96</x:f>
        <x:v>0.000009293866045473514</x:v>
      </x:c>
      <x:c r="J96" s="32" t="n">
        <x:v>667735.1917574422</x:v>
      </x:c>
      <x:c r="K96" s="36" t="b">
        <x:v>0</x:v>
      </x:c>
      <x:c r="L96" s="25" t="b">
        <x:f>G96&lt;'Selection Rules'!$B$4</x:f>
        <x:v>0</x:v>
      </x:c>
      <x:c r="M96" s="25" t="b">
        <x:f>SUMIF('EEZ LME Pairs'!$A$2:$A$351,A96,'EEZ LME Pairs'!$L$2:$L$351)&gt;0</x:f>
        <x:v>0</x:v>
      </x:c>
      <x:c r="N96" s="25" t="b">
        <x:f>SUMIF('EEZ LME Pairs'!$A$2:$A$351,A96,'EEZ LME Pairs'!$M$2:$M$351)&gt;0</x:f>
        <x:v>0</x:v>
      </x:c>
      <x:c r="O96" s="25" t="str"/>
      <x:c r="P96" s="25" t="str"/>
      <x:c r="Q96" s="25" t="str"/>
      <x:c r="R96" s="35" t="n">
        <x:v>0</x:v>
      </x:c>
      <x:c r="S96" s="34" t="n">
        <x:v>0.09436675071902183</x:v>
      </x:c>
      <x:c r="T96" s="33" t="n">
        <x:v>0.5999566184824605</x:v>
      </x:c>
      <x:c r="U96" s="33" t="n">
        <x:v>0</x:v>
      </x:c>
    </x:row>
    <x:row r="97" ht="18" customHeight="1">
      <x:c r="A97" s="25" t="str">
        <x:v>EEZ_396</x:v>
      </x:c>
      <x:c r="B97" s="25" t="str">
        <x:v>EEZ_396</x:v>
      </x:c>
      <x:c r="C97" s="25" t="str">
        <x:v>Johnston Atoll (USA)</x:v>
      </x:c>
      <x:c r="D97" s="25" t="n">
        <x:v>396</x:v>
      </x:c>
      <x:c r="E97" s="32" t="n">
        <x:v>439835.5026033457</x:v>
      </x:c>
      <x:c r="F97" s="32" t="n">
        <x:v>0</x:v>
      </x:c>
      <x:c r="G97" s="34" t="n">
        <x:f>F97/E97</x:f>
        <x:v>0</x:v>
      </x:c>
      <x:c r="H97" s="32" t="n">
        <x:v>681.7717533566583</x:v>
      </x:c>
      <x:c r="I97" s="34" t="n">
        <x:f>H97/E97</x:f>
        <x:v>0.0015500607598097796</x:v>
      </x:c>
      <x:c r="J97" s="32" t="n">
        <x:v>439153.7321172923</x:v>
      </x:c>
      <x:c r="K97" s="36" t="b">
        <x:v>0</x:v>
      </x:c>
      <x:c r="L97" s="25" t="b">
        <x:f>G97&lt;'Selection Rules'!$B$4</x:f>
        <x:v>1</x:v>
      </x:c>
      <x:c r="M97" s="25" t="b">
        <x:f>SUMIF('EEZ LME Pairs'!$A$2:$A$351,A97,'EEZ LME Pairs'!$L$2:$L$351)&gt;0</x:f>
        <x:v>0</x:v>
      </x:c>
      <x:c r="N97" s="25" t="b">
        <x:f>SUMIF('EEZ LME Pairs'!$A$2:$A$351,A97,'EEZ LME Pairs'!$M$2:$M$351)&gt;0</x:f>
        <x:v>0</x:v>
      </x:c>
      <x:c r="O97" s="25" t="str"/>
      <x:c r="P97" s="25" t="str"/>
      <x:c r="Q97" s="25" t="str"/>
      <x:c r="R97" s="35" t="n">
        <x:v>0</x:v>
      </x:c>
      <x:c r="S97" s="34" t="n">
        <x:v>0</x:v>
      </x:c>
      <x:c r="T97" s="33" t="n">
        <x:v>0</x:v>
      </x:c>
      <x:c r="U97" s="33" t="n">
        <x:v>0</x:v>
      </x:c>
    </x:row>
    <x:row r="98" ht="18" customHeight="1">
      <x:c r="A98" s="25" t="str">
        <x:v>EEZ_400</x:v>
      </x:c>
      <x:c r="B98" s="25" t="str">
        <x:v>EEZ_400</x:v>
      </x:c>
      <x:c r="C98" s="25" t="str">
        <x:v>Jordan</x:v>
      </x:c>
      <x:c r="D98" s="25" t="n">
        <x:v>400</x:v>
      </x:c>
      <x:c r="E98" s="32" t="n">
        <x:v>100.52526667076052</x:v>
      </x:c>
      <x:c r="F98" s="32" t="n">
        <x:v>90.72956237777626</x:v>
      </x:c>
      <x:c r="G98" s="34" t="n">
        <x:f>F98/E98</x:f>
        <x:v>0.902554804205921</x:v>
      </x:c>
      <x:c r="H98" s="32" t="n">
        <x:v>0</x:v>
      </x:c>
      <x:c r="I98" s="34" t="n">
        <x:f>H98/E98</x:f>
        <x:v>0</x:v>
      </x:c>
      <x:c r="J98" s="32" t="n">
        <x:v>9.79570394451265</x:v>
      </x:c>
      <x:c r="K98" s="36" t="b">
        <x:v>0</x:v>
      </x:c>
      <x:c r="L98" s="25" t="b">
        <x:f>G98&lt;'Selection Rules'!$B$4</x:f>
        <x:v>0</x:v>
      </x:c>
      <x:c r="M98" s="25" t="b">
        <x:f>SUMIF('EEZ LME Pairs'!$A$2:$A$351,A98,'EEZ LME Pairs'!$L$2:$L$351)&gt;0</x:f>
        <x:v>0</x:v>
      </x:c>
      <x:c r="N98" s="25" t="b">
        <x:f>SUMIF('EEZ LME Pairs'!$A$2:$A$351,A98,'EEZ LME Pairs'!$M$2:$M$351)&gt;0</x:f>
        <x:v>0</x:v>
      </x:c>
      <x:c r="O98" s="25" t="str"/>
      <x:c r="P98" s="25" t="str"/>
      <x:c r="Q98" s="25" t="str"/>
      <x:c r="R98" s="35" t="n">
        <x:v>0</x:v>
      </x:c>
      <x:c r="S98" s="34" t="n">
        <x:v>0.0001968231044719513</x:v>
      </x:c>
      <x:c r="T98" s="33" t="n">
        <x:v>0.00021807329987581051</x:v>
      </x:c>
      <x:c r="U98" s="33" t="n">
        <x:v>0</x:v>
      </x:c>
    </x:row>
    <x:row r="99" ht="18" customHeight="1">
      <x:c r="A99" s="25" t="str">
        <x:v>EEZ_404</x:v>
      </x:c>
      <x:c r="B99" s="25" t="str">
        <x:v>EEZ_404</x:v>
      </x:c>
      <x:c r="C99" s="25" t="str">
        <x:v>Kenya</x:v>
      </x:c>
      <x:c r="D99" s="25" t="n">
        <x:v>404</x:v>
      </x:c>
      <x:c r="E99" s="32" t="n">
        <x:v>162847.01515204387</x:v>
      </x:c>
      <x:c r="F99" s="32" t="n">
        <x:v>152063.6119930169</x:v>
      </x:c>
      <x:c r="G99" s="34" t="n">
        <x:f>F99/E99</x:f>
        <x:v>0.9337820030108693</x:v>
      </x:c>
      <x:c r="H99" s="32" t="n">
        <x:v>128.7099490134313</x:v>
      </x:c>
      <x:c r="I99" s="34" t="n">
        <x:f>H99/E99</x:f>
        <x:v>0.0007903733998026299</x:v>
      </x:c>
      <x:c r="J99" s="32" t="n">
        <x:v>10654.6929004838</x:v>
      </x:c>
      <x:c r="K99" s="36" t="b">
        <x:v>1</x:v>
      </x:c>
      <x:c r="L99" s="25" t="b">
        <x:f>G99&lt;'Selection Rules'!$B$4</x:f>
        <x:v>0</x:v>
      </x:c>
      <x:c r="M99" s="25" t="b">
        <x:f>SUMIF('EEZ LME Pairs'!$A$2:$A$351,A99,'EEZ LME Pairs'!$L$2:$L$351)&gt;0</x:f>
        <x:v>0</x:v>
      </x:c>
      <x:c r="N99" s="25" t="b">
        <x:f>SUMIF('EEZ LME Pairs'!$A$2:$A$351,A99,'EEZ LME Pairs'!$M$2:$M$351)&gt;0</x:f>
        <x:v>0</x:v>
      </x:c>
      <x:c r="O99" s="25" t="str"/>
      <x:c r="P99" s="25" t="str"/>
      <x:c r="Q99" s="25" t="str"/>
      <x:c r="R99" s="35" t="n">
        <x:v>0</x:v>
      </x:c>
      <x:c r="S99" s="34" t="n">
        <x:v>0.18089005355437215</x:v>
      </x:c>
      <x:c r="T99" s="33" t="n">
        <x:v>0.19371764819959436</x:v>
      </x:c>
      <x:c r="U99" s="33" t="n">
        <x:v>0</x:v>
      </x:c>
    </x:row>
    <x:row r="100" ht="18" customHeight="1">
      <x:c r="A100" s="25" t="str">
        <x:v>EEZ_410</x:v>
      </x:c>
      <x:c r="B100" s="25" t="str">
        <x:v>EEZ_410</x:v>
      </x:c>
      <x:c r="C100" s="25" t="str">
        <x:v>Korea (South)</x:v>
      </x:c>
      <x:c r="D100" s="25" t="n">
        <x:v>410</x:v>
      </x:c>
      <x:c r="E100" s="32" t="n">
        <x:v>453741.2637617713</x:v>
      </x:c>
      <x:c r="F100" s="32" t="n">
        <x:v>452685.4525521006</x:v>
      </x:c>
      <x:c r="G100" s="34" t="n">
        <x:f>F100/E100</x:f>
        <x:v>0.9976730985387631</x:v>
      </x:c>
      <x:c r="H100" s="32" t="n">
        <x:v>0</x:v>
      </x:c>
      <x:c r="I100" s="34" t="n">
        <x:f>H100/E100</x:f>
        <x:v>0</x:v>
      </x:c>
      <x:c r="J100" s="32" t="n">
        <x:v>1055.8116276212172</x:v>
      </x:c>
      <x:c r="K100" s="36" t="b">
        <x:v>1</x:v>
      </x:c>
      <x:c r="L100" s="25" t="b">
        <x:f>G100&lt;'Selection Rules'!$B$4</x:f>
        <x:v>0</x:v>
      </x:c>
      <x:c r="M100" s="25" t="b">
        <x:f>SUMIF('EEZ LME Pairs'!$A$2:$A$351,A100,'EEZ LME Pairs'!$L$2:$L$351)&gt;0</x:f>
        <x:v>0</x:v>
      </x:c>
      <x:c r="N100" s="25" t="b">
        <x:f>SUMIF('EEZ LME Pairs'!$A$2:$A$351,A100,'EEZ LME Pairs'!$M$2:$M$351)&gt;0</x:f>
        <x:v>0</x:v>
      </x:c>
      <x:c r="O100" s="25" t="str"/>
      <x:c r="P100" s="25" t="str"/>
      <x:c r="Q100" s="25" t="str"/>
      <x:c r="R100" s="35" t="n">
        <x:v>0</x:v>
      </x:c>
      <x:c r="S100" s="34" t="n">
        <x:v>0.3026861354751003</x:v>
      </x:c>
      <x:c r="T100" s="33" t="n">
        <x:v>1.0301361691561994</x:v>
      </x:c>
      <x:c r="U100" s="33" t="n">
        <x:v>0</x:v>
      </x:c>
    </x:row>
    <x:row r="101" ht="18" customHeight="1">
      <x:c r="A101" s="25" t="str">
        <x:v>EEZ_414</x:v>
      </x:c>
      <x:c r="B101" s="25" t="str">
        <x:v>EEZ_414</x:v>
      </x:c>
      <x:c r="C101" s="25" t="str">
        <x:v>Kuwait</x:v>
      </x:c>
      <x:c r="D101" s="25" t="n">
        <x:v>414</x:v>
      </x:c>
      <x:c r="E101" s="32" t="n">
        <x:v>11029.174020879194</x:v>
      </x:c>
      <x:c r="F101" s="32" t="n">
        <x:v>10923.506592344374</x:v>
      </x:c>
      <x:c r="G101" s="34" t="n">
        <x:f>F101/E101</x:f>
        <x:v>0.990419279962871</x:v>
      </x:c>
      <x:c r="H101" s="32" t="n">
        <x:v>0</x:v>
      </x:c>
      <x:c r="I101" s="34" t="n">
        <x:f>H101/E101</x:f>
        <x:v>0</x:v>
      </x:c>
      <x:c r="J101" s="32" t="n">
        <x:v>105.66758458588693</x:v>
      </x:c>
      <x:c r="K101" s="36" t="b">
        <x:v>1</x:v>
      </x:c>
      <x:c r="L101" s="25" t="b">
        <x:f>G101&lt;'Selection Rules'!$B$4</x:f>
        <x:v>0</x:v>
      </x:c>
      <x:c r="M101" s="25" t="b">
        <x:f>SUMIF('EEZ LME Pairs'!$A$2:$A$351,A101,'EEZ LME Pairs'!$L$2:$L$351)&gt;0</x:f>
        <x:v>0</x:v>
      </x:c>
      <x:c r="N101" s="25" t="b">
        <x:f>SUMIF('EEZ LME Pairs'!$A$2:$A$351,A101,'EEZ LME Pairs'!$M$2:$M$351)&gt;0</x:f>
        <x:v>0</x:v>
      </x:c>
      <x:c r="O101" s="25" t="str"/>
      <x:c r="P101" s="25" t="str"/>
      <x:c r="Q101" s="25" t="str"/>
      <x:c r="R101" s="35" t="n">
        <x:v>0</x:v>
      </x:c>
      <x:c r="S101" s="34" t="n">
        <x:v>0.002778173591642502</x:v>
      </x:c>
      <x:c r="T101" s="33" t="n">
        <x:v>0.002805047970942822</x:v>
      </x:c>
      <x:c r="U101" s="33" t="n">
        <x:v>0</x:v>
      </x:c>
    </x:row>
    <x:row r="102" ht="18" customHeight="1">
      <x:c r="A102" s="25" t="str">
        <x:v>EEZ_422</x:v>
      </x:c>
      <x:c r="B102" s="25" t="str">
        <x:v>EEZ_422</x:v>
      </x:c>
      <x:c r="C102" s="25" t="str">
        <x:v>Lebanon</x:v>
      </x:c>
      <x:c r="D102" s="25" t="n">
        <x:v>422</x:v>
      </x:c>
      <x:c r="E102" s="32" t="n">
        <x:v>20200.358913025284</x:v>
      </x:c>
      <x:c r="F102" s="32" t="n">
        <x:v>20125.564119722043</x:v>
      </x:c>
      <x:c r="G102" s="34" t="n">
        <x:f>F102/E102</x:f>
        <x:v>0.9962973532487577</x:v>
      </x:c>
      <x:c r="H102" s="32" t="n">
        <x:v>0</x:v>
      </x:c>
      <x:c r="I102" s="34" t="n">
        <x:f>H102/E102</x:f>
        <x:v>0</x:v>
      </x:c>
      <x:c r="J102" s="32" t="n">
        <x:v>74.79395965378788</x:v>
      </x:c>
      <x:c r="K102" s="36" t="b">
        <x:v>0</x:v>
      </x:c>
      <x:c r="L102" s="25" t="b">
        <x:f>G102&lt;'Selection Rules'!$B$4</x:f>
        <x:v>0</x:v>
      </x:c>
      <x:c r="M102" s="25" t="b">
        <x:f>SUMIF('EEZ LME Pairs'!$A$2:$A$351,A102,'EEZ LME Pairs'!$L$2:$L$351)&gt;0</x:f>
        <x:v>0</x:v>
      </x:c>
      <x:c r="N102" s="25" t="b">
        <x:f>SUMIF('EEZ LME Pairs'!$A$2:$A$351,A102,'EEZ LME Pairs'!$M$2:$M$351)&gt;0</x:f>
        <x:v>0</x:v>
      </x:c>
      <x:c r="O102" s="25" t="str"/>
      <x:c r="P102" s="25" t="str"/>
      <x:c r="Q102" s="25" t="str"/>
      <x:c r="R102" s="35" t="n">
        <x:v>0</x:v>
      </x:c>
      <x:c r="S102" s="34" t="n">
        <x:v>0.007961687835269305</x:v>
      </x:c>
      <x:c r="T102" s="33" t="n">
        <x:v>0.007991276710017932</x:v>
      </x:c>
      <x:c r="U102" s="33" t="n">
        <x:v>0</x:v>
      </x:c>
    </x:row>
    <x:row r="103" ht="18" customHeight="1">
      <x:c r="A103" s="25" t="str">
        <x:v>EEZ_428</x:v>
      </x:c>
      <x:c r="B103" s="25" t="str">
        <x:v>EEZ_428</x:v>
      </x:c>
      <x:c r="C103" s="25" t="str">
        <x:v>Latvia</x:v>
      </x:c>
      <x:c r="D103" s="25" t="n">
        <x:v>428</x:v>
      </x:c>
      <x:c r="E103" s="32" t="n">
        <x:v>28134.782934099727</x:v>
      </x:c>
      <x:c r="F103" s="32" t="n">
        <x:v>27959.88087194695</x:v>
      </x:c>
      <x:c r="G103" s="34" t="n">
        <x:f>F103/E103</x:f>
        <x:v>0.9937834223721416</x:v>
      </x:c>
      <x:c r="H103" s="32" t="n">
        <x:v>0</x:v>
      </x:c>
      <x:c r="I103" s="34" t="n">
        <x:f>H103/E103</x:f>
        <x:v>0</x:v>
      </x:c>
      <x:c r="J103" s="32" t="n">
        <x:v>174.9030598432243</x:v>
      </x:c>
      <x:c r="K103" s="36" t="b">
        <x:v>0</x:v>
      </x:c>
      <x:c r="L103" s="25" t="b">
        <x:f>G103&lt;'Selection Rules'!$B$4</x:f>
        <x:v>0</x:v>
      </x:c>
      <x:c r="M103" s="25" t="b">
        <x:f>SUMIF('EEZ LME Pairs'!$A$2:$A$351,A103,'EEZ LME Pairs'!$L$2:$L$351)&gt;0</x:f>
        <x:v>0</x:v>
      </x:c>
      <x:c r="N103" s="25" t="b">
        <x:f>SUMIF('EEZ LME Pairs'!$A$2:$A$351,A103,'EEZ LME Pairs'!$M$2:$M$351)&gt;0</x:f>
        <x:v>0</x:v>
      </x:c>
      <x:c r="O103" s="25" t="str"/>
      <x:c r="P103" s="25" t="str"/>
      <x:c r="Q103" s="25" t="str"/>
      <x:c r="R103" s="35" t="n">
        <x:v>0</x:v>
      </x:c>
      <x:c r="S103" s="34" t="n">
        <x:v>0.070526523635076</x:v>
      </x:c>
      <x:c r="T103" s="33" t="n">
        <x:v>0.07096769985026573</x:v>
      </x:c>
      <x:c r="U103" s="33" t="n">
        <x:v>0</x:v>
      </x:c>
    </x:row>
    <x:row r="104" ht="18" customHeight="1">
      <x:c r="A104" s="25" t="str">
        <x:v>EEZ_430</x:v>
      </x:c>
      <x:c r="B104" s="25" t="str">
        <x:v>EEZ_430</x:v>
      </x:c>
      <x:c r="C104" s="25" t="str">
        <x:v>Liberia</x:v>
      </x:c>
      <x:c r="D104" s="25" t="n">
        <x:v>430</x:v>
      </x:c>
      <x:c r="E104" s="32" t="n">
        <x:v>250086.1462022722</x:v>
      </x:c>
      <x:c r="F104" s="32" t="n">
        <x:v>247429.50519639315</x:v>
      </x:c>
      <x:c r="G104" s="34" t="n">
        <x:f>F104/E104</x:f>
        <x:v>0.9893770964676694</x:v>
      </x:c>
      <x:c r="H104" s="32" t="n">
        <x:v>159.45675887833065</x:v>
      </x:c>
      <x:c r="I104" s="34" t="n">
        <x:f>H104/E104</x:f>
        <x:v>0.0006376073257147176</x:v>
      </x:c>
      <x:c r="J104" s="32" t="n">
        <x:v>2620.4672381415958</x:v>
      </x:c>
      <x:c r="K104" s="36" t="b">
        <x:v>1</x:v>
      </x:c>
      <x:c r="L104" s="25" t="b">
        <x:f>G104&lt;'Selection Rules'!$B$4</x:f>
        <x:v>0</x:v>
      </x:c>
      <x:c r="M104" s="25" t="b">
        <x:f>SUMIF('EEZ LME Pairs'!$A$2:$A$351,A104,'EEZ LME Pairs'!$L$2:$L$351)&gt;0</x:f>
        <x:v>0</x:v>
      </x:c>
      <x:c r="N104" s="25" t="b">
        <x:f>SUMIF('EEZ LME Pairs'!$A$2:$A$351,A104,'EEZ LME Pairs'!$M$2:$M$351)&gt;0</x:f>
        <x:v>0</x:v>
      </x:c>
      <x:c r="O104" s="25" t="str"/>
      <x:c r="P104" s="25" t="str"/>
      <x:c r="Q104" s="25" t="str"/>
      <x:c r="R104" s="35" t="n">
        <x:v>0</x:v>
      </x:c>
      <x:c r="S104" s="34" t="n">
        <x:v>0.1289574840874096</x:v>
      </x:c>
      <x:c r="T104" s="33" t="n">
        <x:v>0.13034209559511833</x:v>
      </x:c>
      <x:c r="U104" s="33" t="n">
        <x:v>0</x:v>
      </x:c>
    </x:row>
    <x:row r="105" ht="18" customHeight="1">
      <x:c r="A105" s="25" t="str">
        <x:v>EEZ_434</x:v>
      </x:c>
      <x:c r="B105" s="25" t="str">
        <x:v>EEZ_434</x:v>
      </x:c>
      <x:c r="C105" s="25" t="str">
        <x:v>Libya</x:v>
      </x:c>
      <x:c r="D105" s="25" t="n">
        <x:v>434</x:v>
      </x:c>
      <x:c r="E105" s="32" t="n">
        <x:v>363821.3807070278</x:v>
      </x:c>
      <x:c r="F105" s="32" t="n">
        <x:v>363037.35066975525</x:v>
      </x:c>
      <x:c r="G105" s="34" t="n">
        <x:f>F105/E105</x:f>
        <x:v>0.9978450138478697</x:v>
      </x:c>
      <x:c r="H105" s="32" t="n">
        <x:v>0</x:v>
      </x:c>
      <x:c r="I105" s="34" t="n">
        <x:f>H105/E105</x:f>
        <x:v>0</x:v>
      </x:c>
      <x:c r="J105" s="32" t="n">
        <x:v>784.0264592361043</x:v>
      </x:c>
      <x:c r="K105" s="36" t="b">
        <x:v>1</x:v>
      </x:c>
      <x:c r="L105" s="25" t="b">
        <x:f>G105&lt;'Selection Rules'!$B$4</x:f>
        <x:v>0</x:v>
      </x:c>
      <x:c r="M105" s="25" t="b">
        <x:f>SUMIF('EEZ LME Pairs'!$A$2:$A$351,A105,'EEZ LME Pairs'!$L$2:$L$351)&gt;0</x:f>
        <x:v>0</x:v>
      </x:c>
      <x:c r="N105" s="25" t="b">
        <x:f>SUMIF('EEZ LME Pairs'!$A$2:$A$351,A105,'EEZ LME Pairs'!$M$2:$M$351)&gt;0</x:f>
        <x:v>0</x:v>
      </x:c>
      <x:c r="O105" s="25" t="str"/>
      <x:c r="P105" s="25" t="str"/>
      <x:c r="Q105" s="25" t="str"/>
      <x:c r="R105" s="35" t="n">
        <x:v>0</x:v>
      </x:c>
      <x:c r="S105" s="34" t="n">
        <x:v>0.14361784054258386</x:v>
      </x:c>
      <x:c r="T105" s="33" t="n">
        <x:v>0.14392800339680775</x:v>
      </x:c>
      <x:c r="U105" s="33" t="n">
        <x:v>0</x:v>
      </x:c>
    </x:row>
    <x:row r="106" ht="18" customHeight="1">
      <x:c r="A106" s="25" t="str">
        <x:v>EEZ_440</x:v>
      </x:c>
      <x:c r="B106" s="25" t="str">
        <x:v>EEZ_440</x:v>
      </x:c>
      <x:c r="C106" s="25" t="str">
        <x:v>Lithuania</x:v>
      </x:c>
      <x:c r="D106" s="25" t="n">
        <x:v>440</x:v>
      </x:c>
      <x:c r="E106" s="32" t="n">
        <x:v>7008.331721446631</x:v>
      </x:c>
      <x:c r="F106" s="32" t="n">
        <x:v>6938.703792082944</x:v>
      </x:c>
      <x:c r="G106" s="34" t="n">
        <x:f>F106/E106</x:f>
        <x:v>0.9900649780673747</x:v>
      </x:c>
      <x:c r="H106" s="32" t="n">
        <x:v>0</x:v>
      </x:c>
      <x:c r="I106" s="34" t="n">
        <x:f>H106/E106</x:f>
        <x:v>0</x:v>
      </x:c>
      <x:c r="J106" s="32" t="n">
        <x:v>69.62921358713297</x:v>
      </x:c>
      <x:c r="K106" s="36" t="b">
        <x:v>1</x:v>
      </x:c>
      <x:c r="L106" s="25" t="b">
        <x:f>G106&lt;'Selection Rules'!$B$4</x:f>
        <x:v>0</x:v>
      </x:c>
      <x:c r="M106" s="25" t="b">
        <x:f>SUMIF('EEZ LME Pairs'!$A$2:$A$351,A106,'EEZ LME Pairs'!$L$2:$L$351)&gt;0</x:f>
        <x:v>0</x:v>
      </x:c>
      <x:c r="N106" s="25" t="b">
        <x:f>SUMIF('EEZ LME Pairs'!$A$2:$A$351,A106,'EEZ LME Pairs'!$M$2:$M$351)&gt;0</x:f>
        <x:v>0</x:v>
      </x:c>
      <x:c r="O106" s="25" t="str"/>
      <x:c r="P106" s="25" t="str"/>
      <x:c r="Q106" s="25" t="str"/>
      <x:c r="R106" s="35" t="n">
        <x:v>0</x:v>
      </x:c>
      <x:c r="S106" s="34" t="n">
        <x:v>0.017502315522385598</x:v>
      </x:c>
      <x:c r="T106" s="33" t="n">
        <x:v>0.0176779463066661</x:v>
      </x:c>
      <x:c r="U106" s="33" t="n">
        <x:v>0</x:v>
      </x:c>
    </x:row>
    <x:row r="107" ht="18" customHeight="1">
      <x:c r="A107" s="25" t="str">
        <x:v>EEZ_450</x:v>
      </x:c>
      <x:c r="B107" s="25" t="str">
        <x:v>EEZ_450</x:v>
      </x:c>
      <x:c r="C107" s="25" t="str">
        <x:v>Madagascar</x:v>
      </x:c>
      <x:c r="D107" s="25" t="n">
        <x:v>450</x:v>
      </x:c>
      <x:c r="E107" s="32" t="n">
        <x:v>1238493.7218613813</x:v>
      </x:c>
      <x:c r="F107" s="32" t="n">
        <x:v>870483.8367576683</x:v>
      </x:c>
      <x:c r="G107" s="34" t="n">
        <x:f>F107/E107</x:f>
        <x:v>0.7028568828345643</x:v>
      </x:c>
      <x:c r="H107" s="32" t="n">
        <x:v>210.36521643320918</x:v>
      </x:c>
      <x:c r="I107" s="34" t="n">
        <x:f>H107/E107</x:f>
        <x:v>0.0001698556986764882</x:v>
      </x:c>
      <x:c r="J107" s="32" t="n">
        <x:v>367900.13501613063</x:v>
      </x:c>
      <x:c r="K107" s="36" t="b">
        <x:v>1</x:v>
      </x:c>
      <x:c r="L107" s="25" t="b">
        <x:f>G107&lt;'Selection Rules'!$B$4</x:f>
        <x:v>0</x:v>
      </x:c>
      <x:c r="M107" s="25" t="b">
        <x:f>SUMIF('EEZ LME Pairs'!$A$2:$A$351,A107,'EEZ LME Pairs'!$L$2:$L$351)&gt;0</x:f>
        <x:v>0</x:v>
      </x:c>
      <x:c r="N107" s="25" t="b">
        <x:f>SUMIF('EEZ LME Pairs'!$A$2:$A$351,A107,'EEZ LME Pairs'!$M$2:$M$351)&gt;0</x:f>
        <x:v>0</x:v>
      </x:c>
      <x:c r="O107" s="25" t="str"/>
      <x:c r="P107" s="25" t="str"/>
      <x:c r="Q107" s="25" t="str"/>
      <x:c r="R107" s="35" t="n">
        <x:v>0</x:v>
      </x:c>
      <x:c r="S107" s="34" t="n">
        <x:v>0.3313798046277082</x:v>
      </x:c>
      <x:c r="T107" s="33" t="n">
        <x:v>0.4714755062101414</x:v>
      </x:c>
      <x:c r="U107" s="33" t="n">
        <x:v>0</x:v>
      </x:c>
    </x:row>
    <x:row r="108" ht="18" customHeight="1">
      <x:c r="A108" s="25" t="str">
        <x:v>EEZ_459</x:v>
      </x:c>
      <x:c r="B108" s="25" t="str">
        <x:v>EEZ_459</x:v>
      </x:c>
      <x:c r="C108" s="25" t="str">
        <x:v>Malaysia (Peninsula West)</x:v>
      </x:c>
      <x:c r="D108" s="25" t="n">
        <x:v>459</x:v>
      </x:c>
      <x:c r="E108" s="32" t="n">
        <x:v>68574.12771320854</x:v>
      </x:c>
      <x:c r="F108" s="32" t="n">
        <x:v>68009.60076608507</x:v>
      </x:c>
      <x:c r="G108" s="34" t="n">
        <x:f>F108/E108</x:f>
        <x:v>0.9917676394006143</x:v>
      </x:c>
      <x:c r="H108" s="32" t="n">
        <x:v>0</x:v>
      </x:c>
      <x:c r="I108" s="34" t="n">
        <x:f>H108/E108</x:f>
        <x:v>0</x:v>
      </x:c>
      <x:c r="J108" s="32" t="n">
        <x:v>564.5274025667408</x:v>
      </x:c>
      <x:c r="K108" s="36" t="b">
        <x:v>1</x:v>
      </x:c>
      <x:c r="L108" s="25" t="b">
        <x:f>G108&lt;'Selection Rules'!$B$4</x:f>
        <x:v>0</x:v>
      </x:c>
      <x:c r="M108" s="25" t="b">
        <x:f>SUMIF('EEZ LME Pairs'!$A$2:$A$351,A108,'EEZ LME Pairs'!$L$2:$L$351)&gt;0</x:f>
        <x:v>0</x:v>
      </x:c>
      <x:c r="N108" s="25" t="b">
        <x:f>SUMIF('EEZ LME Pairs'!$A$2:$A$351,A108,'EEZ LME Pairs'!$M$2:$M$351)&gt;0</x:f>
        <x:v>0</x:v>
      </x:c>
      <x:c r="O108" s="25" t="str"/>
      <x:c r="P108" s="25" t="str"/>
      <x:c r="Q108" s="25" t="str"/>
      <x:c r="R108" s="35" t="n">
        <x:v>0</x:v>
      </x:c>
      <x:c r="S108" s="34" t="n">
        <x:v>0.018526382543400385</x:v>
      </x:c>
      <x:c r="T108" s="33" t="n">
        <x:v>0.021667595652746664</x:v>
      </x:c>
      <x:c r="U108" s="33" t="n">
        <x:v>0</x:v>
      </x:c>
    </x:row>
    <x:row r="109" ht="18" customHeight="1">
      <x:c r="A109" s="25" t="str">
        <x:v>EEZ_460</x:v>
      </x:c>
      <x:c r="B109" s="25" t="str">
        <x:v>EEZ_460</x:v>
      </x:c>
      <x:c r="C109" s="25" t="str">
        <x:v>Malaysia (Peninsula East)</x:v>
      </x:c>
      <x:c r="D109" s="25" t="n">
        <x:v>460</x:v>
      </x:c>
      <x:c r="E109" s="32" t="n">
        <x:v>132226.57561793693</x:v>
      </x:c>
      <x:c r="F109" s="32" t="n">
        <x:v>131379.57869338623</x:v>
      </x:c>
      <x:c r="G109" s="34" t="n">
        <x:f>F109/E109</x:f>
        <x:v>0.9935943518117109</x:v>
      </x:c>
      <x:c r="H109" s="32" t="n">
        <x:v>0</x:v>
      </x:c>
      <x:c r="I109" s="34" t="n">
        <x:f>H109/E109</x:f>
        <x:v>0</x:v>
      </x:c>
      <x:c r="J109" s="32" t="n">
        <x:v>846.9967505986192</x:v>
      </x:c>
      <x:c r="K109" s="36" t="b">
        <x:v>1</x:v>
      </x:c>
      <x:c r="L109" s="25" t="b">
        <x:f>G109&lt;'Selection Rules'!$B$4</x:f>
        <x:v>0</x:v>
      </x:c>
      <x:c r="M109" s="25" t="b">
        <x:f>SUMIF('EEZ LME Pairs'!$A$2:$A$351,A109,'EEZ LME Pairs'!$L$2:$L$351)&gt;0</x:f>
        <x:v>0</x:v>
      </x:c>
      <x:c r="N109" s="25" t="b">
        <x:f>SUMIF('EEZ LME Pairs'!$A$2:$A$351,A109,'EEZ LME Pairs'!$M$2:$M$351)&gt;0</x:f>
        <x:v>0</x:v>
      </x:c>
      <x:c r="O109" s="25" t="str"/>
      <x:c r="P109" s="25" t="str"/>
      <x:c r="Q109" s="25" t="str"/>
      <x:c r="R109" s="35" t="n">
        <x:v>0</x:v>
      </x:c>
      <x:c r="S109" s="34" t="n">
        <x:v>0.22541547993958874</x:v>
      </x:c>
      <x:c r="T109" s="33" t="n">
        <x:v>0.3413979230854992</x:v>
      </x:c>
      <x:c r="U109" s="33" t="n">
        <x:v>0</x:v>
      </x:c>
    </x:row>
    <x:row r="110" ht="18" customHeight="1">
      <x:c r="A110" s="25" t="str">
        <x:v>EEZ_461</x:v>
      </x:c>
      <x:c r="B110" s="25" t="str">
        <x:v>EEZ_461</x:v>
      </x:c>
      <x:c r="C110" s="25" t="str">
        <x:v>Malaysia (Sabah)</x:v>
      </x:c>
      <x:c r="D110" s="25" t="n">
        <x:v>461</x:v>
      </x:c>
      <x:c r="E110" s="32" t="n">
        <x:v>137590.1571123239</x:v>
      </x:c>
      <x:c r="F110" s="32" t="n">
        <x:v>136538.9885843299</x:v>
      </x:c>
      <x:c r="G110" s="34" t="n">
        <x:f>F110/E110</x:f>
        <x:v>0.992360147338622</x:v>
      </x:c>
      <x:c r="H110" s="32" t="n">
        <x:v>0</x:v>
      </x:c>
      <x:c r="I110" s="34" t="n">
        <x:f>H110/E110</x:f>
        <x:v>0</x:v>
      </x:c>
      <x:c r="J110" s="32" t="n">
        <x:v>1051.1687820560146</x:v>
      </x:c>
      <x:c r="K110" s="36" t="b">
        <x:v>1</x:v>
      </x:c>
      <x:c r="L110" s="25" t="b">
        <x:f>G110&lt;'Selection Rules'!$B$4</x:f>
        <x:v>0</x:v>
      </x:c>
      <x:c r="M110" s="25" t="b">
        <x:f>SUMIF('EEZ LME Pairs'!$A$2:$A$351,A110,'EEZ LME Pairs'!$L$2:$L$351)&gt;0</x:f>
        <x:v>0</x:v>
      </x:c>
      <x:c r="N110" s="25" t="b">
        <x:f>SUMIF('EEZ LME Pairs'!$A$2:$A$351,A110,'EEZ LME Pairs'!$M$2:$M$351)&gt;0</x:f>
        <x:v>0</x:v>
      </x:c>
      <x:c r="O110" s="25" t="str"/>
      <x:c r="P110" s="25" t="str"/>
      <x:c r="Q110" s="25" t="str"/>
      <x:c r="R110" s="35" t="n">
        <x:v>0</x:v>
      </x:c>
      <x:c r="S110" s="34" t="n">
        <x:v>0.03486398985788184</x:v>
      </x:c>
      <x:c r="T110" s="33" t="n">
        <x:v>0.13570937828981686</x:v>
      </x:c>
      <x:c r="U110" s="33" t="n">
        <x:v>0</x:v>
      </x:c>
    </x:row>
    <x:row r="111" ht="18" customHeight="1">
      <x:c r="A111" s="25" t="str">
        <x:v>EEZ_462</x:v>
      </x:c>
      <x:c r="B111" s="25" t="str">
        <x:v>EEZ_462</x:v>
      </x:c>
      <x:c r="C111" s="25" t="str">
        <x:v>Maldives</x:v>
      </x:c>
      <x:c r="D111" s="25" t="n">
        <x:v>462</x:v>
      </x:c>
      <x:c r="E111" s="32" t="n">
        <x:v>923586.8532356664</x:v>
      </x:c>
      <x:c r="F111" s="32" t="n">
        <x:v>51462.13998000543</x:v>
      </x:c>
      <x:c r="G111" s="34" t="n">
        <x:f>F111/E111</x:f>
        <x:v>0.05571987063232279</x:v>
      </x:c>
      <x:c r="H111" s="32" t="n">
        <x:v>404.1266852141548</x:v>
      </x:c>
      <x:c r="I111" s="34" t="n">
        <x:f>H111/E111</x:f>
        <x:v>0.000437562188979141</x:v>
      </x:c>
      <x:c r="J111" s="32" t="n">
        <x:v>871720.5867375076</x:v>
      </x:c>
      <x:c r="K111" s="36" t="b">
        <x:v>0</x:v>
      </x:c>
      <x:c r="L111" s="25" t="b">
        <x:f>G111&lt;'Selection Rules'!$B$4</x:f>
        <x:v>1</x:v>
      </x:c>
      <x:c r="M111" s="25" t="b">
        <x:f>SUMIF('EEZ LME Pairs'!$A$2:$A$351,A111,'EEZ LME Pairs'!$L$2:$L$351)&gt;0</x:f>
        <x:v>0</x:v>
      </x:c>
      <x:c r="N111" s="25" t="b">
        <x:f>SUMIF('EEZ LME Pairs'!$A$2:$A$351,A111,'EEZ LME Pairs'!$M$2:$M$351)&gt;0</x:f>
        <x:v>0</x:v>
      </x:c>
      <x:c r="O111" s="25" t="str"/>
      <x:c r="P111" s="25" t="str"/>
      <x:c r="Q111" s="25" t="str"/>
      <x:c r="R111" s="35" t="n">
        <x:v>0</x:v>
      </x:c>
      <x:c r="S111" s="34" t="n">
        <x:v>0.01308835739267649</x:v>
      </x:c>
      <x:c r="T111" s="33" t="n">
        <x:v>0.23489568881166795</x:v>
      </x:c>
      <x:c r="U111" s="33" t="n">
        <x:v>0</x:v>
      </x:c>
    </x:row>
    <x:row r="112" ht="18" customHeight="1">
      <x:c r="A112" s="25" t="str">
        <x:v>EEZ_463</x:v>
      </x:c>
      <x:c r="B112" s="25" t="str">
        <x:v>EEZ_463</x:v>
      </x:c>
      <x:c r="C112" s="25" t="str">
        <x:v>Malaysia (Sarawak)</x:v>
      </x:c>
      <x:c r="D112" s="25" t="n">
        <x:v>463</x:v>
      </x:c>
      <x:c r="E112" s="32" t="n">
        <x:v>172275.94671695333</x:v>
      </x:c>
      <x:c r="F112" s="32" t="n">
        <x:v>171637.10256241393</x:v>
      </x:c>
      <x:c r="G112" s="34" t="n">
        <x:f>F112/E112</x:f>
        <x:v>0.9962917391155655</x:v>
      </x:c>
      <x:c r="H112" s="32" t="n">
        <x:v>0</x:v>
      </x:c>
      <x:c r="I112" s="34" t="n">
        <x:f>H112/E112</x:f>
        <x:v>0</x:v>
      </x:c>
      <x:c r="J112" s="32" t="n">
        <x:v>638.8439301771092</x:v>
      </x:c>
      <x:c r="K112" s="36" t="b">
        <x:v>1</x:v>
      </x:c>
      <x:c r="L112" s="25" t="b">
        <x:f>G112&lt;'Selection Rules'!$B$4</x:f>
        <x:v>0</x:v>
      </x:c>
      <x:c r="M112" s="25" t="b">
        <x:f>SUMIF('EEZ LME Pairs'!$A$2:$A$351,A112,'EEZ LME Pairs'!$L$2:$L$351)&gt;0</x:f>
        <x:v>0</x:v>
      </x:c>
      <x:c r="N112" s="25" t="b">
        <x:f>SUMIF('EEZ LME Pairs'!$A$2:$A$351,A112,'EEZ LME Pairs'!$M$2:$M$351)&gt;0</x:f>
        <x:v>0</x:v>
      </x:c>
      <x:c r="O112" s="25" t="str"/>
      <x:c r="P112" s="25" t="str"/>
      <x:c r="Q112" s="25" t="str"/>
      <x:c r="R112" s="35" t="n">
        <x:v>0</x:v>
      </x:c>
      <x:c r="S112" s="34" t="n">
        <x:v>0.054232747267087114</x:v>
      </x:c>
      <x:c r="T112" s="33" t="n">
        <x:v>0.0544346049835071</x:v>
      </x:c>
      <x:c r="U112" s="33" t="n">
        <x:v>0</x:v>
      </x:c>
    </x:row>
    <x:row r="113" ht="18" customHeight="1">
      <x:c r="A113" s="25" t="str">
        <x:v>EEZ_470</x:v>
      </x:c>
      <x:c r="B113" s="25" t="str">
        <x:v>EEZ_470</x:v>
      </x:c>
      <x:c r="C113" s="25" t="str">
        <x:v>Malta</x:v>
      </x:c>
      <x:c r="D113" s="25" t="n">
        <x:v>470</x:v>
      </x:c>
      <x:c r="E113" s="32" t="n">
        <x:v>52530.4269671255</x:v>
      </x:c>
      <x:c r="F113" s="32" t="n">
        <x:v>52510.97063989156</x:v>
      </x:c>
      <x:c r="G113" s="34" t="n">
        <x:f>F113/E113</x:f>
        <x:v>0.9996296179498766</x:v>
      </x:c>
      <x:c r="H113" s="32" t="n">
        <x:v>0</x:v>
      </x:c>
      <x:c r="I113" s="34" t="n">
        <x:f>H113/E113</x:f>
        <x:v>0</x:v>
      </x:c>
      <x:c r="J113" s="32" t="n">
        <x:v>19.457005679644467</x:v>
      </x:c>
      <x:c r="K113" s="36" t="b">
        <x:v>0</x:v>
      </x:c>
      <x:c r="L113" s="25" t="b">
        <x:f>G113&lt;'Selection Rules'!$B$4</x:f>
        <x:v>0</x:v>
      </x:c>
      <x:c r="M113" s="25" t="b">
        <x:f>SUMIF('EEZ LME Pairs'!$A$2:$A$351,A113,'EEZ LME Pairs'!$L$2:$L$351)&gt;0</x:f>
        <x:v>0</x:v>
      </x:c>
      <x:c r="N113" s="25" t="b">
        <x:f>SUMIF('EEZ LME Pairs'!$A$2:$A$351,A113,'EEZ LME Pairs'!$M$2:$M$351)&gt;0</x:f>
        <x:v>0</x:v>
      </x:c>
      <x:c r="O113" s="25" t="str"/>
      <x:c r="P113" s="25" t="str"/>
      <x:c r="Q113" s="25" t="str"/>
      <x:c r="R113" s="35" t="n">
        <x:v>0</x:v>
      </x:c>
      <x:c r="S113" s="34" t="n">
        <x:v>0.020773378260344755</x:v>
      </x:c>
      <x:c r="T113" s="33" t="n">
        <x:v>0.020781075197580205</x:v>
      </x:c>
      <x:c r="U113" s="33" t="n">
        <x:v>0</x:v>
      </x:c>
    </x:row>
    <x:row r="114" ht="18" customHeight="1">
      <x:c r="A114" s="25" t="str">
        <x:v>EEZ_474</x:v>
      </x:c>
      <x:c r="B114" s="25" t="str">
        <x:v>EEZ_474</x:v>
      </x:c>
      <x:c r="C114" s="25" t="str">
        <x:v>Martinique (France)</x:v>
      </x:c>
      <x:c r="D114" s="25" t="n">
        <x:v>474</x:v>
      </x:c>
      <x:c r="E114" s="32" t="n">
        <x:v>47488.325606302045</x:v>
      </x:c>
      <x:c r="F114" s="32" t="n">
        <x:v>20239.039117226996</x:v>
      </x:c>
      <x:c r="G114" s="34" t="n">
        <x:f>F114/E114</x:f>
        <x:v>0.4261897815689911</x:v>
      </x:c>
      <x:c r="H114" s="32" t="n">
        <x:v>3.40134347588309</x:v>
      </x:c>
      <x:c r="I114" s="34" t="n">
        <x:f>H114/E114</x:f>
        <x:v>0.00007162483478743051</x:v>
      </x:c>
      <x:c r="J114" s="32" t="n">
        <x:v>27245.884849723065</x:v>
      </x:c>
      <x:c r="K114" s="36" t="b">
        <x:v>1</x:v>
      </x:c>
      <x:c r="L114" s="25" t="b">
        <x:f>G114&lt;'Selection Rules'!$B$4</x:f>
        <x:v>0</x:v>
      </x:c>
      <x:c r="M114" s="25" t="b">
        <x:f>SUMIF('EEZ LME Pairs'!$A$2:$A$351,A114,'EEZ LME Pairs'!$L$2:$L$351)&gt;0</x:f>
        <x:v>0</x:v>
      </x:c>
      <x:c r="N114" s="25" t="b">
        <x:f>SUMIF('EEZ LME Pairs'!$A$2:$A$351,A114,'EEZ LME Pairs'!$M$2:$M$351)&gt;0</x:f>
        <x:v>0</x:v>
      </x:c>
      <x:c r="O114" s="25" t="str"/>
      <x:c r="P114" s="25" t="str"/>
      <x:c r="Q114" s="25" t="str"/>
      <x:c r="R114" s="35" t="n">
        <x:v>0</x:v>
      </x:c>
      <x:c r="S114" s="34" t="n">
        <x:v>0.00620339077427657</x:v>
      </x:c>
      <x:c r="T114" s="33" t="n">
        <x:v>0.014555465763254985</x:v>
      </x:c>
      <x:c r="U114" s="33" t="n">
        <x:v>0</x:v>
      </x:c>
    </x:row>
    <x:row r="115" ht="18" customHeight="1">
      <x:c r="A115" s="25" t="str">
        <x:v>EEZ_478</x:v>
      </x:c>
      <x:c r="B115" s="25" t="str">
        <x:v>EEZ_478</x:v>
      </x:c>
      <x:c r="C115" s="25" t="str">
        <x:v>Mauritania</x:v>
      </x:c>
      <x:c r="D115" s="25" t="n">
        <x:v>478</x:v>
      </x:c>
      <x:c r="E115" s="32" t="n">
        <x:v>173096.20192285252</x:v>
      </x:c>
      <x:c r="F115" s="32" t="n">
        <x:v>172669.22513031858</x:v>
      </x:c>
      <x:c r="G115" s="34" t="n">
        <x:f>F115/E115</x:f>
        <x:v>0.9975332977396913</x:v>
      </x:c>
      <x:c r="H115" s="32" t="n">
        <x:v>0</x:v>
      </x:c>
      <x:c r="I115" s="34" t="n">
        <x:f>H115/E115</x:f>
        <x:v>0</x:v>
      </x:c>
      <x:c r="J115" s="32" t="n">
        <x:v>426.9779271688171</x:v>
      </x:c>
      <x:c r="K115" s="36" t="b">
        <x:v>1</x:v>
      </x:c>
      <x:c r="L115" s="25" t="b">
        <x:f>G115&lt;'Selection Rules'!$B$4</x:f>
        <x:v>0</x:v>
      </x:c>
      <x:c r="M115" s="25" t="b">
        <x:f>SUMIF('EEZ LME Pairs'!$A$2:$A$351,A115,'EEZ LME Pairs'!$L$2:$L$351)&gt;0</x:f>
        <x:v>0</x:v>
      </x:c>
      <x:c r="N115" s="25" t="b">
        <x:f>SUMIF('EEZ LME Pairs'!$A$2:$A$351,A115,'EEZ LME Pairs'!$M$2:$M$351)&gt;0</x:f>
        <x:v>0</x:v>
      </x:c>
      <x:c r="O115" s="25" t="str"/>
      <x:c r="P115" s="25" t="str"/>
      <x:c r="Q115" s="25" t="str"/>
      <x:c r="R115" s="35" t="n">
        <x:v>0</x:v>
      </x:c>
      <x:c r="S115" s="34" t="n">
        <x:v>0.1537160556925634</x:v>
      </x:c>
      <x:c r="T115" s="33" t="n">
        <x:v>0.15409616505120008</x:v>
      </x:c>
      <x:c r="U115" s="33" t="n">
        <x:v>0</x:v>
      </x:c>
    </x:row>
    <x:row r="116" ht="18" customHeight="1">
      <x:c r="A116" s="25" t="str">
        <x:v>EEZ_480</x:v>
      </x:c>
      <x:c r="B116" s="25" t="str">
        <x:v>EEZ_480</x:v>
      </x:c>
      <x:c r="C116" s="25" t="str">
        <x:v>Mauritius</x:v>
      </x:c>
      <x:c r="D116" s="25" t="n">
        <x:v>480</x:v>
      </x:c>
      <x:c r="E116" s="32" t="n">
        <x:v>2184133.9019781486</x:v>
      </x:c>
      <x:c r="F116" s="32" t="n">
        <x:v>0</x:v>
      </x:c>
      <x:c r="G116" s="34" t="n">
        <x:f>F116/E116</x:f>
        <x:v>0</x:v>
      </x:c>
      <x:c r="H116" s="32" t="n">
        <x:v>1347.0574601907153</x:v>
      </x:c>
      <x:c r="I116" s="34" t="n">
        <x:f>H116/E116</x:f>
        <x:v>0.0006167467383619194</x:v>
      </x:c>
      <x:c r="J116" s="32" t="n">
        <x:v>2182786.845847109</x:v>
      </x:c>
      <x:c r="K116" s="36" t="b">
        <x:v>0</x:v>
      </x:c>
      <x:c r="L116" s="25" t="b">
        <x:f>G116&lt;'Selection Rules'!$B$4</x:f>
        <x:v>1</x:v>
      </x:c>
      <x:c r="M116" s="25" t="b">
        <x:f>SUMIF('EEZ LME Pairs'!$A$2:$A$351,A116,'EEZ LME Pairs'!$L$2:$L$351)&gt;0</x:f>
        <x:v>0</x:v>
      </x:c>
      <x:c r="N116" s="25" t="b">
        <x:f>SUMIF('EEZ LME Pairs'!$A$2:$A$351,A116,'EEZ LME Pairs'!$M$2:$M$351)&gt;0</x:f>
        <x:v>0</x:v>
      </x:c>
      <x:c r="O116" s="25" t="str"/>
      <x:c r="P116" s="25" t="str"/>
      <x:c r="Q116" s="25" t="str"/>
      <x:c r="R116" s="35" t="n">
        <x:v>0</x:v>
      </x:c>
      <x:c r="S116" s="34" t="n">
        <x:v>0</x:v>
      </x:c>
      <x:c r="T116" s="33" t="n">
        <x:v>0</x:v>
      </x:c>
      <x:c r="U116" s="33" t="n">
        <x:v>0</x:v>
      </x:c>
    </x:row>
    <x:row r="117" ht="18" customHeight="1">
      <x:c r="A117" s="25" t="str">
        <x:v>EEZ_488</x:v>
      </x:c>
      <x:c r="B117" s="25" t="str">
        <x:v>EEZ_488</x:v>
      </x:c>
      <x:c r="C117" s="25" t="str">
        <x:v>Hawaii Northwest Islands (USA)</x:v>
      </x:c>
      <x:c r="D117" s="25" t="n">
        <x:v>488</x:v>
      </x:c>
      <x:c r="E117" s="32" t="n">
        <x:v>1575391.8710068562</x:v>
      </x:c>
      <x:c r="F117" s="32" t="n">
        <x:v>654839.9117833031</x:v>
      </x:c>
      <x:c r="G117" s="34" t="n">
        <x:f>F117/E117</x:f>
        <x:v>0.41566795146961455</x:v>
      </x:c>
      <x:c r="H117" s="32" t="n">
        <x:v>302.0295919617518</x:v>
      </x:c>
      <x:c r="I117" s="34" t="n">
        <x:f>H117/E117</x:f>
        <x:v>0.00019171711973397466</x:v>
      </x:c>
      <x:c r="J117" s="32" t="n">
        <x:v>920249.9301397122</x:v>
      </x:c>
      <x:c r="K117" s="36" t="b">
        <x:v>0</x:v>
      </x:c>
      <x:c r="L117" s="25" t="b">
        <x:f>G117&lt;'Selection Rules'!$B$4</x:f>
        <x:v>0</x:v>
      </x:c>
      <x:c r="M117" s="25" t="b">
        <x:f>SUMIF('EEZ LME Pairs'!$A$2:$A$351,A117,'EEZ LME Pairs'!$L$2:$L$351)&gt;0</x:f>
        <x:v>0</x:v>
      </x:c>
      <x:c r="N117" s="25" t="b">
        <x:f>SUMIF('EEZ LME Pairs'!$A$2:$A$351,A117,'EEZ LME Pairs'!$M$2:$M$351)&gt;0</x:f>
        <x:v>0</x:v>
      </x:c>
      <x:c r="O117" s="25" t="str"/>
      <x:c r="P117" s="25" t="str"/>
      <x:c r="Q117" s="25" t="str"/>
      <x:c r="R117" s="35" t="n">
        <x:v>0</x:v>
      </x:c>
      <x:c r="S117" s="34" t="n">
        <x:v>0.6678548827246773</x:v>
      </x:c>
      <x:c r="T117" s="33" t="n">
        <x:v>1.606702851070051</x:v>
      </x:c>
      <x:c r="U117" s="33" t="n">
        <x:v>0</x:v>
      </x:c>
    </x:row>
    <x:row r="118" ht="18" customHeight="1">
      <x:c r="A118" s="25" t="str">
        <x:v>EEZ_500</x:v>
      </x:c>
      <x:c r="B118" s="25" t="str">
        <x:v>EEZ_500</x:v>
      </x:c>
      <x:c r="C118" s="25" t="str">
        <x:v>Montserrat (UK)</x:v>
      </x:c>
      <x:c r="D118" s="25" t="n">
        <x:v>500</x:v>
      </x:c>
      <x:c r="E118" s="32" t="n">
        <x:v>7188.4596357846785</x:v>
      </x:c>
      <x:c r="F118" s="32" t="n">
        <x:v>7168.153292627734</x:v>
      </x:c>
      <x:c r="G118" s="34" t="n">
        <x:f>F118/E118</x:f>
        <x:v>0.9971751468067153</x:v>
      </x:c>
      <x:c r="H118" s="32" t="n">
        <x:v>0</x:v>
      </x:c>
      <x:c r="I118" s="34" t="n">
        <x:f>H118/E118</x:f>
        <x:v>0</x:v>
      </x:c>
      <x:c r="J118" s="32" t="n">
        <x:v>20.30617563022283</x:v>
      </x:c>
      <x:c r="K118" s="36" t="b">
        <x:v>0</x:v>
      </x:c>
      <x:c r="L118" s="25" t="b">
        <x:f>G118&lt;'Selection Rules'!$B$4</x:f>
        <x:v>0</x:v>
      </x:c>
      <x:c r="M118" s="25" t="b">
        <x:f>SUMIF('EEZ LME Pairs'!$A$2:$A$351,A118,'EEZ LME Pairs'!$L$2:$L$351)&gt;0</x:f>
        <x:v>0</x:v>
      </x:c>
      <x:c r="N118" s="25" t="b">
        <x:f>SUMIF('EEZ LME Pairs'!$A$2:$A$351,A118,'EEZ LME Pairs'!$M$2:$M$351)&gt;0</x:f>
        <x:v>0</x:v>
      </x:c>
      <x:c r="O118" s="25" t="str"/>
      <x:c r="P118" s="25" t="str"/>
      <x:c r="Q118" s="25" t="str"/>
      <x:c r="R118" s="35" t="n">
        <x:v>0</x:v>
      </x:c>
      <x:c r="S118" s="34" t="n">
        <x:v>0.0021970833568989924</x:v>
      </x:c>
      <x:c r="T118" s="33" t="n">
        <x:v>0.0022033073767780717</x:v>
      </x:c>
      <x:c r="U118" s="33" t="n">
        <x:v>0</x:v>
      </x:c>
    </x:row>
    <x:row r="119" ht="18" customHeight="1">
      <x:c r="A119" s="25" t="str">
        <x:v>EEZ_508</x:v>
      </x:c>
      <x:c r="B119" s="25" t="str">
        <x:v>EEZ_508</x:v>
      </x:c>
      <x:c r="C119" s="25" t="str">
        <x:v>Mozambique</x:v>
      </x:c>
      <x:c r="D119" s="25" t="n">
        <x:v>508</x:v>
      </x:c>
      <x:c r="E119" s="32" t="n">
        <x:v>566413.8347150033</x:v>
      </x:c>
      <x:c r="F119" s="32" t="n">
        <x:v>564742.289339204</x:v>
      </x:c>
      <x:c r="G119" s="34" t="n">
        <x:f>F119/E119</x:f>
        <x:v>0.9970488973373323</x:v>
      </x:c>
      <x:c r="H119" s="32" t="n">
        <x:v>77.29374988930635</x:v>
      </x:c>
      <x:c r="I119" s="34" t="n">
        <x:f>H119/E119</x:f>
        <x:v>0.00013646162073035781</x:v>
      </x:c>
      <x:c r="J119" s="32" t="n">
        <x:v>1671.5423489008945</x:v>
      </x:c>
      <x:c r="K119" s="36" t="b">
        <x:v>1</x:v>
      </x:c>
      <x:c r="L119" s="25" t="b">
        <x:f>G119&lt;'Selection Rules'!$B$4</x:f>
        <x:v>0</x:v>
      </x:c>
      <x:c r="M119" s="25" t="b">
        <x:f>SUMIF('EEZ LME Pairs'!$A$2:$A$351,A119,'EEZ LME Pairs'!$L$2:$L$351)&gt;0</x:f>
        <x:v>0</x:v>
      </x:c>
      <x:c r="N119" s="25" t="b">
        <x:f>SUMIF('EEZ LME Pairs'!$A$2:$A$351,A119,'EEZ LME Pairs'!$M$2:$M$351)&gt;0</x:f>
        <x:v>0</x:v>
      </x:c>
      <x:c r="O119" s="25" t="str"/>
      <x:c r="P119" s="25" t="str"/>
      <x:c r="Q119" s="25" t="str"/>
      <x:c r="R119" s="35" t="n">
        <x:v>0</x:v>
      </x:c>
      <x:c r="S119" s="34" t="n">
        <x:v>0.2149887012299904</x:v>
      </x:c>
      <x:c r="T119" s="33" t="n">
        <x:v>0.21562503283853804</x:v>
      </x:c>
      <x:c r="U119" s="33" t="n">
        <x:v>0</x:v>
      </x:c>
    </x:row>
    <x:row r="120" ht="18" customHeight="1">
      <x:c r="A120" s="25" t="str">
        <x:v>EEZ_512</x:v>
      </x:c>
      <x:c r="B120" s="25" t="str">
        <x:v>EEZ_512</x:v>
      </x:c>
      <x:c r="C120" s="25" t="str">
        <x:v>Oman</x:v>
      </x:c>
      <x:c r="D120" s="25" t="n">
        <x:v>512</x:v>
      </x:c>
      <x:c r="E120" s="32" t="n">
        <x:v>547384.9956572816</x:v>
      </x:c>
      <x:c r="F120" s="32" t="n">
        <x:v>546536.2876581472</x:v>
      </x:c>
      <x:c r="G120" s="34" t="n">
        <x:f>F120/E120</x:f>
        <x:v>0.9984495227200824</x:v>
      </x:c>
      <x:c r="H120" s="32" t="n">
        <x:v>8.399390778923522</x:v>
      </x:c>
      <x:c r="I120" s="34" t="n">
        <x:f>H120/E120</x:f>
        <x:v>0.000015344576204245085</x:v>
      </x:c>
      <x:c r="J120" s="32" t="n">
        <x:v>848.7092342602564</x:v>
      </x:c>
      <x:c r="K120" s="36" t="b">
        <x:v>0</x:v>
      </x:c>
      <x:c r="L120" s="25" t="b">
        <x:f>G120&lt;'Selection Rules'!$B$4</x:f>
        <x:v>0</x:v>
      </x:c>
      <x:c r="M120" s="25" t="b">
        <x:f>SUMIF('EEZ LME Pairs'!$A$2:$A$351,A120,'EEZ LME Pairs'!$L$2:$L$351)&gt;0</x:f>
        <x:v>0</x:v>
      </x:c>
      <x:c r="N120" s="25" t="b">
        <x:f>SUMIF('EEZ LME Pairs'!$A$2:$A$351,A120,'EEZ LME Pairs'!$M$2:$M$351)&gt;0</x:f>
        <x:v>0</x:v>
      </x:c>
      <x:c r="O120" s="25" t="str"/>
      <x:c r="P120" s="25" t="str"/>
      <x:c r="Q120" s="25" t="str"/>
      <x:c r="R120" s="35" t="n">
        <x:v>0</x:v>
      </x:c>
      <x:c r="S120" s="34" t="n">
        <x:v>0.13900048197987355</x:v>
      </x:c>
      <x:c r="T120" s="33" t="n">
        <x:v>0.1392163337423345</x:v>
      </x:c>
      <x:c r="U120" s="33" t="n">
        <x:v>0</x:v>
      </x:c>
    </x:row>
    <x:row r="121" ht="18" customHeight="1">
      <x:c r="A121" s="25" t="str">
        <x:v>EEZ_516</x:v>
      </x:c>
      <x:c r="B121" s="25" t="str">
        <x:v>EEZ_516</x:v>
      </x:c>
      <x:c r="C121" s="25" t="str">
        <x:v>Namibia</x:v>
      </x:c>
      <x:c r="D121" s="25" t="n">
        <x:v>516</x:v>
      </x:c>
      <x:c r="E121" s="32" t="n">
        <x:v>560103.1998429117</x:v>
      </x:c>
      <x:c r="F121" s="32" t="n">
        <x:v>557313.8321717926</x:v>
      </x:c>
      <x:c r="G121" s="34" t="n">
        <x:f>F121/E121</x:f>
        <x:v>0.9950199040607135</x:v>
      </x:c>
      <x:c r="H121" s="32" t="n">
        <x:v>23.65112742419365</x:v>
      </x:c>
      <x:c r="I121" s="34" t="n">
        <x:f>H121/E121</x:f>
        <x:v>0.000042226374408907</x:v>
      </x:c>
      <x:c r="J121" s="32" t="n">
        <x:v>2789.3640364653174</x:v>
      </x:c>
      <x:c r="K121" s="36" t="b">
        <x:v>1</x:v>
      </x:c>
      <x:c r="L121" s="25" t="b">
        <x:f>G121&lt;'Selection Rules'!$B$4</x:f>
        <x:v>0</x:v>
      </x:c>
      <x:c r="M121" s="25" t="b">
        <x:f>SUMIF('EEZ LME Pairs'!$A$2:$A$351,A121,'EEZ LME Pairs'!$L$2:$L$351)&gt;0</x:f>
        <x:v>0</x:v>
      </x:c>
      <x:c r="N121" s="25" t="b">
        <x:f>SUMIF('EEZ LME Pairs'!$A$2:$A$351,A121,'EEZ LME Pairs'!$M$2:$M$351)&gt;0</x:f>
        <x:v>0</x:v>
      </x:c>
      <x:c r="O121" s="25" t="str"/>
      <x:c r="P121" s="25" t="str"/>
      <x:c r="Q121" s="25" t="str"/>
      <x:c r="R121" s="35" t="n">
        <x:v>0</x:v>
      </x:c>
      <x:c r="S121" s="34" t="n">
        <x:v>0.38220438414985164</x:v>
      </x:c>
      <x:c r="T121" s="33" t="n">
        <x:v>0.3841173252816966</x:v>
      </x:c>
      <x:c r="U121" s="33" t="n">
        <x:v>0</x:v>
      </x:c>
    </x:row>
    <x:row r="122" ht="18" customHeight="1">
      <x:c r="A122" s="25" t="str">
        <x:v>EEZ_520</x:v>
      </x:c>
      <x:c r="B122" s="25" t="str">
        <x:v>EEZ_520</x:v>
      </x:c>
      <x:c r="C122" s="25" t="str">
        <x:v>Nauru</x:v>
      </x:c>
      <x:c r="D122" s="25" t="n">
        <x:v>520</x:v>
      </x:c>
      <x:c r="E122" s="32" t="n">
        <x:v>307581.0179795556</x:v>
      </x:c>
      <x:c r="F122" s="32" t="n">
        <x:v>0</x:v>
      </x:c>
      <x:c r="G122" s="34" t="n">
        <x:f>F122/E122</x:f>
        <x:v>0</x:v>
      </x:c>
      <x:c r="H122" s="32" t="n">
        <x:v>300.8893058600617</x:v>
      </x:c>
      <x:c r="I122" s="34" t="n">
        <x:f>H122/E122</x:f>
        <x:v>0.0009782440666740407</x:v>
      </x:c>
      <x:c r="J122" s="32" t="n">
        <x:v>307280.12897166866</x:v>
      </x:c>
      <x:c r="K122" s="36" t="b">
        <x:v>0</x:v>
      </x:c>
      <x:c r="L122" s="25" t="b">
        <x:f>G122&lt;'Selection Rules'!$B$4</x:f>
        <x:v>1</x:v>
      </x:c>
      <x:c r="M122" s="25" t="b">
        <x:f>SUMIF('EEZ LME Pairs'!$A$2:$A$351,A122,'EEZ LME Pairs'!$L$2:$L$351)&gt;0</x:f>
        <x:v>0</x:v>
      </x:c>
      <x:c r="N122" s="25" t="b">
        <x:f>SUMIF('EEZ LME Pairs'!$A$2:$A$351,A122,'EEZ LME Pairs'!$M$2:$M$351)&gt;0</x:f>
        <x:v>0</x:v>
      </x:c>
      <x:c r="O122" s="25" t="str"/>
      <x:c r="P122" s="25" t="str"/>
      <x:c r="Q122" s="25" t="str"/>
      <x:c r="R122" s="35" t="n">
        <x:v>0</x:v>
      </x:c>
      <x:c r="S122" s="34" t="n">
        <x:v>0</x:v>
      </x:c>
      <x:c r="T122" s="33" t="n">
        <x:v>0</x:v>
      </x:c>
      <x:c r="U122" s="33" t="n">
        <x:v>0</x:v>
      </x:c>
    </x:row>
    <x:row r="123" ht="18" customHeight="1">
      <x:c r="A123" s="25" t="str">
        <x:v>EEZ_528</x:v>
      </x:c>
      <x:c r="B123" s="25" t="str">
        <x:v>EEZ_528</x:v>
      </x:c>
      <x:c r="C123" s="25" t="str">
        <x:v>Netherlands</x:v>
      </x:c>
      <x:c r="D123" s="25" t="n">
        <x:v>528</x:v>
      </x:c>
      <x:c r="E123" s="32" t="n">
        <x:v>61829.80129591206</x:v>
      </x:c>
      <x:c r="F123" s="32" t="n">
        <x:v>61664.944586457976</x:v>
      </x:c>
      <x:c r="G123" s="34" t="n">
        <x:f>F123/E123</x:f>
        <x:v>0.9973337014514232</x:v>
      </x:c>
      <x:c r="H123" s="32" t="n">
        <x:v>0</x:v>
      </x:c>
      <x:c r="I123" s="34" t="n">
        <x:f>H123/E123</x:f>
        <x:v>0</x:v>
      </x:c>
      <x:c r="J123" s="32" t="n">
        <x:v>164.85632553814517</x:v>
      </x:c>
      <x:c r="K123" s="36" t="b">
        <x:v>0</x:v>
      </x:c>
      <x:c r="L123" s="25" t="b">
        <x:f>G123&lt;'Selection Rules'!$B$4</x:f>
        <x:v>0</x:v>
      </x:c>
      <x:c r="M123" s="25" t="b">
        <x:f>SUMIF('EEZ LME Pairs'!$A$2:$A$351,A123,'EEZ LME Pairs'!$L$2:$L$351)&gt;0</x:f>
        <x:v>0</x:v>
      </x:c>
      <x:c r="N123" s="25" t="b">
        <x:f>SUMIF('EEZ LME Pairs'!$A$2:$A$351,A123,'EEZ LME Pairs'!$M$2:$M$351)&gt;0</x:f>
        <x:v>0</x:v>
      </x:c>
      <x:c r="O123" s="25" t="str"/>
      <x:c r="P123" s="25" t="str"/>
      <x:c r="Q123" s="25" t="str"/>
      <x:c r="R123" s="35" t="n">
        <x:v>0</x:v>
      </x:c>
      <x:c r="S123" s="34" t="n">
        <x:v>0.08853127457760246</x:v>
      </x:c>
      <x:c r="T123" s="33" t="n">
        <x:v>0.08876795645104801</x:v>
      </x:c>
      <x:c r="U123" s="33" t="n">
        <x:v>0</x:v>
      </x:c>
    </x:row>
    <x:row r="124" ht="18" customHeight="1">
      <x:c r="A124" s="25" t="str">
        <x:v>EEZ_540</x:v>
      </x:c>
      <x:c r="B124" s="25" t="str">
        <x:v>EEZ_540</x:v>
      </x:c>
      <x:c r="C124" s="25" t="str">
        <x:v>New Caledonia (France)</x:v>
      </x:c>
      <x:c r="D124" s="25" t="n">
        <x:v>540</x:v>
      </x:c>
      <x:c r="E124" s="32" t="n">
        <x:v>1364197.552630788</x:v>
      </x:c>
      <x:c r="F124" s="32" t="n">
        <x:v>6620.171973271782</x:v>
      </x:c>
      <x:c r="G124" s="34" t="n">
        <x:f>F124/E124</x:f>
        <x:v>0.0048527956676839845</x:v>
      </x:c>
      <x:c r="H124" s="32" t="n">
        <x:v>155.42153052354234</x:v>
      </x:c>
      <x:c r="I124" s="34" t="n">
        <x:f>H124/E124</x:f>
        <x:v>0.0001139289029098605</x:v>
      </x:c>
      <x:c r="J124" s="32" t="n">
        <x:v>1357421.959744687</x:v>
      </x:c>
      <x:c r="K124" s="36" t="b">
        <x:v>1</x:v>
      </x:c>
      <x:c r="L124" s="25" t="b">
        <x:f>G124&lt;'Selection Rules'!$B$4</x:f>
        <x:v>1</x:v>
      </x:c>
      <x:c r="M124" s="25" t="b">
        <x:f>SUMIF('EEZ LME Pairs'!$A$2:$A$351,A124,'EEZ LME Pairs'!$L$2:$L$351)&gt;0</x:f>
        <x:v>0</x:v>
      </x:c>
      <x:c r="N124" s="25" t="b">
        <x:f>SUMIF('EEZ LME Pairs'!$A$2:$A$351,A124,'EEZ LME Pairs'!$M$2:$M$351)&gt;0</x:f>
        <x:v>0</x:v>
      </x:c>
      <x:c r="O124" s="25" t="str"/>
      <x:c r="P124" s="25" t="str"/>
      <x:c r="Q124" s="25" t="str"/>
      <x:c r="R124" s="35" t="n">
        <x:v>0</x:v>
      </x:c>
      <x:c r="S124" s="34" t="n">
        <x:v>0.0036689887674802497</x:v>
      </x:c>
      <x:c r="T124" s="33" t="n">
        <x:v>2.0924727970494787</x:v>
      </x:c>
      <x:c r="U124" s="33" t="n">
        <x:v>0</x:v>
      </x:c>
    </x:row>
    <x:row r="125" ht="18" customHeight="1">
      <x:c r="A125" s="25" t="str">
        <x:v>EEZ_548</x:v>
      </x:c>
      <x:c r="B125" s="25" t="str">
        <x:v>EEZ_548</x:v>
      </x:c>
      <x:c r="C125" s="25" t="str">
        <x:v>Vanuatu</x:v>
      </x:c>
      <x:c r="D125" s="25" t="n">
        <x:v>548</x:v>
      </x:c>
      <x:c r="E125" s="32" t="n">
        <x:v>812272.3024955937</x:v>
      </x:c>
      <x:c r="F125" s="32" t="n">
        <x:v>0</x:v>
      </x:c>
      <x:c r="G125" s="34" t="n">
        <x:f>F125/E125</x:f>
        <x:v>0</x:v>
      </x:c>
      <x:c r="H125" s="32" t="n">
        <x:v>0</x:v>
      </x:c>
      <x:c r="I125" s="34" t="n">
        <x:f>H125/E125</x:f>
        <x:v>0</x:v>
      </x:c>
      <x:c r="J125" s="32" t="n">
        <x:v>812272.302495592</x:v>
      </x:c>
      <x:c r="K125" s="36" t="b">
        <x:v>1</x:v>
      </x:c>
      <x:c r="L125" s="25" t="b">
        <x:f>G125&lt;'Selection Rules'!$B$4</x:f>
        <x:v>1</x:v>
      </x:c>
      <x:c r="M125" s="25" t="b">
        <x:f>SUMIF('EEZ LME Pairs'!$A$2:$A$351,A125,'EEZ LME Pairs'!$L$2:$L$351)&gt;0</x:f>
        <x:v>0</x:v>
      </x:c>
      <x:c r="N125" s="25" t="b">
        <x:f>SUMIF('EEZ LME Pairs'!$A$2:$A$351,A125,'EEZ LME Pairs'!$M$2:$M$351)&gt;0</x:f>
        <x:v>0</x:v>
      </x:c>
      <x:c r="O125" s="25" t="str"/>
      <x:c r="P125" s="25" t="str"/>
      <x:c r="Q125" s="25" t="str"/>
      <x:c r="R125" s="35" t="n">
        <x:v>0</x:v>
      </x:c>
      <x:c r="S125" s="34" t="n">
        <x:v>0</x:v>
      </x:c>
      <x:c r="T125" s="33" t="n">
        <x:v>0</x:v>
      </x:c>
      <x:c r="U125" s="33" t="n">
        <x:v>0</x:v>
      </x:c>
    </x:row>
    <x:row r="126" ht="18" customHeight="1">
      <x:c r="A126" s="25" t="str">
        <x:v>EEZ_554</x:v>
      </x:c>
      <x:c r="B126" s="25" t="str">
        <x:v>EEZ_554</x:v>
      </x:c>
      <x:c r="C126" s="25" t="str">
        <x:v>New Zealand</x:v>
      </x:c>
      <x:c r="D126" s="25" t="n">
        <x:v>554</x:v>
      </x:c>
      <x:c r="E126" s="32" t="n">
        <x:v>3473197.167140932</x:v>
      </x:c>
      <x:c r="F126" s="32" t="n">
        <x:v>866218.9936120085</x:v>
      </x:c>
      <x:c r="G126" s="34" t="n">
        <x:f>F126/E126</x:f>
        <x:v>0.2494010423039309</x:v>
      </x:c>
      <x:c r="H126" s="32" t="n">
        <x:v>775211.3427037826</x:v>
      </x:c>
      <x:c r="I126" s="34" t="n">
        <x:f>H126/E126</x:f>
        <x:v>0.22319819618588527</x:v>
      </x:c>
      <x:c r="J126" s="32" t="n">
        <x:v>1831771.5985090788</x:v>
      </x:c>
      <x:c r="K126" s="36" t="b">
        <x:v>1</x:v>
      </x:c>
      <x:c r="L126" s="25" t="b">
        <x:f>G126&lt;'Selection Rules'!$B$4</x:f>
        <x:v>0</x:v>
      </x:c>
      <x:c r="M126" s="25" t="b">
        <x:f>SUMIF('EEZ LME Pairs'!$A$2:$A$351,A126,'EEZ LME Pairs'!$L$2:$L$351)&gt;0</x:f>
        <x:v>0</x:v>
      </x:c>
      <x:c r="N126" s="25" t="b">
        <x:f>SUMIF('EEZ LME Pairs'!$A$2:$A$351,A126,'EEZ LME Pairs'!$M$2:$M$351)&gt;0</x:f>
        <x:v>0</x:v>
      </x:c>
      <x:c r="O126" s="25" t="str"/>
      <x:c r="P126" s="25" t="str"/>
      <x:c r="Q126" s="25" t="str"/>
      <x:c r="R126" s="35" t="n">
        <x:v>0</x:v>
      </x:c>
      <x:c r="S126" s="34" t="n">
        <x:v>0.8945975434467449</x:v>
      </x:c>
      <x:c r="T126" s="33" t="n">
        <x:v>3.58698398043</x:v>
      </x:c>
      <x:c r="U126" s="33" t="n">
        <x:v>0</x:v>
      </x:c>
    </x:row>
    <x:row r="127" ht="18" customHeight="1">
      <x:c r="A127" s="25" t="str">
        <x:v>EEZ_555</x:v>
      </x:c>
      <x:c r="B127" s="25" t="str">
        <x:v>EEZ_555</x:v>
      </x:c>
      <x:c r="C127" s="25" t="str">
        <x:v>Kermadec Isl. (New Zealand)</x:v>
      </x:c>
      <x:c r="D127" s="25" t="n">
        <x:v>555</x:v>
      </x:c>
      <x:c r="E127" s="32" t="n">
        <x:v>619826.0818347232</x:v>
      </x:c>
      <x:c r="F127" s="32" t="n">
        <x:v>0</x:v>
      </x:c>
      <x:c r="G127" s="34" t="n">
        <x:f>F127/E127</x:f>
        <x:v>0</x:v>
      </x:c>
      <x:c r="H127" s="32" t="n">
        <x:v>458421.6023892153</x:v>
      </x:c>
      <x:c r="I127" s="34" t="n">
        <x:f>H127/E127</x:f>
        <x:v>0.7395971480132931</x:v>
      </x:c>
      <x:c r="J127" s="32" t="n">
        <x:v>161404.4785164247</x:v>
      </x:c>
      <x:c r="K127" s="36" t="b">
        <x:v>0</x:v>
      </x:c>
      <x:c r="L127" s="25" t="b">
        <x:f>G127&lt;'Selection Rules'!$B$4</x:f>
        <x:v>1</x:v>
      </x:c>
      <x:c r="M127" s="25" t="b">
        <x:f>SUMIF('EEZ LME Pairs'!$A$2:$A$351,A127,'EEZ LME Pairs'!$L$2:$L$351)&gt;0</x:f>
        <x:v>0</x:v>
      </x:c>
      <x:c r="N127" s="25" t="b">
        <x:f>SUMIF('EEZ LME Pairs'!$A$2:$A$351,A127,'EEZ LME Pairs'!$M$2:$M$351)&gt;0</x:f>
        <x:v>0</x:v>
      </x:c>
      <x:c r="O127" s="25" t="str"/>
      <x:c r="P127" s="25" t="str"/>
      <x:c r="Q127" s="25" t="str"/>
      <x:c r="R127" s="35" t="n">
        <x:v>0</x:v>
      </x:c>
      <x:c r="S127" s="34" t="n">
        <x:v>0</x:v>
      </x:c>
      <x:c r="T127" s="33" t="n">
        <x:v>0</x:v>
      </x:c>
      <x:c r="U127" s="33" t="n">
        <x:v>0</x:v>
      </x:c>
    </x:row>
    <x:row r="128" ht="18" customHeight="1">
      <x:c r="A128" s="25" t="str">
        <x:v>EEZ_566</x:v>
      </x:c>
      <x:c r="B128" s="25" t="str">
        <x:v>EEZ_566</x:v>
      </x:c>
      <x:c r="C128" s="25" t="str">
        <x:v>Nigeria</x:v>
      </x:c>
      <x:c r="D128" s="25" t="n">
        <x:v>566</x:v>
      </x:c>
      <x:c r="E128" s="32" t="n">
        <x:v>212892.55769140885</x:v>
      </x:c>
      <x:c r="F128" s="32" t="n">
        <x:v>208574.1470856653</x:v>
      </x:c>
      <x:c r="G128" s="34" t="n">
        <x:f>F128/E128</x:f>
        <x:v>0.9797155398358116</x:v>
      </x:c>
      <x:c r="H128" s="32" t="n">
        <x:v>2.782700939684158</x:v>
      </x:c>
      <x:c r="I128" s="34" t="n">
        <x:f>H128/E128</x:f>
        <x:v>0.000013070916944488625</x:v>
      </x:c>
      <x:c r="J128" s="32" t="n">
        <x:v>4317.879559489637</x:v>
      </x:c>
      <x:c r="K128" s="36" t="b">
        <x:v>1</x:v>
      </x:c>
      <x:c r="L128" s="25" t="b">
        <x:f>G128&lt;'Selection Rules'!$B$4</x:f>
        <x:v>0</x:v>
      </x:c>
      <x:c r="M128" s="25" t="b">
        <x:f>SUMIF('EEZ LME Pairs'!$A$2:$A$351,A128,'EEZ LME Pairs'!$L$2:$L$351)&gt;0</x:f>
        <x:v>0</x:v>
      </x:c>
      <x:c r="N128" s="25" t="b">
        <x:f>SUMIF('EEZ LME Pairs'!$A$2:$A$351,A128,'EEZ LME Pairs'!$M$2:$M$351)&gt;0</x:f>
        <x:v>0</x:v>
      </x:c>
      <x:c r="O128" s="25" t="str"/>
      <x:c r="P128" s="25" t="str"/>
      <x:c r="Q128" s="25" t="str"/>
      <x:c r="R128" s="35" t="n">
        <x:v>0</x:v>
      </x:c>
      <x:c r="S128" s="34" t="n">
        <x:v>0.10870650706145775</x:v>
      </x:c>
      <x:c r="T128" s="33" t="n">
        <x:v>0.11095721425392072</x:v>
      </x:c>
      <x:c r="U128" s="33" t="n">
        <x:v>0</x:v>
      </x:c>
    </x:row>
    <x:row r="129" ht="18" customHeight="1">
      <x:c r="A129" s="25" t="str">
        <x:v>EEZ_570</x:v>
      </x:c>
      <x:c r="B129" s="25" t="str">
        <x:v>EEZ_570</x:v>
      </x:c>
      <x:c r="C129" s="25" t="str">
        <x:v>Niue (New Zealand)</x:v>
      </x:c>
      <x:c r="D129" s="25" t="n">
        <x:v>570</x:v>
      </x:c>
      <x:c r="E129" s="32" t="n">
        <x:v>316888.43930466915</x:v>
      </x:c>
      <x:c r="F129" s="32" t="n">
        <x:v>0</x:v>
      </x:c>
      <x:c r="G129" s="34" t="n">
        <x:f>F129/E129</x:f>
        <x:v>0</x:v>
      </x:c>
      <x:c r="H129" s="32" t="n">
        <x:v>14.046888529081185</x:v>
      </x:c>
      <x:c r="I129" s="34" t="n">
        <x:f>H129/E129</x:f>
        <x:v>0.000044327551235076605</x:v>
      </x:c>
      <x:c r="J129" s="32" t="n">
        <x:v>316874.39244258276</x:v>
      </x:c>
      <x:c r="K129" s="36" t="b">
        <x:v>0</x:v>
      </x:c>
      <x:c r="L129" s="25" t="b">
        <x:f>G129&lt;'Selection Rules'!$B$4</x:f>
        <x:v>1</x:v>
      </x:c>
      <x:c r="M129" s="25" t="b">
        <x:f>SUMIF('EEZ LME Pairs'!$A$2:$A$351,A129,'EEZ LME Pairs'!$L$2:$L$351)&gt;0</x:f>
        <x:v>0</x:v>
      </x:c>
      <x:c r="N129" s="25" t="b">
        <x:f>SUMIF('EEZ LME Pairs'!$A$2:$A$351,A129,'EEZ LME Pairs'!$M$2:$M$351)&gt;0</x:f>
        <x:v>0</x:v>
      </x:c>
      <x:c r="O129" s="25" t="str"/>
      <x:c r="P129" s="25" t="str"/>
      <x:c r="Q129" s="25" t="str"/>
      <x:c r="R129" s="35" t="n">
        <x:v>0</x:v>
      </x:c>
      <x:c r="S129" s="34" t="n">
        <x:v>0</x:v>
      </x:c>
      <x:c r="T129" s="33" t="n">
        <x:v>0</x:v>
      </x:c>
      <x:c r="U129" s="33" t="n">
        <x:v>0</x:v>
      </x:c>
    </x:row>
    <x:row r="130" ht="18" customHeight="1">
      <x:c r="A130" s="25" t="str">
        <x:v>EEZ_574</x:v>
      </x:c>
      <x:c r="B130" s="25" t="str">
        <x:v>EEZ_574</x:v>
      </x:c>
      <x:c r="C130" s="25" t="str">
        <x:v>Norfolk Isl. (Australia)</x:v>
      </x:c>
      <x:c r="D130" s="25" t="n">
        <x:v>574</x:v>
      </x:c>
      <x:c r="E130" s="32" t="n">
        <x:v>429484.09737153584</x:v>
      </x:c>
      <x:c r="F130" s="32" t="n">
        <x:v>0</x:v>
      </x:c>
      <x:c r="G130" s="34" t="n">
        <x:f>F130/E130</x:f>
        <x:v>0</x:v>
      </x:c>
      <x:c r="H130" s="32" t="n">
        <x:v>266.68839960471104</x:v>
      </x:c>
      <x:c r="I130" s="34" t="n">
        <x:f>H130/E130</x:f>
        <x:v>0.0006209505805613232</x:v>
      </x:c>
      <x:c r="J130" s="32" t="n">
        <x:v>429217.40948306036</x:v>
      </x:c>
      <x:c r="K130" s="36" t="b">
        <x:v>0</x:v>
      </x:c>
      <x:c r="L130" s="25" t="b">
        <x:f>G130&lt;'Selection Rules'!$B$4</x:f>
        <x:v>1</x:v>
      </x:c>
      <x:c r="M130" s="25" t="b">
        <x:f>SUMIF('EEZ LME Pairs'!$A$2:$A$351,A130,'EEZ LME Pairs'!$L$2:$L$351)&gt;0</x:f>
        <x:v>0</x:v>
      </x:c>
      <x:c r="N130" s="25" t="b">
        <x:f>SUMIF('EEZ LME Pairs'!$A$2:$A$351,A130,'EEZ LME Pairs'!$M$2:$M$351)&gt;0</x:f>
        <x:v>0</x:v>
      </x:c>
      <x:c r="O130" s="25" t="str"/>
      <x:c r="P130" s="25" t="str"/>
      <x:c r="Q130" s="25" t="str"/>
      <x:c r="R130" s="35" t="n">
        <x:v>0</x:v>
      </x:c>
      <x:c r="S130" s="34" t="n">
        <x:v>0</x:v>
      </x:c>
      <x:c r="T130" s="33" t="n">
        <x:v>0</x:v>
      </x:c>
      <x:c r="U130" s="33" t="n">
        <x:v>0</x:v>
      </x:c>
    </x:row>
    <x:row r="131" ht="18" customHeight="1">
      <x:c r="A131" s="25" t="str">
        <x:v>EEZ_578</x:v>
      </x:c>
      <x:c r="B131" s="25" t="str">
        <x:v>EEZ_578</x:v>
      </x:c>
      <x:c r="C131" s="25" t="str">
        <x:v>Norway</x:v>
      </x:c>
      <x:c r="D131" s="25" t="n">
        <x:v>578</x:v>
      </x:c>
      <x:c r="E131" s="32" t="n">
        <x:v>938451.5065379218</x:v>
      </x:c>
      <x:c r="F131" s="32" t="n">
        <x:v>930556.2698761459</x:v>
      </x:c>
      <x:c r="G131" s="34" t="n">
        <x:f>F131/E131</x:f>
        <x:v>0.9915869529679774</x:v>
      </x:c>
      <x:c r="H131" s="32" t="n">
        <x:v>60.976691132947494</x:v>
      </x:c>
      <x:c r="I131" s="34" t="n">
        <x:f>H131/E131</x:f>
        <x:v>0.00006497585725862277</x:v>
      </x:c>
      <x:c r="J131" s="32" t="n">
        <x:v>7895.228135666586</x:v>
      </x:c>
      <x:c r="K131" s="36" t="b">
        <x:v>1</x:v>
      </x:c>
      <x:c r="L131" s="25" t="b">
        <x:f>G131&lt;'Selection Rules'!$B$4</x:f>
        <x:v>0</x:v>
      </x:c>
      <x:c r="M131" s="25" t="b">
        <x:f>SUMIF('EEZ LME Pairs'!$A$2:$A$351,A131,'EEZ LME Pairs'!$L$2:$L$351)&gt;0</x:f>
        <x:v>0</x:v>
      </x:c>
      <x:c r="N131" s="25" t="b">
        <x:f>SUMIF('EEZ LME Pairs'!$A$2:$A$351,A131,'EEZ LME Pairs'!$M$2:$M$351)&gt;0</x:f>
        <x:v>0</x:v>
      </x:c>
      <x:c r="O131" s="25" t="str"/>
      <x:c r="P131" s="25" t="str"/>
      <x:c r="Q131" s="25" t="str"/>
      <x:c r="R131" s="35" t="n">
        <x:v>0</x:v>
      </x:c>
      <x:c r="S131" s="34" t="n">
        <x:v>0.45711541501248304</x:v>
      </x:c>
      <x:c r="T131" s="33" t="n">
        <x:v>1.3473182950255802</x:v>
      </x:c>
      <x:c r="U131" s="33" t="n">
        <x:v>0</x:v>
      </x:c>
    </x:row>
    <x:row r="132" ht="18" customHeight="1">
      <x:c r="A132" s="25" t="str">
        <x:v>EEZ_579</x:v>
      </x:c>
      <x:c r="B132" s="25" t="str">
        <x:v>EEZ_579</x:v>
      </x:c>
      <x:c r="C132" s="25" t="str">
        <x:v>Jan Mayen Isl. (Norway)</x:v>
      </x:c>
      <x:c r="D132" s="25" t="n">
        <x:v>579</x:v>
      </x:c>
      <x:c r="E132" s="32" t="n">
        <x:v>305376.5402938453</x:v>
      </x:c>
      <x:c r="F132" s="32" t="n">
        <x:v>305279.20700835856</x:v>
      </x:c>
      <x:c r="G132" s="34" t="n">
        <x:f>F132/E132</x:f>
        <x:v>0.9996812679671035</x:v>
      </x:c>
      <x:c r="H132" s="32" t="n">
        <x:v>2.923584460573848</x:v>
      </x:c>
      <x:c r="I132" s="34" t="n">
        <x:f>H132/E132</x:f>
        <x:v>0.000009573703526016308</x:v>
      </x:c>
      <x:c r="J132" s="32" t="n">
        <x:v>97.33411349289332</x:v>
      </x:c>
      <x:c r="K132" s="36" t="b">
        <x:v>0</x:v>
      </x:c>
      <x:c r="L132" s="25" t="b">
        <x:f>G132&lt;'Selection Rules'!$B$4</x:f>
        <x:v>0</x:v>
      </x:c>
      <x:c r="M132" s="25" t="b">
        <x:f>SUMIF('EEZ LME Pairs'!$A$2:$A$351,A132,'EEZ LME Pairs'!$L$2:$L$351)&gt;0</x:f>
        <x:v>0</x:v>
      </x:c>
      <x:c r="N132" s="25" t="b">
        <x:f>SUMIF('EEZ LME Pairs'!$A$2:$A$351,A132,'EEZ LME Pairs'!$M$2:$M$351)&gt;0</x:f>
        <x:v>0</x:v>
      </x:c>
      <x:c r="O132" s="25" t="str"/>
      <x:c r="P132" s="25" t="str"/>
      <x:c r="Q132" s="25" t="str"/>
      <x:c r="R132" s="35" t="n">
        <x:v>0</x:v>
      </x:c>
      <x:c r="S132" s="34" t="n">
        <x:v>0.12043091439184499</x:v>
      </x:c>
      <x:c r="T132" s="33" t="n">
        <x:v>0.6351595121183518</x:v>
      </x:c>
      <x:c r="U132" s="33" t="n">
        <x:v>0</x:v>
      </x:c>
    </x:row>
    <x:row r="133" ht="18" customHeight="1">
      <x:c r="A133" s="25" t="str">
        <x:v>EEZ_580</x:v>
      </x:c>
      <x:c r="B133" s="25" t="str">
        <x:v>EEZ_580</x:v>
      </x:c>
      <x:c r="C133" s="25" t="str">
        <x:v>Northern Marianas (USA)</x:v>
      </x:c>
      <x:c r="D133" s="25" t="n">
        <x:v>580</x:v>
      </x:c>
      <x:c r="E133" s="32" t="n">
        <x:v>761316.6927831633</x:v>
      </x:c>
      <x:c r="F133" s="32" t="n">
        <x:v>0</x:v>
      </x:c>
      <x:c r="G133" s="34" t="n">
        <x:f>F133/E133</x:f>
        <x:v>0</x:v>
      </x:c>
      <x:c r="H133" s="32" t="n">
        <x:v>480.74042864253005</x:v>
      </x:c>
      <x:c r="I133" s="34" t="n">
        <x:f>H133/E133</x:f>
        <x:v>0.0006314591985170796</x:v>
      </x:c>
      <x:c r="J133" s="32" t="n">
        <x:v>760835.9541503236</x:v>
      </x:c>
      <x:c r="K133" s="36" t="b">
        <x:v>0</x:v>
      </x:c>
      <x:c r="L133" s="25" t="b">
        <x:f>G133&lt;'Selection Rules'!$B$4</x:f>
        <x:v>1</x:v>
      </x:c>
      <x:c r="M133" s="25" t="b">
        <x:f>SUMIF('EEZ LME Pairs'!$A$2:$A$351,A133,'EEZ LME Pairs'!$L$2:$L$351)&gt;0</x:f>
        <x:v>0</x:v>
      </x:c>
      <x:c r="N133" s="25" t="b">
        <x:f>SUMIF('EEZ LME Pairs'!$A$2:$A$351,A133,'EEZ LME Pairs'!$M$2:$M$351)&gt;0</x:f>
        <x:v>0</x:v>
      </x:c>
      <x:c r="O133" s="25" t="str"/>
      <x:c r="P133" s="25" t="str"/>
      <x:c r="Q133" s="25" t="str"/>
      <x:c r="R133" s="35" t="n">
        <x:v>0</x:v>
      </x:c>
      <x:c r="S133" s="34" t="n">
        <x:v>0</x:v>
      </x:c>
      <x:c r="T133" s="33" t="n">
        <x:v>0</x:v>
      </x:c>
      <x:c r="U133" s="33" t="n">
        <x:v>0</x:v>
      </x:c>
    </x:row>
    <x:row r="134" ht="18" customHeight="1">
      <x:c r="A134" s="25" t="str">
        <x:v>EEZ_583</x:v>
      </x:c>
      <x:c r="B134" s="25" t="str">
        <x:v>EEZ_583</x:v>
      </x:c>
      <x:c r="C134" s="25" t="str">
        <x:v>Micronesia (Federated States of)</x:v>
      </x:c>
      <x:c r="D134" s="25" t="n">
        <x:v>583</x:v>
      </x:c>
      <x:c r="E134" s="32" t="n">
        <x:v>2992084.6679110792</x:v>
      </x:c>
      <x:c r="F134" s="32" t="n">
        <x:v>0</x:v>
      </x:c>
      <x:c r="G134" s="34" t="n">
        <x:f>F134/E134</x:f>
        <x:v>0</x:v>
      </x:c>
      <x:c r="H134" s="32" t="n">
        <x:v>1579.760630884841</x:v>
      </x:c>
      <x:c r="I134" s="34" t="n">
        <x:f>H134/E134</x:f>
        <x:v>0.0005279799224357342</x:v>
      </x:c>
      <x:c r="J134" s="32" t="n">
        <x:v>2990504.907220522</x:v>
      </x:c>
      <x:c r="K134" s="36" t="b">
        <x:v>1</x:v>
      </x:c>
      <x:c r="L134" s="25" t="b">
        <x:f>G134&lt;'Selection Rules'!$B$4</x:f>
        <x:v>1</x:v>
      </x:c>
      <x:c r="M134" s="25" t="b">
        <x:f>SUMIF('EEZ LME Pairs'!$A$2:$A$351,A134,'EEZ LME Pairs'!$L$2:$L$351)&gt;0</x:f>
        <x:v>0</x:v>
      </x:c>
      <x:c r="N134" s="25" t="b">
        <x:f>SUMIF('EEZ LME Pairs'!$A$2:$A$351,A134,'EEZ LME Pairs'!$M$2:$M$351)&gt;0</x:f>
        <x:v>0</x:v>
      </x:c>
      <x:c r="O134" s="25" t="str"/>
      <x:c r="P134" s="25" t="str"/>
      <x:c r="Q134" s="25" t="str"/>
      <x:c r="R134" s="35" t="n">
        <x:v>0</x:v>
      </x:c>
      <x:c r="S134" s="34" t="n">
        <x:v>0</x:v>
      </x:c>
      <x:c r="T134" s="33" t="n">
        <x:v>0</x:v>
      </x:c>
      <x:c r="U134" s="33" t="n">
        <x:v>0</x:v>
      </x:c>
    </x:row>
    <x:row r="135" ht="18" customHeight="1">
      <x:c r="A135" s="25" t="str">
        <x:v>EEZ_584</x:v>
      </x:c>
      <x:c r="B135" s="25" t="str">
        <x:v>EEZ_584</x:v>
      </x:c>
      <x:c r="C135" s="25" t="str">
        <x:v>Marshall Isl.</x:v>
      </x:c>
      <x:c r="D135" s="25" t="n">
        <x:v>584</x:v>
      </x:c>
      <x:c r="E135" s="32" t="n">
        <x:v>1991807.4547403601</x:v>
      </x:c>
      <x:c r="F135" s="32" t="n">
        <x:v>0</x:v>
      </x:c>
      <x:c r="G135" s="34" t="n">
        <x:f>F135/E135</x:f>
        <x:v>0</x:v>
      </x:c>
      <x:c r="H135" s="32" t="n">
        <x:v>5.065647828030387</x:v>
      </x:c>
      <x:c r="I135" s="34" t="n">
        <x:f>H135/E135</x:f>
        <x:v>0.000002543241725486319</x:v>
      </x:c>
      <x:c r="J135" s="32" t="n">
        <x:v>1991802.3888519602</x:v>
      </x:c>
      <x:c r="K135" s="36" t="b">
        <x:v>1</x:v>
      </x:c>
      <x:c r="L135" s="25" t="b">
        <x:f>G135&lt;'Selection Rules'!$B$4</x:f>
        <x:v>1</x:v>
      </x:c>
      <x:c r="M135" s="25" t="b">
        <x:f>SUMIF('EEZ LME Pairs'!$A$2:$A$351,A135,'EEZ LME Pairs'!$L$2:$L$351)&gt;0</x:f>
        <x:v>0</x:v>
      </x:c>
      <x:c r="N135" s="25" t="b">
        <x:f>SUMIF('EEZ LME Pairs'!$A$2:$A$351,A135,'EEZ LME Pairs'!$M$2:$M$351)&gt;0</x:f>
        <x:v>0</x:v>
      </x:c>
      <x:c r="O135" s="25" t="str"/>
      <x:c r="P135" s="25" t="str"/>
      <x:c r="Q135" s="25" t="str"/>
      <x:c r="R135" s="35" t="n">
        <x:v>0</x:v>
      </x:c>
      <x:c r="S135" s="34" t="n">
        <x:v>0</x:v>
      </x:c>
      <x:c r="T135" s="33" t="n">
        <x:v>0</x:v>
      </x:c>
      <x:c r="U135" s="33" t="n">
        <x:v>0</x:v>
      </x:c>
    </x:row>
    <x:row r="136" ht="18" customHeight="1">
      <x:c r="A136" s="25" t="str">
        <x:v>EEZ_585</x:v>
      </x:c>
      <x:c r="B136" s="25" t="str">
        <x:v>EEZ_585</x:v>
      </x:c>
      <x:c r="C136" s="25" t="str">
        <x:v>Palau</x:v>
      </x:c>
      <x:c r="D136" s="25" t="n">
        <x:v>585</x:v>
      </x:c>
      <x:c r="E136" s="32" t="n">
        <x:v>614552.6600363074</x:v>
      </x:c>
      <x:c r="F136" s="32" t="n">
        <x:v>0</x:v>
      </x:c>
      <x:c r="G136" s="34" t="n">
        <x:f>F136/E136</x:f>
        <x:v>0</x:v>
      </x:c>
      <x:c r="H136" s="32" t="n">
        <x:v>8709.072672425116</x:v>
      </x:c>
      <x:c r="I136" s="34" t="n">
        <x:f>H136/E136</x:f>
        <x:v>0.01417140179966122</x:v>
      </x:c>
      <x:c r="J136" s="32" t="n">
        <x:v>605843.5872899939</x:v>
      </x:c>
      <x:c r="K136" s="36" t="b">
        <x:v>1</x:v>
      </x:c>
      <x:c r="L136" s="25" t="b">
        <x:f>G136&lt;'Selection Rules'!$B$4</x:f>
        <x:v>1</x:v>
      </x:c>
      <x:c r="M136" s="25" t="b">
        <x:f>SUMIF('EEZ LME Pairs'!$A$2:$A$351,A136,'EEZ LME Pairs'!$L$2:$L$351)&gt;0</x:f>
        <x:v>0</x:v>
      </x:c>
      <x:c r="N136" s="25" t="b">
        <x:f>SUMIF('EEZ LME Pairs'!$A$2:$A$351,A136,'EEZ LME Pairs'!$M$2:$M$351)&gt;0</x:f>
        <x:v>0</x:v>
      </x:c>
      <x:c r="O136" s="25" t="str"/>
      <x:c r="P136" s="25" t="str"/>
      <x:c r="Q136" s="25" t="str"/>
      <x:c r="R136" s="35" t="n">
        <x:v>0</x:v>
      </x:c>
      <x:c r="S136" s="34" t="n">
        <x:v>0</x:v>
      </x:c>
      <x:c r="T136" s="33" t="n">
        <x:v>0</x:v>
      </x:c>
      <x:c r="U136" s="33" t="n">
        <x:v>0</x:v>
      </x:c>
    </x:row>
    <x:row r="137" ht="18" customHeight="1">
      <x:c r="A137" s="25" t="str">
        <x:v>EEZ_586</x:v>
      </x:c>
      <x:c r="B137" s="25" t="str">
        <x:v>EEZ_586</x:v>
      </x:c>
      <x:c r="C137" s="25" t="str">
        <x:v>Pakistan</x:v>
      </x:c>
      <x:c r="D137" s="25" t="n">
        <x:v>586</x:v>
      </x:c>
      <x:c r="E137" s="32" t="n">
        <x:v>224044.43640127857</x:v>
      </x:c>
      <x:c r="F137" s="32" t="n">
        <x:v>222219.95902239316</x:v>
      </x:c>
      <x:c r="G137" s="34" t="n">
        <x:f>F137/E137</x:f>
        <x:v>0.9918566271575803</x:v>
      </x:c>
      <x:c r="H137" s="32" t="n">
        <x:v>178.78704276986804</x:v>
      </x:c>
      <x:c r="I137" s="34" t="n">
        <x:f>H137/E137</x:f>
        <x:v>0.0007979981366270059</x:v>
      </x:c>
      <x:c r="J137" s="32" t="n">
        <x:v>1824.4784685719542</x:v>
      </x:c>
      <x:c r="K137" s="36" t="b">
        <x:v>1</x:v>
      </x:c>
      <x:c r="L137" s="25" t="b">
        <x:f>G137&lt;'Selection Rules'!$B$4</x:f>
        <x:v>0</x:v>
      </x:c>
      <x:c r="M137" s="25" t="b">
        <x:f>SUMIF('EEZ LME Pairs'!$A$2:$A$351,A137,'EEZ LME Pairs'!$L$2:$L$351)&gt;0</x:f>
        <x:v>0</x:v>
      </x:c>
      <x:c r="N137" s="25" t="b">
        <x:f>SUMIF('EEZ LME Pairs'!$A$2:$A$351,A137,'EEZ LME Pairs'!$M$2:$M$351)&gt;0</x:f>
        <x:v>0</x:v>
      </x:c>
      <x:c r="O137" s="25" t="str"/>
      <x:c r="P137" s="25" t="str"/>
      <x:c r="Q137" s="25" t="str"/>
      <x:c r="R137" s="35" t="n">
        <x:v>0</x:v>
      </x:c>
      <x:c r="S137" s="34" t="n">
        <x:v>0.05651716474676418</x:v>
      </x:c>
      <x:c r="T137" s="33" t="n">
        <x:v>0.056981183771215624</x:v>
      </x:c>
      <x:c r="U137" s="33" t="n">
        <x:v>0</x:v>
      </x:c>
    </x:row>
    <x:row r="138" ht="18" customHeight="1">
      <x:c r="A138" s="25" t="str">
        <x:v>EEZ_598</x:v>
      </x:c>
      <x:c r="B138" s="25" t="str">
        <x:v>EEZ_598</x:v>
      </x:c>
      <x:c r="C138" s="25" t="str">
        <x:v>Papua New Guinea</x:v>
      </x:c>
      <x:c r="D138" s="25" t="n">
        <x:v>598</x:v>
      </x:c>
      <x:c r="E138" s="32" t="n">
        <x:v>2398837.4171039592</x:v>
      </x:c>
      <x:c r="F138" s="32" t="n">
        <x:v>4095.4875185090764</x:v>
      </x:c>
      <x:c r="G138" s="34" t="n">
        <x:f>F138/E138</x:f>
        <x:v>0.0017072801555069244</x:v>
      </x:c>
      <x:c r="H138" s="32" t="n">
        <x:v>2.2125812299219163</x:v>
      </x:c>
      <x:c r="I138" s="34" t="n">
        <x:f>H138/E138</x:f>
        <x:v>9.223556436738826e-7</x:v>
      </x:c>
      <x:c r="J138" s="32" t="n">
        <x:v>2394739.7173205353</x:v>
      </x:c>
      <x:c r="K138" s="36" t="b">
        <x:v>1</x:v>
      </x:c>
      <x:c r="L138" s="25" t="b">
        <x:f>G138&lt;'Selection Rules'!$B$4</x:f>
        <x:v>1</x:v>
      </x:c>
      <x:c r="M138" s="25" t="b">
        <x:f>SUMIF('EEZ LME Pairs'!$A$2:$A$351,A138,'EEZ LME Pairs'!$L$2:$L$351)&gt;0</x:f>
        <x:v>0</x:v>
      </x:c>
      <x:c r="N138" s="25" t="b">
        <x:f>SUMIF('EEZ LME Pairs'!$A$2:$A$351,A138,'EEZ LME Pairs'!$M$2:$M$351)&gt;0</x:f>
        <x:v>0</x:v>
      </x:c>
      <x:c r="O138" s="25" t="str"/>
      <x:c r="P138" s="25" t="str"/>
      <x:c r="Q138" s="25" t="str"/>
      <x:c r="R138" s="35" t="n">
        <x:v>0</x:v>
      </x:c>
      <x:c r="S138" s="34" t="n">
        <x:v>0.0031741606592844093</x:v>
      </x:c>
      <x:c r="T138" s="33" t="n">
        <x:v>3.0784567468768422</x:v>
      </x:c>
      <x:c r="U138" s="33" t="n">
        <x:v>0</x:v>
      </x:c>
    </x:row>
    <x:row r="139" ht="18" customHeight="1">
      <x:c r="A139" s="25" t="str">
        <x:v>EEZ_604</x:v>
      </x:c>
      <x:c r="B139" s="25" t="str">
        <x:v>EEZ_604</x:v>
      </x:c>
      <x:c r="C139" s="25" t="str">
        <x:v>Peru</x:v>
      </x:c>
      <x:c r="D139" s="25" t="n">
        <x:v>604</x:v>
      </x:c>
      <x:c r="E139" s="32" t="n">
        <x:v>851965.3818763017</x:v>
      </x:c>
      <x:c r="F139" s="32" t="n">
        <x:v>709707.6660318323</x:v>
      </x:c>
      <x:c r="G139" s="34" t="n">
        <x:f>F139/E139</x:f>
        <x:v>0.8330240654483259</x:v>
      </x:c>
      <x:c r="H139" s="32" t="n">
        <x:v>6.536133765988365</x:v>
      </x:c>
      <x:c r="I139" s="34" t="n">
        <x:f>H139/E139</x:f>
        <x:v>0.000007671830223422572</x:v>
      </x:c>
      <x:c r="J139" s="32" t="n">
        <x:v>142251.17693573196</x:v>
      </x:c>
      <x:c r="K139" s="36" t="b">
        <x:v>0</x:v>
      </x:c>
      <x:c r="L139" s="25" t="b">
        <x:f>G139&lt;'Selection Rules'!$B$4</x:f>
        <x:v>0</x:v>
      </x:c>
      <x:c r="M139" s="25" t="b">
        <x:f>SUMIF('EEZ LME Pairs'!$A$2:$A$351,A139,'EEZ LME Pairs'!$L$2:$L$351)&gt;0</x:f>
        <x:v>0</x:v>
      </x:c>
      <x:c r="N139" s="25" t="b">
        <x:f>SUMIF('EEZ LME Pairs'!$A$2:$A$351,A139,'EEZ LME Pairs'!$M$2:$M$351)&gt;0</x:f>
        <x:v>0</x:v>
      </x:c>
      <x:c r="O139" s="25" t="str"/>
      <x:c r="P139" s="25" t="str"/>
      <x:c r="Q139" s="25" t="str"/>
      <x:c r="R139" s="35" t="n">
        <x:v>0</x:v>
      </x:c>
      <x:c r="S139" s="34" t="n">
        <x:v>0.27349031045434535</x:v>
      </x:c>
      <x:c r="T139" s="33" t="n">
        <x:v>0.42992456929382533</x:v>
      </x:c>
      <x:c r="U139" s="33" t="n">
        <x:v>0</x:v>
      </x:c>
    </x:row>
    <x:row r="140" ht="18" customHeight="1">
      <x:c r="A140" s="25" t="str">
        <x:v>EEZ_608</x:v>
      </x:c>
      <x:c r="B140" s="25" t="str">
        <x:v>EEZ_608</x:v>
      </x:c>
      <x:c r="C140" s="25" t="str">
        <x:v>Philippines</x:v>
      </x:c>
      <x:c r="D140" s="25" t="n">
        <x:v>608</x:v>
      </x:c>
      <x:c r="E140" s="32" t="n">
        <x:v>2326286.2631614525</x:v>
      </x:c>
      <x:c r="F140" s="32" t="n">
        <x:v>1555721.7049184248</x:v>
      </x:c>
      <x:c r="G140" s="34" t="n">
        <x:f>F140/E140</x:f>
        <x:v>0.6687576372497593</x:v>
      </x:c>
      <x:c r="H140" s="32" t="n">
        <x:v>125.72026336338944</x:v>
      </x:c>
      <x:c r="I140" s="34" t="n">
        <x:f>H140/E140</x:f>
        <x:v>0.00005404333308168789</x:v>
      </x:c>
      <x:c r="J140" s="32" t="n">
        <x:v>770438.8429934012</x:v>
      </x:c>
      <x:c r="K140" s="36" t="b">
        <x:v>1</x:v>
      </x:c>
      <x:c r="L140" s="25" t="b">
        <x:f>G140&lt;'Selection Rules'!$B$4</x:f>
        <x:v>0</x:v>
      </x:c>
      <x:c r="M140" s="25" t="b">
        <x:f>SUMIF('EEZ LME Pairs'!$A$2:$A$351,A140,'EEZ LME Pairs'!$L$2:$L$351)&gt;0</x:f>
        <x:v>0</x:v>
      </x:c>
      <x:c r="N140" s="25" t="b">
        <x:f>SUMIF('EEZ LME Pairs'!$A$2:$A$351,A140,'EEZ LME Pairs'!$M$2:$M$351)&gt;0</x:f>
        <x:v>0</x:v>
      </x:c>
      <x:c r="O140" s="25" t="str"/>
      <x:c r="P140" s="25" t="str"/>
      <x:c r="Q140" s="25" t="str"/>
      <x:c r="R140" s="35" t="n">
        <x:v>0</x:v>
      </x:c>
      <x:c r="S140" s="34" t="n">
        <x:v>0.6369281900532595</x:v>
      </x:c>
      <x:c r="T140" s="33" t="n">
        <x:v>2.2944872592888763</x:v>
      </x:c>
      <x:c r="U140" s="33" t="n">
        <x:v>0</x:v>
      </x:c>
    </x:row>
    <x:row r="141" ht="18" customHeight="1">
      <x:c r="A141" s="25" t="str">
        <x:v>EEZ_612</x:v>
      </x:c>
      <x:c r="B141" s="25" t="str">
        <x:v>EEZ_612</x:v>
      </x:c>
      <x:c r="C141" s="25" t="str">
        <x:v>Pitcairn (UK)</x:v>
      </x:c>
      <x:c r="D141" s="25" t="n">
        <x:v>612</x:v>
      </x:c>
      <x:c r="E141" s="32" t="n">
        <x:v>836155.2219334979</x:v>
      </x:c>
      <x:c r="F141" s="32" t="n">
        <x:v>0</x:v>
      </x:c>
      <x:c r="G141" s="34" t="n">
        <x:f>F141/E141</x:f>
        <x:v>0</x:v>
      </x:c>
      <x:c r="H141" s="32" t="n">
        <x:v>10.307179049214993</x:v>
      </x:c>
      <x:c r="I141" s="34" t="n">
        <x:f>H141/E141</x:f>
        <x:v>0.000012326872784913081</x:v>
      </x:c>
      <x:c r="J141" s="32" t="n">
        <x:v>836144.9151352808</x:v>
      </x:c>
      <x:c r="K141" s="36" t="b">
        <x:v>1</x:v>
      </x:c>
      <x:c r="L141" s="25" t="b">
        <x:f>G141&lt;'Selection Rules'!$B$4</x:f>
        <x:v>1</x:v>
      </x:c>
      <x:c r="M141" s="25" t="b">
        <x:f>SUMIF('EEZ LME Pairs'!$A$2:$A$351,A141,'EEZ LME Pairs'!$L$2:$L$351)&gt;0</x:f>
        <x:v>0</x:v>
      </x:c>
      <x:c r="N141" s="25" t="b">
        <x:f>SUMIF('EEZ LME Pairs'!$A$2:$A$351,A141,'EEZ LME Pairs'!$M$2:$M$351)&gt;0</x:f>
        <x:v>0</x:v>
      </x:c>
      <x:c r="O141" s="25" t="str"/>
      <x:c r="P141" s="25" t="str"/>
      <x:c r="Q141" s="25" t="str"/>
      <x:c r="R141" s="35" t="n">
        <x:v>0</x:v>
      </x:c>
      <x:c r="S141" s="34" t="n">
        <x:v>0</x:v>
      </x:c>
      <x:c r="T141" s="33" t="n">
        <x:v>0</x:v>
      </x:c>
      <x:c r="U141" s="33" t="n">
        <x:v>0</x:v>
      </x:c>
    </x:row>
    <x:row r="142" ht="18" customHeight="1">
      <x:c r="A142" s="25" t="str">
        <x:v>EEZ_616</x:v>
      </x:c>
      <x:c r="B142" s="25" t="str">
        <x:v>EEZ_616</x:v>
      </x:c>
      <x:c r="C142" s="25" t="str">
        <x:v>Poland</x:v>
      </x:c>
      <x:c r="D142" s="25" t="n">
        <x:v>616</x:v>
      </x:c>
      <x:c r="E142" s="32" t="n">
        <x:v>29732.158735194436</x:v>
      </x:c>
      <x:c r="F142" s="32" t="n">
        <x:v>29518.27961542344</x:v>
      </x:c>
      <x:c r="G142" s="34" t="n">
        <x:f>F142/E142</x:f>
        <x:v>0.9928064718853453</x:v>
      </x:c>
      <x:c r="H142" s="32" t="n">
        <x:v>0</x:v>
      </x:c>
      <x:c r="I142" s="34" t="n">
        <x:f>H142/E142</x:f>
        <x:v>0</x:v>
      </x:c>
      <x:c r="J142" s="32" t="n">
        <x:v>213.87907324642876</x:v>
      </x:c>
      <x:c r="K142" s="36" t="b">
        <x:v>1</x:v>
      </x:c>
      <x:c r="L142" s="25" t="b">
        <x:f>G142&lt;'Selection Rules'!$B$4</x:f>
        <x:v>0</x:v>
      </x:c>
      <x:c r="M142" s="25" t="b">
        <x:f>SUMIF('EEZ LME Pairs'!$A$2:$A$351,A142,'EEZ LME Pairs'!$L$2:$L$351)&gt;0</x:f>
        <x:v>0</x:v>
      </x:c>
      <x:c r="N142" s="25" t="b">
        <x:f>SUMIF('EEZ LME Pairs'!$A$2:$A$351,A142,'EEZ LME Pairs'!$M$2:$M$351)&gt;0</x:f>
        <x:v>0</x:v>
      </x:c>
      <x:c r="O142" s="25" t="str"/>
      <x:c r="P142" s="25" t="str"/>
      <x:c r="Q142" s="25" t="str"/>
      <x:c r="R142" s="35" t="n">
        <x:v>0</x:v>
      </x:c>
      <x:c r="S142" s="34" t="n">
        <x:v>0.07445745761573333</x:v>
      </x:c>
      <x:c r="T142" s="33" t="n">
        <x:v>0.07499695028612997</x:v>
      </x:c>
      <x:c r="U142" s="33" t="n">
        <x:v>0</x:v>
      </x:c>
    </x:row>
    <x:row r="143" ht="18" customHeight="1">
      <x:c r="A143" s="25" t="str">
        <x:v>EEZ_620</x:v>
      </x:c>
      <x:c r="B143" s="25" t="str">
        <x:v>EEZ_620</x:v>
      </x:c>
      <x:c r="C143" s="25" t="str">
        <x:v>Portugal (mainland)</x:v>
      </x:c>
      <x:c r="D143" s="25" t="n">
        <x:v>620</x:v>
      </x:c>
      <x:c r="E143" s="32" t="n">
        <x:v>314158.3409284222</x:v>
      </x:c>
      <x:c r="F143" s="32" t="n">
        <x:v>179876.12668401783</x:v>
      </x:c>
      <x:c r="G143" s="34" t="n">
        <x:f>F143/E143</x:f>
        <x:v>0.5725651789235823</x:v>
      </x:c>
      <x:c r="H143" s="32" t="n">
        <x:v>226.41426796226756</x:v>
      </x:c>
      <x:c r="I143" s="34" t="n">
        <x:f>H143/E143</x:f>
        <x:v>0.0007207011193564131</x:v>
      </x:c>
      <x:c r="J143" s="32" t="n">
        <x:v>134055.80162637692</x:v>
      </x:c>
      <x:c r="K143" s="36" t="b">
        <x:v>1</x:v>
      </x:c>
      <x:c r="L143" s="25" t="b">
        <x:f>G143&lt;'Selection Rules'!$B$4</x:f>
        <x:v>0</x:v>
      </x:c>
      <x:c r="M143" s="25" t="b">
        <x:f>SUMIF('EEZ LME Pairs'!$A$2:$A$351,A143,'EEZ LME Pairs'!$L$2:$L$351)&gt;0</x:f>
        <x:v>0</x:v>
      </x:c>
      <x:c r="N143" s="25" t="b">
        <x:f>SUMIF('EEZ LME Pairs'!$A$2:$A$351,A143,'EEZ LME Pairs'!$M$2:$M$351)&gt;0</x:f>
        <x:v>0</x:v>
      </x:c>
      <x:c r="O143" s="25" t="str"/>
      <x:c r="P143" s="25" t="str"/>
      <x:c r="Q143" s="25" t="str"/>
      <x:c r="R143" s="35" t="n">
        <x:v>0</x:v>
      </x:c>
      <x:c r="S143" s="34" t="n">
        <x:v>0.5240123413474075</x:v>
      </x:c>
      <x:c r="T143" s="33" t="n">
        <x:v>1.033608052291506</x:v>
      </x:c>
      <x:c r="U143" s="33" t="n">
        <x:v>0</x:v>
      </x:c>
    </x:row>
    <x:row r="144" ht="18" customHeight="1">
      <x:c r="A144" s="25" t="str">
        <x:v>EEZ_621</x:v>
      </x:c>
      <x:c r="B144" s="25" t="str">
        <x:v>EEZ_621</x:v>
      </x:c>
      <x:c r="C144" s="25" t="str">
        <x:v>Madeira Isl. (Portugal)</x:v>
      </x:c>
      <x:c r="D144" s="25" t="n">
        <x:v>621</x:v>
      </x:c>
      <x:c r="E144" s="32" t="n">
        <x:v>458579.10804146284</x:v>
      </x:c>
      <x:c r="F144" s="32" t="n">
        <x:v>18974.575764427464</x:v>
      </x:c>
      <x:c r="G144" s="34" t="n">
        <x:f>F144/E144</x:f>
        <x:v>0.04137688663023842</x:v>
      </x:c>
      <x:c r="H144" s="32" t="n">
        <x:v>525.6043806770248</x:v>
      </x:c>
      <x:c r="I144" s="34" t="n">
        <x:f>H144/E144</x:f>
        <x:v>0.00114615858302359</x:v>
      </x:c>
      <x:c r="J144" s="32" t="n">
        <x:v>439078.9267004083</x:v>
      </x:c>
      <x:c r="K144" s="36" t="b">
        <x:v>0</x:v>
      </x:c>
      <x:c r="L144" s="25" t="b">
        <x:f>G144&lt;'Selection Rules'!$B$4</x:f>
        <x:v>1</x:v>
      </x:c>
      <x:c r="M144" s="25" t="b">
        <x:f>SUMIF('EEZ LME Pairs'!$A$2:$A$351,A144,'EEZ LME Pairs'!$L$2:$L$351)&gt;0</x:f>
        <x:v>0</x:v>
      </x:c>
      <x:c r="N144" s="25" t="b">
        <x:f>SUMIF('EEZ LME Pairs'!$A$2:$A$351,A144,'EEZ LME Pairs'!$M$2:$M$351)&gt;0</x:f>
        <x:v>0</x:v>
      </x:c>
      <x:c r="O144" s="25" t="str"/>
      <x:c r="P144" s="25" t="str"/>
      <x:c r="Q144" s="25" t="str"/>
      <x:c r="R144" s="35" t="n">
        <x:v>0</x:v>
      </x:c>
      <x:c r="S144" s="34" t="n">
        <x:v>0.016891816956647477</x:v>
      </x:c>
      <x:c r="T144" s="33" t="n">
        <x:v>0.4082428218343247</x:v>
      </x:c>
      <x:c r="U144" s="33" t="n">
        <x:v>0</x:v>
      </x:c>
    </x:row>
    <x:row r="145" ht="18" customHeight="1">
      <x:c r="A145" s="25" t="str">
        <x:v>EEZ_622</x:v>
      </x:c>
      <x:c r="B145" s="25" t="str">
        <x:v>EEZ_622</x:v>
      </x:c>
      <x:c r="C145" s="25" t="str">
        <x:v>Azores Isl. (Portugal)</x:v>
      </x:c>
      <x:c r="D145" s="25" t="n">
        <x:v>622</x:v>
      </x:c>
      <x:c r="E145" s="32" t="n">
        <x:v>957650.4329723852</x:v>
      </x:c>
      <x:c r="F145" s="32" t="n">
        <x:v>0</x:v>
      </x:c>
      <x:c r="G145" s="34" t="n">
        <x:f>F145/E145</x:f>
        <x:v>0</x:v>
      </x:c>
      <x:c r="H145" s="32" t="n">
        <x:v>154.24594976372876</x:v>
      </x:c>
      <x:c r="I145" s="34" t="n">
        <x:f>H145/E145</x:f>
        <x:v>0.00016106707046012123</x:v>
      </x:c>
      <x:c r="J145" s="32" t="n">
        <x:v>957496.1877576082</x:v>
      </x:c>
      <x:c r="K145" s="36" t="b">
        <x:v>0</x:v>
      </x:c>
      <x:c r="L145" s="25" t="b">
        <x:f>G145&lt;'Selection Rules'!$B$4</x:f>
        <x:v>1</x:v>
      </x:c>
      <x:c r="M145" s="25" t="b">
        <x:f>SUMIF('EEZ LME Pairs'!$A$2:$A$351,A145,'EEZ LME Pairs'!$L$2:$L$351)&gt;0</x:f>
        <x:v>0</x:v>
      </x:c>
      <x:c r="N145" s="25" t="b">
        <x:f>SUMIF('EEZ LME Pairs'!$A$2:$A$351,A145,'EEZ LME Pairs'!$M$2:$M$351)&gt;0</x:f>
        <x:v>0</x:v>
      </x:c>
      <x:c r="O145" s="25" t="str"/>
      <x:c r="P145" s="25" t="str"/>
      <x:c r="Q145" s="25" t="str"/>
      <x:c r="R145" s="35" t="n">
        <x:v>0</x:v>
      </x:c>
      <x:c r="S145" s="34" t="n">
        <x:v>0</x:v>
      </x:c>
      <x:c r="T145" s="33" t="n">
        <x:v>0</x:v>
      </x:c>
      <x:c r="U145" s="33" t="n">
        <x:v>0</x:v>
      </x:c>
    </x:row>
    <x:row r="146" ht="18" customHeight="1">
      <x:c r="A146" s="25" t="str">
        <x:v>EEZ_624</x:v>
      </x:c>
      <x:c r="B146" s="25" t="str">
        <x:v>EEZ_624</x:v>
      </x:c>
      <x:c r="C146" s="25" t="str">
        <x:v>Guinea-Bissau</x:v>
      </x:c>
      <x:c r="D146" s="25" t="n">
        <x:v>624</x:v>
      </x:c>
      <x:c r="E146" s="32" t="n">
        <x:v>140734.2505170062</x:v>
      </x:c>
      <x:c r="F146" s="32" t="n">
        <x:v>130012.88006429578</x:v>
      </x:c>
      <x:c r="G146" s="34" t="n">
        <x:f>F146/E146</x:f>
        <x:v>0.9238183284216598</x:v>
      </x:c>
      <x:c r="H146" s="32" t="n">
        <x:v>273.68510371500275</x:v>
      </x:c>
      <x:c r="I146" s="34" t="n">
        <x:f>H146/E146</x:f>
        <x:v>0.001944694363380511</x:v>
      </x:c>
      <x:c r="J146" s="32" t="n">
        <x:v>10542.117266909388</x:v>
      </x:c>
      <x:c r="K146" s="36" t="b">
        <x:v>1</x:v>
      </x:c>
      <x:c r="L146" s="25" t="b">
        <x:f>G146&lt;'Selection Rules'!$B$4</x:f>
        <x:v>0</x:v>
      </x:c>
      <x:c r="M146" s="25" t="b">
        <x:f>SUMIF('EEZ LME Pairs'!$A$2:$A$351,A146,'EEZ LME Pairs'!$L$2:$L$351)&gt;0</x:f>
        <x:v>0</x:v>
      </x:c>
      <x:c r="N146" s="25" t="b">
        <x:f>SUMIF('EEZ LME Pairs'!$A$2:$A$351,A146,'EEZ LME Pairs'!$M$2:$M$351)&gt;0</x:f>
        <x:v>0</x:v>
      </x:c>
      <x:c r="O146" s="25" t="str"/>
      <x:c r="P146" s="25" t="str"/>
      <x:c r="Q146" s="25" t="str"/>
      <x:c r="R146" s="35" t="n">
        <x:v>0</x:v>
      </x:c>
      <x:c r="S146" s="34" t="n">
        <x:v>0.05613425916062536</x:v>
      </x:c>
      <x:c r="T146" s="33" t="n">
        <x:v>0.12528644797007774</x:v>
      </x:c>
      <x:c r="U146" s="33" t="n">
        <x:v>0</x:v>
      </x:c>
    </x:row>
    <x:row r="147" ht="18" customHeight="1">
      <x:c r="A147" s="25" t="str">
        <x:v>EEZ_626</x:v>
      </x:c>
      <x:c r="B147" s="25" t="str">
        <x:v>EEZ_626</x:v>
      </x:c>
      <x:c r="C147" s="25" t="str">
        <x:v>Timor Leste</x:v>
      </x:c>
      <x:c r="D147" s="25" t="n">
        <x:v>626</x:v>
      </x:c>
      <x:c r="E147" s="32" t="n">
        <x:v>78039.65468766144</x:v>
      </x:c>
      <x:c r="F147" s="32" t="n">
        <x:v>8523.866799432539</x:v>
      </x:c>
      <x:c r="G147" s="34" t="n">
        <x:f>F147/E147</x:f>
        <x:v>0.1092248144042623</x:v>
      </x:c>
      <x:c r="H147" s="32" t="n">
        <x:v>0</x:v>
      </x:c>
      <x:c r="I147" s="34" t="n">
        <x:f>H147/E147</x:f>
        <x:v>0</x:v>
      </x:c>
      <x:c r="J147" s="32" t="n">
        <x:v>69515.78797697584</x:v>
      </x:c>
      <x:c r="K147" s="36" t="b">
        <x:v>0</x:v>
      </x:c>
      <x:c r="L147" s="25" t="b">
        <x:f>G147&lt;'Selection Rules'!$B$4</x:f>
        <x:v>0</x:v>
      </x:c>
      <x:c r="M147" s="25" t="b">
        <x:f>SUMIF('EEZ LME Pairs'!$A$2:$A$351,A147,'EEZ LME Pairs'!$L$2:$L$351)&gt;0</x:f>
        <x:v>0</x:v>
      </x:c>
      <x:c r="N147" s="25" t="b">
        <x:f>SUMIF('EEZ LME Pairs'!$A$2:$A$351,A147,'EEZ LME Pairs'!$M$2:$M$351)&gt;0</x:f>
        <x:v>0</x:v>
      </x:c>
      <x:c r="O147" s="25" t="str"/>
      <x:c r="P147" s="25" t="str"/>
      <x:c r="Q147" s="25" t="str"/>
      <x:c r="R147" s="35" t="n">
        <x:v>0</x:v>
      </x:c>
      <x:c r="S147" s="34" t="n">
        <x:v>0.0036968582773158377</x:v>
      </x:c>
      <x:c r="T147" s="33" t="n">
        <x:v>0.10014922219581125</x:v>
      </x:c>
      <x:c r="U147" s="33" t="n">
        <x:v>0</x:v>
      </x:c>
    </x:row>
    <x:row r="148" ht="18" customHeight="1">
      <x:c r="A148" s="25" t="str">
        <x:v>EEZ_630</x:v>
      </x:c>
      <x:c r="B148" s="25" t="str">
        <x:v>EEZ_630</x:v>
      </x:c>
      <x:c r="C148" s="25" t="str">
        <x:v>Puerto Rico (USA)</x:v>
      </x:c>
      <x:c r="D148" s="25" t="n">
        <x:v>630</x:v>
      </x:c>
      <x:c r="E148" s="32" t="n">
        <x:v>173208.77566717693</x:v>
      </x:c>
      <x:c r="F148" s="32" t="n">
        <x:v>105879.23250434989</x:v>
      </x:c>
      <x:c r="G148" s="34" t="n">
        <x:f>F148/E148</x:f>
        <x:v>0.611280993682435</x:v>
      </x:c>
      <x:c r="H148" s="32" t="n">
        <x:v>0</x:v>
      </x:c>
      <x:c r="I148" s="34" t="n">
        <x:f>H148/E148</x:f>
        <x:v>0</x:v>
      </x:c>
      <x:c r="J148" s="32" t="n">
        <x:v>67329.54326482942</x:v>
      </x:c>
      <x:c r="K148" s="36" t="b">
        <x:v>0</x:v>
      </x:c>
      <x:c r="L148" s="25" t="b">
        <x:f>G148&lt;'Selection Rules'!$B$4</x:f>
        <x:v>0</x:v>
      </x:c>
      <x:c r="M148" s="25" t="b">
        <x:f>SUMIF('EEZ LME Pairs'!$A$2:$A$351,A148,'EEZ LME Pairs'!$L$2:$L$351)&gt;0</x:f>
        <x:v>0</x:v>
      </x:c>
      <x:c r="N148" s="25" t="b">
        <x:f>SUMIF('EEZ LME Pairs'!$A$2:$A$351,A148,'EEZ LME Pairs'!$M$2:$M$351)&gt;0</x:f>
        <x:v>0</x:v>
      </x:c>
      <x:c r="O148" s="25" t="str"/>
      <x:c r="P148" s="25" t="str"/>
      <x:c r="Q148" s="25" t="str"/>
      <x:c r="R148" s="35" t="n">
        <x:v>0</x:v>
      </x:c>
      <x:c r="S148" s="34" t="n">
        <x:v>0.03245264018220641</x:v>
      </x:c>
      <x:c r="T148" s="33" t="n">
        <x:v>0.05308956194876524</x:v>
      </x:c>
      <x:c r="U148" s="33" t="n">
        <x:v>0</x:v>
      </x:c>
    </x:row>
    <x:row r="149" ht="18" customHeight="1">
      <x:c r="A149" s="25" t="str">
        <x:v>EEZ_634</x:v>
      </x:c>
      <x:c r="B149" s="25" t="str">
        <x:v>EEZ_634</x:v>
      </x:c>
      <x:c r="C149" s="25" t="str">
        <x:v>Qatar</x:v>
      </x:c>
      <x:c r="D149" s="25" t="n">
        <x:v>634</x:v>
      </x:c>
      <x:c r="E149" s="32" t="n">
        <x:v>30486.733813287738</x:v>
      </x:c>
      <x:c r="F149" s="32" t="n">
        <x:v>30326.388514823877</x:v>
      </x:c>
      <x:c r="G149" s="34" t="n">
        <x:f>F149/E149</x:f>
        <x:v>0.9947404894389187</x:v>
      </x:c>
      <x:c r="H149" s="32" t="n">
        <x:v>0</x:v>
      </x:c>
      <x:c r="I149" s="34" t="n">
        <x:f>H149/E149</x:f>
        <x:v>0</x:v>
      </x:c>
      <x:c r="J149" s="32" t="n">
        <x:v>160.345418871673</x:v>
      </x:c>
      <x:c r="K149" s="36" t="b">
        <x:v>1</x:v>
      </x:c>
      <x:c r="L149" s="25" t="b">
        <x:f>G149&lt;'Selection Rules'!$B$4</x:f>
        <x:v>0</x:v>
      </x:c>
      <x:c r="M149" s="25" t="b">
        <x:f>SUMIF('EEZ LME Pairs'!$A$2:$A$351,A149,'EEZ LME Pairs'!$L$2:$L$351)&gt;0</x:f>
        <x:v>0</x:v>
      </x:c>
      <x:c r="N149" s="25" t="b">
        <x:f>SUMIF('EEZ LME Pairs'!$A$2:$A$351,A149,'EEZ LME Pairs'!$M$2:$M$351)&gt;0</x:f>
        <x:v>0</x:v>
      </x:c>
      <x:c r="O149" s="25" t="str"/>
      <x:c r="P149" s="25" t="str"/>
      <x:c r="Q149" s="25" t="str"/>
      <x:c r="R149" s="35" t="n">
        <x:v>0</x:v>
      </x:c>
      <x:c r="S149" s="34" t="n">
        <x:v>0.00771290528270668</x:v>
      </x:c>
      <x:c r="T149" s="33" t="n">
        <x:v>0.007753685875455947</x:v>
      </x:c>
      <x:c r="U149" s="33" t="n">
        <x:v>0</x:v>
      </x:c>
    </x:row>
    <x:row r="150" ht="18" customHeight="1">
      <x:c r="A150" s="25" t="str">
        <x:v>EEZ_638</x:v>
      </x:c>
      <x:c r="B150" s="25" t="str">
        <x:v>EEZ_638</x:v>
      </x:c>
      <x:c r="C150" s="25" t="str">
        <x:v>Réunion (France)</x:v>
      </x:c>
      <x:c r="D150" s="25" t="n">
        <x:v>638</x:v>
      </x:c>
      <x:c r="E150" s="32" t="n">
        <x:v>314270.1148263061</x:v>
      </x:c>
      <x:c r="F150" s="32" t="n">
        <x:v>0</x:v>
      </x:c>
      <x:c r="G150" s="34" t="n">
        <x:f>F150/E150</x:f>
        <x:v>0</x:v>
      </x:c>
      <x:c r="H150" s="32" t="n">
        <x:v>1756.6798079846883</x:v>
      </x:c>
      <x:c r="I150" s="34" t="n">
        <x:f>H150/E150</x:f>
        <x:v>0.005589713196100709</x:v>
      </x:c>
      <x:c r="J150" s="32" t="n">
        <x:v>312513.43518020655</x:v>
      </x:c>
      <x:c r="K150" s="36" t="b">
        <x:v>0</x:v>
      </x:c>
      <x:c r="L150" s="25" t="b">
        <x:f>G150&lt;'Selection Rules'!$B$4</x:f>
        <x:v>1</x:v>
      </x:c>
      <x:c r="M150" s="25" t="b">
        <x:f>SUMIF('EEZ LME Pairs'!$A$2:$A$351,A150,'EEZ LME Pairs'!$L$2:$L$351)&gt;0</x:f>
        <x:v>0</x:v>
      </x:c>
      <x:c r="N150" s="25" t="b">
        <x:f>SUMIF('EEZ LME Pairs'!$A$2:$A$351,A150,'EEZ LME Pairs'!$M$2:$M$351)&gt;0</x:f>
        <x:v>0</x:v>
      </x:c>
      <x:c r="O150" s="25" t="str"/>
      <x:c r="P150" s="25" t="str"/>
      <x:c r="Q150" s="25" t="str"/>
      <x:c r="R150" s="35" t="n">
        <x:v>0</x:v>
      </x:c>
      <x:c r="S150" s="34" t="n">
        <x:v>0</x:v>
      </x:c>
      <x:c r="T150" s="33" t="n">
        <x:v>0</x:v>
      </x:c>
      <x:c r="U150" s="33" t="n">
        <x:v>0</x:v>
      </x:c>
    </x:row>
    <x:row r="151" ht="18" customHeight="1">
      <x:c r="A151" s="25" t="str">
        <x:v>EEZ_642</x:v>
      </x:c>
      <x:c r="B151" s="25" t="str">
        <x:v>EEZ_642</x:v>
      </x:c>
      <x:c r="C151" s="25" t="str">
        <x:v>Romania</x:v>
      </x:c>
      <x:c r="D151" s="25" t="n">
        <x:v>642</x:v>
      </x:c>
      <x:c r="E151" s="32" t="n">
        <x:v>30288.91359280861</x:v>
      </x:c>
      <x:c r="F151" s="32" t="n">
        <x:v>30087.015402579334</x:v>
      </x:c>
      <x:c r="G151" s="34" t="n">
        <x:f>F151/E151</x:f>
        <x:v>0.9933342544753004</x:v>
      </x:c>
      <x:c r="H151" s="32" t="n">
        <x:v>0</x:v>
      </x:c>
      <x:c r="I151" s="34" t="n">
        <x:f>H151/E151</x:f>
        <x:v>0</x:v>
      </x:c>
      <x:c r="J151" s="32" t="n">
        <x:v>201.89742731833175</x:v>
      </x:c>
      <x:c r="K151" s="36" t="b">
        <x:v>0</x:v>
      </x:c>
      <x:c r="L151" s="25" t="b">
        <x:f>G151&lt;'Selection Rules'!$B$4</x:f>
        <x:v>0</x:v>
      </x:c>
      <x:c r="M151" s="25" t="b">
        <x:f>SUMIF('EEZ LME Pairs'!$A$2:$A$351,A151,'EEZ LME Pairs'!$L$2:$L$351)&gt;0</x:f>
        <x:v>0</x:v>
      </x:c>
      <x:c r="N151" s="25" t="b">
        <x:f>SUMIF('EEZ LME Pairs'!$A$2:$A$351,A151,'EEZ LME Pairs'!$M$2:$M$351)&gt;0</x:f>
        <x:v>0</x:v>
      </x:c>
      <x:c r="O151" s="25" t="str"/>
      <x:c r="P151" s="25" t="str"/>
      <x:c r="Q151" s="25" t="str"/>
      <x:c r="R151" s="35" t="n">
        <x:v>0</x:v>
      </x:c>
      <x:c r="S151" s="34" t="n">
        <x:v>0.06509448881692273</x:v>
      </x:c>
      <x:c r="T151" s="33" t="n">
        <x:v>0.06553130381203554</x:v>
      </x:c>
      <x:c r="U151" s="33" t="n">
        <x:v>0</x:v>
      </x:c>
    </x:row>
    <x:row r="152" ht="18" customHeight="1">
      <x:c r="A152" s="25" t="str">
        <x:v>EEZ_645</x:v>
      </x:c>
      <x:c r="B152" s="25" t="str">
        <x:v>EEZ_645</x:v>
      </x:c>
      <x:c r="C152" s="25" t="str">
        <x:v>Russia (Barents Sea)</x:v>
      </x:c>
      <x:c r="D152" s="25" t="n">
        <x:v>645</x:v>
      </x:c>
      <x:c r="E152" s="32" t="n">
        <x:v>1198570.6153619662</x:v>
      </x:c>
      <x:c r="F152" s="32" t="n">
        <x:v>1188091.9598354406</x:v>
      </x:c>
      <x:c r="G152" s="34" t="n">
        <x:f>F152/E152</x:f>
        <x:v>0.991257373247582</x:v>
      </x:c>
      <x:c r="H152" s="32" t="n">
        <x:v>1107.140674949402</x:v>
      </x:c>
      <x:c r="I152" s="34" t="n">
        <x:f>H152/E152</x:f>
        <x:v>0.0009237175188172351</x:v>
      </x:c>
      <x:c r="J152" s="32" t="n">
        <x:v>10478.654820641003</x:v>
      </x:c>
      <x:c r="K152" s="36" t="b">
        <x:v>1</x:v>
      </x:c>
      <x:c r="L152" s="25" t="b">
        <x:f>G152&lt;'Selection Rules'!$B$4</x:f>
        <x:v>0</x:v>
      </x:c>
      <x:c r="M152" s="25" t="b">
        <x:f>SUMIF('EEZ LME Pairs'!$A$2:$A$351,A152,'EEZ LME Pairs'!$L$2:$L$351)&gt;0</x:f>
        <x:v>0</x:v>
      </x:c>
      <x:c r="N152" s="25" t="b">
        <x:f>SUMIF('EEZ LME Pairs'!$A$2:$A$351,A152,'EEZ LME Pairs'!$M$2:$M$351)&gt;0</x:f>
        <x:v>0</x:v>
      </x:c>
      <x:c r="O152" s="25" t="str"/>
      <x:c r="P152" s="25" t="str"/>
      <x:c r="Q152" s="25" t="str"/>
      <x:c r="R152" s="35" t="n">
        <x:v>0</x:v>
      </x:c>
      <x:c r="S152" s="34" t="n">
        <x:v>0.5345623528856364</x:v>
      </x:c>
      <x:c r="T152" s="33" t="n">
        <x:v>1.2066691031191978</x:v>
      </x:c>
      <x:c r="U152" s="33" t="n">
        <x:v>0</x:v>
      </x:c>
    </x:row>
    <x:row r="153" ht="18" customHeight="1">
      <x:c r="A153" s="25" t="str">
        <x:v>EEZ_647</x:v>
      </x:c>
      <x:c r="B153" s="25" t="str">
        <x:v>EEZ_647</x:v>
      </x:c>
      <x:c r="C153" s="25" t="str">
        <x:v>Russia (Black Sea)</x:v>
      </x:c>
      <x:c r="D153" s="25" t="n">
        <x:v>647</x:v>
      </x:c>
      <x:c r="E153" s="32" t="n">
        <x:v>157768.95651583862</x:v>
      </x:c>
      <x:c r="F153" s="32" t="n">
        <x:v>154913.88897460504</x:v>
      </x:c>
      <x:c r="G153" s="34" t="n">
        <x:f>F153/E153</x:f>
        <x:v>0.9819034897340723</x:v>
      </x:c>
      <x:c r="H153" s="32" t="n">
        <x:v>0</x:v>
      </x:c>
      <x:c r="I153" s="34" t="n">
        <x:f>H153/E153</x:f>
        <x:v>0</x:v>
      </x:c>
      <x:c r="J153" s="32" t="n">
        <x:v>2855.0654683739795</x:v>
      </x:c>
      <x:c r="K153" s="36" t="b">
        <x:v>0</x:v>
      </x:c>
      <x:c r="L153" s="25" t="b">
        <x:f>G153&lt;'Selection Rules'!$B$4</x:f>
        <x:v>0</x:v>
      </x:c>
      <x:c r="M153" s="25" t="b">
        <x:f>SUMIF('EEZ LME Pairs'!$A$2:$A$351,A153,'EEZ LME Pairs'!$L$2:$L$351)&gt;0</x:f>
        <x:v>0</x:v>
      </x:c>
      <x:c r="N153" s="25" t="b">
        <x:f>SUMIF('EEZ LME Pairs'!$A$2:$A$351,A153,'EEZ LME Pairs'!$M$2:$M$351)&gt;0</x:f>
        <x:v>0</x:v>
      </x:c>
      <x:c r="O153" s="25" t="str"/>
      <x:c r="P153" s="25" t="str"/>
      <x:c r="Q153" s="25" t="str"/>
      <x:c r="R153" s="35" t="n">
        <x:v>0</x:v>
      </x:c>
      <x:c r="S153" s="34" t="n">
        <x:v>0.3351625370118613</x:v>
      </x:c>
      <x:c r="T153" s="33" t="n">
        <x:v>0.3413395924508151</x:v>
      </x:c>
      <x:c r="U153" s="33" t="n">
        <x:v>0</x:v>
      </x:c>
    </x:row>
    <x:row r="154" ht="18" customHeight="1">
      <x:c r="A154" s="25" t="str">
        <x:v>EEZ_648</x:v>
      </x:c>
      <x:c r="B154" s="25" t="str">
        <x:v>EEZ_648</x:v>
      </x:c>
      <x:c r="C154" s="25" t="str">
        <x:v>Russia (Baltic Sea)</x:v>
      </x:c>
      <x:c r="D154" s="25" t="n">
        <x:v>648</x:v>
      </x:c>
      <x:c r="E154" s="32" t="n">
        <x:v>23208.42247971121</x:v>
      </x:c>
      <x:c r="F154" s="32" t="n">
        <x:v>22766.537108993743</x:v>
      </x:c>
      <x:c r="G154" s="34" t="n">
        <x:f>F154/E154</x:f>
        <x:v>0.9809601289745667</x:v>
      </x:c>
      <x:c r="H154" s="32" t="n">
        <x:v>0</x:v>
      </x:c>
      <x:c r="I154" s="34" t="n">
        <x:f>H154/E154</x:f>
        <x:v>0</x:v>
      </x:c>
      <x:c r="J154" s="32" t="n">
        <x:v>441.8847490245466</x:v>
      </x:c>
      <x:c r="K154" s="36" t="b">
        <x:v>1</x:v>
      </x:c>
      <x:c r="L154" s="25" t="b">
        <x:f>G154&lt;'Selection Rules'!$B$4</x:f>
        <x:v>0</x:v>
      </x:c>
      <x:c r="M154" s="25" t="b">
        <x:f>SUMIF('EEZ LME Pairs'!$A$2:$A$351,A154,'EEZ LME Pairs'!$L$2:$L$351)&gt;0</x:f>
        <x:v>0</x:v>
      </x:c>
      <x:c r="N154" s="25" t="b">
        <x:f>SUMIF('EEZ LME Pairs'!$A$2:$A$351,A154,'EEZ LME Pairs'!$M$2:$M$351)&gt;0</x:f>
        <x:v>0</x:v>
      </x:c>
      <x:c r="O154" s="25" t="str"/>
      <x:c r="P154" s="25" t="str"/>
      <x:c r="Q154" s="25" t="str"/>
      <x:c r="R154" s="35" t="n">
        <x:v>0</x:v>
      </x:c>
      <x:c r="S154" s="34" t="n">
        <x:v>0.05742673671822676</x:v>
      </x:c>
      <x:c r="T154" s="33" t="n">
        <x:v>0.058541356597497006</x:v>
      </x:c>
      <x:c r="U154" s="33" t="n">
        <x:v>0</x:v>
      </x:c>
    </x:row>
    <x:row r="155" ht="18" customHeight="1">
      <x:c r="A155" s="25" t="str">
        <x:v>EEZ_649</x:v>
      </x:c>
      <x:c r="B155" s="25" t="str">
        <x:v>EEZ_649</x:v>
      </x:c>
      <x:c r="C155" s="25" t="str">
        <x:v>Russia (Far East)</x:v>
      </x:c>
      <x:c r="D155" s="25" t="n">
        <x:v>649</x:v>
      </x:c>
      <x:c r="E155" s="32" t="n">
        <x:v>3394719.1917649913</x:v>
      </x:c>
      <x:c r="F155" s="32" t="n">
        <x:v>3102306.652266766</x:v>
      </x:c>
      <x:c r="G155" s="34" t="n">
        <x:f>F155/E155</x:f>
        <x:v>0.9138625250042571</x:v>
      </x:c>
      <x:c r="H155" s="32" t="n">
        <x:v>393.2119553592071</x:v>
      </x:c>
      <x:c r="I155" s="34" t="n">
        <x:f>H155/E155</x:f>
        <x:v>0.00011583048056318535</x:v>
      </x:c>
      <x:c r="J155" s="32" t="n">
        <x:v>292120.77867080824</x:v>
      </x:c>
      <x:c r="K155" s="36" t="b">
        <x:v>1</x:v>
      </x:c>
      <x:c r="L155" s="25" t="b">
        <x:f>G155&lt;'Selection Rules'!$B$4</x:f>
        <x:v>0</x:v>
      </x:c>
      <x:c r="M155" s="25" t="b">
        <x:f>SUMIF('EEZ LME Pairs'!$A$2:$A$351,A155,'EEZ LME Pairs'!$L$2:$L$351)&gt;0</x:f>
        <x:v>1</x:v>
      </x:c>
      <x:c r="N155" s="25" t="b">
        <x:f>SUMIF('EEZ LME Pairs'!$A$2:$A$351,A155,'EEZ LME Pairs'!$M$2:$M$351)&gt;0</x:f>
        <x:v>0</x:v>
      </x:c>
      <x:c r="O155" s="25" t="str">
        <x:v>LME_052</x:v>
      </x:c>
      <x:c r="P155" s="25" t="str"/>
      <x:c r="Q155" s="25" t="str">
        <x:v>LME_052</x:v>
      </x:c>
      <x:c r="R155" s="35" t="n">
        <x:v>1</x:v>
      </x:c>
      <x:c r="S155" s="34" t="n">
        <x:v>0.9465661963340963</x:v>
      </x:c>
      <x:c r="T155" s="33" t="n">
        <x:v>6.353221770495612</x:v>
      </x:c>
      <x:c r="U155" s="33" t="n">
        <x:v>2.1706855529441134</x:v>
      </x:c>
    </x:row>
    <x:row r="156" ht="18" customHeight="1">
      <x:c r="A156" s="25" t="str">
        <x:v>EEZ_654</x:v>
      </x:c>
      <x:c r="B156" s="25" t="str">
        <x:v>EEZ_654</x:v>
      </x:c>
      <x:c r="C156" s="25" t="str">
        <x:v>Saint Helena (UK)</x:v>
      </x:c>
      <x:c r="D156" s="25" t="n">
        <x:v>654</x:v>
      </x:c>
      <x:c r="E156" s="32" t="n">
        <x:v>444820.21492670925</x:v>
      </x:c>
      <x:c r="F156" s="32" t="n">
        <x:v>0</x:v>
      </x:c>
      <x:c r="G156" s="34" t="n">
        <x:f>F156/E156</x:f>
        <x:v>0</x:v>
      </x:c>
      <x:c r="H156" s="32" t="n">
        <x:v>1.3809328523694548</x:v>
      </x:c>
      <x:c r="I156" s="34" t="n">
        <x:f>H156/E156</x:f>
        <x:v>0.0000031044741359090078</x:v>
      </x:c>
      <x:c r="J156" s="32" t="n">
        <x:v>444818.8339896482</x:v>
      </x:c>
      <x:c r="K156" s="36" t="b">
        <x:v>0</x:v>
      </x:c>
      <x:c r="L156" s="25" t="b">
        <x:f>G156&lt;'Selection Rules'!$B$4</x:f>
        <x:v>1</x:v>
      </x:c>
      <x:c r="M156" s="25" t="b">
        <x:f>SUMIF('EEZ LME Pairs'!$A$2:$A$351,A156,'EEZ LME Pairs'!$L$2:$L$351)&gt;0</x:f>
        <x:v>0</x:v>
      </x:c>
      <x:c r="N156" s="25" t="b">
        <x:f>SUMIF('EEZ LME Pairs'!$A$2:$A$351,A156,'EEZ LME Pairs'!$M$2:$M$351)&gt;0</x:f>
        <x:v>0</x:v>
      </x:c>
      <x:c r="O156" s="25" t="str"/>
      <x:c r="P156" s="25" t="str"/>
      <x:c r="Q156" s="25" t="str"/>
      <x:c r="R156" s="35" t="n">
        <x:v>0</x:v>
      </x:c>
      <x:c r="S156" s="34" t="n">
        <x:v>0</x:v>
      </x:c>
      <x:c r="T156" s="33" t="n">
        <x:v>0</x:v>
      </x:c>
      <x:c r="U156" s="33" t="n">
        <x:v>0</x:v>
      </x:c>
    </x:row>
    <x:row r="157" ht="18" customHeight="1">
      <x:c r="A157" s="25" t="str">
        <x:v>EEZ_659</x:v>
      </x:c>
      <x:c r="B157" s="25" t="str">
        <x:v>EEZ_659</x:v>
      </x:c>
      <x:c r="C157" s="25" t="str">
        <x:v>Saint Kitts &amp; Nevis</x:v>
      </x:c>
      <x:c r="D157" s="25" t="n">
        <x:v>659</x:v>
      </x:c>
      <x:c r="E157" s="32" t="n">
        <x:v>9581.113284239815</x:v>
      </x:c>
      <x:c r="F157" s="32" t="n">
        <x:v>8956.559342805063</x:v>
      </x:c>
      <x:c r="G157" s="34" t="n">
        <x:f>F157/E157</x:f>
        <x:v>0.9348140531370093</x:v>
      </x:c>
      <x:c r="H157" s="32" t="n">
        <x:v>0</x:v>
      </x:c>
      <x:c r="I157" s="34" t="n">
        <x:f>H157/E157</x:f>
        <x:v>0</x:v>
      </x:c>
      <x:c r="J157" s="32" t="n">
        <x:v>624.5541028934906</x:v>
      </x:c>
      <x:c r="K157" s="36" t="b">
        <x:v>0</x:v>
      </x:c>
      <x:c r="L157" s="25" t="b">
        <x:f>G157&lt;'Selection Rules'!$B$4</x:f>
        <x:v>0</x:v>
      </x:c>
      <x:c r="M157" s="25" t="b">
        <x:f>SUMIF('EEZ LME Pairs'!$A$2:$A$351,A157,'EEZ LME Pairs'!$L$2:$L$351)&gt;0</x:f>
        <x:v>0</x:v>
      </x:c>
      <x:c r="N157" s="25" t="b">
        <x:f>SUMIF('EEZ LME Pairs'!$A$2:$A$351,A157,'EEZ LME Pairs'!$M$2:$M$351)&gt;0</x:f>
        <x:v>0</x:v>
      </x:c>
      <x:c r="O157" s="25" t="str"/>
      <x:c r="P157" s="25" t="str"/>
      <x:c r="Q157" s="25" t="str"/>
      <x:c r="R157" s="35" t="n">
        <x:v>0</x:v>
      </x:c>
      <x:c r="S157" s="34" t="n">
        <x:v>0.0027452408819707897</x:v>
      </x:c>
      <x:c r="T157" s="33" t="n">
        <x:v>0.0029366705311697308</x:v>
      </x:c>
      <x:c r="U157" s="33" t="n">
        <x:v>0</x:v>
      </x:c>
    </x:row>
    <x:row r="158" ht="18" customHeight="1">
      <x:c r="A158" s="25" t="str">
        <x:v>EEZ_660</x:v>
      </x:c>
      <x:c r="B158" s="25" t="str">
        <x:v>EEZ_660</x:v>
      </x:c>
      <x:c r="C158" s="25" t="str">
        <x:v>Anguilla (UK)</x:v>
      </x:c>
      <x:c r="D158" s="25" t="n">
        <x:v>660</x:v>
      </x:c>
      <x:c r="E158" s="32" t="n">
        <x:v>90163.04219307765</x:v>
      </x:c>
      <x:c r="F158" s="32" t="n">
        <x:v>707.7761277000692</x:v>
      </x:c>
      <x:c r="G158" s="34" t="n">
        <x:f>F158/E158</x:f>
        <x:v>0.007849958369687856</x:v>
      </x:c>
      <x:c r="H158" s="32" t="n">
        <x:v>130.87793453444607</x:v>
      </x:c>
      <x:c r="I158" s="34" t="n">
        <x:f>H158/E158</x:f>
        <x:v>0.001451569638191449</x:v>
      </x:c>
      <x:c r="J158" s="32" t="n">
        <x:v>89324.38839127119</x:v>
      </x:c>
      <x:c r="K158" s="36" t="b">
        <x:v>0</x:v>
      </x:c>
      <x:c r="L158" s="25" t="b">
        <x:f>G158&lt;'Selection Rules'!$B$4</x:f>
        <x:v>1</x:v>
      </x:c>
      <x:c r="M158" s="25" t="b">
        <x:f>SUMIF('EEZ LME Pairs'!$A$2:$A$351,A158,'EEZ LME Pairs'!$L$2:$L$351)&gt;0</x:f>
        <x:v>0</x:v>
      </x:c>
      <x:c r="N158" s="25" t="b">
        <x:f>SUMIF('EEZ LME Pairs'!$A$2:$A$351,A158,'EEZ LME Pairs'!$M$2:$M$351)&gt;0</x:f>
        <x:v>0</x:v>
      </x:c>
      <x:c r="O158" s="25" t="str"/>
      <x:c r="P158" s="25" t="str"/>
      <x:c r="Q158" s="25" t="str"/>
      <x:c r="R158" s="35" t="n">
        <x:v>0</x:v>
      </x:c>
      <x:c r="S158" s="34" t="n">
        <x:v>0.00021693776445595283</x:v>
      </x:c>
      <x:c r="T158" s="33" t="n">
        <x:v>0.02763553056454987</x:v>
      </x:c>
      <x:c r="U158" s="33" t="n">
        <x:v>0</x:v>
      </x:c>
    </x:row>
    <x:row r="159" ht="18" customHeight="1">
      <x:c r="A159" s="25" t="str">
        <x:v>EEZ_662</x:v>
      </x:c>
      <x:c r="B159" s="25" t="str">
        <x:v>EEZ_662</x:v>
      </x:c>
      <x:c r="C159" s="25" t="str">
        <x:v>Saint Lucia</x:v>
      </x:c>
      <x:c r="D159" s="25" t="n">
        <x:v>662</x:v>
      </x:c>
      <x:c r="E159" s="32" t="n">
        <x:v>15535.13994713363</x:v>
      </x:c>
      <x:c r="F159" s="32" t="n">
        <x:v>15513.995011977093</x:v>
      </x:c>
      <x:c r="G159" s="34" t="n">
        <x:f>F159/E159</x:f>
        <x:v>0.9986388963840369</x:v>
      </x:c>
      <x:c r="H159" s="32" t="n">
        <x:v>0</x:v>
      </x:c>
      <x:c r="I159" s="34" t="n">
        <x:f>H159/E159</x:f>
        <x:v>0</x:v>
      </x:c>
      <x:c r="J159" s="32" t="n">
        <x:v>21.144941528332122</x:v>
      </x:c>
      <x:c r="K159" s="36" t="b">
        <x:v>0</x:v>
      </x:c>
      <x:c r="L159" s="25" t="b">
        <x:f>G159&lt;'Selection Rules'!$B$4</x:f>
        <x:v>0</x:v>
      </x:c>
      <x:c r="M159" s="25" t="b">
        <x:f>SUMIF('EEZ LME Pairs'!$A$2:$A$351,A159,'EEZ LME Pairs'!$L$2:$L$351)&gt;0</x:f>
        <x:v>0</x:v>
      </x:c>
      <x:c r="N159" s="25" t="b">
        <x:f>SUMIF('EEZ LME Pairs'!$A$2:$A$351,A159,'EEZ LME Pairs'!$M$2:$M$351)&gt;0</x:f>
        <x:v>0</x:v>
      </x:c>
      <x:c r="O159" s="25" t="str"/>
      <x:c r="P159" s="25" t="str"/>
      <x:c r="Q159" s="25" t="str"/>
      <x:c r="R159" s="35" t="n">
        <x:v>0</x:v>
      </x:c>
      <x:c r="S159" s="34" t="n">
        <x:v>0.004755135506781779</x:v>
      </x:c>
      <x:c r="T159" s="33" t="n">
        <x:v>0.004761616560299833</x:v>
      </x:c>
      <x:c r="U159" s="33" t="n">
        <x:v>0</x:v>
      </x:c>
    </x:row>
    <x:row r="160" ht="18" customHeight="1">
      <x:c r="A160" s="25" t="str">
        <x:v>EEZ_666</x:v>
      </x:c>
      <x:c r="B160" s="25" t="str">
        <x:v>EEZ_666</x:v>
      </x:c>
      <x:c r="C160" s="25" t="str">
        <x:v>Saint Pierre &amp; Miquelon (France)</x:v>
      </x:c>
      <x:c r="D160" s="25" t="n">
        <x:v>666</x:v>
      </x:c>
      <x:c r="E160" s="32" t="n">
        <x:v>12355.915938262144</x:v>
      </x:c>
      <x:c r="F160" s="32" t="n">
        <x:v>9787.339435323342</x:v>
      </x:c>
      <x:c r="G160" s="34" t="n">
        <x:f>F160/E160</x:f>
        <x:v>0.7921176774127462</x:v>
      </x:c>
      <x:c r="H160" s="32" t="n">
        <x:v>0</x:v>
      </x:c>
      <x:c r="I160" s="34" t="n">
        <x:f>H160/E160</x:f>
        <x:v>0</x:v>
      </x:c>
      <x:c r="J160" s="32" t="n">
        <x:v>2568.5773209517224</x:v>
      </x:c>
      <x:c r="K160" s="36" t="b">
        <x:v>0</x:v>
      </x:c>
      <x:c r="L160" s="25" t="b">
        <x:f>G160&lt;'Selection Rules'!$B$4</x:f>
        <x:v>0</x:v>
      </x:c>
      <x:c r="M160" s="25" t="b">
        <x:f>SUMIF('EEZ LME Pairs'!$A$2:$A$351,A160,'EEZ LME Pairs'!$L$2:$L$351)&gt;0</x:f>
        <x:v>0</x:v>
      </x:c>
      <x:c r="N160" s="25" t="b">
        <x:f>SUMIF('EEZ LME Pairs'!$A$2:$A$351,A160,'EEZ LME Pairs'!$M$2:$M$351)&gt;0</x:f>
        <x:v>0</x:v>
      </x:c>
      <x:c r="O160" s="25" t="str"/>
      <x:c r="P160" s="25" t="str"/>
      <x:c r="Q160" s="25" t="str"/>
      <x:c r="R160" s="35" t="n">
        <x:v>0</x:v>
      </x:c>
      <x:c r="S160" s="34" t="n">
        <x:v>0.00950342091543043</x:v>
      </x:c>
      <x:c r="T160" s="33" t="n">
        <x:v>0.043410344033265366</x:v>
      </x:c>
      <x:c r="U160" s="33" t="n">
        <x:v>0</x:v>
      </x:c>
    </x:row>
    <x:row r="161" ht="18" customHeight="1">
      <x:c r="A161" s="25" t="str">
        <x:v>EEZ_670</x:v>
      </x:c>
      <x:c r="B161" s="25" t="str">
        <x:v>EEZ_670</x:v>
      </x:c>
      <x:c r="C161" s="25" t="str">
        <x:v>Saint Vincent &amp; the Grenadines</x:v>
      </x:c>
      <x:c r="D161" s="25" t="n">
        <x:v>670</x:v>
      </x:c>
      <x:c r="E161" s="32" t="n">
        <x:v>36476.16388194662</x:v>
      </x:c>
      <x:c r="F161" s="32" t="n">
        <x:v>36467.35634718342</x:v>
      </x:c>
      <x:c r="G161" s="34" t="n">
        <x:f>F161/E161</x:f>
        <x:v>0.9997585399936325</x:v>
      </x:c>
      <x:c r="H161" s="32" t="n">
        <x:v>0</x:v>
      </x:c>
      <x:c r="I161" s="34" t="n">
        <x:f>H161/E161</x:f>
        <x:v>0</x:v>
      </x:c>
      <x:c r="J161" s="32" t="n">
        <x:v>8.807466945757378</x:v>
      </x:c>
      <x:c r="K161" s="36" t="b">
        <x:v>0</x:v>
      </x:c>
      <x:c r="L161" s="25" t="b">
        <x:f>G161&lt;'Selection Rules'!$B$4</x:f>
        <x:v>0</x:v>
      </x:c>
      <x:c r="M161" s="25" t="b">
        <x:f>SUMIF('EEZ LME Pairs'!$A$2:$A$351,A161,'EEZ LME Pairs'!$L$2:$L$351)&gt;0</x:f>
        <x:v>0</x:v>
      </x:c>
      <x:c r="N161" s="25" t="b">
        <x:f>SUMIF('EEZ LME Pairs'!$A$2:$A$351,A161,'EEZ LME Pairs'!$M$2:$M$351)&gt;0</x:f>
        <x:v>0</x:v>
      </x:c>
      <x:c r="O161" s="25" t="str"/>
      <x:c r="P161" s="25" t="str"/>
      <x:c r="Q161" s="25" t="str"/>
      <x:c r="R161" s="35" t="n">
        <x:v>0</x:v>
      </x:c>
      <x:c r="S161" s="34" t="n">
        <x:v>0.011177470462706875</x:v>
      </x:c>
      <x:c r="T161" s="33" t="n">
        <x:v>0.011180170026632696</x:v>
      </x:c>
      <x:c r="U161" s="33" t="n">
        <x:v>0</x:v>
      </x:c>
    </x:row>
    <x:row r="162" ht="18" customHeight="1">
      <x:c r="A162" s="25" t="str">
        <x:v>EEZ_678</x:v>
      </x:c>
      <x:c r="B162" s="25" t="str">
        <x:v>EEZ_678</x:v>
      </x:c>
      <x:c r="C162" s="25" t="str">
        <x:v>Sao Tome &amp; Principe</x:v>
      </x:c>
      <x:c r="D162" s="25" t="n">
        <x:v>678</x:v>
      </x:c>
      <x:c r="E162" s="32" t="n">
        <x:v>165124.14631917796</x:v>
      </x:c>
      <x:c r="F162" s="32" t="n">
        <x:v>133704.177135771</x:v>
      </x:c>
      <x:c r="G162" s="34" t="n">
        <x:f>F162/E162</x:f>
        <x:v>0.8097191120511624</x:v>
      </x:c>
      <x:c r="H162" s="32" t="n">
        <x:v>0</x:v>
      </x:c>
      <x:c r="I162" s="34" t="n">
        <x:f>H162/E162</x:f>
        <x:v>0</x:v>
      </x:c>
      <x:c r="J162" s="32" t="n">
        <x:v>31419.96918984567</x:v>
      </x:c>
      <x:c r="K162" s="36" t="b">
        <x:v>0</x:v>
      </x:c>
      <x:c r="L162" s="25" t="b">
        <x:f>G162&lt;'Selection Rules'!$B$4</x:f>
        <x:v>0</x:v>
      </x:c>
      <x:c r="M162" s="25" t="b">
        <x:f>SUMIF('EEZ LME Pairs'!$A$2:$A$351,A162,'EEZ LME Pairs'!$L$2:$L$351)&gt;0</x:f>
        <x:v>0</x:v>
      </x:c>
      <x:c r="N162" s="25" t="b">
        <x:f>SUMIF('EEZ LME Pairs'!$A$2:$A$351,A162,'EEZ LME Pairs'!$M$2:$M$351)&gt;0</x:f>
        <x:v>0</x:v>
      </x:c>
      <x:c r="O162" s="25" t="str"/>
      <x:c r="P162" s="25" t="str"/>
      <x:c r="Q162" s="25" t="str"/>
      <x:c r="R162" s="35" t="n">
        <x:v>0</x:v>
      </x:c>
      <x:c r="S162" s="34" t="n">
        <x:v>0.06968511811766628</x:v>
      </x:c>
      <x:c r="T162" s="33" t="n">
        <x:v>0.08606085379551126</x:v>
      </x:c>
      <x:c r="U162" s="33" t="n">
        <x:v>0</x:v>
      </x:c>
    </x:row>
    <x:row r="163" ht="18" customHeight="1">
      <x:c r="A163" s="25" t="str">
        <x:v>EEZ_683</x:v>
      </x:c>
      <x:c r="B163" s="25" t="str">
        <x:v>EEZ_683</x:v>
      </x:c>
      <x:c r="C163" s="25" t="str">
        <x:v>Saudi Arabia (Red Sea)</x:v>
      </x:c>
      <x:c r="D163" s="25" t="n">
        <x:v>683</x:v>
      </x:c>
      <x:c r="E163" s="32" t="n">
        <x:v>190695.09681524482</x:v>
      </x:c>
      <x:c r="F163" s="32" t="n">
        <x:v>189200.42139404238</x:v>
      </x:c>
      <x:c r="G163" s="34" t="n">
        <x:f>F163/E163</x:f>
        <x:v>0.9921619619687938</x:v>
      </x:c>
      <x:c r="H163" s="32" t="n">
        <x:v>0</x:v>
      </x:c>
      <x:c r="I163" s="34" t="n">
        <x:f>H163/E163</x:f>
        <x:v>0</x:v>
      </x:c>
      <x:c r="J163" s="32" t="n">
        <x:v>1494.6796836849396</x:v>
      </x:c>
      <x:c r="K163" s="36" t="b">
        <x:v>1</x:v>
      </x:c>
      <x:c r="L163" s="25" t="b">
        <x:f>G163&lt;'Selection Rules'!$B$4</x:f>
        <x:v>0</x:v>
      </x:c>
      <x:c r="M163" s="25" t="b">
        <x:f>SUMIF('EEZ LME Pairs'!$A$2:$A$351,A163,'EEZ LME Pairs'!$L$2:$L$351)&gt;0</x:f>
        <x:v>0</x:v>
      </x:c>
      <x:c r="N163" s="25" t="b">
        <x:f>SUMIF('EEZ LME Pairs'!$A$2:$A$351,A163,'EEZ LME Pairs'!$M$2:$M$351)&gt;0</x:f>
        <x:v>0</x:v>
      </x:c>
      <x:c r="O163" s="25" t="str"/>
      <x:c r="P163" s="25" t="str"/>
      <x:c r="Q163" s="25" t="str"/>
      <x:c r="R163" s="35" t="n">
        <x:v>0</x:v>
      </x:c>
      <x:c r="S163" s="34" t="n">
        <x:v>0.41043969936857444</x:v>
      </x:c>
      <x:c r="T163" s="33" t="n">
        <x:v>0.41368215583887086</x:v>
      </x:c>
      <x:c r="U163" s="33" t="n">
        <x:v>0</x:v>
      </x:c>
    </x:row>
    <x:row r="164" ht="18" customHeight="1">
      <x:c r="A164" s="25" t="str">
        <x:v>EEZ_684</x:v>
      </x:c>
      <x:c r="B164" s="25" t="str">
        <x:v>EEZ_684</x:v>
      </x:c>
      <x:c r="C164" s="25" t="str">
        <x:v>Saudi Arabia (Persian Gulf)</x:v>
      </x:c>
      <x:c r="D164" s="25" t="n">
        <x:v>684</x:v>
      </x:c>
      <x:c r="E164" s="32" t="n">
        <x:v>33918.15090195135</x:v>
      </x:c>
      <x:c r="F164" s="32" t="n">
        <x:v>33662.359168130795</x:v>
      </x:c>
      <x:c r="G164" s="34" t="n">
        <x:f>F164/E164</x:f>
        <x:v>0.99245855900105</x:v>
      </x:c>
      <x:c r="H164" s="32" t="n">
        <x:v>0</x:v>
      </x:c>
      <x:c r="I164" s="34" t="n">
        <x:f>H164/E164</x:f>
        <x:v>0</x:v>
      </x:c>
      <x:c r="J164" s="32" t="n">
        <x:v>255.78845530965944</x:v>
      </x:c>
      <x:c r="K164" s="36" t="b">
        <x:v>1</x:v>
      </x:c>
      <x:c r="L164" s="25" t="b">
        <x:f>G164&lt;'Selection Rules'!$B$4</x:f>
        <x:v>0</x:v>
      </x:c>
      <x:c r="M164" s="25" t="b">
        <x:f>SUMIF('EEZ LME Pairs'!$A$2:$A$351,A164,'EEZ LME Pairs'!$L$2:$L$351)&gt;0</x:f>
        <x:v>0</x:v>
      </x:c>
      <x:c r="N164" s="25" t="b">
        <x:f>SUMIF('EEZ LME Pairs'!$A$2:$A$351,A164,'EEZ LME Pairs'!$M$2:$M$351)&gt;0</x:f>
        <x:v>0</x:v>
      </x:c>
      <x:c r="O164" s="25" t="str"/>
      <x:c r="P164" s="25" t="str"/>
      <x:c r="Q164" s="25" t="str"/>
      <x:c r="R164" s="35" t="n">
        <x:v>0</x:v>
      </x:c>
      <x:c r="S164" s="34" t="n">
        <x:v>0.008561342137041256</x:v>
      </x:c>
      <x:c r="T164" s="33" t="n">
        <x:v>0.008626397605617505</x:v>
      </x:c>
      <x:c r="U164" s="33" t="n">
        <x:v>0</x:v>
      </x:c>
    </x:row>
    <x:row r="165" ht="18" customHeight="1">
      <x:c r="A165" s="25" t="str">
        <x:v>EEZ_686</x:v>
      </x:c>
      <x:c r="B165" s="25" t="str">
        <x:v>EEZ_686</x:v>
      </x:c>
      <x:c r="C165" s="25" t="str">
        <x:v>Senegal</x:v>
      </x:c>
      <x:c r="D165" s="25" t="n">
        <x:v>686</x:v>
      </x:c>
      <x:c r="E165" s="32" t="n">
        <x:v>186974.17661936954</x:v>
      </x:c>
      <x:c r="F165" s="32" t="n">
        <x:v>175776.69333347553</x:v>
      </x:c>
      <x:c r="G165" s="34" t="n">
        <x:f>F165/E165</x:f>
        <x:v>0.9401121401449509</x:v>
      </x:c>
      <x:c r="H165" s="32" t="n">
        <x:v>157.16908334067045</x:v>
      </x:c>
      <x:c r="I165" s="34" t="n">
        <x:f>H165/E165</x:f>
        <x:v>0.0008405924613890696</x:v>
      </x:c>
      <x:c r="J165" s="32" t="n">
        <x:v>11040.3136686367</x:v>
      </x:c>
      <x:c r="K165" s="36" t="b">
        <x:v>1</x:v>
      </x:c>
      <x:c r="L165" s="25" t="b">
        <x:f>G165&lt;'Selection Rules'!$B$4</x:f>
        <x:v>0</x:v>
      </x:c>
      <x:c r="M165" s="25" t="b">
        <x:f>SUMIF('EEZ LME Pairs'!$A$2:$A$351,A165,'EEZ LME Pairs'!$L$2:$L$351)&gt;0</x:f>
        <x:v>0</x:v>
      </x:c>
      <x:c r="N165" s="25" t="b">
        <x:f>SUMIF('EEZ LME Pairs'!$A$2:$A$351,A165,'EEZ LME Pairs'!$M$2:$M$351)&gt;0</x:f>
        <x:v>0</x:v>
      </x:c>
      <x:c r="O165" s="25" t="str"/>
      <x:c r="P165" s="25" t="str"/>
      <x:c r="Q165" s="25" t="str"/>
      <x:c r="R165" s="35" t="n">
        <x:v>0</x:v>
      </x:c>
      <x:c r="S165" s="34" t="n">
        <x:v>0.12413152195670664</x:v>
      </x:c>
      <x:c r="T165" s="33" t="n">
        <x:v>0.16645081325061</x:v>
      </x:c>
      <x:c r="U165" s="33" t="n">
        <x:v>0</x:v>
      </x:c>
    </x:row>
    <x:row r="166" ht="18" customHeight="1">
      <x:c r="A166" s="25" t="str">
        <x:v>EEZ_690</x:v>
      </x:c>
      <x:c r="B166" s="25" t="str">
        <x:v>EEZ_690</x:v>
      </x:c>
      <x:c r="C166" s="25" t="str">
        <x:v>Seychelles</x:v>
      </x:c>
      <x:c r="D166" s="25" t="n">
        <x:v>690</x:v>
      </x:c>
      <x:c r="E166" s="32" t="n">
        <x:v>1335619.808491177</x:v>
      </x:c>
      <x:c r="F166" s="32" t="n">
        <x:v>45978.963965862</x:v>
      </x:c>
      <x:c r="G166" s="34" t="n">
        <x:f>F166/E166</x:f>
        <x:v>0.03442518872028674</x:v>
      </x:c>
      <x:c r="H166" s="32" t="n">
        <x:v>53.24106821584195</x:v>
      </x:c>
      <x:c r="I166" s="34" t="n">
        <x:f>H166/E166</x:f>
        <x:v>0.00003986244279799004</x:v>
      </x:c>
      <x:c r="J166" s="32" t="n">
        <x:v>1289608.720500212</x:v>
      </x:c>
      <x:c r="K166" s="36" t="b">
        <x:v>0</x:v>
      </x:c>
      <x:c r="L166" s="25" t="b">
        <x:f>G166&lt;'Selection Rules'!$B$4</x:f>
        <x:v>1</x:v>
      </x:c>
      <x:c r="M166" s="25" t="b">
        <x:f>SUMIF('EEZ LME Pairs'!$A$2:$A$351,A166,'EEZ LME Pairs'!$L$2:$L$351)&gt;0</x:f>
        <x:v>0</x:v>
      </x:c>
      <x:c r="N166" s="25" t="b">
        <x:f>SUMIF('EEZ LME Pairs'!$A$2:$A$351,A166,'EEZ LME Pairs'!$M$2:$M$351)&gt;0</x:f>
        <x:v>0</x:v>
      </x:c>
      <x:c r="O166" s="25" t="str"/>
      <x:c r="P166" s="25" t="str"/>
      <x:c r="Q166" s="25" t="str"/>
      <x:c r="R166" s="35" t="n">
        <x:v>0</x:v>
      </x:c>
      <x:c r="S166" s="34" t="n">
        <x:v>0.014153085634798128</x:v>
      </x:c>
      <x:c r="T166" s="33" t="n">
        <x:v>1.5888109950810854</x:v>
      </x:c>
      <x:c r="U166" s="33" t="n">
        <x:v>0</x:v>
      </x:c>
    </x:row>
    <x:row r="167" ht="18" customHeight="1">
      <x:c r="A167" s="25" t="str">
        <x:v>EEZ_694</x:v>
      </x:c>
      <x:c r="B167" s="25" t="str">
        <x:v>EEZ_694</x:v>
      </x:c>
      <x:c r="C167" s="25" t="str">
        <x:v>Sierra Leone</x:v>
      </x:c>
      <x:c r="D167" s="25" t="n">
        <x:v>694</x:v>
      </x:c>
      <x:c r="E167" s="32" t="n">
        <x:v>159258.87998501462</x:v>
      </x:c>
      <x:c r="F167" s="32" t="n">
        <x:v>159003.43552213832</x:v>
      </x:c>
      <x:c r="G167" s="34" t="n">
        <x:f>F167/E167</x:f>
        <x:v>0.9983960425760853</x:v>
      </x:c>
      <x:c r="H167" s="32" t="n">
        <x:v>128.49753384306769</x:v>
      </x:c>
      <x:c r="I167" s="34" t="n">
        <x:f>H167/E167</x:f>
        <x:v>0.0008068469014422216</x:v>
      </x:c>
      <x:c r="J167" s="32" t="n">
        <x:v>255.4450278366868</x:v>
      </x:c>
      <x:c r="K167" s="36" t="b">
        <x:v>1</x:v>
      </x:c>
      <x:c r="L167" s="25" t="b">
        <x:f>G167&lt;'Selection Rules'!$B$4</x:f>
        <x:v>0</x:v>
      </x:c>
      <x:c r="M167" s="25" t="b">
        <x:f>SUMIF('EEZ LME Pairs'!$A$2:$A$351,A167,'EEZ LME Pairs'!$L$2:$L$351)&gt;0</x:f>
        <x:v>0</x:v>
      </x:c>
      <x:c r="N167" s="25" t="b">
        <x:f>SUMIF('EEZ LME Pairs'!$A$2:$A$351,A167,'EEZ LME Pairs'!$M$2:$M$351)&gt;0</x:f>
        <x:v>0</x:v>
      </x:c>
      <x:c r="O167" s="25" t="str"/>
      <x:c r="P167" s="25" t="str"/>
      <x:c r="Q167" s="25" t="str"/>
      <x:c r="R167" s="35" t="n">
        <x:v>0</x:v>
      </x:c>
      <x:c r="S167" s="34" t="n">
        <x:v>0.08287080794957881</x:v>
      </x:c>
      <x:c r="T167" s="33" t="n">
        <x:v>0.08300394273975042</x:v>
      </x:c>
      <x:c r="U167" s="33" t="n">
        <x:v>0</x:v>
      </x:c>
    </x:row>
    <x:row r="168" ht="18" customHeight="1">
      <x:c r="A168" s="25" t="str">
        <x:v>EEZ_702</x:v>
      </x:c>
      <x:c r="B168" s="25" t="str">
        <x:v>EEZ_702</x:v>
      </x:c>
      <x:c r="C168" s="25" t="str">
        <x:v>Singapore</x:v>
      </x:c>
      <x:c r="D168" s="25" t="n">
        <x:v>702</x:v>
      </x:c>
      <x:c r="E168" s="32" t="n">
        <x:v>918.0786211586919</x:v>
      </x:c>
      <x:c r="F168" s="32" t="n">
        <x:v>873.132884928453</x:v>
      </x:c>
      <x:c r="G168" s="34" t="n">
        <x:f>F168/E168</x:f>
        <x:v>0.9510436958291071</x:v>
      </x:c>
      <x:c r="H168" s="32" t="n">
        <x:v>0</x:v>
      </x:c>
      <x:c r="I168" s="34" t="n">
        <x:f>H168/E168</x:f>
        <x:v>0</x:v>
      </x:c>
      <x:c r="J168" s="32" t="n">
        <x:v>44.94574980681408</x:v>
      </x:c>
      <x:c r="K168" s="36" t="b">
        <x:v>1</x:v>
      </x:c>
      <x:c r="L168" s="25" t="b">
        <x:f>G168&lt;'Selection Rules'!$B$4</x:f>
        <x:v>0</x:v>
      </x:c>
      <x:c r="M168" s="25" t="b">
        <x:f>SUMIF('EEZ LME Pairs'!$A$2:$A$351,A168,'EEZ LME Pairs'!$L$2:$L$351)&gt;0</x:f>
        <x:v>0</x:v>
      </x:c>
      <x:c r="N168" s="25" t="b">
        <x:f>SUMIF('EEZ LME Pairs'!$A$2:$A$351,A168,'EEZ LME Pairs'!$M$2:$M$351)&gt;0</x:f>
        <x:v>0</x:v>
      </x:c>
      <x:c r="O168" s="25" t="str"/>
      <x:c r="P168" s="25" t="str"/>
      <x:c r="Q168" s="25" t="str"/>
      <x:c r="R168" s="35" t="n">
        <x:v>0</x:v>
      </x:c>
      <x:c r="S168" s="34" t="n">
        <x:v>0.00027588670731427825</x:v>
      </x:c>
      <x:c r="T168" s="33" t="n">
        <x:v>0.000290088361369941</x:v>
      </x:c>
      <x:c r="U168" s="33" t="n">
        <x:v>0</x:v>
      </x:c>
    </x:row>
    <x:row r="169" ht="18" customHeight="1">
      <x:c r="A169" s="25" t="str">
        <x:v>EEZ_704</x:v>
      </x:c>
      <x:c r="B169" s="25" t="str">
        <x:v>EEZ_704</x:v>
      </x:c>
      <x:c r="C169" s="25" t="str">
        <x:v>Viet Nam</x:v>
      </x:c>
      <x:c r="D169" s="25" t="n">
        <x:v>704</x:v>
      </x:c>
      <x:c r="E169" s="32" t="n">
        <x:v>1441177.9830089605</x:v>
      </x:c>
      <x:c r="F169" s="32" t="n">
        <x:v>1439529.2117071673</x:v>
      </x:c>
      <x:c r="G169" s="34" t="n">
        <x:f>F169/E169</x:f>
        <x:v>0.9988559558075188</x:v>
      </x:c>
      <x:c r="H169" s="32" t="n">
        <x:v>0</x:v>
      </x:c>
      <x:c r="I169" s="34" t="n">
        <x:f>H169/E169</x:f>
        <x:v>0</x:v>
      </x:c>
      <x:c r="J169" s="32" t="n">
        <x:v>1648.769744372106</x:v>
      </x:c>
      <x:c r="K169" s="36" t="b">
        <x:v>1</x:v>
      </x:c>
      <x:c r="L169" s="25" t="b">
        <x:f>G169&lt;'Selection Rules'!$B$4</x:f>
        <x:v>0</x:v>
      </x:c>
      <x:c r="M169" s="25" t="b">
        <x:f>SUMIF('EEZ LME Pairs'!$A$2:$A$351,A169,'EEZ LME Pairs'!$L$2:$L$351)&gt;0</x:f>
        <x:v>0</x:v>
      </x:c>
      <x:c r="N169" s="25" t="b">
        <x:f>SUMIF('EEZ LME Pairs'!$A$2:$A$351,A169,'EEZ LME Pairs'!$M$2:$M$351)&gt;0</x:f>
        <x:v>0</x:v>
      </x:c>
      <x:c r="O169" s="25" t="str"/>
      <x:c r="P169" s="25" t="str"/>
      <x:c r="Q169" s="25" t="str"/>
      <x:c r="R169" s="35" t="n">
        <x:v>0</x:v>
      </x:c>
      <x:c r="S169" s="34" t="n">
        <x:v>0.43258915878128645</x:v>
      </x:c>
      <x:c r="T169" s="33" t="n">
        <x:v>3.721000622578814</x:v>
      </x:c>
      <x:c r="U169" s="33" t="n">
        <x:v>0</x:v>
      </x:c>
    </x:row>
    <x:row r="170" ht="18" customHeight="1">
      <x:c r="A170" s="25" t="str">
        <x:v>EEZ_705</x:v>
      </x:c>
      <x:c r="B170" s="25" t="str">
        <x:v>EEZ_705</x:v>
      </x:c>
      <x:c r="C170" s="25" t="str">
        <x:v>Slovenia</x:v>
      </x:c>
      <x:c r="D170" s="25" t="n">
        <x:v>705</x:v>
      </x:c>
      <x:c r="E170" s="32" t="n">
        <x:v>141.2641568861313</x:v>
      </x:c>
      <x:c r="F170" s="32" t="n">
        <x:v>130.87159987862412</x:v>
      </x:c>
      <x:c r="G170" s="34" t="n">
        <x:f>F170/E170</x:f>
        <x:v>0.9264317486007133</x:v>
      </x:c>
      <x:c r="H170" s="32" t="n">
        <x:v>0</x:v>
      </x:c>
      <x:c r="I170" s="34" t="n">
        <x:f>H170/E170</x:f>
        <x:v>0</x:v>
      </x:c>
      <x:c r="J170" s="32" t="n">
        <x:v>10.392477125402566</x:v>
      </x:c>
      <x:c r="K170" s="36" t="b">
        <x:v>0</x:v>
      </x:c>
      <x:c r="L170" s="25" t="b">
        <x:f>G170&lt;'Selection Rules'!$B$4</x:f>
        <x:v>0</x:v>
      </x:c>
      <x:c r="M170" s="25" t="b">
        <x:f>SUMIF('EEZ LME Pairs'!$A$2:$A$351,A170,'EEZ LME Pairs'!$L$2:$L$351)&gt;0</x:f>
        <x:v>0</x:v>
      </x:c>
      <x:c r="N170" s="25" t="b">
        <x:f>SUMIF('EEZ LME Pairs'!$A$2:$A$351,A170,'EEZ LME Pairs'!$M$2:$M$351)&gt;0</x:f>
        <x:v>0</x:v>
      </x:c>
      <x:c r="O170" s="25" t="str"/>
      <x:c r="P170" s="25" t="str"/>
      <x:c r="Q170" s="25" t="str"/>
      <x:c r="R170" s="35" t="n">
        <x:v>0</x:v>
      </x:c>
      <x:c r="S170" s="34" t="n">
        <x:v>0.00005177290030418607</x:v>
      </x:c>
      <x:c r="T170" s="33" t="n">
        <x:v>0.00005588420343148223</x:v>
      </x:c>
      <x:c r="U170" s="33" t="n">
        <x:v>0</x:v>
      </x:c>
    </x:row>
    <x:row r="171" ht="18" customHeight="1">
      <x:c r="A171" s="25" t="str">
        <x:v>EEZ_706</x:v>
      </x:c>
      <x:c r="B171" s="25" t="str">
        <x:v>EEZ_706</x:v>
      </x:c>
      <x:c r="C171" s="25" t="str">
        <x:v>Somalia</x:v>
      </x:c>
      <x:c r="D171" s="25" t="n">
        <x:v>706</x:v>
      </x:c>
      <x:c r="E171" s="32" t="n">
        <x:v>830125.0726553557</x:v>
      </x:c>
      <x:c r="F171" s="32" t="n">
        <x:v>597388.3217980706</x:v>
      </x:c>
      <x:c r="G171" s="34" t="n">
        <x:f>F171/E171</x:f>
        <x:v>0.7196365240326733</x:v>
      </x:c>
      <x:c r="H171" s="32" t="n">
        <x:v>55.72125257272682</x:v>
      </x:c>
      <x:c r="I171" s="34" t="n">
        <x:f>H171/E171</x:f>
        <x:v>0.00006712392434370031</x:v>
      </x:c>
      <x:c r="J171" s="32" t="n">
        <x:v>232681.0300004649</x:v>
      </x:c>
      <x:c r="K171" s="36" t="b">
        <x:v>0</x:v>
      </x:c>
      <x:c r="L171" s="25" t="b">
        <x:f>G171&lt;'Selection Rules'!$B$4</x:f>
        <x:v>0</x:v>
      </x:c>
      <x:c r="M171" s="25" t="b">
        <x:f>SUMIF('EEZ LME Pairs'!$A$2:$A$351,A171,'EEZ LME Pairs'!$L$2:$L$351)&gt;0</x:f>
        <x:v>0</x:v>
      </x:c>
      <x:c r="N171" s="25" t="b">
        <x:f>SUMIF('EEZ LME Pairs'!$A$2:$A$351,A171,'EEZ LME Pairs'!$M$2:$M$351)&gt;0</x:f>
        <x:v>0</x:v>
      </x:c>
      <x:c r="O171" s="25" t="str"/>
      <x:c r="P171" s="25" t="str"/>
      <x:c r="Q171" s="25" t="str"/>
      <x:c r="R171" s="35" t="n">
        <x:v>0</x:v>
      </x:c>
      <x:c r="S171" s="34" t="n">
        <x:v>0.5487378748765351</x:v>
      </x:c>
      <x:c r="T171" s="33" t="n">
        <x:v>0.9874904777110654</x:v>
      </x:c>
      <x:c r="U171" s="33" t="n">
        <x:v>0</x:v>
      </x:c>
    </x:row>
    <x:row r="172" ht="18" customHeight="1">
      <x:c r="A172" s="25" t="str">
        <x:v>EEZ_711</x:v>
      </x:c>
      <x:c r="B172" s="25" t="str">
        <x:v>EEZ_711</x:v>
      </x:c>
      <x:c r="C172" s="25" t="str">
        <x:v>Prince Edward Isl. (South Africa)</x:v>
      </x:c>
      <x:c r="D172" s="25" t="n">
        <x:v>711</x:v>
      </x:c>
      <x:c r="E172" s="32" t="n">
        <x:v>473263.7034010114</x:v>
      </x:c>
      <x:c r="F172" s="32" t="n">
        <x:v>0</x:v>
      </x:c>
      <x:c r="G172" s="34" t="n">
        <x:f>F172/E172</x:f>
        <x:v>0</x:v>
      </x:c>
      <x:c r="H172" s="32" t="n">
        <x:v>39.9044963948753</x:v>
      </x:c>
      <x:c r="I172" s="34" t="n">
        <x:f>H172/E172</x:f>
        <x:v>0.00008431767766703832</x:v>
      </x:c>
      <x:c r="J172" s="32" t="n">
        <x:v>473223.7984868901</x:v>
      </x:c>
      <x:c r="K172" s="36" t="b">
        <x:v>0</x:v>
      </x:c>
      <x:c r="L172" s="25" t="b">
        <x:f>G172&lt;'Selection Rules'!$B$4</x:f>
        <x:v>1</x:v>
      </x:c>
      <x:c r="M172" s="25" t="b">
        <x:f>SUMIF('EEZ LME Pairs'!$A$2:$A$351,A172,'EEZ LME Pairs'!$L$2:$L$351)&gt;0</x:f>
        <x:v>0</x:v>
      </x:c>
      <x:c r="N172" s="25" t="b">
        <x:f>SUMIF('EEZ LME Pairs'!$A$2:$A$351,A172,'EEZ LME Pairs'!$M$2:$M$351)&gt;0</x:f>
        <x:v>0</x:v>
      </x:c>
      <x:c r="O172" s="25" t="str"/>
      <x:c r="P172" s="25" t="str"/>
      <x:c r="Q172" s="25" t="str"/>
      <x:c r="R172" s="35" t="n">
        <x:v>0</x:v>
      </x:c>
      <x:c r="S172" s="34" t="n">
        <x:v>0</x:v>
      </x:c>
      <x:c r="T172" s="33" t="n">
        <x:v>0</x:v>
      </x:c>
      <x:c r="U172" s="33" t="n">
        <x:v>0</x:v>
      </x:c>
    </x:row>
    <x:row r="173" ht="18" customHeight="1">
      <x:c r="A173" s="25" t="str">
        <x:v>EEZ_723</x:v>
      </x:c>
      <x:c r="B173" s="25" t="str">
        <x:v>EEZ_723</x:v>
      </x:c>
      <x:c r="C173" s="25" t="str">
        <x:v>Canary Isl. (Spain)</x:v>
      </x:c>
      <x:c r="D173" s="25" t="n">
        <x:v>723</x:v>
      </x:c>
      <x:c r="E173" s="32" t="n">
        <x:v>444385.76547107263</x:v>
      </x:c>
      <x:c r="F173" s="32" t="n">
        <x:v>195165.65759026544</x:v>
      </x:c>
      <x:c r="G173" s="34" t="n">
        <x:f>F173/E173</x:f>
        <x:v>0.4391807135932435</x:v>
      </x:c>
      <x:c r="H173" s="32" t="n">
        <x:v>2.886666509175668</x:v>
      </x:c>
      <x:c r="I173" s="34" t="n">
        <x:f>H173/E173</x:f>
        <x:v>0.000006495857278676888</x:v>
      </x:c>
      <x:c r="J173" s="32" t="n">
        <x:v>249217.22052032547</x:v>
      </x:c>
      <x:c r="K173" s="36" t="b">
        <x:v>0</x:v>
      </x:c>
      <x:c r="L173" s="25" t="b">
        <x:f>G173&lt;'Selection Rules'!$B$4</x:f>
        <x:v>0</x:v>
      </x:c>
      <x:c r="M173" s="25" t="b">
        <x:f>SUMIF('EEZ LME Pairs'!$A$2:$A$351,A173,'EEZ LME Pairs'!$L$2:$L$351)&gt;0</x:f>
        <x:v>0</x:v>
      </x:c>
      <x:c r="N173" s="25" t="b">
        <x:f>SUMIF('EEZ LME Pairs'!$A$2:$A$351,A173,'EEZ LME Pairs'!$M$2:$M$351)&gt;0</x:f>
        <x:v>0</x:v>
      </x:c>
      <x:c r="O173" s="25" t="str"/>
      <x:c r="P173" s="25" t="str"/>
      <x:c r="Q173" s="25" t="str"/>
      <x:c r="R173" s="35" t="n">
        <x:v>0</x:v>
      </x:c>
      <x:c r="S173" s="34" t="n">
        <x:v>0.17374315005339858</x:v>
      </x:c>
      <x:c r="T173" s="33" t="n">
        <x:v>0.3956074223566986</x:v>
      </x:c>
      <x:c r="U173" s="33" t="n">
        <x:v>0</x:v>
      </x:c>
    </x:row>
    <x:row r="174" ht="18" customHeight="1">
      <x:c r="A174" s="25" t="str">
        <x:v>EEZ_736</x:v>
      </x:c>
      <x:c r="B174" s="25" t="str">
        <x:v>EEZ_736</x:v>
      </x:c>
      <x:c r="C174" s="25" t="str">
        <x:v>Sudan</x:v>
      </x:c>
      <x:c r="D174" s="25" t="n">
        <x:v>736</x:v>
      </x:c>
      <x:c r="E174" s="32" t="n">
        <x:v>82536.08825331145</x:v>
      </x:c>
      <x:c r="F174" s="32" t="n">
        <x:v>82166.0301915836</x:v>
      </x:c>
      <x:c r="G174" s="34" t="n">
        <x:f>F174/E174</x:f>
        <x:v>0.9955164090089647</x:v>
      </x:c>
      <x:c r="H174" s="32" t="n">
        <x:v>0</x:v>
      </x:c>
      <x:c r="I174" s="34" t="n">
        <x:f>H174/E174</x:f>
        <x:v>0</x:v>
      </x:c>
      <x:c r="J174" s="32" t="n">
        <x:v>370.0575807940849</x:v>
      </x:c>
      <x:c r="K174" s="36" t="b">
        <x:v>1</x:v>
      </x:c>
      <x:c r="L174" s="25" t="b">
        <x:f>G174&lt;'Selection Rules'!$B$4</x:f>
        <x:v>0</x:v>
      </x:c>
      <x:c r="M174" s="25" t="b">
        <x:f>SUMIF('EEZ LME Pairs'!$A$2:$A$351,A174,'EEZ LME Pairs'!$L$2:$L$351)&gt;0</x:f>
        <x:v>0</x:v>
      </x:c>
      <x:c r="N174" s="25" t="b">
        <x:f>SUMIF('EEZ LME Pairs'!$A$2:$A$351,A174,'EEZ LME Pairs'!$M$2:$M$351)&gt;0</x:f>
        <x:v>0</x:v>
      </x:c>
      <x:c r="O174" s="25" t="str"/>
      <x:c r="P174" s="25" t="str"/>
      <x:c r="Q174" s="25" t="str"/>
      <x:c r="R174" s="35" t="n">
        <x:v>0</x:v>
      </x:c>
      <x:c r="S174" s="34" t="n">
        <x:v>0.17824590707388724</x:v>
      </x:c>
      <x:c r="T174" s="33" t="n">
        <x:v>0.17904868815907396</x:v>
      </x:c>
      <x:c r="U174" s="33" t="n">
        <x:v>0</x:v>
      </x:c>
    </x:row>
    <x:row r="175" ht="18" customHeight="1">
      <x:c r="A175" s="25" t="str">
        <x:v>EEZ_740</x:v>
      </x:c>
      <x:c r="B175" s="25" t="str">
        <x:v>EEZ_740</x:v>
      </x:c>
      <x:c r="C175" s="25" t="str">
        <x:v>Suriname</x:v>
      </x:c>
      <x:c r="D175" s="25" t="n">
        <x:v>740</x:v>
      </x:c>
      <x:c r="E175" s="32" t="n">
        <x:v>132271.09117608043</x:v>
      </x:c>
      <x:c r="F175" s="32" t="n">
        <x:v>132185.354954109</x:v>
      </x:c>
      <x:c r="G175" s="34" t="n">
        <x:f>F175/E175</x:f>
        <x:v>0.9993518143593653</x:v>
      </x:c>
      <x:c r="H175" s="32" t="n">
        <x:v>246.5846741844001</x:v>
      </x:c>
      <x:c r="I175" s="34" t="n">
        <x:f>H175/E175</x:f>
        <x:v>0.0018642370905986132</x:v>
      </x:c>
      <x:c r="J175" s="32" t="n">
        <x:v>85.73604878455677</x:v>
      </x:c>
      <x:c r="K175" s="36" t="b">
        <x:v>0</x:v>
      </x:c>
      <x:c r="L175" s="25" t="b">
        <x:f>G175&lt;'Selection Rules'!$B$4</x:f>
        <x:v>0</x:v>
      </x:c>
      <x:c r="M175" s="25" t="b">
        <x:f>SUMIF('EEZ LME Pairs'!$A$2:$A$351,A175,'EEZ LME Pairs'!$L$2:$L$351)&gt;0</x:f>
        <x:v>0</x:v>
      </x:c>
      <x:c r="N175" s="25" t="b">
        <x:f>SUMIF('EEZ LME Pairs'!$A$2:$A$351,A175,'EEZ LME Pairs'!$M$2:$M$351)&gt;0</x:f>
        <x:v>0</x:v>
      </x:c>
      <x:c r="O175" s="25" t="str"/>
      <x:c r="P175" s="25" t="str"/>
      <x:c r="Q175" s="25" t="str"/>
      <x:c r="R175" s="35" t="n">
        <x:v>0</x:v>
      </x:c>
      <x:c r="S175" s="34" t="n">
        <x:v>0.12531475085387303</x:v>
      </x:c>
      <x:c r="T175" s="33" t="n">
        <x:v>0.1253960307604045</x:v>
      </x:c>
      <x:c r="U175" s="33" t="n">
        <x:v>0</x:v>
      </x:c>
    </x:row>
    <x:row r="176" ht="18" customHeight="1">
      <x:c r="A176" s="25" t="str">
        <x:v>EEZ_744</x:v>
      </x:c>
      <x:c r="B176" s="25" t="str">
        <x:v>EEZ_744</x:v>
      </x:c>
      <x:c r="C176" s="25" t="str">
        <x:v>Svalbard Isl. (Norway)</x:v>
      </x:c>
      <x:c r="D176" s="25" t="n">
        <x:v>744</x:v>
      </x:c>
      <x:c r="E176" s="32" t="n">
        <x:v>796172.247227691</x:v>
      </x:c>
      <x:c r="F176" s="32" t="n">
        <x:v>793347.7221373172</x:v>
      </x:c>
      <x:c r="G176" s="34" t="n">
        <x:f>F176/E176</x:f>
        <x:v>0.9964523693205724</x:v>
      </x:c>
      <x:c r="H176" s="32" t="n">
        <x:v>11.720147206522645</x:v>
      </x:c>
      <x:c r="I176" s="34" t="n">
        <x:f>H176/E176</x:f>
        <x:v>0.000014720617614257149</x:v>
      </x:c>
      <x:c r="J176" s="32" t="n">
        <x:v>2824.5262669324766</x:v>
      </x:c>
      <x:c r="K176" s="36" t="b">
        <x:v>1</x:v>
      </x:c>
      <x:c r="L176" s="25" t="b">
        <x:f>G176&lt;'Selection Rules'!$B$4</x:f>
        <x:v>0</x:v>
      </x:c>
      <x:c r="M176" s="25" t="b">
        <x:f>SUMIF('EEZ LME Pairs'!$A$2:$A$351,A176,'EEZ LME Pairs'!$L$2:$L$351)&gt;0</x:f>
        <x:v>0</x:v>
      </x:c>
      <x:c r="N176" s="25" t="b">
        <x:f>SUMIF('EEZ LME Pairs'!$A$2:$A$351,A176,'EEZ LME Pairs'!$M$2:$M$351)&gt;0</x:f>
        <x:v>0</x:v>
      </x:c>
      <x:c r="O176" s="25" t="str"/>
      <x:c r="P176" s="25" t="str"/>
      <x:c r="Q176" s="25" t="str"/>
      <x:c r="R176" s="35" t="n">
        <x:v>0</x:v>
      </x:c>
      <x:c r="S176" s="34" t="n">
        <x:v>0.2701045412317233</x:v>
      </x:c>
      <x:c r="T176" s="33" t="n">
        <x:v>0.7510221565386521</x:v>
      </x:c>
      <x:c r="U176" s="33" t="n">
        <x:v>0</x:v>
      </x:c>
    </x:row>
    <x:row r="177" ht="18" customHeight="1">
      <x:c r="A177" s="25" t="str">
        <x:v>EEZ_760</x:v>
      </x:c>
      <x:c r="B177" s="25" t="str">
        <x:v>EEZ_760</x:v>
      </x:c>
      <x:c r="C177" s="25" t="str">
        <x:v>Syria</x:v>
      </x:c>
      <x:c r="D177" s="25" t="n">
        <x:v>760</x:v>
      </x:c>
      <x:c r="E177" s="32" t="n">
        <x:v>10199.927667190606</x:v>
      </x:c>
      <x:c r="F177" s="32" t="n">
        <x:v>10178.199242432818</x:v>
      </x:c>
      <x:c r="G177" s="34" t="n">
        <x:f>F177/E177</x:f>
        <x:v>0.9978697471720628</x:v>
      </x:c>
      <x:c r="H177" s="32" t="n">
        <x:v>0</x:v>
      </x:c>
      <x:c r="I177" s="34" t="n">
        <x:f>H177/E177</x:f>
        <x:v>0</x:v>
      </x:c>
      <x:c r="J177" s="32" t="n">
        <x:v>21.728668587280477</x:v>
      </x:c>
      <x:c r="K177" s="36" t="b">
        <x:v>0</x:v>
      </x:c>
      <x:c r="L177" s="25" t="b">
        <x:f>G177&lt;'Selection Rules'!$B$4</x:f>
        <x:v>0</x:v>
      </x:c>
      <x:c r="M177" s="25" t="b">
        <x:f>SUMIF('EEZ LME Pairs'!$A$2:$A$351,A177,'EEZ LME Pairs'!$L$2:$L$351)&gt;0</x:f>
        <x:v>0</x:v>
      </x:c>
      <x:c r="N177" s="25" t="b">
        <x:f>SUMIF('EEZ LME Pairs'!$A$2:$A$351,A177,'EEZ LME Pairs'!$M$2:$M$351)&gt;0</x:f>
        <x:v>0</x:v>
      </x:c>
      <x:c r="O177" s="25" t="str"/>
      <x:c r="P177" s="25" t="str"/>
      <x:c r="Q177" s="25" t="str"/>
      <x:c r="R177" s="35" t="n">
        <x:v>0</x:v>
      </x:c>
      <x:c r="S177" s="34" t="n">
        <x:v>0.004026503039187546</x:v>
      </x:c>
      <x:c r="T177" s="33" t="n">
        <x:v>0.004035098819859558</x:v>
      </x:c>
      <x:c r="U177" s="33" t="n">
        <x:v>0</x:v>
      </x:c>
    </x:row>
    <x:row r="178" ht="18" customHeight="1">
      <x:c r="A178" s="25" t="str">
        <x:v>EEZ_768</x:v>
      </x:c>
      <x:c r="B178" s="25" t="str">
        <x:v>EEZ_768</x:v>
      </x:c>
      <x:c r="C178" s="25" t="str">
        <x:v>Togo</x:v>
      </x:c>
      <x:c r="D178" s="25" t="n">
        <x:v>768</x:v>
      </x:c>
      <x:c r="E178" s="32" t="n">
        <x:v>15382.732008285593</x:v>
      </x:c>
      <x:c r="F178" s="32" t="n">
        <x:v>15330.053025460255</x:v>
      </x:c>
      <x:c r="G178" s="34" t="n">
        <x:f>F178/E178</x:f>
        <x:v>0.9965754468844049</x:v>
      </x:c>
      <x:c r="H178" s="32" t="n">
        <x:v>0</x:v>
      </x:c>
      <x:c r="I178" s="34" t="n">
        <x:f>H178/E178</x:f>
        <x:v>0</x:v>
      </x:c>
      <x:c r="J178" s="32" t="n">
        <x:v>52.67896942465183</x:v>
      </x:c>
      <x:c r="K178" s="36" t="b">
        <x:v>0</x:v>
      </x:c>
      <x:c r="L178" s="25" t="b">
        <x:f>G178&lt;'Selection Rules'!$B$4</x:f>
        <x:v>0</x:v>
      </x:c>
      <x:c r="M178" s="25" t="b">
        <x:f>SUMIF('EEZ LME Pairs'!$A$2:$A$351,A178,'EEZ LME Pairs'!$L$2:$L$351)&gt;0</x:f>
        <x:v>0</x:v>
      </x:c>
      <x:c r="N178" s="25" t="b">
        <x:f>SUMIF('EEZ LME Pairs'!$A$2:$A$351,A178,'EEZ LME Pairs'!$M$2:$M$351)&gt;0</x:f>
        <x:v>0</x:v>
      </x:c>
      <x:c r="O178" s="25" t="str"/>
      <x:c r="P178" s="25" t="str"/>
      <x:c r="Q178" s="25" t="str"/>
      <x:c r="R178" s="35" t="n">
        <x:v>0</x:v>
      </x:c>
      <x:c r="S178" s="34" t="n">
        <x:v>0.00798985176614561</x:v>
      </x:c>
      <x:c r="T178" s="33" t="n">
        <x:v>0.0080173074613912</x:v>
      </x:c>
      <x:c r="U178" s="33" t="n">
        <x:v>0</x:v>
      </x:c>
    </x:row>
    <x:row r="179" ht="18" customHeight="1">
      <x:c r="A179" s="25" t="str">
        <x:v>EEZ_772</x:v>
      </x:c>
      <x:c r="B179" s="25" t="str">
        <x:v>EEZ_772</x:v>
      </x:c>
      <x:c r="C179" s="25" t="str">
        <x:v>Tokelau (New Zealand)</x:v>
      </x:c>
      <x:c r="D179" s="25" t="n">
        <x:v>772</x:v>
      </x:c>
      <x:c r="E179" s="32" t="n">
        <x:v>319092.3217719661</x:v>
      </x:c>
      <x:c r="F179" s="32" t="n">
        <x:v>0</x:v>
      </x:c>
      <x:c r="G179" s="34" t="n">
        <x:f>F179/E179</x:f>
        <x:v>0</x:v>
      </x:c>
      <x:c r="H179" s="32" t="n">
        <x:v>0</x:v>
      </x:c>
      <x:c r="I179" s="34" t="n">
        <x:f>H179/E179</x:f>
        <x:v>0</x:v>
      </x:c>
      <x:c r="J179" s="32" t="n">
        <x:v>319092.32177196624</x:v>
      </x:c>
      <x:c r="K179" s="36" t="b">
        <x:v>0</x:v>
      </x:c>
      <x:c r="L179" s="25" t="b">
        <x:f>G179&lt;'Selection Rules'!$B$4</x:f>
        <x:v>1</x:v>
      </x:c>
      <x:c r="M179" s="25" t="b">
        <x:f>SUMIF('EEZ LME Pairs'!$A$2:$A$351,A179,'EEZ LME Pairs'!$L$2:$L$351)&gt;0</x:f>
        <x:v>0</x:v>
      </x:c>
      <x:c r="N179" s="25" t="b">
        <x:f>SUMIF('EEZ LME Pairs'!$A$2:$A$351,A179,'EEZ LME Pairs'!$M$2:$M$351)&gt;0</x:f>
        <x:v>0</x:v>
      </x:c>
      <x:c r="O179" s="25" t="str"/>
      <x:c r="P179" s="25" t="str"/>
      <x:c r="Q179" s="25" t="str"/>
      <x:c r="R179" s="35" t="n">
        <x:v>0</x:v>
      </x:c>
      <x:c r="S179" s="34" t="n">
        <x:v>0</x:v>
      </x:c>
      <x:c r="T179" s="33" t="n">
        <x:v>0</x:v>
      </x:c>
      <x:c r="U179" s="33" t="n">
        <x:v>0</x:v>
      </x:c>
    </x:row>
    <x:row r="180" ht="18" customHeight="1">
      <x:c r="A180" s="25" t="str">
        <x:v>EEZ_776</x:v>
      </x:c>
      <x:c r="B180" s="25" t="str">
        <x:v>EEZ_776</x:v>
      </x:c>
      <x:c r="C180" s="25" t="str">
        <x:v>Tonga</x:v>
      </x:c>
      <x:c r="D180" s="25" t="n">
        <x:v>776</x:v>
      </x:c>
      <x:c r="E180" s="32" t="n">
        <x:v>664628.1269723325</x:v>
      </x:c>
      <x:c r="F180" s="32" t="n">
        <x:v>0</x:v>
      </x:c>
      <x:c r="G180" s="34" t="n">
        <x:f>F180/E180</x:f>
        <x:v>0</x:v>
      </x:c>
      <x:c r="H180" s="32" t="n">
        <x:v>0</x:v>
      </x:c>
      <x:c r="I180" s="34" t="n">
        <x:f>H180/E180</x:f>
        <x:v>0</x:v>
      </x:c>
      <x:c r="J180" s="32" t="n">
        <x:v>664628.1269723321</x:v>
      </x:c>
      <x:c r="K180" s="36" t="b">
        <x:v>1</x:v>
      </x:c>
      <x:c r="L180" s="25" t="b">
        <x:f>G180&lt;'Selection Rules'!$B$4</x:f>
        <x:v>1</x:v>
      </x:c>
      <x:c r="M180" s="25" t="b">
        <x:f>SUMIF('EEZ LME Pairs'!$A$2:$A$351,A180,'EEZ LME Pairs'!$L$2:$L$351)&gt;0</x:f>
        <x:v>0</x:v>
      </x:c>
      <x:c r="N180" s="25" t="b">
        <x:f>SUMIF('EEZ LME Pairs'!$A$2:$A$351,A180,'EEZ LME Pairs'!$M$2:$M$351)&gt;0</x:f>
        <x:v>0</x:v>
      </x:c>
      <x:c r="O180" s="25" t="str"/>
      <x:c r="P180" s="25" t="str"/>
      <x:c r="Q180" s="25" t="str"/>
      <x:c r="R180" s="35" t="n">
        <x:v>0</x:v>
      </x:c>
      <x:c r="S180" s="34" t="n">
        <x:v>0</x:v>
      </x:c>
      <x:c r="T180" s="33" t="n">
        <x:v>0</x:v>
      </x:c>
      <x:c r="U180" s="33" t="n">
        <x:v>0</x:v>
      </x:c>
    </x:row>
    <x:row r="181" ht="18" customHeight="1">
      <x:c r="A181" s="25" t="str">
        <x:v>EEZ_780</x:v>
      </x:c>
      <x:c r="B181" s="25" t="str">
        <x:v>EEZ_780</x:v>
      </x:c>
      <x:c r="C181" s="25" t="str">
        <x:v>Trinidad &amp; Tobago</x:v>
      </x:c>
      <x:c r="D181" s="25" t="n">
        <x:v>780</x:v>
      </x:c>
      <x:c r="E181" s="32" t="n">
        <x:v>80157.81000611359</x:v>
      </x:c>
      <x:c r="F181" s="32" t="n">
        <x:v>80005.64567257214</x:v>
      </x:c>
      <x:c r="G181" s="34" t="n">
        <x:f>F181/E181</x:f>
        <x:v>0.9981016904836865</x:v>
      </x:c>
      <x:c r="H181" s="32" t="n">
        <x:v>0</x:v>
      </x:c>
      <x:c r="I181" s="34" t="n">
        <x:f>H181/E181</x:f>
        <x:v>0</x:v>
      </x:c>
      <x:c r="J181" s="32" t="n">
        <x:v>152.16413740923417</x:v>
      </x:c>
      <x:c r="K181" s="36" t="b">
        <x:v>0</x:v>
      </x:c>
      <x:c r="L181" s="25" t="b">
        <x:f>G181&lt;'Selection Rules'!$B$4</x:f>
        <x:v>0</x:v>
      </x:c>
      <x:c r="M181" s="25" t="b">
        <x:f>SUMIF('EEZ LME Pairs'!$A$2:$A$351,A181,'EEZ LME Pairs'!$L$2:$L$351)&gt;0</x:f>
        <x:v>0</x:v>
      </x:c>
      <x:c r="N181" s="25" t="b">
        <x:f>SUMIF('EEZ LME Pairs'!$A$2:$A$351,A181,'EEZ LME Pairs'!$M$2:$M$351)&gt;0</x:f>
        <x:v>0</x:v>
      </x:c>
      <x:c r="O181" s="25" t="str"/>
      <x:c r="P181" s="25" t="str"/>
      <x:c r="Q181" s="25" t="str"/>
      <x:c r="R181" s="35" t="n">
        <x:v>0</x:v>
      </x:c>
      <x:c r="S181" s="34" t="n">
        <x:v>0.04739405049789567</x:v>
      </x:c>
      <x:c r="T181" s="33" t="n">
        <x:v>0.07599144393412975</x:v>
      </x:c>
      <x:c r="U181" s="33" t="n">
        <x:v>0</x:v>
      </x:c>
    </x:row>
    <x:row r="182" ht="18" customHeight="1">
      <x:c r="A182" s="25" t="str">
        <x:v>EEZ_784</x:v>
      </x:c>
      <x:c r="B182" s="25" t="str">
        <x:v>EEZ_784</x:v>
      </x:c>
      <x:c r="C182" s="25" t="str">
        <x:v>United Arab Emirates</x:v>
      </x:c>
      <x:c r="D182" s="25" t="n">
        <x:v>784</x:v>
      </x:c>
      <x:c r="E182" s="32" t="n">
        <x:v>54527.02628499514</x:v>
      </x:c>
      <x:c r="F182" s="32" t="n">
        <x:v>54307.742396964386</x:v>
      </x:c>
      <x:c r="G182" s="34" t="n">
        <x:f>F182/E182</x:f>
        <x:v>0.9959784366951422</x:v>
      </x:c>
      <x:c r="H182" s="32" t="n">
        <x:v>0</x:v>
      </x:c>
      <x:c r="I182" s="34" t="n">
        <x:f>H182/E182</x:f>
        <x:v>0</x:v>
      </x:c>
      <x:c r="J182" s="32" t="n">
        <x:v>219.28227077757424</x:v>
      </x:c>
      <x:c r="K182" s="36" t="b">
        <x:v>1</x:v>
      </x:c>
      <x:c r="L182" s="25" t="b">
        <x:f>G182&lt;'Selection Rules'!$B$4</x:f>
        <x:v>0</x:v>
      </x:c>
      <x:c r="M182" s="25" t="b">
        <x:f>SUMIF('EEZ LME Pairs'!$A$2:$A$351,A182,'EEZ LME Pairs'!$L$2:$L$351)&gt;0</x:f>
        <x:v>0</x:v>
      </x:c>
      <x:c r="N182" s="25" t="b">
        <x:f>SUMIF('EEZ LME Pairs'!$A$2:$A$351,A182,'EEZ LME Pairs'!$M$2:$M$351)&gt;0</x:f>
        <x:v>0</x:v>
      </x:c>
      <x:c r="O182" s="25" t="str"/>
      <x:c r="P182" s="25" t="str"/>
      <x:c r="Q182" s="25" t="str"/>
      <x:c r="R182" s="35" t="n">
        <x:v>0</x:v>
      </x:c>
      <x:c r="S182" s="34" t="n">
        <x:v>0.013812078976059796</x:v>
      </x:c>
      <x:c r="T182" s="33" t="n">
        <x:v>0.013867849410365818</x:v>
      </x:c>
      <x:c r="U182" s="33" t="n">
        <x:v>0</x:v>
      </x:c>
    </x:row>
    <x:row r="183" ht="18" customHeight="1">
      <x:c r="A183" s="25" t="str">
        <x:v>EEZ_788</x:v>
      </x:c>
      <x:c r="B183" s="25" t="str">
        <x:v>EEZ_788</x:v>
      </x:c>
      <x:c r="C183" s="25" t="str">
        <x:v>Tunisia</x:v>
      </x:c>
      <x:c r="D183" s="25" t="n">
        <x:v>788</x:v>
      </x:c>
      <x:c r="E183" s="32" t="n">
        <x:v>99812.4684066199</x:v>
      </x:c>
      <x:c r="F183" s="32" t="n">
        <x:v>99298.69939485042</x:v>
      </x:c>
      <x:c r="G183" s="34" t="n">
        <x:f>F183/E183</x:f>
        <x:v>0.994852656987938</x:v>
      </x:c>
      <x:c r="H183" s="32" t="n">
        <x:v>0</x:v>
      </x:c>
      <x:c r="I183" s="34" t="n">
        <x:f>H183/E183</x:f>
        <x:v>0</x:v>
      </x:c>
      <x:c r="J183" s="32" t="n">
        <x:v>513.7652701669111</x:v>
      </x:c>
      <x:c r="K183" s="36" t="b">
        <x:v>1</x:v>
      </x:c>
      <x:c r="L183" s="25" t="b">
        <x:f>G183&lt;'Selection Rules'!$B$4</x:f>
        <x:v>0</x:v>
      </x:c>
      <x:c r="M183" s="25" t="b">
        <x:f>SUMIF('EEZ LME Pairs'!$A$2:$A$351,A183,'EEZ LME Pairs'!$L$2:$L$351)&gt;0</x:f>
        <x:v>0</x:v>
      </x:c>
      <x:c r="N183" s="25" t="b">
        <x:f>SUMIF('EEZ LME Pairs'!$A$2:$A$351,A183,'EEZ LME Pairs'!$M$2:$M$351)&gt;0</x:f>
        <x:v>0</x:v>
      </x:c>
      <x:c r="O183" s="25" t="str"/>
      <x:c r="P183" s="25" t="str"/>
      <x:c r="Q183" s="25" t="str"/>
      <x:c r="R183" s="35" t="n">
        <x:v>0</x:v>
      </x:c>
      <x:c r="S183" s="34" t="n">
        <x:v>0.03928263785934379</x:v>
      </x:c>
      <x:c r="T183" s="33" t="n">
        <x:v>0.03948588525488561</x:v>
      </x:c>
      <x:c r="U183" s="33" t="n">
        <x:v>0</x:v>
      </x:c>
    </x:row>
    <x:row r="184" ht="18" customHeight="1">
      <x:c r="A184" s="25" t="str">
        <x:v>EEZ_793</x:v>
      </x:c>
      <x:c r="B184" s="25" t="str">
        <x:v>EEZ_793</x:v>
      </x:c>
      <x:c r="C184" s="25" t="str">
        <x:v>Turkey (Mediterranean Sea)</x:v>
      </x:c>
      <x:c r="D184" s="25" t="n">
        <x:v>793</x:v>
      </x:c>
      <x:c r="E184" s="32" t="n">
        <x:v>78227.87379330207</x:v>
      </x:c>
      <x:c r="F184" s="32" t="n">
        <x:v>76997.89342536991</x:v>
      </x:c>
      <x:c r="G184" s="34" t="n">
        <x:f>F184/E184</x:f>
        <x:v>0.9842769551530688</x:v>
      </x:c>
      <x:c r="H184" s="32" t="n">
        <x:v>0</x:v>
      </x:c>
      <x:c r="I184" s="34" t="n">
        <x:f>H184/E184</x:f>
        <x:v>0</x:v>
      </x:c>
      <x:c r="J184" s="32" t="n">
        <x:v>1229.9793372419483</x:v>
      </x:c>
      <x:c r="K184" s="36" t="b">
        <x:v>1</x:v>
      </x:c>
      <x:c r="L184" s="25" t="b">
        <x:f>G184&lt;'Selection Rules'!$B$4</x:f>
        <x:v>0</x:v>
      </x:c>
      <x:c r="M184" s="25" t="b">
        <x:f>SUMIF('EEZ LME Pairs'!$A$2:$A$351,A184,'EEZ LME Pairs'!$L$2:$L$351)&gt;0</x:f>
        <x:v>0</x:v>
      </x:c>
      <x:c r="N184" s="25" t="b">
        <x:f>SUMIF('EEZ LME Pairs'!$A$2:$A$351,A184,'EEZ LME Pairs'!$M$2:$M$351)&gt;0</x:f>
        <x:v>0</x:v>
      </x:c>
      <x:c r="O184" s="25" t="str"/>
      <x:c r="P184" s="25" t="str"/>
      <x:c r="Q184" s="25" t="str"/>
      <x:c r="R184" s="35" t="n">
        <x:v>0</x:v>
      </x:c>
      <x:c r="S184" s="34" t="n">
        <x:v>0.03046042276277803</x:v>
      </x:c>
      <x:c r="T184" s="33" t="n">
        <x:v>0.03094700389286368</x:v>
      </x:c>
      <x:c r="U184" s="33" t="n">
        <x:v>0</x:v>
      </x:c>
    </x:row>
    <x:row r="185" ht="18" customHeight="1">
      <x:c r="A185" s="25" t="str">
        <x:v>EEZ_794</x:v>
      </x:c>
      <x:c r="B185" s="25" t="str">
        <x:v>EEZ_794</x:v>
      </x:c>
      <x:c r="C185" s="25" t="str">
        <x:v>Turkey (Black Sea)</x:v>
      </x:c>
      <x:c r="D185" s="25" t="n">
        <x:v>794</x:v>
      </x:c>
      <x:c r="E185" s="32" t="n">
        <x:v>172202.93727420244</x:v>
      </x:c>
      <x:c r="F185" s="32" t="n">
        <x:v>171678.45144792434</x:v>
      </x:c>
      <x:c r="G185" s="34" t="n">
        <x:f>F185/E185</x:f>
        <x:v>0.9969542573745827</x:v>
      </x:c>
      <x:c r="H185" s="32" t="n">
        <x:v>0</x:v>
      </x:c>
      <x:c r="I185" s="34" t="n">
        <x:f>H185/E185</x:f>
        <x:v>0</x:v>
      </x:c>
      <x:c r="J185" s="32" t="n">
        <x:v>524.4849496195772</x:v>
      </x:c>
      <x:c r="K185" s="36" t="b">
        <x:v>1</x:v>
      </x:c>
      <x:c r="L185" s="25" t="b">
        <x:f>G185&lt;'Selection Rules'!$B$4</x:f>
        <x:v>0</x:v>
      </x:c>
      <x:c r="M185" s="25" t="b">
        <x:f>SUMIF('EEZ LME Pairs'!$A$2:$A$351,A185,'EEZ LME Pairs'!$L$2:$L$351)&gt;0</x:f>
        <x:v>0</x:v>
      </x:c>
      <x:c r="N185" s="25" t="b">
        <x:f>SUMIF('EEZ LME Pairs'!$A$2:$A$351,A185,'EEZ LME Pairs'!$M$2:$M$351)&gt;0</x:f>
        <x:v>0</x:v>
      </x:c>
      <x:c r="O185" s="25" t="str"/>
      <x:c r="P185" s="25" t="str"/>
      <x:c r="Q185" s="25" t="str"/>
      <x:c r="R185" s="35" t="n">
        <x:v>0</x:v>
      </x:c>
      <x:c r="S185" s="34" t="n">
        <x:v>0.37143335383560416</x:v>
      </x:c>
      <x:c r="T185" s="33" t="n">
        <x:v>0.3725681003798017</x:v>
      </x:c>
      <x:c r="U185" s="33" t="n">
        <x:v>0</x:v>
      </x:c>
    </x:row>
    <x:row r="186" ht="18" customHeight="1">
      <x:c r="A186" s="25" t="str">
        <x:v>EEZ_796</x:v>
      </x:c>
      <x:c r="B186" s="25" t="str">
        <x:v>EEZ_796</x:v>
      </x:c>
      <x:c r="C186" s="25" t="str">
        <x:v>Turks &amp; Caicos Isl. (UK)</x:v>
      </x:c>
      <x:c r="D186" s="25" t="n">
        <x:v>796</x:v>
      </x:c>
      <x:c r="E186" s="32" t="n">
        <x:v>90662.8174518732</x:v>
      </x:c>
      <x:c r="F186" s="32" t="n">
        <x:v>26333.622356713513</x:v>
      </x:c>
      <x:c r="G186" s="34" t="n">
        <x:f>F186/E186</x:f>
        <x:v>0.29045669544399794</x:v>
      </x:c>
      <x:c r="H186" s="32" t="n">
        <x:v>0</x:v>
      </x:c>
      <x:c r="I186" s="34" t="n">
        <x:f>H186/E186</x:f>
        <x:v>0</x:v>
      </x:c>
      <x:c r="J186" s="32" t="n">
        <x:v>64329.19477083737</x:v>
      </x:c>
      <x:c r="K186" s="36" t="b">
        <x:v>0</x:v>
      </x:c>
      <x:c r="L186" s="25" t="b">
        <x:f>G186&lt;'Selection Rules'!$B$4</x:f>
        <x:v>0</x:v>
      </x:c>
      <x:c r="M186" s="25" t="b">
        <x:f>SUMIF('EEZ LME Pairs'!$A$2:$A$351,A186,'EEZ LME Pairs'!$L$2:$L$351)&gt;0</x:f>
        <x:v>0</x:v>
      </x:c>
      <x:c r="N186" s="25" t="b">
        <x:f>SUMIF('EEZ LME Pairs'!$A$2:$A$351,A186,'EEZ LME Pairs'!$M$2:$M$351)&gt;0</x:f>
        <x:v>0</x:v>
      </x:c>
      <x:c r="O186" s="25" t="str"/>
      <x:c r="P186" s="25" t="str"/>
      <x:c r="Q186" s="25" t="str"/>
      <x:c r="R186" s="35" t="n">
        <x:v>0</x:v>
      </x:c>
      <x:c r="S186" s="34" t="n">
        <x:v>0.008071418264213618</x:v>
      </x:c>
      <x:c r="T186" s="33" t="n">
        <x:v>0.027788714775107824</x:v>
      </x:c>
      <x:c r="U186" s="33" t="n">
        <x:v>0</x:v>
      </x:c>
    </x:row>
    <x:row r="187" ht="18" customHeight="1">
      <x:c r="A187" s="25" t="str">
        <x:v>EEZ_798</x:v>
      </x:c>
      <x:c r="B187" s="25" t="str">
        <x:v>EEZ_798</x:v>
      </x:c>
      <x:c r="C187" s="25" t="str">
        <x:v>Tuvalu</x:v>
      </x:c>
      <x:c r="D187" s="25" t="n">
        <x:v>798</x:v>
      </x:c>
      <x:c r="E187" s="32" t="n">
        <x:v>751873.3787593823</x:v>
      </x:c>
      <x:c r="F187" s="32" t="n">
        <x:v>0</x:v>
      </x:c>
      <x:c r="G187" s="34" t="n">
        <x:f>F187/E187</x:f>
        <x:v>0</x:v>
      </x:c>
      <x:c r="H187" s="32" t="n">
        <x:v>59.201061414168045</x:v>
      </x:c>
      <x:c r="I187" s="34" t="n">
        <x:f>H187/E187</x:f>
        <x:v>0.00007873807357277617</x:v>
      </x:c>
      <x:c r="J187" s="32" t="n">
        <x:v>751814.1777258611</x:v>
      </x:c>
      <x:c r="K187" s="36" t="b">
        <x:v>0</x:v>
      </x:c>
      <x:c r="L187" s="25" t="b">
        <x:f>G187&lt;'Selection Rules'!$B$4</x:f>
        <x:v>1</x:v>
      </x:c>
      <x:c r="M187" s="25" t="b">
        <x:f>SUMIF('EEZ LME Pairs'!$A$2:$A$351,A187,'EEZ LME Pairs'!$L$2:$L$351)&gt;0</x:f>
        <x:v>0</x:v>
      </x:c>
      <x:c r="N187" s="25" t="b">
        <x:f>SUMIF('EEZ LME Pairs'!$A$2:$A$351,A187,'EEZ LME Pairs'!$M$2:$M$351)&gt;0</x:f>
        <x:v>0</x:v>
      </x:c>
      <x:c r="O187" s="25" t="str"/>
      <x:c r="P187" s="25" t="str"/>
      <x:c r="Q187" s="25" t="str"/>
      <x:c r="R187" s="35" t="n">
        <x:v>0</x:v>
      </x:c>
      <x:c r="S187" s="34" t="n">
        <x:v>0</x:v>
      </x:c>
      <x:c r="T187" s="33" t="n">
        <x:v>0</x:v>
      </x:c>
      <x:c r="U187" s="33" t="n">
        <x:v>0</x:v>
      </x:c>
    </x:row>
    <x:row r="188" ht="18" customHeight="1">
      <x:c r="A188" s="25" t="str">
        <x:v>EEZ_804</x:v>
      </x:c>
      <x:c r="B188" s="25" t="str">
        <x:v>EEZ_804</x:v>
      </x:c>
      <x:c r="C188" s="25" t="str">
        <x:v>Ukraine</x:v>
      </x:c>
      <x:c r="D188" s="25" t="n">
        <x:v>804</x:v>
      </x:c>
      <x:c r="E188" s="32" t="n">
        <x:v>133259.1941257995</x:v>
      </x:c>
      <x:c r="F188" s="32" t="n">
        <x:v>132191.11642212712</x:v>
      </x:c>
      <x:c r="G188" s="34" t="n">
        <x:f>F188/E188</x:f>
        <x:v>0.9919849605073847</x:v>
      </x:c>
      <x:c r="H188" s="32" t="n">
        <x:v>0</x:v>
      </x:c>
      <x:c r="I188" s="34" t="n">
        <x:f>H188/E188</x:f>
        <x:v>0</x:v>
      </x:c>
      <x:c r="J188" s="32" t="n">
        <x:v>1068.0807346541114</x:v>
      </x:c>
      <x:c r="K188" s="36" t="b">
        <x:v>1</x:v>
      </x:c>
      <x:c r="L188" s="25" t="b">
        <x:f>G188&lt;'Selection Rules'!$B$4</x:f>
        <x:v>0</x:v>
      </x:c>
      <x:c r="M188" s="25" t="b">
        <x:f>SUMIF('EEZ LME Pairs'!$A$2:$A$351,A188,'EEZ LME Pairs'!$L$2:$L$351)&gt;0</x:f>
        <x:v>0</x:v>
      </x:c>
      <x:c r="N188" s="25" t="b">
        <x:f>SUMIF('EEZ LME Pairs'!$A$2:$A$351,A188,'EEZ LME Pairs'!$M$2:$M$351)&gt;0</x:f>
        <x:v>0</x:v>
      </x:c>
      <x:c r="O188" s="25" t="str"/>
      <x:c r="P188" s="25" t="str"/>
      <x:c r="Q188" s="25" t="str"/>
      <x:c r="R188" s="35" t="n">
        <x:v>0</x:v>
      </x:c>
      <x:c r="S188" s="34" t="n">
        <x:v>0.28600088890501885</x:v>
      </x:c>
      <x:c r="T188" s="33" t="n">
        <x:v>0.2883117187167172</x:v>
      </x:c>
      <x:c r="U188" s="33" t="n">
        <x:v>0</x:v>
      </x:c>
    </x:row>
    <x:row r="189" ht="18" customHeight="1">
      <x:c r="A189" s="25" t="str">
        <x:v>EEZ_826</x:v>
      </x:c>
      <x:c r="B189" s="25" t="str">
        <x:v>EEZ_826</x:v>
      </x:c>
      <x:c r="C189" s="25" t="str">
        <x:v>United Kingdom (UK)</x:v>
      </x:c>
      <x:c r="D189" s="25" t="n">
        <x:v>826</x:v>
      </x:c>
      <x:c r="E189" s="32" t="n">
        <x:v>733380.363732427</x:v>
      </x:c>
      <x:c r="F189" s="32" t="n">
        <x:v>589736.7917382043</x:v>
      </x:c>
      <x:c r="G189" s="34" t="n">
        <x:f>F189/E189</x:f>
        <x:v>0.8041349631135871</x:v>
      </x:c>
      <x:c r="H189" s="32" t="n">
        <x:v>280.2889499206463</x:v>
      </x:c>
      <x:c r="I189" s="34" t="n">
        <x:f>H189/E189</x:f>
        <x:v>0.0003821876938375588</x:v>
      </x:c>
      <x:c r="J189" s="32" t="n">
        <x:v>143363.2955870404</x:v>
      </x:c>
      <x:c r="K189" s="36" t="b">
        <x:v>1</x:v>
      </x:c>
      <x:c r="L189" s="25" t="b">
        <x:f>G189&lt;'Selection Rules'!$B$4</x:f>
        <x:v>0</x:v>
      </x:c>
      <x:c r="M189" s="25" t="b">
        <x:f>SUMIF('EEZ LME Pairs'!$A$2:$A$351,A189,'EEZ LME Pairs'!$L$2:$L$351)&gt;0</x:f>
        <x:v>0</x:v>
      </x:c>
      <x:c r="N189" s="25" t="b">
        <x:f>SUMIF('EEZ LME Pairs'!$A$2:$A$351,A189,'EEZ LME Pairs'!$M$2:$M$351)&gt;0</x:f>
        <x:v>0</x:v>
      </x:c>
      <x:c r="O189" s="25" t="str"/>
      <x:c r="P189" s="25" t="str"/>
      <x:c r="Q189" s="25" t="str"/>
      <x:c r="R189" s="35" t="n">
        <x:v>0</x:v>
      </x:c>
      <x:c r="S189" s="34" t="n">
        <x:v>0.46238314402938235</x:v>
      </x:c>
      <x:c r="T189" s="33" t="n">
        <x:v>7.039093872332415</x:v>
      </x:c>
      <x:c r="U189" s="33" t="n">
        <x:v>0</x:v>
      </x:c>
    </x:row>
    <x:row r="190" ht="18" customHeight="1">
      <x:c r="A190" s="25" t="str">
        <x:v>EEZ_830</x:v>
      </x:c>
      <x:c r="B190" s="25" t="str">
        <x:v>EEZ_830</x:v>
      </x:c>
      <x:c r="C190" s="25" t="str">
        <x:v>Channel Isl. (UK)</x:v>
      </x:c>
      <x:c r="D190" s="25" t="n">
        <x:v>830</x:v>
      </x:c>
      <x:c r="E190" s="32" t="n">
        <x:v>8838.21532351992</x:v>
      </x:c>
      <x:c r="F190" s="32" t="n">
        <x:v>8824.635813722593</x:v>
      </x:c>
      <x:c r="G190" s="34" t="n">
        <x:f>F190/E190</x:f>
        <x:v>0.9984635461685132</x:v>
      </x:c>
      <x:c r="H190" s="32" t="n">
        <x:v>0</x:v>
      </x:c>
      <x:c r="I190" s="34" t="n">
        <x:f>H190/E190</x:f>
        <x:v>0</x:v>
      </x:c>
      <x:c r="J190" s="32" t="n">
        <x:v>13.57906952334503</x:v>
      </x:c>
      <x:c r="K190" s="36" t="b">
        <x:v>0</x:v>
      </x:c>
      <x:c r="L190" s="25" t="b">
        <x:f>G190&lt;'Selection Rules'!$B$4</x:f>
        <x:v>0</x:v>
      </x:c>
      <x:c r="M190" s="25" t="b">
        <x:f>SUMIF('EEZ LME Pairs'!$A$2:$A$351,A190,'EEZ LME Pairs'!$L$2:$L$351)&gt;0</x:f>
        <x:v>0</x:v>
      </x:c>
      <x:c r="N190" s="25" t="b">
        <x:f>SUMIF('EEZ LME Pairs'!$A$2:$A$351,A190,'EEZ LME Pairs'!$M$2:$M$351)&gt;0</x:f>
        <x:v>0</x:v>
      </x:c>
      <x:c r="O190" s="25" t="str"/>
      <x:c r="P190" s="25" t="str"/>
      <x:c r="Q190" s="25" t="str"/>
      <x:c r="R190" s="35" t="n">
        <x:v>0</x:v>
      </x:c>
      <x:c r="S190" s="34" t="n">
        <x:v>0.011570850013355302</x:v>
      </x:c>
      <x:c r="T190" s="33" t="n">
        <x:v>0.01158865544741927</x:v>
      </x:c>
      <x:c r="U190" s="33" t="n">
        <x:v>0</x:v>
      </x:c>
    </x:row>
    <x:row r="191" ht="18" customHeight="1">
      <x:c r="A191" s="25" t="str">
        <x:v>EEZ_834</x:v>
      </x:c>
      <x:c r="B191" s="25" t="str">
        <x:v>EEZ_834</x:v>
      </x:c>
      <x:c r="C191" s="25" t="str">
        <x:v>Tanzania</x:v>
      </x:c>
      <x:c r="D191" s="25" t="n">
        <x:v>834</x:v>
      </x:c>
      <x:c r="E191" s="32" t="n">
        <x:v>241354.63178333925</x:v>
      </x:c>
      <x:c r="F191" s="32" t="n">
        <x:v>240850.2438070714</x:v>
      </x:c>
      <x:c r="G191" s="34" t="n">
        <x:f>F191/E191</x:f>
        <x:v>0.9979101790069618</x:v>
      </x:c>
      <x:c r="H191" s="32" t="n">
        <x:v>0</x:v>
      </x:c>
      <x:c r="I191" s="34" t="n">
        <x:f>H191/E191</x:f>
        <x:v>0</x:v>
      </x:c>
      <x:c r="J191" s="32" t="n">
        <x:v>504.3880795052937</x:v>
      </x:c>
      <x:c r="K191" s="36" t="b">
        <x:v>1</x:v>
      </x:c>
      <x:c r="L191" s="25" t="b">
        <x:f>G191&lt;'Selection Rules'!$B$4</x:f>
        <x:v>0</x:v>
      </x:c>
      <x:c r="M191" s="25" t="b">
        <x:f>SUMIF('EEZ LME Pairs'!$A$2:$A$351,A191,'EEZ LME Pairs'!$L$2:$L$351)&gt;0</x:f>
        <x:v>0</x:v>
      </x:c>
      <x:c r="N191" s="25" t="b">
        <x:f>SUMIF('EEZ LME Pairs'!$A$2:$A$351,A191,'EEZ LME Pairs'!$M$2:$M$351)&gt;0</x:f>
        <x:v>0</x:v>
      </x:c>
      <x:c r="O191" s="25" t="str"/>
      <x:c r="P191" s="25" t="str"/>
      <x:c r="Q191" s="25" t="str"/>
      <x:c r="R191" s="35" t="n">
        <x:v>0</x:v>
      </x:c>
      <x:c r="S191" s="34" t="n">
        <x:v>0.27237400120009686</x:v>
      </x:c>
      <x:c r="T191" s="33" t="n">
        <x:v>0.28710782084335146</x:v>
      </x:c>
      <x:c r="U191" s="33" t="n">
        <x:v>0</x:v>
      </x:c>
    </x:row>
    <x:row r="192" ht="18" customHeight="1">
      <x:c r="A192" s="25" t="str">
        <x:v>EEZ_842</x:v>
      </x:c>
      <x:c r="B192" s="25" t="str">
        <x:v>EEZ_842</x:v>
      </x:c>
      <x:c r="C192" s="25" t="str">
        <x:v>Hawaii Main Islands (USA)</x:v>
      </x:c>
      <x:c r="D192" s="25" t="n">
        <x:v>842</x:v>
      </x:c>
      <x:c r="E192" s="32" t="n">
        <x:v>894144.120530003</x:v>
      </x:c>
      <x:c r="F192" s="32" t="n">
        <x:v>324925.196543367</x:v>
      </x:c>
      <x:c r="G192" s="34" t="n">
        <x:f>F192/E192</x:f>
        <x:v>0.3633924208446038</x:v>
      </x:c>
      <x:c r="H192" s="32" t="n">
        <x:v>574.0938078970813</x:v>
      </x:c>
      <x:c r="I192" s="34" t="n">
        <x:f>H192/E192</x:f>
        <x:v>0.0006420595905241627</x:v>
      </x:c>
      <x:c r="J192" s="32" t="n">
        <x:v>568644.8289661593</x:v>
      </x:c>
      <x:c r="K192" s="36" t="b">
        <x:v>0</x:v>
      </x:c>
      <x:c r="L192" s="25" t="b">
        <x:f>G192&lt;'Selection Rules'!$B$4</x:f>
        <x:v>0</x:v>
      </x:c>
      <x:c r="M192" s="25" t="b">
        <x:f>SUMIF('EEZ LME Pairs'!$A$2:$A$351,A192,'EEZ LME Pairs'!$L$2:$L$351)&gt;0</x:f>
        <x:v>0</x:v>
      </x:c>
      <x:c r="N192" s="25" t="b">
        <x:f>SUMIF('EEZ LME Pairs'!$A$2:$A$351,A192,'EEZ LME Pairs'!$M$2:$M$351)&gt;0</x:f>
        <x:v>0</x:v>
      </x:c>
      <x:c r="O192" s="25" t="str"/>
      <x:c r="P192" s="25" t="str"/>
      <x:c r="Q192" s="25" t="str"/>
      <x:c r="R192" s="35" t="n">
        <x:v>0</x:v>
      </x:c>
      <x:c r="S192" s="34" t="n">
        <x:v>0.33138309856649784</x:v>
      </x:c>
      <x:c r="T192" s="33" t="n">
        <x:v>0.9119152727409413</x:v>
      </x:c>
      <x:c r="U192" s="33" t="n">
        <x:v>0</x:v>
      </x:c>
    </x:row>
    <x:row r="193" ht="18" customHeight="1">
      <x:c r="A193" s="25" t="str">
        <x:v>EEZ_844</x:v>
      </x:c>
      <x:c r="B193" s="25" t="str">
        <x:v>EEZ_844</x:v>
      </x:c>
      <x:c r="C193" s="25" t="str">
        <x:v>Palmyra Atoll &amp; Kingman Reef (USA)</x:v>
      </x:c>
      <x:c r="D193" s="25" t="n">
        <x:v>844</x:v>
      </x:c>
      <x:c r="E193" s="32" t="n">
        <x:v>351386.53713090625</x:v>
      </x:c>
      <x:c r="F193" s="32" t="n">
        <x:v>0</x:v>
      </x:c>
      <x:c r="G193" s="34" t="n">
        <x:f>F193/E193</x:f>
        <x:v>0</x:v>
      </x:c>
      <x:c r="H193" s="32" t="n">
        <x:v>209.88179034736638</x:v>
      </x:c>
      <x:c r="I193" s="34" t="n">
        <x:f>H193/E193</x:f>
        <x:v>0.0005972960491345649</x:v>
      </x:c>
      <x:c r="J193" s="32" t="n">
        <x:v>351176.65579333436</x:v>
      </x:c>
      <x:c r="K193" s="36" t="b">
        <x:v>0</x:v>
      </x:c>
      <x:c r="L193" s="25" t="b">
        <x:f>G193&lt;'Selection Rules'!$B$4</x:f>
        <x:v>1</x:v>
      </x:c>
      <x:c r="M193" s="25" t="b">
        <x:f>SUMIF('EEZ LME Pairs'!$A$2:$A$351,A193,'EEZ LME Pairs'!$L$2:$L$351)&gt;0</x:f>
        <x:v>0</x:v>
      </x:c>
      <x:c r="N193" s="25" t="b">
        <x:f>SUMIF('EEZ LME Pairs'!$A$2:$A$351,A193,'EEZ LME Pairs'!$M$2:$M$351)&gt;0</x:f>
        <x:v>0</x:v>
      </x:c>
      <x:c r="O193" s="25" t="str"/>
      <x:c r="P193" s="25" t="str"/>
      <x:c r="Q193" s="25" t="str"/>
      <x:c r="R193" s="35" t="n">
        <x:v>0</x:v>
      </x:c>
      <x:c r="S193" s="34" t="n">
        <x:v>0</x:v>
      </x:c>
      <x:c r="T193" s="33" t="n">
        <x:v>0</x:v>
      </x:c>
      <x:c r="U193" s="33" t="n">
        <x:v>0</x:v>
      </x:c>
    </x:row>
    <x:row r="194" ht="18" customHeight="1">
      <x:c r="A194" s="25" t="str">
        <x:v>EEZ_845</x:v>
      </x:c>
      <x:c r="B194" s="25" t="str">
        <x:v>EEZ_845</x:v>
      </x:c>
      <x:c r="C194" s="25" t="str">
        <x:v>Jarvis Isl. (USA)</x:v>
      </x:c>
      <x:c r="D194" s="25" t="n">
        <x:v>845</x:v>
      </x:c>
      <x:c r="E194" s="32" t="n">
        <x:v>323006.3287681162</x:v>
      </x:c>
      <x:c r="F194" s="32" t="n">
        <x:v>0</x:v>
      </x:c>
      <x:c r="G194" s="34" t="n">
        <x:f>F194/E194</x:f>
        <x:v>0</x:v>
      </x:c>
      <x:c r="H194" s="32" t="n">
        <x:v>99.12037789872873</x:v>
      </x:c>
      <x:c r="I194" s="34" t="n">
        <x:f>H194/E194</x:f>
        <x:v>0.0003068682222938316</x:v>
      </x:c>
      <x:c r="J194" s="32" t="n">
        <x:v>322907.2085005608</x:v>
      </x:c>
      <x:c r="K194" s="36" t="b">
        <x:v>0</x:v>
      </x:c>
      <x:c r="L194" s="25" t="b">
        <x:f>G194&lt;'Selection Rules'!$B$4</x:f>
        <x:v>1</x:v>
      </x:c>
      <x:c r="M194" s="25" t="b">
        <x:f>SUMIF('EEZ LME Pairs'!$A$2:$A$351,A194,'EEZ LME Pairs'!$L$2:$L$351)&gt;0</x:f>
        <x:v>0</x:v>
      </x:c>
      <x:c r="N194" s="25" t="b">
        <x:f>SUMIF('EEZ LME Pairs'!$A$2:$A$351,A194,'EEZ LME Pairs'!$M$2:$M$351)&gt;0</x:f>
        <x:v>0</x:v>
      </x:c>
      <x:c r="O194" s="25" t="str"/>
      <x:c r="P194" s="25" t="str"/>
      <x:c r="Q194" s="25" t="str"/>
      <x:c r="R194" s="35" t="n">
        <x:v>0</x:v>
      </x:c>
      <x:c r="S194" s="34" t="n">
        <x:v>0</x:v>
      </x:c>
      <x:c r="T194" s="33" t="n">
        <x:v>0</x:v>
      </x:c>
      <x:c r="U194" s="33" t="n">
        <x:v>0</x:v>
      </x:c>
    </x:row>
    <x:row r="195" ht="18" customHeight="1">
      <x:c r="A195" s="25" t="str">
        <x:v>EEZ_846</x:v>
      </x:c>
      <x:c r="B195" s="25" t="str">
        <x:v>EEZ_846</x:v>
      </x:c>
      <x:c r="C195" s="25" t="str">
        <x:v>Howland &amp; Baker Isl. (USA)</x:v>
      </x:c>
      <x:c r="D195" s="25" t="n">
        <x:v>846</x:v>
      </x:c>
      <x:c r="E195" s="32" t="n">
        <x:v>433186.0004769548</x:v>
      </x:c>
      <x:c r="F195" s="32" t="n">
        <x:v>0</x:v>
      </x:c>
      <x:c r="G195" s="34" t="n">
        <x:f>F195/E195</x:f>
        <x:v>0</x:v>
      </x:c>
      <x:c r="H195" s="32" t="n">
        <x:v>231.07286652978974</x:v>
      </x:c>
      <x:c r="I195" s="34" t="n">
        <x:f>H195/E195</x:f>
        <x:v>0.0005334264410100267</x:v>
      </x:c>
      <x:c r="J195" s="32" t="n">
        <x:v>432954.9280436122</x:v>
      </x:c>
      <x:c r="K195" s="36" t="b">
        <x:v>0</x:v>
      </x:c>
      <x:c r="L195" s="25" t="b">
        <x:f>G195&lt;'Selection Rules'!$B$4</x:f>
        <x:v>1</x:v>
      </x:c>
      <x:c r="M195" s="25" t="b">
        <x:f>SUMIF('EEZ LME Pairs'!$A$2:$A$351,A195,'EEZ LME Pairs'!$L$2:$L$351)&gt;0</x:f>
        <x:v>0</x:v>
      </x:c>
      <x:c r="N195" s="25" t="b">
        <x:f>SUMIF('EEZ LME Pairs'!$A$2:$A$351,A195,'EEZ LME Pairs'!$M$2:$M$351)&gt;0</x:f>
        <x:v>0</x:v>
      </x:c>
      <x:c r="O195" s="25" t="str"/>
      <x:c r="P195" s="25" t="str"/>
      <x:c r="Q195" s="25" t="str"/>
      <x:c r="R195" s="35" t="n">
        <x:v>0</x:v>
      </x:c>
      <x:c r="S195" s="34" t="n">
        <x:v>0</x:v>
      </x:c>
      <x:c r="T195" s="33" t="n">
        <x:v>0</x:v>
      </x:c>
      <x:c r="U195" s="33" t="n">
        <x:v>0</x:v>
      </x:c>
    </x:row>
    <x:row r="196" ht="18" customHeight="1">
      <x:c r="A196" s="25" t="str">
        <x:v>EEZ_848</x:v>
      </x:c>
      <x:c r="B196" s="25" t="str">
        <x:v>EEZ_848</x:v>
      </x:c>
      <x:c r="C196" s="25" t="str">
        <x:v>USA (West Coast)</x:v>
      </x:c>
      <x:c r="D196" s="25" t="n">
        <x:v>848</x:v>
      </x:c>
      <x:c r="E196" s="32" t="n">
        <x:v>821802.5274343761</x:v>
      </x:c>
      <x:c r="F196" s="32" t="n">
        <x:v>819899.3202904693</x:v>
      </x:c>
      <x:c r="G196" s="34" t="n">
        <x:f>F196/E196</x:f>
        <x:v>0.9976841064849868</x:v>
      </x:c>
      <x:c r="H196" s="32" t="n">
        <x:v>297.8211611772631</x:v>
      </x:c>
      <x:c r="I196" s="34" t="n">
        <x:f>H196/E196</x:f>
        <x:v>0.0003623999090232114</x:v>
      </x:c>
      <x:c r="J196" s="32" t="n">
        <x:v>1903.2103351454077</x:v>
      </x:c>
      <x:c r="K196" s="36" t="b">
        <x:v>1</x:v>
      </x:c>
      <x:c r="L196" s="25" t="b">
        <x:f>G196&lt;'Selection Rules'!$B$4</x:f>
        <x:v>0</x:v>
      </x:c>
      <x:c r="M196" s="25" t="b">
        <x:f>SUMIF('EEZ LME Pairs'!$A$2:$A$351,A196,'EEZ LME Pairs'!$L$2:$L$351)&gt;0</x:f>
        <x:v>0</x:v>
      </x:c>
      <x:c r="N196" s="25" t="b">
        <x:f>SUMIF('EEZ LME Pairs'!$A$2:$A$351,A196,'EEZ LME Pairs'!$M$2:$M$351)&gt;0</x:f>
        <x:v>0</x:v>
      </x:c>
      <x:c r="O196" s="25" t="str"/>
      <x:c r="P196" s="25" t="str"/>
      <x:c r="Q196" s="25" t="str"/>
      <x:c r="R196" s="35" t="n">
        <x:v>0</x:v>
      </x:c>
      <x:c r="S196" s="34" t="n">
        <x:v>0.3463632615332917</x:v>
      </x:c>
      <x:c r="T196" s="33" t="n">
        <x:v>0.5541292283013951</x:v>
      </x:c>
      <x:c r="U196" s="33" t="n">
        <x:v>0</x:v>
      </x:c>
    </x:row>
    <x:row r="197" ht="18" customHeight="1">
      <x:c r="A197" s="25" t="str">
        <x:v>EEZ_850</x:v>
      </x:c>
      <x:c r="B197" s="25" t="str">
        <x:v>EEZ_850</x:v>
      </x:c>
      <x:c r="C197" s="25" t="str">
        <x:v>US Virgin Isl.</x:v>
      </x:c>
      <x:c r="D197" s="25" t="n">
        <x:v>850</x:v>
      </x:c>
      <x:c r="E197" s="32" t="n">
        <x:v>38244.58997768487</x:v>
      </x:c>
      <x:c r="F197" s="32" t="n">
        <x:v>34674.31397534621</x:v>
      </x:c>
      <x:c r="G197" s="34" t="n">
        <x:f>F197/E197</x:f>
        <x:v>0.9066462471052282</x:v>
      </x:c>
      <x:c r="H197" s="32" t="n">
        <x:v>0</x:v>
      </x:c>
      <x:c r="I197" s="34" t="n">
        <x:f>H197/E197</x:f>
        <x:v>0</x:v>
      </x:c>
      <x:c r="J197" s="32" t="n">
        <x:v>3570.276000667607</x:v>
      </x:c>
      <x:c r="K197" s="36" t="b">
        <x:v>0</x:v>
      </x:c>
      <x:c r="L197" s="25" t="b">
        <x:f>G197&lt;'Selection Rules'!$B$4</x:f>
        <x:v>0</x:v>
      </x:c>
      <x:c r="M197" s="25" t="b">
        <x:f>SUMIF('EEZ LME Pairs'!$A$2:$A$351,A197,'EEZ LME Pairs'!$L$2:$L$351)&gt;0</x:f>
        <x:v>0</x:v>
      </x:c>
      <x:c r="N197" s="25" t="b">
        <x:f>SUMIF('EEZ LME Pairs'!$A$2:$A$351,A197,'EEZ LME Pairs'!$M$2:$M$351)&gt;0</x:f>
        <x:v>0</x:v>
      </x:c>
      <x:c r="O197" s="25" t="str"/>
      <x:c r="P197" s="25" t="str"/>
      <x:c r="Q197" s="25" t="str"/>
      <x:c r="R197" s="35" t="n">
        <x:v>0</x:v>
      </x:c>
      <x:c r="S197" s="34" t="n">
        <x:v>0.010627891876346303</x:v>
      </x:c>
      <x:c r="T197" s="33" t="n">
        <x:v>0.011722203571987869</x:v>
      </x:c>
      <x:c r="U197" s="33" t="n">
        <x:v>0</x:v>
      </x:c>
    </x:row>
    <x:row r="198" ht="18" customHeight="1">
      <x:c r="A198" s="25" t="str">
        <x:v>EEZ_851</x:v>
      </x:c>
      <x:c r="B198" s="25" t="str">
        <x:v>EEZ_851</x:v>
      </x:c>
      <x:c r="C198" s="25" t="str">
        <x:v>USA (East Coast)</x:v>
      </x:c>
      <x:c r="D198" s="25" t="n">
        <x:v>851</x:v>
      </x:c>
      <x:c r="E198" s="32" t="n">
        <x:v>926567.5169091584</x:v>
      </x:c>
      <x:c r="F198" s="32" t="n">
        <x:v>538469.359989997</x:v>
      </x:c>
      <x:c r="G198" s="34" t="n">
        <x:f>F198/E198</x:f>
        <x:v>0.5811442233440491</x:v>
      </x:c>
      <x:c r="H198" s="32" t="n">
        <x:v>375.76093784234183</x:v>
      </x:c>
      <x:c r="I198" s="34" t="n">
        <x:f>H198/E198</x:f>
        <x:v>0.00040554080623914405</x:v>
      </x:c>
      <x:c r="J198" s="32" t="n">
        <x:v>387722.40692201024</x:v>
      </x:c>
      <x:c r="K198" s="36" t="b">
        <x:v>1</x:v>
      </x:c>
      <x:c r="L198" s="25" t="b">
        <x:f>G198&lt;'Selection Rules'!$B$4</x:f>
        <x:v>0</x:v>
      </x:c>
      <x:c r="M198" s="25" t="b">
        <x:f>SUMIF('EEZ LME Pairs'!$A$2:$A$351,A198,'EEZ LME Pairs'!$L$2:$L$351)&gt;0</x:f>
        <x:v>0</x:v>
      </x:c>
      <x:c r="N198" s="25" t="b">
        <x:f>SUMIF('EEZ LME Pairs'!$A$2:$A$351,A198,'EEZ LME Pairs'!$M$2:$M$351)&gt;0</x:f>
        <x:v>0</x:v>
      </x:c>
      <x:c r="O198" s="25" t="str"/>
      <x:c r="P198" s="25" t="str"/>
      <x:c r="Q198" s="25" t="str"/>
      <x:c r="R198" s="35" t="n">
        <x:v>0</x:v>
      </x:c>
      <x:c r="S198" s="34" t="n">
        <x:v>0.8431557545980604</x:v>
      </x:c>
      <x:c r="T198" s="33" t="n">
        <x:v>3.0714155710806756</x:v>
      </x:c>
      <x:c r="U198" s="33" t="n">
        <x:v>0</x:v>
      </x:c>
    </x:row>
    <x:row r="199" ht="18" customHeight="1">
      <x:c r="A199" s="25" t="str">
        <x:v>EEZ_852</x:v>
      </x:c>
      <x:c r="B199" s="25" t="str">
        <x:v>EEZ_852</x:v>
      </x:c>
      <x:c r="C199" s="25" t="str">
        <x:v>USA (Gulf of Mexico)</x:v>
      </x:c>
      <x:c r="D199" s="25" t="n">
        <x:v>852</x:v>
      </x:c>
      <x:c r="E199" s="32" t="n">
        <x:v>695687.7909773169</x:v>
      </x:c>
      <x:c r="F199" s="32" t="n">
        <x:v>692146.8455944255</x:v>
      </x:c>
      <x:c r="G199" s="34" t="n">
        <x:f>F199/E199</x:f>
        <x:v>0.9949101516099383</x:v>
      </x:c>
      <x:c r="H199" s="32" t="n">
        <x:v>0</x:v>
      </x:c>
      <x:c r="I199" s="34" t="n">
        <x:f>H199/E199</x:f>
        <x:v>0</x:v>
      </x:c>
      <x:c r="J199" s="32" t="n">
        <x:v>3540.9493703839967</x:v>
      </x:c>
      <x:c r="K199" s="36" t="b">
        <x:v>1</x:v>
      </x:c>
      <x:c r="L199" s="25" t="b">
        <x:f>G199&lt;'Selection Rules'!$B$4</x:f>
        <x:v>0</x:v>
      </x:c>
      <x:c r="M199" s="25" t="b">
        <x:f>SUMIF('EEZ LME Pairs'!$A$2:$A$351,A199,'EEZ LME Pairs'!$L$2:$L$351)&gt;0</x:f>
        <x:v>0</x:v>
      </x:c>
      <x:c r="N199" s="25" t="b">
        <x:f>SUMIF('EEZ LME Pairs'!$A$2:$A$351,A199,'EEZ LME Pairs'!$M$2:$M$351)&gt;0</x:f>
        <x:v>0</x:v>
      </x:c>
      <x:c r="O199" s="25" t="str"/>
      <x:c r="P199" s="25" t="str"/>
      <x:c r="Q199" s="25" t="str"/>
      <x:c r="R199" s="35" t="n">
        <x:v>0</x:v>
      </x:c>
      <x:c r="S199" s="34" t="n">
        <x:v>0.4516633899414578</x:v>
      </x:c>
      <x:c r="T199" s="33" t="n">
        <x:v>0.4539740490240125</x:v>
      </x:c>
      <x:c r="U199" s="33" t="n">
        <x:v>0</x:v>
      </x:c>
    </x:row>
    <x:row r="200" ht="18" customHeight="1">
      <x:c r="A200" s="25" t="str">
        <x:v>EEZ_855</x:v>
      </x:c>
      <x:c r="B200" s="25" t="str">
        <x:v>EEZ_855</x:v>
      </x:c>
      <x:c r="C200" s="25" t="str">
        <x:v>Ascension Isl. (UK)</x:v>
      </x:c>
      <x:c r="D200" s="25" t="n">
        <x:v>855</x:v>
      </x:c>
      <x:c r="E200" s="32" t="n">
        <x:v>441612.2653472578</x:v>
      </x:c>
      <x:c r="F200" s="32" t="n">
        <x:v>0</x:v>
      </x:c>
      <x:c r="G200" s="34" t="n">
        <x:f>F200/E200</x:f>
        <x:v>0</x:v>
      </x:c>
      <x:c r="H200" s="32" t="n">
        <x:v>36.92583654370291</x:v>
      </x:c>
      <x:c r="I200" s="34" t="n">
        <x:f>H200/E200</x:f>
        <x:v>0.00008361596685877058</x:v>
      </x:c>
      <x:c r="J200" s="32" t="n">
        <x:v>441575.3393767142</x:v>
      </x:c>
      <x:c r="K200" s="36" t="b">
        <x:v>0</x:v>
      </x:c>
      <x:c r="L200" s="25" t="b">
        <x:f>G200&lt;'Selection Rules'!$B$4</x:f>
        <x:v>1</x:v>
      </x:c>
      <x:c r="M200" s="25" t="b">
        <x:f>SUMIF('EEZ LME Pairs'!$A$2:$A$351,A200,'EEZ LME Pairs'!$L$2:$L$351)&gt;0</x:f>
        <x:v>0</x:v>
      </x:c>
      <x:c r="N200" s="25" t="b">
        <x:f>SUMIF('EEZ LME Pairs'!$A$2:$A$351,A200,'EEZ LME Pairs'!$M$2:$M$351)&gt;0</x:f>
        <x:v>0</x:v>
      </x:c>
      <x:c r="O200" s="25" t="str"/>
      <x:c r="P200" s="25" t="str"/>
      <x:c r="Q200" s="25" t="str"/>
      <x:c r="R200" s="35" t="n">
        <x:v>0</x:v>
      </x:c>
      <x:c r="S200" s="34" t="n">
        <x:v>0</x:v>
      </x:c>
      <x:c r="T200" s="33" t="n">
        <x:v>0</x:v>
      </x:c>
      <x:c r="U200" s="33" t="n">
        <x:v>0</x:v>
      </x:c>
    </x:row>
    <x:row r="201" ht="18" customHeight="1">
      <x:c r="A201" s="25" t="str">
        <x:v>EEZ_856</x:v>
      </x:c>
      <x:c r="B201" s="25" t="str">
        <x:v>EEZ_856</x:v>
      </x:c>
      <x:c r="C201" s="25" t="str">
        <x:v>Tristan da Cunha Isl. (UK)</x:v>
      </x:c>
      <x:c r="D201" s="25" t="n">
        <x:v>856</x:v>
      </x:c>
      <x:c r="E201" s="32" t="n">
        <x:v>813533.0997511694</x:v>
      </x:c>
      <x:c r="F201" s="32" t="n">
        <x:v>0</x:v>
      </x:c>
      <x:c r="G201" s="34" t="n">
        <x:f>F201/E201</x:f>
        <x:v>0</x:v>
      </x:c>
      <x:c r="H201" s="32" t="n">
        <x:v>150.6088769806203</x:v>
      </x:c>
      <x:c r="I201" s="34" t="n">
        <x:f>H201/E201</x:f>
        <x:v>0.00018512937829657595</x:v>
      </x:c>
      <x:c r="J201" s="32" t="n">
        <x:v>813382.4918449587</x:v>
      </x:c>
      <x:c r="K201" s="36" t="b">
        <x:v>0</x:v>
      </x:c>
      <x:c r="L201" s="25" t="b">
        <x:f>G201&lt;'Selection Rules'!$B$4</x:f>
        <x:v>1</x:v>
      </x:c>
      <x:c r="M201" s="25" t="b">
        <x:f>SUMIF('EEZ LME Pairs'!$A$2:$A$351,A201,'EEZ LME Pairs'!$L$2:$L$351)&gt;0</x:f>
        <x:v>0</x:v>
      </x:c>
      <x:c r="N201" s="25" t="b">
        <x:f>SUMIF('EEZ LME Pairs'!$A$2:$A$351,A201,'EEZ LME Pairs'!$M$2:$M$351)&gt;0</x:f>
        <x:v>0</x:v>
      </x:c>
      <x:c r="O201" s="25" t="str"/>
      <x:c r="P201" s="25" t="str"/>
      <x:c r="Q201" s="25" t="str"/>
      <x:c r="R201" s="35" t="n">
        <x:v>0</x:v>
      </x:c>
      <x:c r="S201" s="34" t="n">
        <x:v>0</x:v>
      </x:c>
      <x:c r="T201" s="33" t="n">
        <x:v>0</x:v>
      </x:c>
      <x:c r="U201" s="33" t="n">
        <x:v>0</x:v>
      </x:c>
    </x:row>
    <x:row r="202" ht="18" customHeight="1">
      <x:c r="A202" s="25" t="str">
        <x:v>EEZ_858</x:v>
      </x:c>
      <x:c r="B202" s="25" t="str">
        <x:v>EEZ_858</x:v>
      </x:c>
      <x:c r="C202" s="25" t="str">
        <x:v>Uruguay</x:v>
      </x:c>
      <x:c r="D202" s="25" t="n">
        <x:v>858</x:v>
      </x:c>
      <x:c r="E202" s="32" t="n">
        <x:v>162906.46029506036</x:v>
      </x:c>
      <x:c r="F202" s="32" t="n">
        <x:v>117142.20403721364</x:v>
      </x:c>
      <x:c r="G202" s="34" t="n">
        <x:f>F202/E202</x:f>
        <x:v>0.7190764799937502</x:v>
      </x:c>
      <x:c r="H202" s="32" t="n">
        <x:v>254.870624745249</x:v>
      </x:c>
      <x:c r="I202" s="34" t="n">
        <x:f>H202/E202</x:f>
        <x:v>0.0015645212859184392</x:v>
      </x:c>
      <x:c r="J202" s="32" t="n">
        <x:v>45509.38553190634</x:v>
      </x:c>
      <x:c r="K202" s="36" t="b">
        <x:v>0</x:v>
      </x:c>
      <x:c r="L202" s="25" t="b">
        <x:f>G202&lt;'Selection Rules'!$B$4</x:f>
        <x:v>0</x:v>
      </x:c>
      <x:c r="M202" s="25" t="b">
        <x:f>SUMIF('EEZ LME Pairs'!$A$2:$A$351,A202,'EEZ LME Pairs'!$L$2:$L$351)&gt;0</x:f>
        <x:v>0</x:v>
      </x:c>
      <x:c r="N202" s="25" t="b">
        <x:f>SUMIF('EEZ LME Pairs'!$A$2:$A$351,A202,'EEZ LME Pairs'!$M$2:$M$351)&gt;0</x:f>
        <x:v>0</x:v>
      </x:c>
      <x:c r="O202" s="25" t="str"/>
      <x:c r="P202" s="25" t="str"/>
      <x:c r="Q202" s="25" t="str"/>
      <x:c r="R202" s="35" t="n">
        <x:v>0</x:v>
      </x:c>
      <x:c r="S202" s="34" t="n">
        <x:v>0.09459418324347664</x:v>
      </x:c>
      <x:c r="T202" s="33" t="n">
        <x:v>0.2875261551351849</x:v>
      </x:c>
      <x:c r="U202" s="33" t="n">
        <x:v>0</x:v>
      </x:c>
    </x:row>
    <x:row r="203" ht="18" customHeight="1">
      <x:c r="A203" s="25" t="str">
        <x:v>EEZ_862</x:v>
      </x:c>
      <x:c r="B203" s="25" t="str">
        <x:v>EEZ_862</x:v>
      </x:c>
      <x:c r="C203" s="25" t="str">
        <x:v>Venezuela</x:v>
      </x:c>
      <x:c r="D203" s="25" t="n">
        <x:v>862</x:v>
      </x:c>
      <x:c r="E203" s="32" t="n">
        <x:v>472358.9397672915</x:v>
      </x:c>
      <x:c r="F203" s="32" t="n">
        <x:v>470828.5255967991</x:v>
      </x:c>
      <x:c r="G203" s="34" t="n">
        <x:f>F203/E203</x:f>
        <x:v>0.9967600609586296</x:v>
      </x:c>
      <x:c r="H203" s="32" t="n">
        <x:v>0</x:v>
      </x:c>
      <x:c r="I203" s="34" t="n">
        <x:f>H203/E203</x:f>
        <x:v>0</x:v>
      </x:c>
      <x:c r="J203" s="32" t="n">
        <x:v>1530.4126723304946</x:v>
      </x:c>
      <x:c r="K203" s="36" t="b">
        <x:v>1</x:v>
      </x:c>
      <x:c r="L203" s="25" t="b">
        <x:f>G203&lt;'Selection Rules'!$B$4</x:f>
        <x:v>0</x:v>
      </x:c>
      <x:c r="M203" s="25" t="b">
        <x:f>SUMIF('EEZ LME Pairs'!$A$2:$A$351,A203,'EEZ LME Pairs'!$L$2:$L$351)&gt;0</x:f>
        <x:v>0</x:v>
      </x:c>
      <x:c r="N203" s="25" t="b">
        <x:f>SUMIF('EEZ LME Pairs'!$A$2:$A$351,A203,'EEZ LME Pairs'!$M$2:$M$351)&gt;0</x:f>
        <x:v>0</x:v>
      </x:c>
      <x:c r="O203" s="25" t="str"/>
      <x:c r="P203" s="25" t="str"/>
      <x:c r="Q203" s="25" t="str"/>
      <x:c r="R203" s="35" t="n">
        <x:v>0</x:v>
      </x:c>
      <x:c r="S203" s="34" t="n">
        <x:v>0.13654025921521637</x:v>
      </x:c>
      <x:c r="T203" s="33" t="n">
        <x:v>0.4478071180509222</x:v>
      </x:c>
      <x:c r="U203" s="33" t="n">
        <x:v>0</x:v>
      </x:c>
    </x:row>
    <x:row r="204" ht="18" customHeight="1">
      <x:c r="A204" s="25" t="str">
        <x:v>EEZ_872</x:v>
      </x:c>
      <x:c r="B204" s="25" t="str">
        <x:v>EEZ_872</x:v>
      </x:c>
      <x:c r="C204" s="25" t="str">
        <x:v>Wake Isl. (USA)</x:v>
      </x:c>
      <x:c r="D204" s="25" t="n">
        <x:v>872</x:v>
      </x:c>
      <x:c r="E204" s="32" t="n">
        <x:v>407385.60618401907</x:v>
      </x:c>
      <x:c r="F204" s="32" t="n">
        <x:v>0</x:v>
      </x:c>
      <x:c r="G204" s="34" t="n">
        <x:f>F204/E204</x:f>
        <x:v>0</x:v>
      </x:c>
      <x:c r="H204" s="32" t="n">
        <x:v>8.739791088045424</x:v>
      </x:c>
      <x:c r="I204" s="34" t="n">
        <x:f>H204/E204</x:f>
        <x:v>0.00002145336250318475</x:v>
      </x:c>
      <x:c r="J204" s="32" t="n">
        <x:v>407376.86651245947</x:v>
      </x:c>
      <x:c r="K204" s="36" t="b">
        <x:v>0</x:v>
      </x:c>
      <x:c r="L204" s="25" t="b">
        <x:f>G204&lt;'Selection Rules'!$B$4</x:f>
        <x:v>1</x:v>
      </x:c>
      <x:c r="M204" s="25" t="b">
        <x:f>SUMIF('EEZ LME Pairs'!$A$2:$A$351,A204,'EEZ LME Pairs'!$L$2:$L$351)&gt;0</x:f>
        <x:v>0</x:v>
      </x:c>
      <x:c r="N204" s="25" t="b">
        <x:f>SUMIF('EEZ LME Pairs'!$A$2:$A$351,A204,'EEZ LME Pairs'!$M$2:$M$351)&gt;0</x:f>
        <x:v>0</x:v>
      </x:c>
      <x:c r="O204" s="25" t="str"/>
      <x:c r="P204" s="25" t="str"/>
      <x:c r="Q204" s="25" t="str"/>
      <x:c r="R204" s="35" t="n">
        <x:v>0</x:v>
      </x:c>
      <x:c r="S204" s="34" t="n">
        <x:v>0</x:v>
      </x:c>
      <x:c r="T204" s="33" t="n">
        <x:v>0</x:v>
      </x:c>
      <x:c r="U204" s="33" t="n">
        <x:v>0</x:v>
      </x:c>
    </x:row>
    <x:row r="205" ht="18" customHeight="1">
      <x:c r="A205" s="25" t="str">
        <x:v>EEZ_876</x:v>
      </x:c>
      <x:c r="B205" s="25" t="str">
        <x:v>EEZ_876</x:v>
      </x:c>
      <x:c r="C205" s="25" t="str">
        <x:v>Wallis &amp; Futuna Isl. (France)</x:v>
      </x:c>
      <x:c r="D205" s="25" t="n">
        <x:v>876</x:v>
      </x:c>
      <x:c r="E205" s="32" t="n">
        <x:v>261529.35841946694</x:v>
      </x:c>
      <x:c r="F205" s="32" t="n">
        <x:v>0</x:v>
      </x:c>
      <x:c r="G205" s="34" t="n">
        <x:f>F205/E205</x:f>
        <x:v>0</x:v>
      </x:c>
      <x:c r="H205" s="32" t="n">
        <x:v>0</x:v>
      </x:c>
      <x:c r="I205" s="34" t="n">
        <x:f>H205/E205</x:f>
        <x:v>0</x:v>
      </x:c>
      <x:c r="J205" s="32" t="n">
        <x:v>261529.35841946668</x:v>
      </x:c>
      <x:c r="K205" s="36" t="b">
        <x:v>0</x:v>
      </x:c>
      <x:c r="L205" s="25" t="b">
        <x:f>G205&lt;'Selection Rules'!$B$4</x:f>
        <x:v>1</x:v>
      </x:c>
      <x:c r="M205" s="25" t="b">
        <x:f>SUMIF('EEZ LME Pairs'!$A$2:$A$351,A205,'EEZ LME Pairs'!$L$2:$L$351)&gt;0</x:f>
        <x:v>0</x:v>
      </x:c>
      <x:c r="N205" s="25" t="b">
        <x:f>SUMIF('EEZ LME Pairs'!$A$2:$A$351,A205,'EEZ LME Pairs'!$M$2:$M$351)&gt;0</x:f>
        <x:v>0</x:v>
      </x:c>
      <x:c r="O205" s="25" t="str"/>
      <x:c r="P205" s="25" t="str"/>
      <x:c r="Q205" s="25" t="str"/>
      <x:c r="R205" s="35" t="n">
        <x:v>0</x:v>
      </x:c>
      <x:c r="S205" s="34" t="n">
        <x:v>0</x:v>
      </x:c>
      <x:c r="T205" s="33" t="n">
        <x:v>0</x:v>
      </x:c>
      <x:c r="U205" s="33" t="n">
        <x:v>0</x:v>
      </x:c>
    </x:row>
    <x:row r="206" ht="18" customHeight="1">
      <x:c r="A206" s="25" t="str">
        <x:v>EEZ_882</x:v>
      </x:c>
      <x:c r="B206" s="25" t="str">
        <x:v>EEZ_882</x:v>
      </x:c>
      <x:c r="C206" s="25" t="str">
        <x:v>Samoa</x:v>
      </x:c>
      <x:c r="D206" s="25" t="n">
        <x:v>882</x:v>
      </x:c>
      <x:c r="E206" s="32" t="n">
        <x:v>131639.5955676337</x:v>
      </x:c>
      <x:c r="F206" s="32" t="n">
        <x:v>0</x:v>
      </x:c>
      <x:c r="G206" s="34" t="n">
        <x:f>F206/E206</x:f>
        <x:v>0</x:v>
      </x:c>
      <x:c r="H206" s="32" t="n">
        <x:v>0</x:v>
      </x:c>
      <x:c r="I206" s="34" t="n">
        <x:f>H206/E206</x:f>
        <x:v>0</x:v>
      </x:c>
      <x:c r="J206" s="32" t="n">
        <x:v>131639.5955676339</x:v>
      </x:c>
      <x:c r="K206" s="36" t="b">
        <x:v>0</x:v>
      </x:c>
      <x:c r="L206" s="25" t="b">
        <x:f>G206&lt;'Selection Rules'!$B$4</x:f>
        <x:v>1</x:v>
      </x:c>
      <x:c r="M206" s="25" t="b">
        <x:f>SUMIF('EEZ LME Pairs'!$A$2:$A$351,A206,'EEZ LME Pairs'!$L$2:$L$351)&gt;0</x:f>
        <x:v>0</x:v>
      </x:c>
      <x:c r="N206" s="25" t="b">
        <x:f>SUMIF('EEZ LME Pairs'!$A$2:$A$351,A206,'EEZ LME Pairs'!$M$2:$M$351)&gt;0</x:f>
        <x:v>0</x:v>
      </x:c>
      <x:c r="O206" s="25" t="str"/>
      <x:c r="P206" s="25" t="str"/>
      <x:c r="Q206" s="25" t="str"/>
      <x:c r="R206" s="35" t="n">
        <x:v>0</x:v>
      </x:c>
      <x:c r="S206" s="34" t="n">
        <x:v>0</x:v>
      </x:c>
      <x:c r="T206" s="33" t="n">
        <x:v>0</x:v>
      </x:c>
      <x:c r="U206" s="33" t="n">
        <x:v>0</x:v>
      </x:c>
    </x:row>
    <x:row r="207" ht="18" customHeight="1">
      <x:c r="A207" s="25" t="str">
        <x:v>EEZ_891</x:v>
      </x:c>
      <x:c r="B207" s="25" t="str">
        <x:v>EEZ_891</x:v>
      </x:c>
      <x:c r="C207" s="25" t="str">
        <x:v>Montenegro</x:v>
      </x:c>
      <x:c r="D207" s="25" t="n">
        <x:v>891</x:v>
      </x:c>
      <x:c r="E207" s="32" t="n">
        <x:v>6368.253708233463</x:v>
      </x:c>
      <x:c r="F207" s="32" t="n">
        <x:v>6314.349680093711</x:v>
      </x:c>
      <x:c r="G207" s="34" t="n">
        <x:f>F207/E207</x:f>
        <x:v>0.9915355086952551</x:v>
      </x:c>
      <x:c r="H207" s="32" t="n">
        <x:v>0</x:v>
      </x:c>
      <x:c r="I207" s="34" t="n">
        <x:f>H207/E207</x:f>
        <x:v>0</x:v>
      </x:c>
      <x:c r="J207" s="32" t="n">
        <x:v>53.904727026967436</x:v>
      </x:c>
      <x:c r="K207" s="36" t="b">
        <x:v>0</x:v>
      </x:c>
      <x:c r="L207" s="25" t="b">
        <x:f>G207&lt;'Selection Rules'!$B$4</x:f>
        <x:v>0</x:v>
      </x:c>
      <x:c r="M207" s="25" t="b">
        <x:f>SUMIF('EEZ LME Pairs'!$A$2:$A$351,A207,'EEZ LME Pairs'!$L$2:$L$351)&gt;0</x:f>
        <x:v>0</x:v>
      </x:c>
      <x:c r="N207" s="25" t="b">
        <x:f>SUMIF('EEZ LME Pairs'!$A$2:$A$351,A207,'EEZ LME Pairs'!$M$2:$M$351)&gt;0</x:f>
        <x:v>0</x:v>
      </x:c>
      <x:c r="O207" s="25" t="str"/>
      <x:c r="P207" s="25" t="str"/>
      <x:c r="Q207" s="25" t="str"/>
      <x:c r="R207" s="35" t="n">
        <x:v>0</x:v>
      </x:c>
      <x:c r="S207" s="34" t="n">
        <x:v>0.002497961335969402</x:v>
      </x:c>
      <x:c r="T207" s="33" t="n">
        <x:v>0.0025192858087920897</x:v>
      </x:c>
      <x:c r="U207" s="33" t="n">
        <x:v>0</x:v>
      </x:c>
    </x:row>
    <x:row r="208" ht="18" customHeight="1">
      <x:c r="A208" s="25" t="str">
        <x:v>EEZ_895</x:v>
      </x:c>
      <x:c r="B208" s="25" t="str">
        <x:v>EEZ_895</x:v>
      </x:c>
      <x:c r="C208" s="25" t="str">
        <x:v>St Paul &amp; Amsterdam Isl. (France)</x:v>
      </x:c>
      <x:c r="D208" s="25" t="n">
        <x:v>895</x:v>
      </x:c>
      <x:c r="E208" s="32" t="n">
        <x:v>508955.7061077079</x:v>
      </x:c>
      <x:c r="F208" s="32" t="n">
        <x:v>0</x:v>
      </x:c>
      <x:c r="G208" s="34" t="n">
        <x:f>F208/E208</x:f>
        <x:v>0</x:v>
      </x:c>
      <x:c r="H208" s="32" t="n">
        <x:v>11.936509442292385</x:v>
      </x:c>
      <x:c r="I208" s="34" t="n">
        <x:f>H208/E208</x:f>
        <x:v>0.000023452943545083897</x:v>
      </x:c>
      <x:c r="J208" s="32" t="n">
        <x:v>508943.76966493117</x:v>
      </x:c>
      <x:c r="K208" s="36" t="b">
        <x:v>0</x:v>
      </x:c>
      <x:c r="L208" s="25" t="b">
        <x:f>G208&lt;'Selection Rules'!$B$4</x:f>
        <x:v>1</x:v>
      </x:c>
      <x:c r="M208" s="25" t="b">
        <x:f>SUMIF('EEZ LME Pairs'!$A$2:$A$351,A208,'EEZ LME Pairs'!$L$2:$L$351)&gt;0</x:f>
        <x:v>0</x:v>
      </x:c>
      <x:c r="N208" s="25" t="b">
        <x:f>SUMIF('EEZ LME Pairs'!$A$2:$A$351,A208,'EEZ LME Pairs'!$M$2:$M$351)&gt;0</x:f>
        <x:v>0</x:v>
      </x:c>
      <x:c r="O208" s="25" t="str"/>
      <x:c r="P208" s="25" t="str"/>
      <x:c r="Q208" s="25" t="str"/>
      <x:c r="R208" s="35" t="n">
        <x:v>0</x:v>
      </x:c>
      <x:c r="S208" s="34" t="n">
        <x:v>0</x:v>
      </x:c>
      <x:c r="T208" s="33" t="n">
        <x:v>0</x:v>
      </x:c>
      <x:c r="U208" s="33" t="n">
        <x:v>0</x:v>
      </x:c>
    </x:row>
    <x:row r="209" ht="18" customHeight="1">
      <x:c r="A209" s="25" t="str">
        <x:v>EEZ_896</x:v>
      </x:c>
      <x:c r="B209" s="25" t="str">
        <x:v>EEZ_896</x:v>
      </x:c>
      <x:c r="C209" s="25" t="str">
        <x:v>Crozet Isl. (France)</x:v>
      </x:c>
      <x:c r="D209" s="25" t="n">
        <x:v>896</x:v>
      </x:c>
      <x:c r="E209" s="32" t="n">
        <x:v>574374.1488711125</x:v>
      </x:c>
      <x:c r="F209" s="32" t="n">
        <x:v>0</x:v>
      </x:c>
      <x:c r="G209" s="34" t="n">
        <x:f>F209/E209</x:f>
        <x:v>0</x:v>
      </x:c>
      <x:c r="H209" s="32" t="n">
        <x:v>13.619185295964543</x:v>
      </x:c>
      <x:c r="I209" s="34" t="n">
        <x:f>H209/E209</x:f>
        <x:v>0.000023711347947556462</x:v>
      </x:c>
      <x:c r="J209" s="32" t="n">
        <x:v>574360.5297084965</x:v>
      </x:c>
      <x:c r="K209" s="36" t="b">
        <x:v>0</x:v>
      </x:c>
      <x:c r="L209" s="25" t="b">
        <x:f>G209&lt;'Selection Rules'!$B$4</x:f>
        <x:v>1</x:v>
      </x:c>
      <x:c r="M209" s="25" t="b">
        <x:f>SUMIF('EEZ LME Pairs'!$A$2:$A$351,A209,'EEZ LME Pairs'!$L$2:$L$351)&gt;0</x:f>
        <x:v>0</x:v>
      </x:c>
      <x:c r="N209" s="25" t="b">
        <x:f>SUMIF('EEZ LME Pairs'!$A$2:$A$351,A209,'EEZ LME Pairs'!$M$2:$M$351)&gt;0</x:f>
        <x:v>0</x:v>
      </x:c>
      <x:c r="O209" s="25" t="str"/>
      <x:c r="P209" s="25" t="str"/>
      <x:c r="Q209" s="25" t="str"/>
      <x:c r="R209" s="35" t="n">
        <x:v>0</x:v>
      </x:c>
      <x:c r="S209" s="34" t="n">
        <x:v>0</x:v>
      </x:c>
      <x:c r="T209" s="33" t="n">
        <x:v>0</x:v>
      </x:c>
      <x:c r="U209" s="33" t="n">
        <x:v>0</x:v>
      </x:c>
    </x:row>
    <x:row r="210" ht="18" customHeight="1">
      <x:c r="A210" s="25" t="str">
        <x:v>EEZ_897</x:v>
      </x:c>
      <x:c r="B210" s="25" t="str">
        <x:v>EEZ_897</x:v>
      </x:c>
      <x:c r="C210" s="25" t="str">
        <x:v>Kerguelen Isl. (France)</x:v>
      </x:c>
      <x:c r="D210" s="25" t="n">
        <x:v>897</x:v>
      </x:c>
      <x:c r="E210" s="32" t="n">
        <x:v>567940.6672875901</x:v>
      </x:c>
      <x:c r="F210" s="32" t="n">
        <x:v>0</x:v>
      </x:c>
      <x:c r="G210" s="34" t="n">
        <x:f>F210/E210</x:f>
        <x:v>0</x:v>
      </x:c>
      <x:c r="H210" s="32" t="n">
        <x:v>4.840184022605839</x:v>
      </x:c>
      <x:c r="I210" s="34" t="n">
        <x:f>H210/E210</x:f>
        <x:v>0.000008522340979246866</x:v>
      </x:c>
      <x:c r="J210" s="32" t="n">
        <x:v>567935.827103101</x:v>
      </x:c>
      <x:c r="K210" s="36" t="b">
        <x:v>1</x:v>
      </x:c>
      <x:c r="L210" s="25" t="b">
        <x:f>G210&lt;'Selection Rules'!$B$4</x:f>
        <x:v>1</x:v>
      </x:c>
      <x:c r="M210" s="25" t="b">
        <x:f>SUMIF('EEZ LME Pairs'!$A$2:$A$351,A210,'EEZ LME Pairs'!$L$2:$L$351)&gt;0</x:f>
        <x:v>0</x:v>
      </x:c>
      <x:c r="N210" s="25" t="b">
        <x:f>SUMIF('EEZ LME Pairs'!$A$2:$A$351,A210,'EEZ LME Pairs'!$M$2:$M$351)&gt;0</x:f>
        <x:v>0</x:v>
      </x:c>
      <x:c r="O210" s="25" t="str"/>
      <x:c r="P210" s="25" t="str"/>
      <x:c r="Q210" s="25" t="str"/>
      <x:c r="R210" s="35" t="n">
        <x:v>0</x:v>
      </x:c>
      <x:c r="S210" s="34" t="n">
        <x:v>0</x:v>
      </x:c>
      <x:c r="T210" s="33" t="n">
        <x:v>0</x:v>
      </x:c>
      <x:c r="U210" s="33" t="n">
        <x:v>0</x:v>
      </x:c>
    </x:row>
    <x:row r="211" ht="18" customHeight="1">
      <x:c r="A211" s="25" t="str">
        <x:v>EEZ_898</x:v>
      </x:c>
      <x:c r="B211" s="25" t="str">
        <x:v>EEZ_898</x:v>
      </x:c>
      <x:c r="C211" s="25" t="str">
        <x:v>Clipperton Isl. (France)</x:v>
      </x:c>
      <x:c r="D211" s="25" t="n">
        <x:v>898</x:v>
      </x:c>
      <x:c r="E211" s="32" t="n">
        <x:v>431261.2504463684</x:v>
      </x:c>
      <x:c r="F211" s="32" t="n">
        <x:v>0</x:v>
      </x:c>
      <x:c r="G211" s="34" t="n">
        <x:f>F211/E211</x:f>
        <x:v>0</x:v>
      </x:c>
      <x:c r="H211" s="32" t="n">
        <x:v>4.224836936622045</x:v>
      </x:c>
      <x:c r="I211" s="34" t="n">
        <x:f>H211/E211</x:f>
        <x:v>0.000009796467761129039</x:v>
      </x:c>
      <x:c r="J211" s="32" t="n">
        <x:v>431257.025605241</x:v>
      </x:c>
      <x:c r="K211" s="36" t="b">
        <x:v>0</x:v>
      </x:c>
      <x:c r="L211" s="25" t="b">
        <x:f>G211&lt;'Selection Rules'!$B$4</x:f>
        <x:v>1</x:v>
      </x:c>
      <x:c r="M211" s="25" t="b">
        <x:f>SUMIF('EEZ LME Pairs'!$A$2:$A$351,A211,'EEZ LME Pairs'!$L$2:$L$351)&gt;0</x:f>
        <x:v>0</x:v>
      </x:c>
      <x:c r="N211" s="25" t="b">
        <x:f>SUMIF('EEZ LME Pairs'!$A$2:$A$351,A211,'EEZ LME Pairs'!$M$2:$M$351)&gt;0</x:f>
        <x:v>0</x:v>
      </x:c>
      <x:c r="O211" s="25" t="str"/>
      <x:c r="P211" s="25" t="str"/>
      <x:c r="Q211" s="25" t="str"/>
      <x:c r="R211" s="35" t="n">
        <x:v>0</x:v>
      </x:c>
      <x:c r="S211" s="34" t="n">
        <x:v>0</x:v>
      </x:c>
      <x:c r="T211" s="33" t="n">
        <x:v>0</x:v>
      </x:c>
      <x:c r="U211" s="33" t="n">
        <x:v>0</x:v>
      </x:c>
    </x:row>
    <x:row r="212" ht="18" customHeight="1">
      <x:c r="A212" s="25" t="str">
        <x:v>EEZ_899</x:v>
      </x:c>
      <x:c r="B212" s="25" t="str">
        <x:v>EEZ_899</x:v>
      </x:c>
      <x:c r="C212" s="25" t="str">
        <x:v>Corsica (France)</x:v>
      </x:c>
      <x:c r="D212" s="25" t="n">
        <x:v>899</x:v>
      </x:c>
      <x:c r="E212" s="32" t="n">
        <x:v>23555.600809500604</x:v>
      </x:c>
      <x:c r="F212" s="32" t="n">
        <x:v>23479.13902554532</x:v>
      </x:c>
      <x:c r="G212" s="34" t="n">
        <x:f>F212/E212</x:f>
        <x:v>0.9967539871059266</x:v>
      </x:c>
      <x:c r="H212" s="32" t="n">
        <x:v>0</x:v>
      </x:c>
      <x:c r="I212" s="34" t="n">
        <x:f>H212/E212</x:f>
        <x:v>0</x:v>
      </x:c>
      <x:c r="J212" s="32" t="n">
        <x:v>76.461412559608</x:v>
      </x:c>
      <x:c r="K212" s="36" t="b">
        <x:v>0</x:v>
      </x:c>
      <x:c r="L212" s="25" t="b">
        <x:f>G212&lt;'Selection Rules'!$B$4</x:f>
        <x:v>0</x:v>
      </x:c>
      <x:c r="M212" s="25" t="b">
        <x:f>SUMIF('EEZ LME Pairs'!$A$2:$A$351,A212,'EEZ LME Pairs'!$L$2:$L$351)&gt;0</x:f>
        <x:v>0</x:v>
      </x:c>
      <x:c r="N212" s="25" t="b">
        <x:f>SUMIF('EEZ LME Pairs'!$A$2:$A$351,A212,'EEZ LME Pairs'!$M$2:$M$351)&gt;0</x:f>
        <x:v>0</x:v>
      </x:c>
      <x:c r="O212" s="25" t="str"/>
      <x:c r="P212" s="25" t="str"/>
      <x:c r="Q212" s="25" t="str"/>
      <x:c r="R212" s="35" t="n">
        <x:v>0</x:v>
      </x:c>
      <x:c r="S212" s="34" t="n">
        <x:v>0.009288364512431006</x:v>
      </x:c>
      <x:c r="T212" s="33" t="n">
        <x:v>0.00931861284989665</x:v>
      </x:c>
      <x:c r="U212" s="33" t="n">
        <x:v>0</x:v>
      </x:c>
    </x:row>
    <x:row r="213" ht="18" customHeight="1">
      <x:c r="A213" s="25" t="str">
        <x:v>EEZ_900</x:v>
      </x:c>
      <x:c r="B213" s="25" t="str">
        <x:v>EEZ_900</x:v>
      </x:c>
      <x:c r="C213" s="25" t="str">
        <x:v>Crete (Greece)</x:v>
      </x:c>
      <x:c r="D213" s="25" t="n">
        <x:v>900</x:v>
      </x:c>
      <x:c r="E213" s="32" t="n">
        <x:v>96166.5270389064</x:v>
      </x:c>
      <x:c r="F213" s="32" t="n">
        <x:v>96004.42828923119</x:v>
      </x:c>
      <x:c r="G213" s="34" t="n">
        <x:f>F213/E213</x:f>
        <x:v>0.9983143953029558</x:v>
      </x:c>
      <x:c r="H213" s="32" t="n">
        <x:v>0</x:v>
      </x:c>
      <x:c r="I213" s="34" t="n">
        <x:f>H213/E213</x:f>
        <x:v>0</x:v>
      </x:c>
      <x:c r="J213" s="32" t="n">
        <x:v>162.0976149481024</x:v>
      </x:c>
      <x:c r="K213" s="36" t="b">
        <x:v>0</x:v>
      </x:c>
      <x:c r="L213" s="25" t="b">
        <x:f>G213&lt;'Selection Rules'!$B$4</x:f>
        <x:v>0</x:v>
      </x:c>
      <x:c r="M213" s="25" t="b">
        <x:f>SUMIF('EEZ LME Pairs'!$A$2:$A$351,A213,'EEZ LME Pairs'!$L$2:$L$351)&gt;0</x:f>
        <x:v>0</x:v>
      </x:c>
      <x:c r="N213" s="25" t="b">
        <x:f>SUMIF('EEZ LME Pairs'!$A$2:$A$351,A213,'EEZ LME Pairs'!$M$2:$M$351)&gt;0</x:f>
        <x:v>0</x:v>
      </x:c>
      <x:c r="O213" s="25" t="str"/>
      <x:c r="P213" s="25" t="str"/>
      <x:c r="Q213" s="25" t="str"/>
      <x:c r="R213" s="35" t="n">
        <x:v>0</x:v>
      </x:c>
      <x:c r="S213" s="34" t="n">
        <x:v>0.03797942180876931</x:v>
      </x:c>
      <x:c r="T213" s="33" t="n">
        <x:v>0.03804354819229446</x:v>
      </x:c>
      <x:c r="U213" s="33" t="n">
        <x:v>0</x:v>
      </x:c>
    </x:row>
    <x:row r="214" ht="18" customHeight="1">
      <x:c r="A214" s="25" t="str">
        <x:v>EEZ_901</x:v>
      </x:c>
      <x:c r="B214" s="25" t="str">
        <x:v>EEZ_901</x:v>
      </x:c>
      <x:c r="C214" s="25" t="str">
        <x:v>Sicily (Italy)</x:v>
      </x:c>
      <x:c r="D214" s="25" t="n">
        <x:v>901</x:v>
      </x:c>
      <x:c r="E214" s="32" t="n">
        <x:v>105100.70862118475</x:v>
      </x:c>
      <x:c r="F214" s="32" t="n">
        <x:v>104876.02604190727</x:v>
      </x:c>
      <x:c r="G214" s="34" t="n">
        <x:f>F214/E214</x:f>
        <x:v>0.997862216323514</x:v>
      </x:c>
      <x:c r="H214" s="32" t="n">
        <x:v>0</x:v>
      </x:c>
      <x:c r="I214" s="34" t="n">
        <x:f>H214/E214</x:f>
        <x:v>0</x:v>
      </x:c>
      <x:c r="J214" s="32" t="n">
        <x:v>224.6847337127882</x:v>
      </x:c>
      <x:c r="K214" s="36" t="b">
        <x:v>0</x:v>
      </x:c>
      <x:c r="L214" s="25" t="b">
        <x:f>G214&lt;'Selection Rules'!$B$4</x:f>
        <x:v>0</x:v>
      </x:c>
      <x:c r="M214" s="25" t="b">
        <x:f>SUMIF('EEZ LME Pairs'!$A$2:$A$351,A214,'EEZ LME Pairs'!$L$2:$L$351)&gt;0</x:f>
        <x:v>0</x:v>
      </x:c>
      <x:c r="N214" s="25" t="b">
        <x:f>SUMIF('EEZ LME Pairs'!$A$2:$A$351,A214,'EEZ LME Pairs'!$M$2:$M$351)&gt;0</x:f>
        <x:v>0</x:v>
      </x:c>
      <x:c r="O214" s="25" t="str"/>
      <x:c r="P214" s="25" t="str"/>
      <x:c r="Q214" s="25" t="str"/>
      <x:c r="R214" s="35" t="n">
        <x:v>0</x:v>
      </x:c>
      <x:c r="S214" s="34" t="n">
        <x:v>0.041489032346228326</x:v>
      </x:c>
      <x:c r="T214" s="33" t="n">
        <x:v>0.041577916938361444</x:v>
      </x:c>
      <x:c r="U214" s="33" t="n">
        <x:v>0</x:v>
      </x:c>
    </x:row>
    <x:row r="215" ht="18" customHeight="1">
      <x:c r="A215" s="25" t="str">
        <x:v>EEZ_902</x:v>
      </x:c>
      <x:c r="B215" s="25" t="str">
        <x:v>EEZ_902</x:v>
      </x:c>
      <x:c r="C215" s="25" t="str">
        <x:v>Sardinia (Italy)</x:v>
      </x:c>
      <x:c r="D215" s="25" t="n">
        <x:v>902</x:v>
      </x:c>
      <x:c r="E215" s="32" t="n">
        <x:v>116511.70328288968</x:v>
      </x:c>
      <x:c r="F215" s="32" t="n">
        <x:v>116234.23641222388</x:v>
      </x:c>
      <x:c r="G215" s="34" t="n">
        <x:f>F215/E215</x:f>
        <x:v>0.9976185493572941</x:v>
      </x:c>
      <x:c r="H215" s="32" t="n">
        <x:v>0</x:v>
      </x:c>
      <x:c r="I215" s="34" t="n">
        <x:f>H215/E215</x:f>
        <x:v>0</x:v>
      </x:c>
      <x:c r="J215" s="32" t="n">
        <x:v>277.4673700650092</x:v>
      </x:c>
      <x:c r="K215" s="36" t="b">
        <x:v>1</x:v>
      </x:c>
      <x:c r="L215" s="25" t="b">
        <x:f>G215&lt;'Selection Rules'!$B$4</x:f>
        <x:v>0</x:v>
      </x:c>
      <x:c r="M215" s="25" t="b">
        <x:f>SUMIF('EEZ LME Pairs'!$A$2:$A$351,A215,'EEZ LME Pairs'!$L$2:$L$351)&gt;0</x:f>
        <x:v>0</x:v>
      </x:c>
      <x:c r="N215" s="25" t="b">
        <x:f>SUMIF('EEZ LME Pairs'!$A$2:$A$351,A215,'EEZ LME Pairs'!$M$2:$M$351)&gt;0</x:f>
        <x:v>0</x:v>
      </x:c>
      <x:c r="O215" s="25" t="str"/>
      <x:c r="P215" s="25" t="str"/>
      <x:c r="Q215" s="25" t="str"/>
      <x:c r="R215" s="35" t="n">
        <x:v>0</x:v>
      </x:c>
      <x:c r="S215" s="34" t="n">
        <x:v>0.045982348647715846</x:v>
      </x:c>
      <x:c r="T215" s="33" t="n">
        <x:v>0.04609211474399661</x:v>
      </x:c>
      <x:c r="U215" s="33" t="n">
        <x:v>0</x:v>
      </x:c>
    </x:row>
    <x:row r="216" ht="18" customHeight="1">
      <x:c r="A216" s="25" t="str">
        <x:v>EEZ_903</x:v>
      </x:c>
      <x:c r="B216" s="25" t="str">
        <x:v>EEZ_903</x:v>
      </x:c>
      <x:c r="C216" s="25" t="str">
        <x:v>Balearic Islands (Spain)</x:v>
      </x:c>
      <x:c r="D216" s="25" t="n">
        <x:v>903</x:v>
      </x:c>
      <x:c r="E216" s="32" t="n">
        <x:v>128840.09608986475</x:v>
      </x:c>
      <x:c r="F216" s="32" t="n">
        <x:v>128674.9194577952</x:v>
      </x:c>
      <x:c r="G216" s="34" t="n">
        <x:f>F216/E216</x:f>
        <x:v>0.9987179718342158</x:v>
      </x:c>
      <x:c r="H216" s="32" t="n">
        <x:v>0</x:v>
      </x:c>
      <x:c r="I216" s="34" t="n">
        <x:f>H216/E216</x:f>
        <x:v>0</x:v>
      </x:c>
      <x:c r="J216" s="32" t="n">
        <x:v>165.17717257459145</x:v>
      </x:c>
      <x:c r="K216" s="36" t="b">
        <x:v>0</x:v>
      </x:c>
      <x:c r="L216" s="25" t="b">
        <x:f>G216&lt;'Selection Rules'!$B$4</x:f>
        <x:v>0</x:v>
      </x:c>
      <x:c r="M216" s="25" t="b">
        <x:f>SUMIF('EEZ LME Pairs'!$A$2:$A$351,A216,'EEZ LME Pairs'!$L$2:$L$351)&gt;0</x:f>
        <x:v>0</x:v>
      </x:c>
      <x:c r="N216" s="25" t="b">
        <x:f>SUMIF('EEZ LME Pairs'!$A$2:$A$351,A216,'EEZ LME Pairs'!$M$2:$M$351)&gt;0</x:f>
        <x:v>0</x:v>
      </x:c>
      <x:c r="O216" s="25" t="str"/>
      <x:c r="P216" s="25" t="str"/>
      <x:c r="Q216" s="25" t="str"/>
      <x:c r="R216" s="35" t="n">
        <x:v>0</x:v>
      </x:c>
      <x:c r="S216" s="34" t="n">
        <x:v>0.050903891928547586</x:v>
      </x:c>
      <x:c r="T216" s="33" t="n">
        <x:v>0.05096923592459141</x:v>
      </x:c>
      <x:c r="U216" s="33" t="n">
        <x:v>0</x:v>
      </x:c>
    </x:row>
    <x:row r="217" ht="18" customHeight="1">
      <x:c r="A217" s="25" t="str">
        <x:v>EEZ_904</x:v>
      </x:c>
      <x:c r="B217" s="25" t="str">
        <x:v>EEZ_904</x:v>
      </x:c>
      <x:c r="C217" s="25" t="str">
        <x:v>St Barthelemy (France)</x:v>
      </x:c>
      <x:c r="D217" s="25" t="n">
        <x:v>904</x:v>
      </x:c>
      <x:c r="E217" s="32" t="n">
        <x:v>4200.286487737598</x:v>
      </x:c>
      <x:c r="F217" s="32" t="n">
        <x:v>254.69345259313366</x:v>
      </x:c>
      <x:c r="G217" s="34" t="n">
        <x:f>F217/E217</x:f>
        <x:v>0.06063716209279794</x:v>
      </x:c>
      <x:c r="H217" s="32" t="n">
        <x:v>0</x:v>
      </x:c>
      <x:c r="I217" s="34" t="n">
        <x:f>H217/E217</x:f>
        <x:v>0</x:v>
      </x:c>
      <x:c r="J217" s="32" t="n">
        <x:v>3945.592992716032</x:v>
      </x:c>
      <x:c r="K217" s="36" t="b">
        <x:v>0</x:v>
      </x:c>
      <x:c r="L217" s="25" t="b">
        <x:f>G217&lt;'Selection Rules'!$B$4</x:f>
        <x:v>1</x:v>
      </x:c>
      <x:c r="M217" s="25" t="b">
        <x:f>SUMIF('EEZ LME Pairs'!$A$2:$A$351,A217,'EEZ LME Pairs'!$L$2:$L$351)&gt;0</x:f>
        <x:v>0</x:v>
      </x:c>
      <x:c r="N217" s="25" t="b">
        <x:f>SUMIF('EEZ LME Pairs'!$A$2:$A$351,A217,'EEZ LME Pairs'!$M$2:$M$351)&gt;0</x:f>
        <x:v>0</x:v>
      </x:c>
      <x:c r="O217" s="25" t="str"/>
      <x:c r="P217" s="25" t="str"/>
      <x:c r="Q217" s="25" t="str"/>
      <x:c r="R217" s="35" t="n">
        <x:v>0</x:v>
      </x:c>
      <x:c r="S217" s="34" t="n">
        <x:v>0.00007806511983763423</x:v>
      </x:c>
      <x:c r="T217" s="33" t="n">
        <x:v>0.0012874138093429386</x:v>
      </x:c>
      <x:c r="U217" s="33" t="n">
        <x:v>0</x:v>
      </x:c>
    </x:row>
    <x:row r="218" ht="18" customHeight="1">
      <x:c r="A218" s="25" t="str">
        <x:v>EEZ_905</x:v>
      </x:c>
      <x:c r="B218" s="25" t="str">
        <x:v>EEZ_905</x:v>
      </x:c>
      <x:c r="C218" s="25" t="str">
        <x:v>St Martin (France)</x:v>
      </x:c>
      <x:c r="D218" s="25" t="n">
        <x:v>905</x:v>
      </x:c>
      <x:c r="E218" s="32" t="n">
        <x:v>1070.241283917514</x:v>
      </x:c>
      <x:c r="F218" s="32" t="n">
        <x:v>408.62172743609034</x:v>
      </x:c>
      <x:c r="G218" s="34" t="n">
        <x:f>F218/E218</x:f>
        <x:v>0.3818033686201772</x:v>
      </x:c>
      <x:c r="H218" s="32" t="n">
        <x:v>0</x:v>
      </x:c>
      <x:c r="I218" s="34" t="n">
        <x:f>H218/E218</x:f>
        <x:v>0</x:v>
      </x:c>
      <x:c r="J218" s="32" t="n">
        <x:v>661.6196379323281</x:v>
      </x:c>
      <x:c r="K218" s="36" t="b">
        <x:v>0</x:v>
      </x:c>
      <x:c r="L218" s="25" t="b">
        <x:f>G218&lt;'Selection Rules'!$B$4</x:f>
        <x:v>0</x:v>
      </x:c>
      <x:c r="M218" s="25" t="b">
        <x:f>SUMIF('EEZ LME Pairs'!$A$2:$A$351,A218,'EEZ LME Pairs'!$L$2:$L$351)&gt;0</x:f>
        <x:v>0</x:v>
      </x:c>
      <x:c r="N218" s="25" t="b">
        <x:f>SUMIF('EEZ LME Pairs'!$A$2:$A$351,A218,'EEZ LME Pairs'!$M$2:$M$351)&gt;0</x:f>
        <x:v>0</x:v>
      </x:c>
      <x:c r="O218" s="25" t="str"/>
      <x:c r="P218" s="25" t="str"/>
      <x:c r="Q218" s="25" t="str"/>
      <x:c r="R218" s="35" t="n">
        <x:v>0</x:v>
      </x:c>
      <x:c r="S218" s="34" t="n">
        <x:v>0.0001252450889325275</x:v>
      </x:c>
      <x:c r="T218" s="33" t="n">
        <x:v>0.00032803557858894353</x:v>
      </x:c>
      <x:c r="U218" s="33" t="n">
        <x:v>0</x:v>
      </x:c>
    </x:row>
    <x:row r="219" ht="18" customHeight="1">
      <x:c r="A219" s="25" t="str">
        <x:v>EEZ_906</x:v>
      </x:c>
      <x:c r="B219" s="25" t="str">
        <x:v>EEZ_906</x:v>
      </x:c>
      <x:c r="C219" s="25" t="str">
        <x:v>Curaçao (Netherlands)</x:v>
      </x:c>
      <x:c r="D219" s="25" t="n">
        <x:v>906</x:v>
      </x:c>
      <x:c r="E219" s="32" t="n">
        <x:v>25452.931939698534</x:v>
      </x:c>
      <x:c r="F219" s="32" t="n">
        <x:v>25388.954651382344</x:v>
      </x:c>
      <x:c r="G219" s="34" t="n">
        <x:f>F219/E219</x:f>
        <x:v>0.9974864472011413</x:v>
      </x:c>
      <x:c r="H219" s="32" t="n">
        <x:v>0</x:v>
      </x:c>
      <x:c r="I219" s="34" t="n">
        <x:f>H219/E219</x:f>
        <x:v>0</x:v>
      </x:c>
      <x:c r="J219" s="32" t="n">
        <x:v>63.977466732198735</x:v>
      </x:c>
      <x:c r="K219" s="36" t="b">
        <x:v>0</x:v>
      </x:c>
      <x:c r="L219" s="25" t="b">
        <x:f>G219&lt;'Selection Rules'!$B$4</x:f>
        <x:v>0</x:v>
      </x:c>
      <x:c r="M219" s="25" t="b">
        <x:f>SUMIF('EEZ LME Pairs'!$A$2:$A$351,A219,'EEZ LME Pairs'!$L$2:$L$351)&gt;0</x:f>
        <x:v>0</x:v>
      </x:c>
      <x:c r="N219" s="25" t="b">
        <x:f>SUMIF('EEZ LME Pairs'!$A$2:$A$351,A219,'EEZ LME Pairs'!$M$2:$M$351)&gt;0</x:f>
        <x:v>0</x:v>
      </x:c>
      <x:c r="O219" s="25" t="str"/>
      <x:c r="P219" s="25" t="str"/>
      <x:c r="Q219" s="25" t="str"/>
      <x:c r="R219" s="35" t="n">
        <x:v>0</x:v>
      </x:c>
      <x:c r="S219" s="34" t="n">
        <x:v>0.00778187176479407</x:v>
      </x:c>
      <x:c r="T219" s="33" t="n">
        <x:v>0.007801481199698816</x:v>
      </x:c>
      <x:c r="U219" s="33" t="n">
        <x:v>0</x:v>
      </x:c>
    </x:row>
    <x:row r="220" ht="18" customHeight="1">
      <x:c r="A220" s="25" t="str">
        <x:v>EEZ_907</x:v>
      </x:c>
      <x:c r="B220" s="25" t="str">
        <x:v>EEZ_907</x:v>
      </x:c>
      <x:c r="C220" s="25" t="str">
        <x:v>Bonaire (Netherlands)</x:v>
      </x:c>
      <x:c r="D220" s="25" t="n">
        <x:v>907</x:v>
      </x:c>
      <x:c r="E220" s="32" t="n">
        <x:v>12812.589318453804</x:v>
      </x:c>
      <x:c r="F220" s="32" t="n">
        <x:v>12769.170219424419</x:v>
      </x:c>
      <x:c r="G220" s="34" t="n">
        <x:f>F220/E220</x:f>
        <x:v>0.9966112158947569</x:v>
      </x:c>
      <x:c r="H220" s="32" t="n">
        <x:v>0</x:v>
      </x:c>
      <x:c r="I220" s="34" t="n">
        <x:f>H220/E220</x:f>
        <x:v>0</x:v>
      </x:c>
      <x:c r="J220" s="32" t="n">
        <x:v>43.41887268046647</x:v>
      </x:c>
      <x:c r="K220" s="36" t="b">
        <x:v>0</x:v>
      </x:c>
      <x:c r="L220" s="25" t="b">
        <x:f>G220&lt;'Selection Rules'!$B$4</x:f>
        <x:v>0</x:v>
      </x:c>
      <x:c r="M220" s="25" t="b">
        <x:f>SUMIF('EEZ LME Pairs'!$A$2:$A$351,A220,'EEZ LME Pairs'!$L$2:$L$351)&gt;0</x:f>
        <x:v>0</x:v>
      </x:c>
      <x:c r="N220" s="25" t="b">
        <x:f>SUMIF('EEZ LME Pairs'!$A$2:$A$351,A220,'EEZ LME Pairs'!$M$2:$M$351)&gt;0</x:f>
        <x:v>0</x:v>
      </x:c>
      <x:c r="O220" s="25" t="str"/>
      <x:c r="P220" s="25" t="str"/>
      <x:c r="Q220" s="25" t="str"/>
      <x:c r="R220" s="35" t="n">
        <x:v>0</x:v>
      </x:c>
      <x:c r="S220" s="34" t="n">
        <x:v>0.003913829716694458</x:v>
      </x:c>
      <x:c r="T220" s="33" t="n">
        <x:v>0.003927137939322331</x:v>
      </x:c>
      <x:c r="U220" s="33" t="n">
        <x:v>0</x:v>
      </x:c>
    </x:row>
    <x:row r="221" ht="18" customHeight="1">
      <x:c r="A221" s="25" t="str">
        <x:v>EEZ_908</x:v>
      </x:c>
      <x:c r="B221" s="25" t="str">
        <x:v>EEZ_908</x:v>
      </x:c>
      <x:c r="C221" s="25" t="str">
        <x:v>Saba and Sint Eustatius (Netherlands)</x:v>
      </x:c>
      <x:c r="D221" s="25" t="n">
        <x:v>908</x:v>
      </x:c>
      <x:c r="E221" s="32" t="n">
        <x:v>11653.822436703756</x:v>
      </x:c>
      <x:c r="F221" s="32" t="n">
        <x:v>11653.822436703762</x:v>
      </x:c>
      <x:c r="G221" s="34" t="n">
        <x:f>F221/E221</x:f>
        <x:v>1.0000000000000004</x:v>
      </x:c>
      <x:c r="H221" s="32" t="n">
        <x:v>0</x:v>
      </x:c>
      <x:c r="I221" s="34" t="n">
        <x:f>H221/E221</x:f>
        <x:v>0</x:v>
      </x:c>
      <x:c r="J221" s="32" t="n">
        <x:v>0</x:v>
      </x:c>
      <x:c r="K221" s="36" t="b">
        <x:v>0</x:v>
      </x:c>
      <x:c r="L221" s="25" t="b">
        <x:f>G221&lt;'Selection Rules'!$B$4</x:f>
        <x:v>0</x:v>
      </x:c>
      <x:c r="M221" s="25" t="b">
        <x:f>SUMIF('EEZ LME Pairs'!$A$2:$A$351,A221,'EEZ LME Pairs'!$L$2:$L$351)&gt;0</x:f>
        <x:v>0</x:v>
      </x:c>
      <x:c r="N221" s="25" t="b">
        <x:f>SUMIF('EEZ LME Pairs'!$A$2:$A$351,A221,'EEZ LME Pairs'!$M$2:$M$351)&gt;0</x:f>
        <x:v>0</x:v>
      </x:c>
      <x:c r="O221" s="25" t="str"/>
      <x:c r="P221" s="25" t="str"/>
      <x:c r="Q221" s="25" t="str"/>
      <x:c r="R221" s="35" t="n">
        <x:v>0</x:v>
      </x:c>
      <x:c r="S221" s="34" t="n">
        <x:v>0.0035719687170015463</x:v>
      </x:c>
      <x:c r="T221" s="33" t="n">
        <x:v>0.0035719687170015445</x:v>
      </x:c>
      <x:c r="U221" s="33" t="n">
        <x:v>0</x:v>
      </x:c>
    </x:row>
    <x:row r="222" ht="18" customHeight="1">
      <x:c r="A222" s="25" t="str">
        <x:v>EEZ_909</x:v>
      </x:c>
      <x:c r="B222" s="25" t="str">
        <x:v>EEZ_909</x:v>
      </x:c>
      <x:c r="C222" s="25" t="str">
        <x:v>Sint Maarten (Netherlands)</x:v>
      </x:c>
      <x:c r="D222" s="25" t="n">
        <x:v>909</x:v>
      </x:c>
      <x:c r="E222" s="32" t="n">
        <x:v>479.0622999095295</x:v>
      </x:c>
      <x:c r="F222" s="32" t="n">
        <x:v>170.93804540610572</x:v>
      </x:c>
      <x:c r="G222" s="34" t="n">
        <x:f>F222/E222</x:f>
        <x:v>0.35681798680127247</x:v>
      </x:c>
      <x:c r="H222" s="32" t="n">
        <x:v>0</x:v>
      </x:c>
      <x:c r="I222" s="34" t="n">
        <x:f>H222/E222</x:f>
        <x:v>0</x:v>
      </x:c>
      <x:c r="J222" s="32" t="n">
        <x:v>308.12429519856374</x:v>
      </x:c>
      <x:c r="K222" s="36" t="b">
        <x:v>0</x:v>
      </x:c>
      <x:c r="L222" s="25" t="b">
        <x:f>G222&lt;'Selection Rules'!$B$4</x:f>
        <x:v>0</x:v>
      </x:c>
      <x:c r="M222" s="25" t="b">
        <x:f>SUMIF('EEZ LME Pairs'!$A$2:$A$351,A222,'EEZ LME Pairs'!$L$2:$L$351)&gt;0</x:f>
        <x:v>0</x:v>
      </x:c>
      <x:c r="N222" s="25" t="b">
        <x:f>SUMIF('EEZ LME Pairs'!$A$2:$A$351,A222,'EEZ LME Pairs'!$M$2:$M$351)&gt;0</x:f>
        <x:v>0</x:v>
      </x:c>
      <x:c r="O222" s="25" t="str"/>
      <x:c r="P222" s="25" t="str"/>
      <x:c r="Q222" s="25" t="str"/>
      <x:c r="R222" s="35" t="n">
        <x:v>0</x:v>
      </x:c>
      <x:c r="S222" s="34" t="n">
        <x:v>0.00005239356906734381</x:v>
      </x:c>
      <x:c r="T222" s="33" t="n">
        <x:v>0.00014683556044085884</x:v>
      </x:c>
      <x:c r="U222" s="33" t="n">
        <x:v>0</x:v>
      </x:c>
    </x:row>
    <x:row r="223" ht="18" customHeight="1">
      <x:c r="A223" s="25" t="str">
        <x:v>EEZ_910</x:v>
      </x:c>
      <x:c r="B223" s="25" t="str">
        <x:v>EEZ_910</x:v>
      </x:c>
      <x:c r="C223" s="25" t="str">
        <x:v>South Orkney Islands (UK)</x:v>
      </x:c>
      <x:c r="D223" s="25" t="n">
        <x:v>910</x:v>
      </x:c>
      <x:c r="E223" s="32" t="n">
        <x:v>496680.50276762893</x:v>
      </x:c>
      <x:c r="F223" s="32" t="n">
        <x:v>3316.0341828388177</x:v>
      </x:c>
      <x:c r="G223" s="34" t="n">
        <x:f>F223/E223</x:f>
        <x:v>0.0066763929011931</x:v>
      </x:c>
      <x:c r="H223" s="32" t="n">
        <x:v>489.32979835173575</x:v>
      </x:c>
      <x:c r="I223" s="34" t="n">
        <x:f>H223/E223</x:f>
        <x:v>0.0009852003362827144</x:v>
      </x:c>
      <x:c r="J223" s="32" t="n">
        <x:v>492875.3838683839</x:v>
      </x:c>
      <x:c r="K223" s="36" t="b">
        <x:v>0</x:v>
      </x:c>
      <x:c r="L223" s="25" t="b">
        <x:f>G223&lt;'Selection Rules'!$B$4</x:f>
        <x:v>1</x:v>
      </x:c>
      <x:c r="M223" s="25" t="b">
        <x:f>SUMIF('EEZ LME Pairs'!$A$2:$A$351,A223,'EEZ LME Pairs'!$L$2:$L$351)&gt;0</x:f>
        <x:v>0</x:v>
      </x:c>
      <x:c r="N223" s="25" t="b">
        <x:f>SUMIF('EEZ LME Pairs'!$A$2:$A$351,A223,'EEZ LME Pairs'!$M$2:$M$351)&gt;0</x:f>
        <x:v>0</x:v>
      </x:c>
      <x:c r="O223" s="25" t="str"/>
      <x:c r="P223" s="25" t="str"/>
      <x:c r="Q223" s="25" t="str"/>
      <x:c r="R223" s="35" t="n">
        <x:v>0</x:v>
      </x:c>
      <x:c r="S223" s="34" t="n">
        <x:v>0.0007577109787365871</x:v>
      </x:c>
      <x:c r="T223" s="33" t="n">
        <x:v>0.11349107069495279</x:v>
      </x:c>
      <x:c r="U223" s="33" t="n">
        <x:v>0</x:v>
      </x:c>
    </x:row>
    <x:row r="224" ht="18" customHeight="1">
      <x:c r="A224" s="25" t="str">
        <x:v>EEZ_911</x:v>
      </x:c>
      <x:c r="B224" s="25" t="str">
        <x:v>EEZ_911</x:v>
      </x:c>
      <x:c r="C224" s="25" t="str">
        <x:v>Musandam (Oman)</x:v>
      </x:c>
      <x:c r="D224" s="25" t="n">
        <x:v>911</x:v>
      </x:c>
      <x:c r="E224" s="32" t="n">
        <x:v>6979.21688785804</x:v>
      </x:c>
      <x:c r="F224" s="32" t="n">
        <x:v>6848.269726102399</x:v>
      </x:c>
      <x:c r="G224" s="34" t="n">
        <x:f>F224/E224</x:f>
        <x:v>0.9812375566113365</x:v>
      </x:c>
      <x:c r="H224" s="32" t="n">
        <x:v>0</x:v>
      </x:c>
      <x:c r="I224" s="34" t="n">
        <x:f>H224/E224</x:f>
        <x:v>0</x:v>
      </x:c>
      <x:c r="J224" s="32" t="n">
        <x:v>130.94641604180083</x:v>
      </x:c>
      <x:c r="K224" s="36" t="b">
        <x:v>1</x:v>
      </x:c>
      <x:c r="L224" s="25" t="b">
        <x:f>G224&lt;'Selection Rules'!$B$4</x:f>
        <x:v>0</x:v>
      </x:c>
      <x:c r="M224" s="25" t="b">
        <x:f>SUMIF('EEZ LME Pairs'!$A$2:$A$351,A224,'EEZ LME Pairs'!$L$2:$L$351)&gt;0</x:f>
        <x:v>0</x:v>
      </x:c>
      <x:c r="N224" s="25" t="b">
        <x:f>SUMIF('EEZ LME Pairs'!$A$2:$A$351,A224,'EEZ LME Pairs'!$M$2:$M$351)&gt;0</x:f>
        <x:v>0</x:v>
      </x:c>
      <x:c r="O224" s="25" t="str"/>
      <x:c r="P224" s="25" t="str"/>
      <x:c r="Q224" s="25" t="str"/>
      <x:c r="R224" s="35" t="n">
        <x:v>0</x:v>
      </x:c>
      <x:c r="S224" s="34" t="n">
        <x:v>0.0017417192858963865</x:v>
      </x:c>
      <x:c r="T224" s="33" t="n">
        <x:v>0.001775023055488563</x:v>
      </x:c>
      <x:c r="U224" s="33" t="n">
        <x:v>0</x:v>
      </x:c>
    </x:row>
    <x:row r="225" ht="18" customHeight="1">
      <x:c r="A225" s="25" t="str">
        <x:v>EEZ_912</x:v>
      </x:c>
      <x:c r="B225" s="25" t="str">
        <x:v>EEZ_912</x:v>
      </x:c>
      <x:c r="C225" s="25" t="str">
        <x:v>Russia (Kara Sea)</x:v>
      </x:c>
      <x:c r="D225" s="25" t="n">
        <x:v>912</x:v>
      </x:c>
      <x:c r="E225" s="32" t="n">
        <x:v>1058500.2676426906</x:v>
      </x:c>
      <x:c r="F225" s="32" t="n">
        <x:v>1044727.6117051743</x:v>
      </x:c>
      <x:c r="G225" s="34" t="n">
        <x:f>F225/E225</x:f>
        <x:v>0.9869885191732749</x:v>
      </x:c>
      <x:c r="H225" s="32" t="n">
        <x:v>49.98818148386784</x:v>
      </x:c>
      <x:c r="I225" s="34" t="n">
        <x:f>H225/E225</x:f>
        <x:v>0.00004722547836023973</x:v>
      </x:c>
      <x:c r="J225" s="32" t="n">
        <x:v>13772.65277877375</x:v>
      </x:c>
      <x:c r="K225" s="36" t="b">
        <x:v>1</x:v>
      </x:c>
      <x:c r="L225" s="25" t="b">
        <x:f>G225&lt;'Selection Rules'!$B$4</x:f>
        <x:v>0</x:v>
      </x:c>
      <x:c r="M225" s="25" t="b">
        <x:f>SUMIF('EEZ LME Pairs'!$A$2:$A$351,A225,'EEZ LME Pairs'!$L$2:$L$351)&gt;0</x:f>
        <x:v>0</x:v>
      </x:c>
      <x:c r="N225" s="25" t="b">
        <x:f>SUMIF('EEZ LME Pairs'!$A$2:$A$351,A225,'EEZ LME Pairs'!$M$2:$M$351)&gt;0</x:f>
        <x:v>0</x:v>
      </x:c>
      <x:c r="O225" s="25" t="str"/>
      <x:c r="P225" s="25" t="str"/>
      <x:c r="Q225" s="25" t="str">
        <x:v>LME_058</x:v>
      </x:c>
      <x:c r="R225" s="35" t="n">
        <x:v>1</x:v>
      </x:c>
      <x:c r="S225" s="34" t="n">
        <x:v>0.9571898363643536</x:v>
      </x:c>
      <x:c r="T225" s="33" t="n">
        <x:v>1.1774220578102517</x:v>
      </x:c>
      <x:c r="U225" s="33" t="n">
        <x:v>1.065652329731199</x:v>
      </x:c>
    </x:row>
    <x:row r="226" ht="18" customHeight="1">
      <x:c r="A226" s="25" t="str">
        <x:v>EEZ_913</x:v>
      </x:c>
      <x:c r="B226" s="25" t="str">
        <x:v>EEZ_913</x:v>
      </x:c>
      <x:c r="C226" s="25" t="str">
        <x:v>Russia (Laptev to Chukchi Sea)</x:v>
      </x:c>
      <x:c r="D226" s="25" t="n">
        <x:v>913</x:v>
      </x:c>
      <x:c r="E226" s="32" t="n">
        <x:v>2088748.5542544199</x:v>
      </x:c>
      <x:c r="F226" s="32" t="n">
        <x:v>2078680.248161109</x:v>
      </x:c>
      <x:c r="G226" s="34" t="n">
        <x:f>F226/E226</x:f>
        <x:v>0.9951797423999152</x:v>
      </x:c>
      <x:c r="H226" s="32" t="n">
        <x:v>5472.579816587502</x:v>
      </x:c>
      <x:c r="I226" s="34" t="n">
        <x:f>H226/E226</x:f>
        <x:v>0.002620028057202387</x:v>
      </x:c>
      <x:c r="J226" s="32" t="n">
        <x:v>10067.72825166308</x:v>
      </x:c>
      <x:c r="K226" s="36" t="b">
        <x:v>1</x:v>
      </x:c>
      <x:c r="L226" s="25" t="b">
        <x:f>G226&lt;'Selection Rules'!$B$4</x:f>
        <x:v>0</x:v>
      </x:c>
      <x:c r="M226" s="25" t="b">
        <x:f>SUMIF('EEZ LME Pairs'!$A$2:$A$351,A226,'EEZ LME Pairs'!$L$2:$L$351)&gt;0</x:f>
        <x:v>1</x:v>
      </x:c>
      <x:c r="N226" s="25" t="b">
        <x:f>SUMIF('EEZ LME Pairs'!$A$2:$A$351,A226,'EEZ LME Pairs'!$M$2:$M$351)&gt;0</x:f>
        <x:v>0</x:v>
      </x:c>
      <x:c r="O226" s="25" t="str">
        <x:v>LME_056;LME_057</x:v>
      </x:c>
      <x:c r="P226" s="25" t="str"/>
      <x:c r="Q226" s="25" t="str">
        <x:v>LME_056;LME_057</x:v>
      </x:c>
      <x:c r="R226" s="35" t="n">
        <x:v>2</x:v>
      </x:c>
      <x:c r="S226" s="34" t="n">
        <x:v>0.9841112854562312</x:v>
      </x:c>
      <x:c r="T226" s="33" t="n">
        <x:v>3.315616508189162</x:v>
      </x:c>
      <x:c r="U226" s="33" t="n">
        <x:v>3.315616508189162</x:v>
      </x:c>
    </x:row>
    <x:row r="227" ht="18" customHeight="1">
      <x:c r="A227" s="25" t="str">
        <x:v>EEZ_914</x:v>
      </x:c>
      <x:c r="B227" s="25" t="str">
        <x:v>EEZ_914</x:v>
      </x:c>
      <x:c r="C227" s="25" t="str">
        <x:v>Sweden (Baltic)</x:v>
      </x:c>
      <x:c r="D227" s="25" t="n">
        <x:v>914</x:v>
      </x:c>
      <x:c r="E227" s="32" t="n">
        <x:v>142721.04902865956</x:v>
      </x:c>
      <x:c r="F227" s="32" t="n">
        <x:v>141327.20054491752</x:v>
      </x:c>
      <x:c r="G227" s="34" t="n">
        <x:f>F227/E227</x:f>
        <x:v>0.9902337567357556</x:v>
      </x:c>
      <x:c r="H227" s="32" t="n">
        <x:v>0</x:v>
      </x:c>
      <x:c r="I227" s="34" t="n">
        <x:f>H227/E227</x:f>
        <x:v>0</x:v>
      </x:c>
      <x:c r="J227" s="32" t="n">
        <x:v>1393.8431257188122</x:v>
      </x:c>
      <x:c r="K227" s="36" t="b">
        <x:v>1</x:v>
      </x:c>
      <x:c r="L227" s="25" t="b">
        <x:f>G227&lt;'Selection Rules'!$B$4</x:f>
        <x:v>0</x:v>
      </x:c>
      <x:c r="M227" s="25" t="b">
        <x:f>SUMIF('EEZ LME Pairs'!$A$2:$A$351,A227,'EEZ LME Pairs'!$L$2:$L$351)&gt;0</x:f>
        <x:v>0</x:v>
      </x:c>
      <x:c r="N227" s="25" t="b">
        <x:f>SUMIF('EEZ LME Pairs'!$A$2:$A$351,A227,'EEZ LME Pairs'!$M$2:$M$351)&gt;0</x:f>
        <x:v>0</x:v>
      </x:c>
      <x:c r="O227" s="25" t="str"/>
      <x:c r="P227" s="25" t="str"/>
      <x:c r="Q227" s="25" t="str"/>
      <x:c r="R227" s="35" t="n">
        <x:v>0</x:v>
      </x:c>
      <x:c r="S227" s="34" t="n">
        <x:v>0.3564863596937132</x:v>
      </x:c>
      <x:c r="T227" s="33" t="n">
        <x:v>0.36000222903817014</x:v>
      </x:c>
      <x:c r="U227" s="33" t="n">
        <x:v>0</x:v>
      </x:c>
    </x:row>
    <x:row r="228" ht="18" customHeight="1">
      <x:c r="A228" s="25" t="str">
        <x:v>EEZ_915</x:v>
      </x:c>
      <x:c r="B228" s="25" t="str">
        <x:v>EEZ_915</x:v>
      </x:c>
      <x:c r="C228" s="25" t="str">
        <x:v>Sweden (West Coast)</x:v>
      </x:c>
      <x:c r="D228" s="25" t="n">
        <x:v>915</x:v>
      </x:c>
      <x:c r="E228" s="32" t="n">
        <x:v>14788.37171716304</x:v>
      </x:c>
      <x:c r="F228" s="32" t="n">
        <x:v>14365.354163377177</x:v>
      </x:c>
      <x:c r="G228" s="34" t="n">
        <x:f>F228/E228</x:f>
        <x:v>0.9713952582558553</x:v>
      </x:c>
      <x:c r="H228" s="32" t="n">
        <x:v>0</x:v>
      </x:c>
      <x:c r="I228" s="34" t="n">
        <x:f>H228/E228</x:f>
        <x:v>0</x:v>
      </x:c>
      <x:c r="J228" s="32" t="n">
        <x:v>423.0152103483373</x:v>
      </x:c>
      <x:c r="K228" s="36" t="b">
        <x:v>1</x:v>
      </x:c>
      <x:c r="L228" s="25" t="b">
        <x:f>G228&lt;'Selection Rules'!$B$4</x:f>
        <x:v>0</x:v>
      </x:c>
      <x:c r="M228" s="25" t="b">
        <x:f>SUMIF('EEZ LME Pairs'!$A$2:$A$351,A228,'EEZ LME Pairs'!$L$2:$L$351)&gt;0</x:f>
        <x:v>0</x:v>
      </x:c>
      <x:c r="N228" s="25" t="b">
        <x:f>SUMIF('EEZ LME Pairs'!$A$2:$A$351,A228,'EEZ LME Pairs'!$M$2:$M$351)&gt;0</x:f>
        <x:v>0</x:v>
      </x:c>
      <x:c r="O228" s="25" t="str"/>
      <x:c r="P228" s="25" t="str"/>
      <x:c r="Q228" s="25" t="str"/>
      <x:c r="R228" s="35" t="n">
        <x:v>0</x:v>
      </x:c>
      <x:c r="S228" s="34" t="n">
        <x:v>0.019603600202845847</x:v>
      </x:c>
      <x:c r="T228" s="33" t="n">
        <x:v>0.037302463920053264</x:v>
      </x:c>
      <x:c r="U228" s="33" t="n">
        <x:v>0</x:v>
      </x:c>
    </x:row>
    <x:row r="229" ht="18" customHeight="1">
      <x:c r="A229" s="25" t="str">
        <x:v>EEZ_916</x:v>
      </x:c>
      <x:c r="B229" s="25" t="str">
        <x:v>EEZ_916</x:v>
      </x:c>
      <x:c r="C229" s="25" t="str">
        <x:v>Yemen (Red Sea)</x:v>
      </x:c>
      <x:c r="D229" s="25" t="n">
        <x:v>916</x:v>
      </x:c>
      <x:c r="E229" s="32" t="n">
        <x:v>35691.69926754711</x:v>
      </x:c>
      <x:c r="F229" s="32" t="n">
        <x:v>35485.25427679159</x:v>
      </x:c>
      <x:c r="G229" s="34" t="n">
        <x:f>F229/E229</x:f>
        <x:v>0.9942158822641646</x:v>
      </x:c>
      <x:c r="H229" s="32" t="n">
        <x:v>0</x:v>
      </x:c>
      <x:c r="I229" s="34" t="n">
        <x:f>H229/E229</x:f>
        <x:v>0</x:v>
      </x:c>
      <x:c r="J229" s="32" t="n">
        <x:v>206.44512849802285</x:v>
      </x:c>
      <x:c r="K229" s="36" t="b">
        <x:v>1</x:v>
      </x:c>
      <x:c r="L229" s="25" t="b">
        <x:f>G229&lt;'Selection Rules'!$B$4</x:f>
        <x:v>0</x:v>
      </x:c>
      <x:c r="M229" s="25" t="b">
        <x:f>SUMIF('EEZ LME Pairs'!$A$2:$A$351,A229,'EEZ LME Pairs'!$L$2:$L$351)&gt;0</x:f>
        <x:v>0</x:v>
      </x:c>
      <x:c r="N229" s="25" t="b">
        <x:f>SUMIF('EEZ LME Pairs'!$A$2:$A$351,A229,'EEZ LME Pairs'!$M$2:$M$351)&gt;0</x:f>
        <x:v>0</x:v>
      </x:c>
      <x:c r="O229" s="25" t="str"/>
      <x:c r="P229" s="25" t="str"/>
      <x:c r="Q229" s="25" t="str"/>
      <x:c r="R229" s="35" t="n">
        <x:v>0</x:v>
      </x:c>
      <x:c r="S229" s="34" t="n">
        <x:v>0.07697951722343455</x:v>
      </x:c>
      <x:c r="T229" s="33" t="n">
        <x:v>0.0774273662256594</x:v>
      </x:c>
      <x:c r="U229" s="33" t="n">
        <x:v>0</x:v>
      </x:c>
    </x:row>
    <x:row r="230" ht="18" customHeight="1">
      <x:c r="A230" s="25" t="str">
        <x:v>EEZ_917</x:v>
      </x:c>
      <x:c r="B230" s="25" t="str">
        <x:v>EEZ_917</x:v>
      </x:c>
      <x:c r="C230" s="25" t="str">
        <x:v>Yemen (Arabian Sea)</x:v>
      </x:c>
      <x:c r="D230" s="25" t="n">
        <x:v>917</x:v>
      </x:c>
      <x:c r="E230" s="32" t="n">
        <x:v>178726.29094026066</x:v>
      </x:c>
      <x:c r="F230" s="32" t="n">
        <x:v>177865.66574383256</x:v>
      </x:c>
      <x:c r="G230" s="34" t="n">
        <x:f>F230/E230</x:f>
        <x:v>0.99518467489086</x:v>
      </x:c>
      <x:c r="H230" s="32" t="n">
        <x:v>0</x:v>
      </x:c>
      <x:c r="I230" s="34" t="n">
        <x:f>H230/E230</x:f>
        <x:v>0</x:v>
      </x:c>
      <x:c r="J230" s="32" t="n">
        <x:v>860.6268193395723</x:v>
      </x:c>
      <x:c r="K230" s="36" t="b">
        <x:v>0</x:v>
      </x:c>
      <x:c r="L230" s="25" t="b">
        <x:f>G230&lt;'Selection Rules'!$B$4</x:f>
        <x:v>0</x:v>
      </x:c>
      <x:c r="M230" s="25" t="b">
        <x:f>SUMIF('EEZ LME Pairs'!$A$2:$A$351,A230,'EEZ LME Pairs'!$L$2:$L$351)&gt;0</x:f>
        <x:v>0</x:v>
      </x:c>
      <x:c r="N230" s="25" t="b">
        <x:f>SUMIF('EEZ LME Pairs'!$A$2:$A$351,A230,'EEZ LME Pairs'!$M$2:$M$351)&gt;0</x:f>
        <x:v>0</x:v>
      </x:c>
      <x:c r="O230" s="25" t="str"/>
      <x:c r="P230" s="25" t="str"/>
      <x:c r="Q230" s="25" t="str"/>
      <x:c r="R230" s="35" t="n">
        <x:v>0</x:v>
      </x:c>
      <x:c r="S230" s="34" t="n">
        <x:v>0.045199887282805315</x:v>
      </x:c>
      <x:c r="T230" s="33" t="n">
        <x:v>0.38771776818616976</x:v>
      </x:c>
      <x:c r="U230" s="33" t="n">
        <x:v>0</x:v>
      </x:c>
    </x:row>
    <x:row r="231" ht="18" customHeight="1">
      <x:c r="A231" s="25" t="str">
        <x:v>EEZ_918</x:v>
      </x:c>
      <x:c r="B231" s="25" t="str">
        <x:v>EEZ_918</x:v>
      </x:c>
      <x:c r="C231" s="25" t="str">
        <x:v>France (Mediterranean)</x:v>
      </x:c>
      <x:c r="D231" s="25" t="n">
        <x:v>918</x:v>
      </x:c>
      <x:c r="E231" s="32" t="n">
        <x:v>64062.05699945809</x:v>
      </x:c>
      <x:c r="F231" s="32" t="n">
        <x:v>63877.605722337954</x:v>
      </x:c>
      <x:c r="G231" s="34" t="n">
        <x:f>F231/E231</x:f>
        <x:v>0.9971207406418171</x:v>
      </x:c>
      <x:c r="H231" s="32" t="n">
        <x:v>0</x:v>
      </x:c>
      <x:c r="I231" s="34" t="n">
        <x:f>H231/E231</x:f>
        <x:v>0</x:v>
      </x:c>
      <x:c r="J231" s="32" t="n">
        <x:v>184.4530179860858</x:v>
      </x:c>
      <x:c r="K231" s="36" t="b">
        <x:v>1</x:v>
      </x:c>
      <x:c r="L231" s="25" t="b">
        <x:f>G231&lt;'Selection Rules'!$B$4</x:f>
        <x:v>0</x:v>
      </x:c>
      <x:c r="M231" s="25" t="b">
        <x:f>SUMIF('EEZ LME Pairs'!$A$2:$A$351,A231,'EEZ LME Pairs'!$L$2:$L$351)&gt;0</x:f>
        <x:v>0</x:v>
      </x:c>
      <x:c r="N231" s="25" t="b">
        <x:f>SUMIF('EEZ LME Pairs'!$A$2:$A$351,A231,'EEZ LME Pairs'!$M$2:$M$351)&gt;0</x:f>
        <x:v>0</x:v>
      </x:c>
      <x:c r="O231" s="25" t="str"/>
      <x:c r="P231" s="25" t="str"/>
      <x:c r="Q231" s="25" t="str"/>
      <x:c r="R231" s="35" t="n">
        <x:v>0</x:v>
      </x:c>
      <x:c r="S231" s="34" t="n">
        <x:v>0.025270027384091585</x:v>
      </x:c>
      <x:c r="T231" s="33" t="n">
        <x:v>0.025342996443766697</x:v>
      </x:c>
      <x:c r="U231" s="33" t="n">
        <x:v>0</x:v>
      </x:c>
    </x:row>
    <x:row r="232" ht="18" customHeight="1">
      <x:c r="A232" s="25" t="str">
        <x:v>EEZ_919</x:v>
      </x:c>
      <x:c r="B232" s="25" t="str">
        <x:v>EEZ_919</x:v>
      </x:c>
      <x:c r="C232" s="25" t="str">
        <x:v>France (Atlantic Coast)</x:v>
      </x:c>
      <x:c r="D232" s="25" t="n">
        <x:v>919</x:v>
      </x:c>
      <x:c r="E232" s="32" t="n">
        <x:v>258212.79481860966</x:v>
      </x:c>
      <x:c r="F232" s="32" t="n">
        <x:v>196092.53488454063</x:v>
      </x:c>
      <x:c r="G232" s="34" t="n">
        <x:f>F232/E232</x:f>
        <x:v>0.7594222239153272</x:v>
      </x:c>
      <x:c r="H232" s="32" t="n">
        <x:v>0</x:v>
      </x:c>
      <x:c r="I232" s="34" t="n">
        <x:f>H232/E232</x:f>
        <x:v>0</x:v>
      </x:c>
      <x:c r="J232" s="32" t="n">
        <x:v>62120.25513986572</x:v>
      </x:c>
      <x:c r="K232" s="36" t="b">
        <x:v>1</x:v>
      </x:c>
      <x:c r="L232" s="25" t="b">
        <x:f>G232&lt;'Selection Rules'!$B$4</x:f>
        <x:v>0</x:v>
      </x:c>
      <x:c r="M232" s="25" t="b">
        <x:f>SUMIF('EEZ LME Pairs'!$A$2:$A$351,A232,'EEZ LME Pairs'!$L$2:$L$351)&gt;0</x:f>
        <x:v>0</x:v>
      </x:c>
      <x:c r="N232" s="25" t="b">
        <x:f>SUMIF('EEZ LME Pairs'!$A$2:$A$351,A232,'EEZ LME Pairs'!$M$2:$M$351)&gt;0</x:f>
        <x:v>0</x:v>
      </x:c>
      <x:c r="O232" s="25" t="str"/>
      <x:c r="P232" s="25" t="str"/>
      <x:c r="Q232" s="25" t="str"/>
      <x:c r="R232" s="35" t="n">
        <x:v>0</x:v>
      </x:c>
      <x:c r="S232" s="34" t="n">
        <x:v>0.25137430977712094</x:v>
      </x:c>
      <x:c r="T232" s="33" t="n">
        <x:v>0.8495423777082455</x:v>
      </x:c>
      <x:c r="U232" s="33" t="n">
        <x:v>0</x:v>
      </x:c>
    </x:row>
    <x:row r="233" ht="18" customHeight="1">
      <x:c r="A233" s="25" t="str">
        <x:v>EEZ_920</x:v>
      </x:c>
      <x:c r="B233" s="25" t="str">
        <x:v>EEZ_920</x:v>
      </x:c>
      <x:c r="C233" s="25" t="str">
        <x:v>Honduras (Pacific)</x:v>
      </x:c>
      <x:c r="D233" s="25" t="n">
        <x:v>920</x:v>
      </x:c>
      <x:c r="E233" s="32" t="n">
        <x:v>839.7593797322228</x:v>
      </x:c>
      <x:c r="F233" s="32" t="n">
        <x:v>728.4991117512957</x:v>
      </x:c>
      <x:c r="G233" s="34" t="n">
        <x:f>F233/E233</x:f>
        <x:v>0.86750934771767</x:v>
      </x:c>
      <x:c r="H233" s="32" t="n">
        <x:v>0</x:v>
      </x:c>
      <x:c r="I233" s="34" t="n">
        <x:f>H233/E233</x:f>
        <x:v>0</x:v>
      </x:c>
      <x:c r="J233" s="32" t="n">
        <x:v>111.26030378591327</x:v>
      </x:c>
      <x:c r="K233" s="36" t="b">
        <x:v>0</x:v>
      </x:c>
      <x:c r="L233" s="25" t="b">
        <x:f>G233&lt;'Selection Rules'!$B$4</x:f>
        <x:v>0</x:v>
      </x:c>
      <x:c r="M233" s="25" t="b">
        <x:f>SUMIF('EEZ LME Pairs'!$A$2:$A$351,A233,'EEZ LME Pairs'!$L$2:$L$351)&gt;0</x:f>
        <x:v>0</x:v>
      </x:c>
      <x:c r="N233" s="25" t="b">
        <x:f>SUMIF('EEZ LME Pairs'!$A$2:$A$351,A233,'EEZ LME Pairs'!$M$2:$M$351)&gt;0</x:f>
        <x:v>0</x:v>
      </x:c>
      <x:c r="O233" s="25" t="str"/>
      <x:c r="P233" s="25" t="str"/>
      <x:c r="Q233" s="25" t="str"/>
      <x:c r="R233" s="35" t="n">
        <x:v>0</x:v>
      </x:c>
      <x:c r="S233" s="34" t="n">
        <x:v>0.000367620179778718</x:v>
      </x:c>
      <x:c r="T233" s="33" t="n">
        <x:v>0.0004237650934204799</x:v>
      </x:c>
      <x:c r="U233" s="33" t="n">
        <x:v>0</x:v>
      </x:c>
    </x:row>
    <x:row r="234" ht="18" customHeight="1">
      <x:c r="A234" s="25" t="str">
        <x:v>EEZ_921</x:v>
      </x:c>
      <x:c r="B234" s="25" t="str">
        <x:v>EEZ_921</x:v>
      </x:c>
      <x:c r="C234" s="25" t="str">
        <x:v>Honduras (Caribbean)</x:v>
      </x:c>
      <x:c r="D234" s="25" t="n">
        <x:v>921</x:v>
      </x:c>
      <x:c r="E234" s="32" t="n">
        <x:v>209441.63839622078</x:v>
      </x:c>
      <x:c r="F234" s="32" t="n">
        <x:v>208472.41408352728</x:v>
      </x:c>
      <x:c r="G234" s="34" t="n">
        <x:f>F234/E234</x:f>
        <x:v>0.9953723418126632</x:v>
      </x:c>
      <x:c r="H234" s="32" t="n">
        <x:v>0</x:v>
      </x:c>
      <x:c r="I234" s="34" t="n">
        <x:f>H234/E234</x:f>
        <x:v>0</x:v>
      </x:c>
      <x:c r="J234" s="32" t="n">
        <x:v>969.2243573305395</x:v>
      </x:c>
      <x:c r="K234" s="36" t="b">
        <x:v>1</x:v>
      </x:c>
      <x:c r="L234" s="25" t="b">
        <x:f>G234&lt;'Selection Rules'!$B$4</x:f>
        <x:v>0</x:v>
      </x:c>
      <x:c r="M234" s="25" t="b">
        <x:f>SUMIF('EEZ LME Pairs'!$A$2:$A$351,A234,'EEZ LME Pairs'!$L$2:$L$351)&gt;0</x:f>
        <x:v>0</x:v>
      </x:c>
      <x:c r="N234" s="25" t="b">
        <x:f>SUMIF('EEZ LME Pairs'!$A$2:$A$351,A234,'EEZ LME Pairs'!$M$2:$M$351)&gt;0</x:f>
        <x:v>0</x:v>
      </x:c>
      <x:c r="O234" s="25" t="str"/>
      <x:c r="P234" s="25" t="str"/>
      <x:c r="Q234" s="25" t="str"/>
      <x:c r="R234" s="35" t="n">
        <x:v>0</x:v>
      </x:c>
      <x:c r="S234" s="34" t="n">
        <x:v>0.06389808541434885</x:v>
      </x:c>
      <x:c r="T234" s="33" t="n">
        <x:v>0.06419515866593666</x:v>
      </x:c>
      <x:c r="U234" s="33" t="n">
        <x:v>0</x:v>
      </x:c>
    </x:row>
    <x:row r="235" ht="18" customHeight="1">
      <x:c r="A235" s="25" t="str">
        <x:v>EEZ_922</x:v>
      </x:c>
      <x:c r="B235" s="25" t="str">
        <x:v>EEZ_922</x:v>
      </x:c>
      <x:c r="C235" s="25" t="str">
        <x:v>Iran (Persian Gulf)</x:v>
      </x:c>
      <x:c r="D235" s="25" t="n">
        <x:v>922</x:v>
      </x:c>
      <x:c r="E235" s="32" t="n">
        <x:v>99185.07709838034</x:v>
      </x:c>
      <x:c r="F235" s="32" t="n">
        <x:v>98525.65084164112</x:v>
      </x:c>
      <x:c r="G235" s="34" t="n">
        <x:f>F235/E235</x:f>
        <x:v>0.9933515577541454</x:v>
      </x:c>
      <x:c r="H235" s="32" t="n">
        <x:v>0</x:v>
      </x:c>
      <x:c r="I235" s="34" t="n">
        <x:f>H235/E235</x:f>
        <x:v>0</x:v>
      </x:c>
      <x:c r="J235" s="32" t="n">
        <x:v>659.4288382727</x:v>
      </x:c>
      <x:c r="K235" s="36" t="b">
        <x:v>1</x:v>
      </x:c>
      <x:c r="L235" s="25" t="b">
        <x:f>G235&lt;'Selection Rules'!$B$4</x:f>
        <x:v>0</x:v>
      </x:c>
      <x:c r="M235" s="25" t="b">
        <x:f>SUMIF('EEZ LME Pairs'!$A$2:$A$351,A235,'EEZ LME Pairs'!$L$2:$L$351)&gt;0</x:f>
        <x:v>0</x:v>
      </x:c>
      <x:c r="N235" s="25" t="b">
        <x:f>SUMIF('EEZ LME Pairs'!$A$2:$A$351,A235,'EEZ LME Pairs'!$M$2:$M$351)&gt;0</x:f>
        <x:v>0</x:v>
      </x:c>
      <x:c r="O235" s="25" t="str"/>
      <x:c r="P235" s="25" t="str"/>
      <x:c r="Q235" s="25" t="str"/>
      <x:c r="R235" s="35" t="n">
        <x:v>0</x:v>
      </x:c>
      <x:c r="S235" s="34" t="n">
        <x:v>0.02505801218259638</x:v>
      </x:c>
      <x:c r="T235" s="33" t="n">
        <x:v>0.025225723951397116</x:v>
      </x:c>
      <x:c r="U235" s="33" t="n">
        <x:v>0</x:v>
      </x:c>
    </x:row>
    <x:row r="236" ht="18" customHeight="1">
      <x:c r="A236" s="25" t="str">
        <x:v>EEZ_923</x:v>
      </x:c>
      <x:c r="B236" s="25" t="str">
        <x:v>EEZ_923</x:v>
      </x:c>
      <x:c r="C236" s="25" t="str">
        <x:v>Iran (Sea of Oman)</x:v>
      </x:c>
      <x:c r="D236" s="25" t="n">
        <x:v>923</x:v>
      </x:c>
      <x:c r="E236" s="32" t="n">
        <x:v>64437.181000905555</x:v>
      </x:c>
      <x:c r="F236" s="32" t="n">
        <x:v>63988.37924366474</x:v>
      </x:c>
      <x:c r="G236" s="34" t="n">
        <x:f>F236/E236</x:f>
        <x:v>0.9930350497916024</x:v>
      </x:c>
      <x:c r="H236" s="32" t="n">
        <x:v>0</x:v>
      </x:c>
      <x:c r="I236" s="34" t="n">
        <x:f>H236/E236</x:f>
        <x:v>0</x:v>
      </x:c>
      <x:c r="J236" s="32" t="n">
        <x:v>448.8016995252881</x:v>
      </x:c>
      <x:c r="K236" s="36" t="b">
        <x:v>1</x:v>
      </x:c>
      <x:c r="L236" s="25" t="b">
        <x:f>G236&lt;'Selection Rules'!$B$4</x:f>
        <x:v>0</x:v>
      </x:c>
      <x:c r="M236" s="25" t="b">
        <x:f>SUMIF('EEZ LME Pairs'!$A$2:$A$351,A236,'EEZ LME Pairs'!$L$2:$L$351)&gt;0</x:f>
        <x:v>0</x:v>
      </x:c>
      <x:c r="N236" s="25" t="b">
        <x:f>SUMIF('EEZ LME Pairs'!$A$2:$A$351,A236,'EEZ LME Pairs'!$M$2:$M$351)&gt;0</x:f>
        <x:v>0</x:v>
      </x:c>
      <x:c r="O236" s="25" t="str"/>
      <x:c r="P236" s="25" t="str"/>
      <x:c r="Q236" s="25" t="str"/>
      <x:c r="R236" s="35" t="n">
        <x:v>0</x:v>
      </x:c>
      <x:c r="S236" s="34" t="n">
        <x:v>0.016274153714645388</x:v>
      </x:c>
      <x:c r="T236" s="33" t="n">
        <x:v>0.016388297389966923</x:v>
      </x:c>
      <x:c r="U236" s="33" t="n">
        <x:v>0</x:v>
      </x:c>
    </x:row>
    <x:row r="237" ht="18" customHeight="1">
      <x:c r="A237" s="25" t="str">
        <x:v>EEZ_924</x:v>
      </x:c>
      <x:c r="B237" s="25" t="str">
        <x:v>EEZ_924</x:v>
      </x:c>
      <x:c r="C237" s="25" t="str">
        <x:v>Canada (Arctic)</x:v>
      </x:c>
      <x:c r="D237" s="25" t="n">
        <x:v>924</x:v>
      </x:c>
      <x:c r="E237" s="32" t="n">
        <x:v>3057562.0950405607</x:v>
      </x:c>
      <x:c r="F237" s="32" t="n">
        <x:v>3030043.6978749856</x:v>
      </x:c>
      <x:c r="G237" s="34" t="n">
        <x:f>F237/E237</x:f>
        <x:v>0.9909998893529552</x:v>
      </x:c>
      <x:c r="H237" s="32" t="n">
        <x:v>26964.04522090955</x:v>
      </x:c>
      <x:c r="I237" s="34" t="n">
        <x:f>H237/E237</x:f>
        <x:v>0.008818805434776249</x:v>
      </x:c>
      <x:c r="J237" s="32" t="n">
        <x:v>27518.36801120068</x:v>
      </x:c>
      <x:c r="K237" s="36" t="b">
        <x:v>1</x:v>
      </x:c>
      <x:c r="L237" s="25" t="b">
        <x:f>G237&lt;'Selection Rules'!$B$4</x:f>
        <x:v>0</x:v>
      </x:c>
      <x:c r="M237" s="25" t="b">
        <x:f>SUMIF('EEZ LME Pairs'!$A$2:$A$351,A237,'EEZ LME Pairs'!$L$2:$L$351)&gt;0</x:f>
        <x:v>1</x:v>
      </x:c>
      <x:c r="N237" s="25" t="b">
        <x:f>SUMIF('EEZ LME Pairs'!$A$2:$A$351,A237,'EEZ LME Pairs'!$M$2:$M$351)&gt;0</x:f>
        <x:v>0</x:v>
      </x:c>
      <x:c r="O237" s="25" t="str">
        <x:v>LME_063</x:v>
      </x:c>
      <x:c r="P237" s="25" t="str"/>
      <x:c r="Q237" s="25" t="str">
        <x:v>LME_063</x:v>
      </x:c>
      <x:c r="R237" s="35" t="n">
        <x:v>1</x:v>
      </x:c>
      <x:c r="S237" s="34" t="n">
        <x:v>0.9861377767614132</x:v>
      </x:c>
      <x:c r="T237" s="33" t="n">
        <x:v>5.09604546213445</x:v>
      </x:c>
      <x:c r="U237" s="33" t="n">
        <x:v>2.442183919369012</x:v>
      </x:c>
    </x:row>
    <x:row r="238" ht="18" customHeight="1">
      <x:c r="A238" s="25" t="str">
        <x:v>EEZ_925</x:v>
      </x:c>
      <x:c r="B238" s="25" t="str">
        <x:v>EEZ_925</x:v>
      </x:c>
      <x:c r="C238" s="25" t="str">
        <x:v>Canada (Pacific)</x:v>
      </x:c>
      <x:c r="D238" s="25" t="n">
        <x:v>925</x:v>
      </x:c>
      <x:c r="E238" s="32" t="n">
        <x:v>453251.06745459774</x:v>
      </x:c>
      <x:c r="F238" s="32" t="n">
        <x:v>449023.36395849125</x:v>
      </x:c>
      <x:c r="G238" s="34" t="n">
        <x:f>F238/E238</x:f>
        <x:v>0.9906724908121038</x:v>
      </x:c>
      <x:c r="H238" s="32" t="n">
        <x:v>26.26639976391254</x:v>
      </x:c>
      <x:c r="I238" s="34" t="n">
        <x:f>H238/E238</x:f>
        <x:v>0.00005795110403472718</x:v>
      </x:c>
      <x:c r="J238" s="32" t="n">
        <x:v>4226.712631465366</x:v>
      </x:c>
      <x:c r="K238" s="36" t="b">
        <x:v>1</x:v>
      </x:c>
      <x:c r="L238" s="25" t="b">
        <x:f>G238&lt;'Selection Rules'!$B$4</x:f>
        <x:v>0</x:v>
      </x:c>
      <x:c r="M238" s="25" t="b">
        <x:f>SUMIF('EEZ LME Pairs'!$A$2:$A$351,A238,'EEZ LME Pairs'!$L$2:$L$351)&gt;0</x:f>
        <x:v>0</x:v>
      </x:c>
      <x:c r="N238" s="25" t="b">
        <x:f>SUMIF('EEZ LME Pairs'!$A$2:$A$351,A238,'EEZ LME Pairs'!$M$2:$M$351)&gt;0</x:f>
        <x:v>0</x:v>
      </x:c>
      <x:c r="O238" s="25" t="str"/>
      <x:c r="P238" s="25" t="str"/>
      <x:c r="Q238" s="25" t="str"/>
      <x:c r="R238" s="35" t="n">
        <x:v>0</x:v>
      </x:c>
      <x:c r="S238" s="34" t="n">
        <x:v>0.3027697796652057</x:v>
      </x:c>
      <x:c r="T238" s="33" t="n">
        <x:v>0.3056204572885739</x:v>
      </x:c>
      <x:c r="U238" s="33" t="n">
        <x:v>0</x:v>
      </x:c>
    </x:row>
    <x:row r="239" ht="18" customHeight="1">
      <x:c r="A239" s="25" t="str">
        <x:v>EEZ_926</x:v>
      </x:c>
      <x:c r="B239" s="25" t="str">
        <x:v>EEZ_926</x:v>
      </x:c>
      <x:c r="C239" s="25" t="str">
        <x:v>Canada (East Coast)</x:v>
      </x:c>
      <x:c r="D239" s="25" t="n">
        <x:v>926</x:v>
      </x:c>
      <x:c r="E239" s="32" t="n">
        <x:v>2279390.657784744</x:v>
      </x:c>
      <x:c r="F239" s="32" t="n">
        <x:v>1686853.9988078428</x:v>
      </x:c>
      <x:c r="G239" s="34" t="n">
        <x:f>F239/E239</x:f>
        <x:v>0.7400460263565501</x:v>
      </x:c>
      <x:c r="H239" s="32" t="n">
        <x:v>70.78889764565172</x:v>
      </x:c>
      <x:c r="I239" s="34" t="n">
        <x:f>H239/E239</x:f>
        <x:v>0.0000310560620242468</x:v>
      </x:c>
      <x:c r="J239" s="32" t="n">
        <x:v>592511.4314957944</x:v>
      </x:c>
      <x:c r="K239" s="36" t="b">
        <x:v>1</x:v>
      </x:c>
      <x:c r="L239" s="25" t="b">
        <x:f>G239&lt;'Selection Rules'!$B$4</x:f>
        <x:v>0</x:v>
      </x:c>
      <x:c r="M239" s="25" t="b">
        <x:f>SUMIF('EEZ LME Pairs'!$A$2:$A$351,A239,'EEZ LME Pairs'!$L$2:$L$351)&gt;0</x:f>
        <x:v>1</x:v>
      </x:c>
      <x:c r="N239" s="25" t="b">
        <x:f>SUMIF('EEZ LME Pairs'!$A$2:$A$351,A239,'EEZ LME Pairs'!$M$2:$M$351)&gt;0</x:f>
        <x:v>0</x:v>
      </x:c>
      <x:c r="O239" s="25" t="str">
        <x:v>LME_008</x:v>
      </x:c>
      <x:c r="P239" s="25" t="str"/>
      <x:c r="Q239" s="25" t="str">
        <x:v>LME_008</x:v>
      </x:c>
      <x:c r="R239" s="35" t="n">
        <x:v>1</x:v>
      </x:c>
      <x:c r="S239" s="34" t="n">
        <x:v>0.9887547561659232</x:v>
      </x:c>
      <x:c r="T239" s="33" t="n">
        <x:v>8.008239383875573</x:v>
      </x:c>
      <x:c r="U239" s="33" t="n">
        <x:v>8.008239383875573</x:v>
      </x:c>
    </x:row>
    <x:row r="240" ht="18" customHeight="1">
      <x:c r="A240" s="25" t="str">
        <x:v>EEZ_927</x:v>
      </x:c>
      <x:c r="B240" s="25" t="str">
        <x:v>EEZ_927</x:v>
      </x:c>
      <x:c r="C240" s="25" t="str">
        <x:v>Colombia (Caribbean)</x:v>
      </x:c>
      <x:c r="D240" s="25" t="n">
        <x:v>927</x:v>
      </x:c>
      <x:c r="E240" s="32" t="n">
        <x:v>422709.8048492865</x:v>
      </x:c>
      <x:c r="F240" s="32" t="n">
        <x:v>421375.4295384533</x:v>
      </x:c>
      <x:c r="G240" s="34" t="n">
        <x:f>F240/E240</x:f>
        <x:v>0.9968432828017582</x:v>
      </x:c>
      <x:c r="H240" s="32" t="n">
        <x:v>0</x:v>
      </x:c>
      <x:c r="I240" s="34" t="n">
        <x:f>H240/E240</x:f>
        <x:v>0</x:v>
      </x:c>
      <x:c r="J240" s="32" t="n">
        <x:v>1334.3738701799775</x:v>
      </x:c>
      <x:c r="K240" s="36" t="b">
        <x:v>1</x:v>
      </x:c>
      <x:c r="L240" s="25" t="b">
        <x:f>G240&lt;'Selection Rules'!$B$4</x:f>
        <x:v>0</x:v>
      </x:c>
      <x:c r="M240" s="25" t="b">
        <x:f>SUMIF('EEZ LME Pairs'!$A$2:$A$351,A240,'EEZ LME Pairs'!$L$2:$L$351)&gt;0</x:f>
        <x:v>0</x:v>
      </x:c>
      <x:c r="N240" s="25" t="b">
        <x:f>SUMIF('EEZ LME Pairs'!$A$2:$A$351,A240,'EEZ LME Pairs'!$M$2:$M$351)&gt;0</x:f>
        <x:v>0</x:v>
      </x:c>
      <x:c r="O240" s="25" t="str"/>
      <x:c r="P240" s="25" t="str"/>
      <x:c r="Q240" s="25" t="str"/>
      <x:c r="R240" s="35" t="n">
        <x:v>0</x:v>
      </x:c>
      <x:c r="S240" s="34" t="n">
        <x:v>0.12915417757559103</x:v>
      </x:c>
      <x:c r="T240" s="33" t="n">
        <x:v>0.12956317186848704</x:v>
      </x:c>
      <x:c r="U240" s="33" t="n">
        <x:v>0</x:v>
      </x:c>
    </x:row>
    <x:row r="241" ht="18" customHeight="1">
      <x:c r="A241" s="25" t="str">
        <x:v>EEZ_928</x:v>
      </x:c>
      <x:c r="B241" s="25" t="str">
        <x:v>EEZ_928</x:v>
      </x:c>
      <x:c r="C241" s="25" t="str">
        <x:v>Colombia (Pacific)</x:v>
      </x:c>
      <x:c r="D241" s="25" t="n">
        <x:v>928</x:v>
      </x:c>
      <x:c r="E241" s="32" t="n">
        <x:v>326633.66322499764</x:v>
      </x:c>
      <x:c r="F241" s="32" t="n">
        <x:v>280087.6728939199</x:v>
      </x:c>
      <x:c r="G241" s="34" t="n">
        <x:f>F241/E241</x:f>
        <x:v>0.8574978773727463</x:v>
      </x:c>
      <x:c r="H241" s="32" t="n">
        <x:v>0</x:v>
      </x:c>
      <x:c r="I241" s="34" t="n">
        <x:f>H241/E241</x:f>
        <x:v>0</x:v>
      </x:c>
      <x:c r="J241" s="32" t="n">
        <x:v>46545.99036664947</x:v>
      </x:c>
      <x:c r="K241" s="36" t="b">
        <x:v>1</x:v>
      </x:c>
      <x:c r="L241" s="25" t="b">
        <x:f>G241&lt;'Selection Rules'!$B$4</x:f>
        <x:v>0</x:v>
      </x:c>
      <x:c r="M241" s="25" t="b">
        <x:f>SUMIF('EEZ LME Pairs'!$A$2:$A$351,A241,'EEZ LME Pairs'!$L$2:$L$351)&gt;0</x:f>
        <x:v>0</x:v>
      </x:c>
      <x:c r="N241" s="25" t="b">
        <x:f>SUMIF('EEZ LME Pairs'!$A$2:$A$351,A241,'EEZ LME Pairs'!$M$2:$M$351)&gt;0</x:f>
        <x:v>0</x:v>
      </x:c>
      <x:c r="O241" s="25" t="str"/>
      <x:c r="P241" s="25" t="str"/>
      <x:c r="Q241" s="25" t="str"/>
      <x:c r="R241" s="35" t="n">
        <x:v>0</x:v>
      </x:c>
      <x:c r="S241" s="34" t="n">
        <x:v>0.14133974771161753</x:v>
      </x:c>
      <x:c r="T241" s="33" t="n">
        <x:v>0.16482810213438984</x:v>
      </x:c>
      <x:c r="U241" s="33" t="n">
        <x:v>0</x:v>
      </x:c>
    </x:row>
    <x:row r="242" ht="18" customHeight="1">
      <x:c r="A242" s="25" t="str">
        <x:v>EEZ_929</x:v>
      </x:c>
      <x:c r="B242" s="25" t="str">
        <x:v>EEZ_929</x:v>
      </x:c>
      <x:c r="C242" s="25" t="str">
        <x:v>Costa Rica (Caribbean)</x:v>
      </x:c>
      <x:c r="D242" s="25" t="n">
        <x:v>929</x:v>
      </x:c>
      <x:c r="E242" s="32" t="n">
        <x:v>20435.40239038998</x:v>
      </x:c>
      <x:c r="F242" s="32" t="n">
        <x:v>20196.21806962015</x:v>
      </x:c>
      <x:c r="G242" s="34" t="n">
        <x:f>F242/E242</x:f>
        <x:v>0.9882955903583133</x:v>
      </x:c>
      <x:c r="H242" s="32" t="n">
        <x:v>0</x:v>
      </x:c>
      <x:c r="I242" s="34" t="n">
        <x:f>H242/E242</x:f>
        <x:v>0</x:v>
      </x:c>
      <x:c r="J242" s="32" t="n">
        <x:v>239.18408134013265</x:v>
      </x:c>
      <x:c r="K242" s="36" t="b">
        <x:v>0</x:v>
      </x:c>
      <x:c r="L242" s="25" t="b">
        <x:f>G242&lt;'Selection Rules'!$B$4</x:f>
        <x:v>0</x:v>
      </x:c>
      <x:c r="M242" s="25" t="b">
        <x:f>SUMIF('EEZ LME Pairs'!$A$2:$A$351,A242,'EEZ LME Pairs'!$L$2:$L$351)&gt;0</x:f>
        <x:v>0</x:v>
      </x:c>
      <x:c r="N242" s="25" t="b">
        <x:f>SUMIF('EEZ LME Pairs'!$A$2:$A$351,A242,'EEZ LME Pairs'!$M$2:$M$351)&gt;0</x:f>
        <x:v>0</x:v>
      </x:c>
      <x:c r="O242" s="25" t="str"/>
      <x:c r="P242" s="25" t="str"/>
      <x:c r="Q242" s="25" t="str"/>
      <x:c r="R242" s="35" t="n">
        <x:v>0</x:v>
      </x:c>
      <x:c r="S242" s="34" t="n">
        <x:v>0.006190265858111798</x:v>
      </x:c>
      <x:c r="T242" s="33" t="n">
        <x:v>0.006263577333040083</x:v>
      </x:c>
      <x:c r="U242" s="33" t="n">
        <x:v>0</x:v>
      </x:c>
    </x:row>
    <x:row r="243" ht="18" customHeight="1">
      <x:c r="A243" s="25" t="str">
        <x:v>EEZ_930</x:v>
      </x:c>
      <x:c r="B243" s="25" t="str">
        <x:v>EEZ_930</x:v>
      </x:c>
      <x:c r="C243" s="25" t="str">
        <x:v>Costa Rica (Pacific)</x:v>
      </x:c>
      <x:c r="D243" s="25" t="n">
        <x:v>930</x:v>
      </x:c>
      <x:c r="E243" s="32" t="n">
        <x:v>544937.9862180641</x:v>
      </x:c>
      <x:c r="F243" s="32" t="n">
        <x:v>193992.26428120516</x:v>
      </x:c>
      <x:c r="G243" s="34" t="n">
        <x:f>F243/E243</x:f>
        <x:v>0.3559896156763361</x:v>
      </x:c>
      <x:c r="H243" s="32" t="n">
        <x:v>19.190664786108286</x:v>
      </x:c>
      <x:c r="I243" s="34" t="n">
        <x:f>H243/E243</x:f>
        <x:v>0.00003521623610659597</x:v>
      </x:c>
      <x:c r="J243" s="32" t="n">
        <x:v>350926.5318888948</x:v>
      </x:c>
      <x:c r="K243" s="36" t="b">
        <x:v>1</x:v>
      </x:c>
      <x:c r="L243" s="25" t="b">
        <x:f>G243&lt;'Selection Rules'!$B$4</x:f>
        <x:v>0</x:v>
      </x:c>
      <x:c r="M243" s="25" t="b">
        <x:f>SUMIF('EEZ LME Pairs'!$A$2:$A$351,A243,'EEZ LME Pairs'!$L$2:$L$351)&gt;0</x:f>
        <x:v>0</x:v>
      </x:c>
      <x:c r="N243" s="25" t="b">
        <x:f>SUMIF('EEZ LME Pairs'!$A$2:$A$351,A243,'EEZ LME Pairs'!$M$2:$M$351)&gt;0</x:f>
        <x:v>0</x:v>
      </x:c>
      <x:c r="O243" s="25" t="str"/>
      <x:c r="P243" s="25" t="str"/>
      <x:c r="Q243" s="25" t="str"/>
      <x:c r="R243" s="35" t="n">
        <x:v>0</x:v>
      </x:c>
      <x:c r="S243" s="34" t="n">
        <x:v>0.09789369667081185</x:v>
      </x:c>
      <x:c r="T243" s="33" t="n">
        <x:v>0.274990315334974</x:v>
      </x:c>
      <x:c r="U243" s="33" t="n">
        <x:v>0</x:v>
      </x:c>
    </x:row>
    <x:row r="244" ht="18" customHeight="1">
      <x:c r="A244" s="25" t="str">
        <x:v>EEZ_931</x:v>
      </x:c>
      <x:c r="B244" s="25" t="str">
        <x:v>EEZ_931</x:v>
      </x:c>
      <x:c r="C244" s="25" t="str">
        <x:v>Denmark (Baltic Sea)</x:v>
      </x:c>
      <x:c r="D244" s="25" t="n">
        <x:v>931</x:v>
      </x:c>
      <x:c r="E244" s="32" t="n">
        <x:v>29280.96258056275</x:v>
      </x:c>
      <x:c r="F244" s="32" t="n">
        <x:v>28733.942280642743</x:v>
      </x:c>
      <x:c r="G244" s="34" t="n">
        <x:f>F244/E244</x:f>
        <x:v>0.9813182268713007</x:v>
      </x:c>
      <x:c r="H244" s="32" t="n">
        <x:v>0</x:v>
      </x:c>
      <x:c r="I244" s="34" t="n">
        <x:f>H244/E244</x:f>
        <x:v>0</x:v>
      </x:c>
      <x:c r="J244" s="32" t="n">
        <x:v>547.0164839775927</x:v>
      </x:c>
      <x:c r="K244" s="36" t="b">
        <x:v>1</x:v>
      </x:c>
      <x:c r="L244" s="25" t="b">
        <x:f>G244&lt;'Selection Rules'!$B$4</x:f>
        <x:v>0</x:v>
      </x:c>
      <x:c r="M244" s="25" t="b">
        <x:f>SUMIF('EEZ LME Pairs'!$A$2:$A$351,A244,'EEZ LME Pairs'!$L$2:$L$351)&gt;0</x:f>
        <x:v>0</x:v>
      </x:c>
      <x:c r="N244" s="25" t="b">
        <x:f>SUMIF('EEZ LME Pairs'!$A$2:$A$351,A244,'EEZ LME Pairs'!$M$2:$M$351)&gt;0</x:f>
        <x:v>0</x:v>
      </x:c>
      <x:c r="O244" s="25" t="str"/>
      <x:c r="P244" s="25" t="str"/>
      <x:c r="Q244" s="25" t="str"/>
      <x:c r="R244" s="35" t="n">
        <x:v>0</x:v>
      </x:c>
      <x:c r="S244" s="34" t="n">
        <x:v>0.059352144200060596</x:v>
      </x:c>
      <x:c r="T244" s="33" t="n">
        <x:v>0.07385884471231065</x:v>
      </x:c>
      <x:c r="U244" s="33" t="n">
        <x:v>0</x:v>
      </x:c>
    </x:row>
    <x:row r="245" ht="18" customHeight="1">
      <x:c r="A245" s="25" t="str">
        <x:v>EEZ_932</x:v>
      </x:c>
      <x:c r="B245" s="25" t="str">
        <x:v>EEZ_932</x:v>
      </x:c>
      <x:c r="C245" s="25" t="str">
        <x:v>Denmark (North Sea)</x:v>
      </x:c>
      <x:c r="D245" s="25" t="n">
        <x:v>932</x:v>
      </x:c>
      <x:c r="E245" s="32" t="n">
        <x:v>75579.89229695995</x:v>
      </x:c>
      <x:c r="F245" s="32" t="n">
        <x:v>75179.38327360684</x:v>
      </x:c>
      <x:c r="G245" s="34" t="n">
        <x:f>F245/E245</x:f>
        <x:v>0.9947008521554983</x:v>
      </x:c>
      <x:c r="H245" s="32" t="n">
        <x:v>0</x:v>
      </x:c>
      <x:c r="I245" s="34" t="n">
        <x:f>H245/E245</x:f>
        <x:v>0</x:v>
      </x:c>
      <x:c r="J245" s="32" t="n">
        <x:v>400.50832739806845</x:v>
      </x:c>
      <x:c r="K245" s="36" t="b">
        <x:v>1</x:v>
      </x:c>
      <x:c r="L245" s="25" t="b">
        <x:f>G245&lt;'Selection Rules'!$B$4</x:f>
        <x:v>0</x:v>
      </x:c>
      <x:c r="M245" s="25" t="b">
        <x:f>SUMIF('EEZ LME Pairs'!$A$2:$A$351,A245,'EEZ LME Pairs'!$L$2:$L$351)&gt;0</x:f>
        <x:v>0</x:v>
      </x:c>
      <x:c r="N245" s="25" t="b">
        <x:f>SUMIF('EEZ LME Pairs'!$A$2:$A$351,A245,'EEZ LME Pairs'!$M$2:$M$351)&gt;0</x:f>
        <x:v>0</x:v>
      </x:c>
      <x:c r="O245" s="25" t="str"/>
      <x:c r="P245" s="25" t="str"/>
      <x:c r="Q245" s="25" t="str"/>
      <x:c r="R245" s="35" t="n">
        <x:v>0</x:v>
      </x:c>
      <x:c r="S245" s="34" t="n">
        <x:v>0.10793371611384116</x:v>
      </x:c>
      <x:c r="T245" s="33" t="n">
        <x:v>0.10850871986281181</x:v>
      </x:c>
      <x:c r="U245" s="33" t="n">
        <x:v>0</x:v>
      </x:c>
    </x:row>
    <x:row r="246" ht="18" customHeight="1">
      <x:c r="A246" s="25" t="str">
        <x:v>EEZ_933</x:v>
      </x:c>
      <x:c r="B246" s="25" t="str">
        <x:v>EEZ_933</x:v>
      </x:c>
      <x:c r="C246" s="25" t="str">
        <x:v>Egypt (Mediterranean)</x:v>
      </x:c>
      <x:c r="D246" s="25" t="n">
        <x:v>933</x:v>
      </x:c>
      <x:c r="E246" s="32" t="n">
        <x:v>170151.27303405973</x:v>
      </x:c>
      <x:c r="F246" s="32" t="n">
        <x:v>169811.6086628786</x:v>
      </x:c>
      <x:c r="G246" s="34" t="n">
        <x:f>F246/E246</x:f>
        <x:v>0.9980037506324555</x:v>
      </x:c>
      <x:c r="H246" s="32" t="n">
        <x:v>0</x:v>
      </x:c>
      <x:c r="I246" s="34" t="n">
        <x:f>H246/E246</x:f>
        <x:v>0</x:v>
      </x:c>
      <x:c r="J246" s="32" t="n">
        <x:v>339.66187574810215</x:v>
      </x:c>
      <x:c r="K246" s="36" t="b">
        <x:v>1</x:v>
      </x:c>
      <x:c r="L246" s="25" t="b">
        <x:f>G246&lt;'Selection Rules'!$B$4</x:f>
        <x:v>0</x:v>
      </x:c>
      <x:c r="M246" s="25" t="b">
        <x:f>SUMIF('EEZ LME Pairs'!$A$2:$A$351,A246,'EEZ LME Pairs'!$L$2:$L$351)&gt;0</x:f>
        <x:v>0</x:v>
      </x:c>
      <x:c r="N246" s="25" t="b">
        <x:f>SUMIF('EEZ LME Pairs'!$A$2:$A$351,A246,'EEZ LME Pairs'!$M$2:$M$351)&gt;0</x:f>
        <x:v>0</x:v>
      </x:c>
      <x:c r="O246" s="25" t="str"/>
      <x:c r="P246" s="25" t="str"/>
      <x:c r="Q246" s="25" t="str"/>
      <x:c r="R246" s="35" t="n">
        <x:v>0</x:v>
      </x:c>
      <x:c r="S246" s="34" t="n">
        <x:v>0.06717759616257778</x:v>
      </x:c>
      <x:c r="T246" s="33" t="n">
        <x:v>0.06731196763539811</x:v>
      </x:c>
      <x:c r="U246" s="33" t="n">
        <x:v>0</x:v>
      </x:c>
    </x:row>
    <x:row r="247" ht="18" customHeight="1">
      <x:c r="A247" s="25" t="str">
        <x:v>EEZ_934</x:v>
      </x:c>
      <x:c r="B247" s="25" t="str">
        <x:v>EEZ_934</x:v>
      </x:c>
      <x:c r="C247" s="25" t="str">
        <x:v>Egypt (Red Sea)</x:v>
      </x:c>
      <x:c r="D247" s="25" t="n">
        <x:v>934</x:v>
      </x:c>
      <x:c r="E247" s="32" t="n">
        <x:v>91305.76270309587</x:v>
      </x:c>
      <x:c r="F247" s="32" t="n">
        <x:v>90823.13155240436</x:v>
      </x:c>
      <x:c r="G247" s="34" t="n">
        <x:f>F247/E247</x:f>
        <x:v>0.9947141216895486</x:v>
      </x:c>
      <x:c r="H247" s="32" t="n">
        <x:v>0</x:v>
      </x:c>
      <x:c r="I247" s="34" t="n">
        <x:f>H247/E247</x:f>
        <x:v>0</x:v>
      </x:c>
      <x:c r="J247" s="32" t="n">
        <x:v>482.63191470279185</x:v>
      </x:c>
      <x:c r="K247" s="36" t="b">
        <x:v>0</x:v>
      </x:c>
      <x:c r="L247" s="25" t="b">
        <x:f>G247&lt;'Selection Rules'!$B$4</x:f>
        <x:v>0</x:v>
      </x:c>
      <x:c r="M247" s="25" t="b">
        <x:f>SUMIF('EEZ LME Pairs'!$A$2:$A$351,A247,'EEZ LME Pairs'!$L$2:$L$351)&gt;0</x:f>
        <x:v>0</x:v>
      </x:c>
      <x:c r="N247" s="25" t="b">
        <x:f>SUMIF('EEZ LME Pairs'!$A$2:$A$351,A247,'EEZ LME Pairs'!$M$2:$M$351)&gt;0</x:f>
        <x:v>0</x:v>
      </x:c>
      <x:c r="O247" s="25" t="str"/>
      <x:c r="P247" s="25" t="str"/>
      <x:c r="Q247" s="25" t="str"/>
      <x:c r="R247" s="35" t="n">
        <x:v>0</x:v>
      </x:c>
      <x:c r="S247" s="34" t="n">
        <x:v>0.19702608765571777</x:v>
      </x:c>
      <x:c r="T247" s="33" t="n">
        <x:v>0.1980730778417659</x:v>
      </x:c>
      <x:c r="U247" s="33" t="n">
        <x:v>0</x:v>
      </x:c>
    </x:row>
    <x:row r="248" ht="18" customHeight="1">
      <x:c r="A248" s="25" t="str">
        <x:v>EEZ_935</x:v>
      </x:c>
      <x:c r="B248" s="25" t="str">
        <x:v>EEZ_935</x:v>
      </x:c>
      <x:c r="C248" s="25" t="str">
        <x:v>Guatemala (Caribbean)</x:v>
      </x:c>
      <x:c r="D248" s="25" t="n">
        <x:v>935</x:v>
      </x:c>
      <x:c r="E248" s="32" t="n">
        <x:v>1518.0183316064174</x:v>
      </x:c>
      <x:c r="F248" s="32" t="n">
        <x:v>1447.6849522597347</x:v>
      </x:c>
      <x:c r="G248" s="34" t="n">
        <x:f>F248/E248</x:f>
        <x:v>0.9536676350461106</x:v>
      </x:c>
      <x:c r="H248" s="32" t="n">
        <x:v>0</x:v>
      </x:c>
      <x:c r="I248" s="34" t="n">
        <x:f>H248/E248</x:f>
        <x:v>0</x:v>
      </x:c>
      <x:c r="J248" s="32" t="n">
        <x:v>70.33327504354706</x:v>
      </x:c>
      <x:c r="K248" s="36" t="b">
        <x:v>0</x:v>
      </x:c>
      <x:c r="L248" s="25" t="b">
        <x:f>G248&lt;'Selection Rules'!$B$4</x:f>
        <x:v>0</x:v>
      </x:c>
      <x:c r="M248" s="25" t="b">
        <x:f>SUMIF('EEZ LME Pairs'!$A$2:$A$351,A248,'EEZ LME Pairs'!$L$2:$L$351)&gt;0</x:f>
        <x:v>0</x:v>
      </x:c>
      <x:c r="N248" s="25" t="b">
        <x:f>SUMIF('EEZ LME Pairs'!$A$2:$A$351,A248,'EEZ LME Pairs'!$M$2:$M$351)&gt;0</x:f>
        <x:v>0</x:v>
      </x:c>
      <x:c r="O248" s="25" t="str"/>
      <x:c r="P248" s="25" t="str"/>
      <x:c r="Q248" s="25" t="str"/>
      <x:c r="R248" s="35" t="n">
        <x:v>0</x:v>
      </x:c>
      <x:c r="S248" s="34" t="n">
        <x:v>0.0004437243994090123</x:v>
      </x:c>
      <x:c r="T248" s="33" t="n">
        <x:v>0.00046528201556043984</x:v>
      </x:c>
      <x:c r="U248" s="33" t="n">
        <x:v>0</x:v>
      </x:c>
    </x:row>
    <x:row r="249" ht="18" customHeight="1">
      <x:c r="A249" s="25" t="str">
        <x:v>EEZ_936</x:v>
      </x:c>
      <x:c r="B249" s="25" t="str">
        <x:v>EEZ_936</x:v>
      </x:c>
      <x:c r="C249" s="25" t="str">
        <x:v>Guatemala (Pacific)</x:v>
      </x:c>
      <x:c r="D249" s="25" t="n">
        <x:v>936</x:v>
      </x:c>
      <x:c r="E249" s="32" t="n">
        <x:v>107503.59461192679</x:v>
      </x:c>
      <x:c r="F249" s="32" t="n">
        <x:v>97427.02509176734</x:v>
      </x:c>
      <x:c r="G249" s="34" t="n">
        <x:f>F249/E249</x:f>
        <x:v>0.9062676038272536</x:v>
      </x:c>
      <x:c r="H249" s="32" t="n">
        <x:v>36.87084815270428</x:v>
      </x:c>
      <x:c r="I249" s="34" t="n">
        <x:f>H249/E249</x:f>
        <x:v>0.00034297316555602613</x:v>
      </x:c>
      <x:c r="J249" s="32" t="n">
        <x:v>10047.619619131847</x:v>
      </x:c>
      <x:c r="K249" s="36" t="b">
        <x:v>0</x:v>
      </x:c>
      <x:c r="L249" s="25" t="b">
        <x:f>G249&lt;'Selection Rules'!$B$4</x:f>
        <x:v>0</x:v>
      </x:c>
      <x:c r="M249" s="25" t="b">
        <x:f>SUMIF('EEZ LME Pairs'!$A$2:$A$351,A249,'EEZ LME Pairs'!$L$2:$L$351)&gt;0</x:f>
        <x:v>0</x:v>
      </x:c>
      <x:c r="N249" s="25" t="b">
        <x:f>SUMIF('EEZ LME Pairs'!$A$2:$A$351,A249,'EEZ LME Pairs'!$M$2:$M$351)&gt;0</x:f>
        <x:v>0</x:v>
      </x:c>
      <x:c r="O249" s="25" t="str"/>
      <x:c r="P249" s="25" t="str"/>
      <x:c r="Q249" s="25" t="str"/>
      <x:c r="R249" s="35" t="n">
        <x:v>0</x:v>
      </x:c>
      <x:c r="S249" s="34" t="n">
        <x:v>0.04916428846898656</x:v>
      </x:c>
      <x:c r="T249" s="33" t="n">
        <x:v>0.0542491955591937</x:v>
      </x:c>
      <x:c r="U249" s="33" t="n">
        <x:v>0</x:v>
      </x:c>
    </x:row>
    <x:row r="250" ht="18" customHeight="1">
      <x:c r="A250" s="25" t="str">
        <x:v>EEZ_937</x:v>
      </x:c>
      <x:c r="B250" s="25" t="str">
        <x:v>EEZ_937</x:v>
      </x:c>
      <x:c r="C250" s="25" t="str">
        <x:v>Indonesia (Central)</x:v>
      </x:c>
      <x:c r="D250" s="25" t="n">
        <x:v>937</x:v>
      </x:c>
      <x:c r="E250" s="32" t="n">
        <x:v>1003591.2537890506</x:v>
      </x:c>
      <x:c r="F250" s="32" t="n">
        <x:v>992588.6581589034</x:v>
      </x:c>
      <x:c r="G250" s="34" t="n">
        <x:f>F250/E250</x:f>
        <x:v>0.9890367760892624</x:v>
      </x:c>
      <x:c r="H250" s="32" t="n">
        <x:v>0</x:v>
      </x:c>
      <x:c r="I250" s="34" t="n">
        <x:f>H250/E250</x:f>
        <x:v>0</x:v>
      </x:c>
      <x:c r="J250" s="32" t="n">
        <x:v>11002.59590869855</x:v>
      </x:c>
      <x:c r="K250" s="36" t="b">
        <x:v>1</x:v>
      </x:c>
      <x:c r="L250" s="25" t="b">
        <x:f>G250&lt;'Selection Rules'!$B$4</x:f>
        <x:v>0</x:v>
      </x:c>
      <x:c r="M250" s="25" t="b">
        <x:f>SUMIF('EEZ LME Pairs'!$A$2:$A$351,A250,'EEZ LME Pairs'!$L$2:$L$351)&gt;0</x:f>
        <x:v>0</x:v>
      </x:c>
      <x:c r="N250" s="25" t="b">
        <x:f>SUMIF('EEZ LME Pairs'!$A$2:$A$351,A250,'EEZ LME Pairs'!$M$2:$M$351)&gt;0</x:f>
        <x:v>0</x:v>
      </x:c>
      <x:c r="O250" s="25" t="str"/>
      <x:c r="P250" s="25" t="str"/>
      <x:c r="Q250" s="25" t="str"/>
      <x:c r="R250" s="35" t="n">
        <x:v>0</x:v>
      </x:c>
      <x:c r="S250" s="34" t="n">
        <x:v>0.20558193305209732</x:v>
      </x:c>
      <x:c r="T250" s="33" t="n">
        <x:v>0.44260584168411093</x:v>
      </x:c>
      <x:c r="U250" s="33" t="n">
        <x:v>0</x:v>
      </x:c>
    </x:row>
    <x:row r="251" ht="18" customHeight="1">
      <x:c r="A251" s="25" t="str">
        <x:v>EEZ_938</x:v>
      </x:c>
      <x:c r="B251" s="25" t="str">
        <x:v>EEZ_938</x:v>
      </x:c>
      <x:c r="C251" s="25" t="str">
        <x:v>Indonesia (Indian Ocean)</x:v>
      </x:c>
      <x:c r="D251" s="25" t="n">
        <x:v>938</x:v>
      </x:c>
      <x:c r="E251" s="32" t="n">
        <x:v>1410011.8441569735</x:v>
      </x:c>
      <x:c r="F251" s="32" t="n">
        <x:v>288778.6166677743</x:v>
      </x:c>
      <x:c r="G251" s="34" t="n">
        <x:f>F251/E251</x:f>
        <x:v>0.20480580916001523</x:v>
      </x:c>
      <x:c r="H251" s="32" t="n">
        <x:v>49.073493916345505</x:v>
      </x:c>
      <x:c r="I251" s="34" t="n">
        <x:f>H251/E251</x:f>
        <x:v>0.0000348036040404227</x:v>
      </x:c>
      <x:c r="J251" s="32" t="n">
        <x:v>1121184.1540640865</x:v>
      </x:c>
      <x:c r="K251" s="36" t="b">
        <x:v>1</x:v>
      </x:c>
      <x:c r="L251" s="25" t="b">
        <x:f>G251&lt;'Selection Rules'!$B$4</x:f>
        <x:v>0</x:v>
      </x:c>
      <x:c r="M251" s="25" t="b">
        <x:f>SUMIF('EEZ LME Pairs'!$A$2:$A$351,A251,'EEZ LME Pairs'!$L$2:$L$351)&gt;0</x:f>
        <x:v>0</x:v>
      </x:c>
      <x:c r="N251" s="25" t="b">
        <x:f>SUMIF('EEZ LME Pairs'!$A$2:$A$351,A251,'EEZ LME Pairs'!$M$2:$M$351)&gt;0</x:f>
        <x:v>0</x:v>
      </x:c>
      <x:c r="O251" s="25" t="str"/>
      <x:c r="P251" s="25" t="str"/>
      <x:c r="Q251" s="25" t="str"/>
      <x:c r="R251" s="35" t="n">
        <x:v>0</x:v>
      </x:c>
      <x:c r="S251" s="34" t="n">
        <x:v>0.07846064586105639</x:v>
      </x:c>
      <x:c r="T251" s="33" t="n">
        <x:v>0.6218462712896866</x:v>
      </x:c>
      <x:c r="U251" s="33" t="n">
        <x:v>0</x:v>
      </x:c>
    </x:row>
    <x:row r="252" ht="18" customHeight="1">
      <x:c r="A252" s="25" t="str">
        <x:v>EEZ_939</x:v>
      </x:c>
      <x:c r="B252" s="25" t="str">
        <x:v>EEZ_939</x:v>
      </x:c>
      <x:c r="C252" s="25" t="str">
        <x:v>Israel (Mediterranean)</x:v>
      </x:c>
      <x:c r="D252" s="25" t="n">
        <x:v>939</x:v>
      </x:c>
      <x:c r="E252" s="32" t="n">
        <x:v>25732.799828694675</x:v>
      </x:c>
      <x:c r="F252" s="32" t="n">
        <x:v>25651.194925455264</x:v>
      </x:c>
      <x:c r="G252" s="34" t="n">
        <x:f>F252/E252</x:f>
        <x:v>0.9968287592573423</x:v>
      </x:c>
      <x:c r="H252" s="32" t="n">
        <x:v>0</x:v>
      </x:c>
      <x:c r="I252" s="34" t="n">
        <x:f>H252/E252</x:f>
        <x:v>0</x:v>
      </x:c>
      <x:c r="J252" s="32" t="n">
        <x:v>81.60411903694178</x:v>
      </x:c>
      <x:c r="K252" s="36" t="b">
        <x:v>0</x:v>
      </x:c>
      <x:c r="L252" s="25" t="b">
        <x:f>G252&lt;'Selection Rules'!$B$4</x:f>
        <x:v>0</x:v>
      </x:c>
      <x:c r="M252" s="25" t="b">
        <x:f>SUMIF('EEZ LME Pairs'!$A$2:$A$351,A252,'EEZ LME Pairs'!$L$2:$L$351)&gt;0</x:f>
        <x:v>0</x:v>
      </x:c>
      <x:c r="N252" s="25" t="b">
        <x:f>SUMIF('EEZ LME Pairs'!$A$2:$A$351,A252,'EEZ LME Pairs'!$M$2:$M$351)&gt;0</x:f>
        <x:v>0</x:v>
      </x:c>
      <x:c r="O252" s="25" t="str"/>
      <x:c r="P252" s="25" t="str"/>
      <x:c r="Q252" s="25" t="str"/>
      <x:c r="R252" s="35" t="n">
        <x:v>0</x:v>
      </x:c>
      <x:c r="S252" s="34" t="n">
        <x:v>0.010147631409645154</x:v>
      </x:c>
      <x:c r="T252" s="33" t="n">
        <x:v>0.010179914368848412</x:v>
      </x:c>
      <x:c r="U252" s="33" t="n">
        <x:v>0</x:v>
      </x:c>
    </x:row>
    <x:row r="253" ht="18" customHeight="1">
      <x:c r="A253" s="25" t="str">
        <x:v>EEZ_940</x:v>
      </x:c>
      <x:c r="B253" s="25" t="str">
        <x:v>EEZ_940</x:v>
      </x:c>
      <x:c r="C253" s="25" t="str">
        <x:v>Israel (Red Sea)</x:v>
      </x:c>
      <x:c r="D253" s="25" t="n">
        <x:v>940</x:v>
      </x:c>
      <x:c r="E253" s="32" t="n">
        <x:v>20.72896002280011</x:v>
      </x:c>
      <x:c r="F253" s="32" t="n">
        <x:v>20.72896002280011</x:v>
      </x:c>
      <x:c r="G253" s="34" t="n">
        <x:f>F253/E253</x:f>
        <x:v>1</x:v>
      </x:c>
      <x:c r="H253" s="32" t="n">
        <x:v>0</x:v>
      </x:c>
      <x:c r="I253" s="34" t="n">
        <x:f>H253/E253</x:f>
        <x:v>0</x:v>
      </x:c>
      <x:c r="J253" s="32" t="n">
        <x:v>0</x:v>
      </x:c>
      <x:c r="K253" s="36" t="b">
        <x:v>0</x:v>
      </x:c>
      <x:c r="L253" s="25" t="b">
        <x:f>G253&lt;'Selection Rules'!$B$4</x:f>
        <x:v>0</x:v>
      </x:c>
      <x:c r="M253" s="25" t="b">
        <x:f>SUMIF('EEZ LME Pairs'!$A$2:$A$351,A253,'EEZ LME Pairs'!$L$2:$L$351)&gt;0</x:f>
        <x:v>0</x:v>
      </x:c>
      <x:c r="N253" s="25" t="b">
        <x:f>SUMIF('EEZ LME Pairs'!$A$2:$A$351,A253,'EEZ LME Pairs'!$M$2:$M$351)&gt;0</x:f>
        <x:v>0</x:v>
      </x:c>
      <x:c r="O253" s="25" t="str"/>
      <x:c r="P253" s="25" t="str"/>
      <x:c r="Q253" s="25" t="str"/>
      <x:c r="R253" s="35" t="n">
        <x:v>0</x:v>
      </x:c>
      <x:c r="S253" s="34" t="n">
        <x:v>0.00004496812458076892</x:v>
      </x:c>
      <x:c r="T253" s="33" t="n">
        <x:v>0.00004496812458076892</x:v>
      </x:c>
      <x:c r="U253" s="33" t="n">
        <x:v>0</x:v>
      </x:c>
    </x:row>
    <x:row r="254" ht="18" customHeight="1">
      <x:c r="A254" s="25" t="str">
        <x:v>EEZ_941</x:v>
      </x:c>
      <x:c r="B254" s="25" t="str">
        <x:v>EEZ_941</x:v>
      </x:c>
      <x:c r="C254" s="25" t="str">
        <x:v>Kiribati (Gilbert Islands)</x:v>
      </x:c>
      <x:c r="D254" s="25" t="n">
        <x:v>941</x:v>
      </x:c>
      <x:c r="E254" s="32" t="n">
        <x:v>1050033.9656154083</x:v>
      </x:c>
      <x:c r="F254" s="32" t="n">
        <x:v>0</x:v>
      </x:c>
      <x:c r="G254" s="34" t="n">
        <x:f>F254/E254</x:f>
        <x:v>0</x:v>
      </x:c>
      <x:c r="H254" s="32" t="n">
        <x:v>58.38722585275301</x:v>
      </x:c>
      <x:c r="I254" s="34" t="n">
        <x:f>H254/E254</x:f>
        <x:v>0.00005560508303989308</x:v>
      </x:c>
      <x:c r="J254" s="32" t="n">
        <x:v>1049975.578390235</x:v>
      </x:c>
      <x:c r="K254" s="36" t="b">
        <x:v>1</x:v>
      </x:c>
      <x:c r="L254" s="25" t="b">
        <x:f>G254&lt;'Selection Rules'!$B$4</x:f>
        <x:v>1</x:v>
      </x:c>
      <x:c r="M254" s="25" t="b">
        <x:f>SUMIF('EEZ LME Pairs'!$A$2:$A$351,A254,'EEZ LME Pairs'!$L$2:$L$351)&gt;0</x:f>
        <x:v>0</x:v>
      </x:c>
      <x:c r="N254" s="25" t="b">
        <x:f>SUMIF('EEZ LME Pairs'!$A$2:$A$351,A254,'EEZ LME Pairs'!$M$2:$M$351)&gt;0</x:f>
        <x:v>0</x:v>
      </x:c>
      <x:c r="O254" s="25" t="str"/>
      <x:c r="P254" s="25" t="str"/>
      <x:c r="Q254" s="25" t="str"/>
      <x:c r="R254" s="35" t="n">
        <x:v>0</x:v>
      </x:c>
      <x:c r="S254" s="34" t="n">
        <x:v>0</x:v>
      </x:c>
      <x:c r="T254" s="33" t="n">
        <x:v>0</x:v>
      </x:c>
      <x:c r="U254" s="33" t="n">
        <x:v>0</x:v>
      </x:c>
    </x:row>
    <x:row r="255" ht="18" customHeight="1">
      <x:c r="A255" s="25" t="str">
        <x:v>EEZ_942</x:v>
      </x:c>
      <x:c r="B255" s="25" t="str">
        <x:v>EEZ_942</x:v>
      </x:c>
      <x:c r="C255" s="25" t="str">
        <x:v>Kiribati (Line Islands)</x:v>
      </x:c>
      <x:c r="D255" s="25" t="n">
        <x:v>942</x:v>
      </x:c>
      <x:c r="E255" s="32" t="n">
        <x:v>1637062.5744633037</x:v>
      </x:c>
      <x:c r="F255" s="32" t="n">
        <x:v>0</x:v>
      </x:c>
      <x:c r="G255" s="34" t="n">
        <x:f>F255/E255</x:f>
        <x:v>0</x:v>
      </x:c>
      <x:c r="H255" s="32" t="n">
        <x:v>5.853188144979609</x:v>
      </x:c>
      <x:c r="I255" s="34" t="n">
        <x:f>H255/E255</x:f>
        <x:v>0.0000035754211453392516</x:v>
      </x:c>
      <x:c r="J255" s="32" t="n">
        <x:v>1637056.7212805327</x:v>
      </x:c>
      <x:c r="K255" s="36" t="b">
        <x:v>1</x:v>
      </x:c>
      <x:c r="L255" s="25" t="b">
        <x:f>G255&lt;'Selection Rules'!$B$4</x:f>
        <x:v>1</x:v>
      </x:c>
      <x:c r="M255" s="25" t="b">
        <x:f>SUMIF('EEZ LME Pairs'!$A$2:$A$351,A255,'EEZ LME Pairs'!$L$2:$L$351)&gt;0</x:f>
        <x:v>0</x:v>
      </x:c>
      <x:c r="N255" s="25" t="b">
        <x:f>SUMIF('EEZ LME Pairs'!$A$2:$A$351,A255,'EEZ LME Pairs'!$M$2:$M$351)&gt;0</x:f>
        <x:v>0</x:v>
      </x:c>
      <x:c r="O255" s="25" t="str"/>
      <x:c r="P255" s="25" t="str"/>
      <x:c r="Q255" s="25" t="str"/>
      <x:c r="R255" s="35" t="n">
        <x:v>0</x:v>
      </x:c>
      <x:c r="S255" s="34" t="n">
        <x:v>0</x:v>
      </x:c>
      <x:c r="T255" s="33" t="n">
        <x:v>0</x:v>
      </x:c>
      <x:c r="U255" s="33" t="n">
        <x:v>0</x:v>
      </x:c>
    </x:row>
    <x:row r="256" ht="18" customHeight="1">
      <x:c r="A256" s="25" t="str">
        <x:v>EEZ_943</x:v>
      </x:c>
      <x:c r="B256" s="25" t="str">
        <x:v>EEZ_943</x:v>
      </x:c>
      <x:c r="C256" s="25" t="str">
        <x:v>Kiribati (Phoenix Islands)</x:v>
      </x:c>
      <x:c r="D256" s="25" t="n">
        <x:v>943</x:v>
      </x:c>
      <x:c r="E256" s="32" t="n">
        <x:v>742995.546763819</x:v>
      </x:c>
      <x:c r="F256" s="32" t="n">
        <x:v>0</x:v>
      </x:c>
      <x:c r="G256" s="34" t="n">
        <x:f>F256/E256</x:f>
        <x:v>0</x:v>
      </x:c>
      <x:c r="H256" s="32" t="n">
        <x:v>7.8622145514240875</x:v>
      </x:c>
      <x:c r="I256" s="34" t="n">
        <x:f>H256/E256</x:f>
        <x:v>0.00001058177883524153</x:v>
      </x:c>
      <x:c r="J256" s="32" t="n">
        <x:v>742987.6846229135</x:v>
      </x:c>
      <x:c r="K256" s="36" t="b">
        <x:v>1</x:v>
      </x:c>
      <x:c r="L256" s="25" t="b">
        <x:f>G256&lt;'Selection Rules'!$B$4</x:f>
        <x:v>1</x:v>
      </x:c>
      <x:c r="M256" s="25" t="b">
        <x:f>SUMIF('EEZ LME Pairs'!$A$2:$A$351,A256,'EEZ LME Pairs'!$L$2:$L$351)&gt;0</x:f>
        <x:v>0</x:v>
      </x:c>
      <x:c r="N256" s="25" t="b">
        <x:f>SUMIF('EEZ LME Pairs'!$A$2:$A$351,A256,'EEZ LME Pairs'!$M$2:$M$351)&gt;0</x:f>
        <x:v>0</x:v>
      </x:c>
      <x:c r="O256" s="25" t="str"/>
      <x:c r="P256" s="25" t="str"/>
      <x:c r="Q256" s="25" t="str"/>
      <x:c r="R256" s="35" t="n">
        <x:v>0</x:v>
      </x:c>
      <x:c r="S256" s="34" t="n">
        <x:v>0</x:v>
      </x:c>
      <x:c r="T256" s="33" t="n">
        <x:v>0</x:v>
      </x:c>
      <x:c r="U256" s="33" t="n">
        <x:v>0</x:v>
      </x:c>
    </x:row>
    <x:row r="257" ht="18" customHeight="1">
      <x:c r="A257" s="25" t="str">
        <x:v>EEZ_944</x:v>
      </x:c>
      <x:c r="B257" s="25" t="str">
        <x:v>EEZ_944</x:v>
      </x:c>
      <x:c r="C257" s="25" t="str">
        <x:v>Mexico (Atlantic)</x:v>
      </x:c>
      <x:c r="D257" s="25" t="n">
        <x:v>944</x:v>
      </x:c>
      <x:c r="E257" s="32" t="n">
        <x:v>831478.5958908207</x:v>
      </x:c>
      <x:c r="F257" s="32" t="n">
        <x:v>825943.8082177453</x:v>
      </x:c>
      <x:c r="G257" s="34" t="n">
        <x:f>F257/E257</x:f>
        <x:v>0.9933434393856577</x:v>
      </x:c>
      <x:c r="H257" s="32" t="n">
        <x:v>0</x:v>
      </x:c>
      <x:c r="I257" s="34" t="n">
        <x:f>H257/E257</x:f>
        <x:v>0</x:v>
      </x:c>
      <x:c r="J257" s="32" t="n">
        <x:v>5534.787795227877</x:v>
      </x:c>
      <x:c r="K257" s="36" t="b">
        <x:v>1</x:v>
      </x:c>
      <x:c r="L257" s="25" t="b">
        <x:f>G257&lt;'Selection Rules'!$B$4</x:f>
        <x:v>0</x:v>
      </x:c>
      <x:c r="M257" s="25" t="b">
        <x:f>SUMIF('EEZ LME Pairs'!$A$2:$A$351,A257,'EEZ LME Pairs'!$L$2:$L$351)&gt;0</x:f>
        <x:v>0</x:v>
      </x:c>
      <x:c r="N257" s="25" t="b">
        <x:f>SUMIF('EEZ LME Pairs'!$A$2:$A$351,A257,'EEZ LME Pairs'!$M$2:$M$351)&gt;0</x:f>
        <x:v>0</x:v>
      </x:c>
      <x:c r="O257" s="25" t="str"/>
      <x:c r="P257" s="25" t="str"/>
      <x:c r="Q257" s="25" t="str"/>
      <x:c r="R257" s="35" t="n">
        <x:v>0</x:v>
      </x:c>
      <x:c r="S257" s="34" t="n">
        <x:v>0.47956951145138027</x:v>
      </x:c>
      <x:c r="T257" s="33" t="n">
        <x:v>0.5425849206338365</x:v>
      </x:c>
      <x:c r="U257" s="33" t="n">
        <x:v>0</x:v>
      </x:c>
    </x:row>
    <x:row r="258" ht="18" customHeight="1">
      <x:c r="A258" s="25" t="str">
        <x:v>EEZ_945</x:v>
      </x:c>
      <x:c r="B258" s="25" t="str">
        <x:v>EEZ_945</x:v>
      </x:c>
      <x:c r="C258" s="25" t="str">
        <x:v>Mexico (Pacific)</x:v>
      </x:c>
      <x:c r="D258" s="25" t="n">
        <x:v>945</x:v>
      </x:c>
      <x:c r="E258" s="32" t="n">
        <x:v>2349313.1133840904</x:v>
      </x:c>
      <x:c r="F258" s="32" t="n">
        <x:v>1777996.2531345768</x:v>
      </x:c>
      <x:c r="G258" s="34" t="n">
        <x:f>F258/E258</x:f>
        <x:v>0.7568153614796136</x:v>
      </x:c>
      <x:c r="H258" s="32" t="n">
        <x:v>186.26797224098868</x:v>
      </x:c>
      <x:c r="I258" s="34" t="n">
        <x:f>H258/E258</x:f>
        <x:v>0.00007928614163000061</x:v>
      </x:c>
      <x:c r="J258" s="32" t="n">
        <x:v>571297.6711004339</x:v>
      </x:c>
      <x:c r="K258" s="36" t="b">
        <x:v>1</x:v>
      </x:c>
      <x:c r="L258" s="25" t="b">
        <x:f>G258&lt;'Selection Rules'!$B$4</x:f>
        <x:v>0</x:v>
      </x:c>
      <x:c r="M258" s="25" t="b">
        <x:f>SUMIF('EEZ LME Pairs'!$A$2:$A$351,A258,'EEZ LME Pairs'!$L$2:$L$351)&gt;0</x:f>
        <x:v>1</x:v>
      </x:c>
      <x:c r="N258" s="25" t="b">
        <x:f>SUMIF('EEZ LME Pairs'!$A$2:$A$351,A258,'EEZ LME Pairs'!$M$2:$M$351)&gt;0</x:f>
        <x:v>0</x:v>
      </x:c>
      <x:c r="O258" s="25" t="str">
        <x:v>LME_004</x:v>
      </x:c>
      <x:c r="P258" s="25" t="str"/>
      <x:c r="Q258" s="25" t="str">
        <x:v>LME_004</x:v>
      </x:c>
      <x:c r="R258" s="35" t="n">
        <x:v>1</x:v>
      </x:c>
      <x:c r="S258" s="34" t="n">
        <x:v>0.988433728762847</x:v>
      </x:c>
      <x:c r="T258" s="33" t="n">
        <x:v>10.563469234760522</x:v>
      </x:c>
      <x:c r="U258" s="33" t="n">
        <x:v>10.563469234760522</x:v>
      </x:c>
    </x:row>
    <x:row r="259" ht="18" customHeight="1">
      <x:c r="A259" s="25" t="str">
        <x:v>EEZ_946</x:v>
      </x:c>
      <x:c r="B259" s="25" t="str">
        <x:v>EEZ_946</x:v>
      </x:c>
      <x:c r="C259" s="25" t="str">
        <x:v>Morocco (Central)</x:v>
      </x:c>
      <x:c r="D259" s="25" t="n">
        <x:v>946</x:v>
      </x:c>
      <x:c r="E259" s="32" t="n">
        <x:v>261992.41119371905</x:v>
      </x:c>
      <x:c r="F259" s="32" t="n">
        <x:v>252505.25249500904</x:v>
      </x:c>
      <x:c r="G259" s="34" t="n">
        <x:f>F259/E259</x:f>
        <x:v>0.9637884217505249</x:v>
      </x:c>
      <x:c r="H259" s="32" t="n">
        <x:v>0</x:v>
      </x:c>
      <x:c r="I259" s="34" t="n">
        <x:f>H259/E259</x:f>
        <x:v>0</x:v>
      </x:c>
      <x:c r="J259" s="32" t="n">
        <x:v>9487.15298447921</x:v>
      </x:c>
      <x:c r="K259" s="36" t="b">
        <x:v>0</x:v>
      </x:c>
      <x:c r="L259" s="25" t="b">
        <x:f>G259&lt;'Selection Rules'!$B$4</x:f>
        <x:v>0</x:v>
      </x:c>
      <x:c r="M259" s="25" t="b">
        <x:f>SUMIF('EEZ LME Pairs'!$A$2:$A$351,A259,'EEZ LME Pairs'!$L$2:$L$351)&gt;0</x:f>
        <x:v>0</x:v>
      </x:c>
      <x:c r="N259" s="25" t="b">
        <x:f>SUMIF('EEZ LME Pairs'!$A$2:$A$351,A259,'EEZ LME Pairs'!$M$2:$M$351)&gt;0</x:f>
        <x:v>0</x:v>
      </x:c>
      <x:c r="O259" s="25" t="str"/>
      <x:c r="P259" s="25" t="str"/>
      <x:c r="Q259" s="25" t="str"/>
      <x:c r="R259" s="35" t="n">
        <x:v>0</x:v>
      </x:c>
      <x:c r="S259" s="34" t="n">
        <x:v>0.22478882050865426</x:v>
      </x:c>
      <x:c r="T259" s="33" t="n">
        <x:v>0.23323461398340026</x:v>
      </x:c>
      <x:c r="U259" s="33" t="n">
        <x:v>0</x:v>
      </x:c>
    </x:row>
    <x:row r="260" ht="18" customHeight="1">
      <x:c r="A260" s="25" t="str">
        <x:v>EEZ_947</x:v>
      </x:c>
      <x:c r="B260" s="25" t="str">
        <x:v>EEZ_947</x:v>
      </x:c>
      <x:c r="C260" s="25" t="str">
        <x:v>Morocco (Mediterranean)</x:v>
      </x:c>
      <x:c r="D260" s="25" t="n">
        <x:v>947</x:v>
      </x:c>
      <x:c r="E260" s="32" t="n">
        <x:v>18395.30800685769</x:v>
      </x:c>
      <x:c r="F260" s="32" t="n">
        <x:v>18220.421866031193</x:v>
      </x:c>
      <x:c r="G260" s="34" t="n">
        <x:f>F260/E260</x:f>
        <x:v>0.9904928941248877</x:v>
      </x:c>
      <x:c r="H260" s="32" t="n">
        <x:v>0</x:v>
      </x:c>
      <x:c r="I260" s="34" t="n">
        <x:f>H260/E260</x:f>
        <x:v>0</x:v>
      </x:c>
      <x:c r="J260" s="32" t="n">
        <x:v>174.88540411086967</x:v>
      </x:c>
      <x:c r="K260" s="36" t="b">
        <x:v>0</x:v>
      </x:c>
      <x:c r="L260" s="25" t="b">
        <x:f>G260&lt;'Selection Rules'!$B$4</x:f>
        <x:v>0</x:v>
      </x:c>
      <x:c r="M260" s="25" t="b">
        <x:f>SUMIF('EEZ LME Pairs'!$A$2:$A$351,A260,'EEZ LME Pairs'!$L$2:$L$351)&gt;0</x:f>
        <x:v>0</x:v>
      </x:c>
      <x:c r="N260" s="25" t="b">
        <x:f>SUMIF('EEZ LME Pairs'!$A$2:$A$351,A260,'EEZ LME Pairs'!$M$2:$M$351)&gt;0</x:f>
        <x:v>0</x:v>
      </x:c>
      <x:c r="O260" s="25" t="str"/>
      <x:c r="P260" s="25" t="str"/>
      <x:c r="Q260" s="25" t="str"/>
      <x:c r="R260" s="35" t="n">
        <x:v>0</x:v>
      </x:c>
      <x:c r="S260" s="34" t="n">
        <x:v>0.007162394435949875</x:v>
      </x:c>
      <x:c r="T260" s="33" t="n">
        <x:v>0.016376132967121846</x:v>
      </x:c>
      <x:c r="U260" s="33" t="n">
        <x:v>0</x:v>
      </x:c>
    </x:row>
    <x:row r="261" ht="18" customHeight="1">
      <x:c r="A261" s="25" t="str">
        <x:v>EEZ_948</x:v>
      </x:c>
      <x:c r="B261" s="25" t="str">
        <x:v>EEZ_948</x:v>
      </x:c>
      <x:c r="C261" s="25" t="str">
        <x:v>Morocco (South)</x:v>
      </x:c>
      <x:c r="D261" s="25" t="n">
        <x:v>948</x:v>
      </x:c>
      <x:c r="E261" s="32" t="n">
        <x:v>283895.8715712907</x:v>
      </x:c>
      <x:c r="F261" s="32" t="n">
        <x:v>252632.66635898515</x:v>
      </x:c>
      <x:c r="G261" s="34" t="n">
        <x:f>F261/E261</x:f>
        <x:v>0.8898779153100334</x:v>
      </x:c>
      <x:c r="H261" s="32" t="n">
        <x:v>81.38492823522944</x:v>
      </x:c>
      <x:c r="I261" s="34" t="n">
        <x:f>H261/E261</x:f>
        <x:v>0.000286671756742304</x:v>
      </x:c>
      <x:c r="J261" s="32" t="n">
        <x:v>31181.818570295636</x:v>
      </x:c>
      <x:c r="K261" s="36" t="b">
        <x:v>1</x:v>
      </x:c>
      <x:c r="L261" s="25" t="b">
        <x:f>G261&lt;'Selection Rules'!$B$4</x:f>
        <x:v>0</x:v>
      </x:c>
      <x:c r="M261" s="25" t="b">
        <x:f>SUMIF('EEZ LME Pairs'!$A$2:$A$351,A261,'EEZ LME Pairs'!$L$2:$L$351)&gt;0</x:f>
        <x:v>0</x:v>
      </x:c>
      <x:c r="N261" s="25" t="b">
        <x:f>SUMIF('EEZ LME Pairs'!$A$2:$A$351,A261,'EEZ LME Pairs'!$M$2:$M$351)&gt;0</x:f>
        <x:v>0</x:v>
      </x:c>
      <x:c r="O261" s="25" t="str"/>
      <x:c r="P261" s="25" t="str"/>
      <x:c r="Q261" s="25" t="str"/>
      <x:c r="R261" s="35" t="n">
        <x:v>0</x:v>
      </x:c>
      <x:c r="S261" s="34" t="n">
        <x:v>0.22490224869249056</x:v>
      </x:c>
      <x:c r="T261" s="33" t="n">
        <x:v>0.2527338242955885</x:v>
      </x:c>
      <x:c r="U261" s="33" t="n">
        <x:v>0</x:v>
      </x:c>
    </x:row>
    <x:row r="262" ht="18" customHeight="1">
      <x:c r="A262" s="25" t="str">
        <x:v>EEZ_949</x:v>
      </x:c>
      <x:c r="B262" s="25" t="str">
        <x:v>EEZ_949</x:v>
      </x:c>
      <x:c r="C262" s="25" t="str">
        <x:v>Nicaragua (Caribbean)</x:v>
      </x:c>
      <x:c r="D262" s="25" t="n">
        <x:v>949</x:v>
      </x:c>
      <x:c r="E262" s="32" t="n">
        <x:v>167022.0152175708</x:v>
      </x:c>
      <x:c r="F262" s="32" t="n">
        <x:v>166448.0235682969</x:v>
      </x:c>
      <x:c r="G262" s="34" t="n">
        <x:f>F262/E262</x:f>
        <x:v>0.9965633772977401</x:v>
      </x:c>
      <x:c r="H262" s="32" t="n">
        <x:v>0</x:v>
      </x:c>
      <x:c r="I262" s="34" t="n">
        <x:f>H262/E262</x:f>
        <x:v>0</x:v>
      </x:c>
      <x:c r="J262" s="32" t="n">
        <x:v>573.9920395320928</x:v>
      </x:c>
      <x:c r="K262" s="36" t="b">
        <x:v>1</x:v>
      </x:c>
      <x:c r="L262" s="25" t="b">
        <x:f>G262&lt;'Selection Rules'!$B$4</x:f>
        <x:v>0</x:v>
      </x:c>
      <x:c r="M262" s="25" t="b">
        <x:f>SUMIF('EEZ LME Pairs'!$A$2:$A$351,A262,'EEZ LME Pairs'!$L$2:$L$351)&gt;0</x:f>
        <x:v>0</x:v>
      </x:c>
      <x:c r="N262" s="25" t="b">
        <x:f>SUMIF('EEZ LME Pairs'!$A$2:$A$351,A262,'EEZ LME Pairs'!$M$2:$M$351)&gt;0</x:f>
        <x:v>0</x:v>
      </x:c>
      <x:c r="O262" s="25" t="str"/>
      <x:c r="P262" s="25" t="str"/>
      <x:c r="Q262" s="25" t="str"/>
      <x:c r="R262" s="35" t="n">
        <x:v>0</x:v>
      </x:c>
      <x:c r="S262" s="34" t="n">
        <x:v>0.051017349579667866</x:v>
      </x:c>
      <x:c r="T262" s="33" t="n">
        <x:v>0.05119328157332594</x:v>
      </x:c>
      <x:c r="U262" s="33" t="n">
        <x:v>0</x:v>
      </x:c>
    </x:row>
    <x:row r="263" ht="18" customHeight="1">
      <x:c r="A263" s="25" t="str">
        <x:v>EEZ_950</x:v>
      </x:c>
      <x:c r="B263" s="25" t="str">
        <x:v>EEZ_950</x:v>
      </x:c>
      <x:c r="C263" s="25" t="str">
        <x:v>Nicaragua (Pacific)</x:v>
      </x:c>
      <x:c r="D263" s="25" t="n">
        <x:v>950</x:v>
      </x:c>
      <x:c r="E263" s="32" t="n">
        <x:v>61562.29726162187</x:v>
      </x:c>
      <x:c r="F263" s="32" t="n">
        <x:v>61174.635319844565</x:v>
      </x:c>
      <x:c r="G263" s="34" t="n">
        <x:f>F263/E263</x:f>
        <x:v>0.9937029324924336</x:v>
      </x:c>
      <x:c r="H263" s="32" t="n">
        <x:v>0</x:v>
      </x:c>
      <x:c r="I263" s="34" t="n">
        <x:f>H263/E263</x:f>
        <x:v>0</x:v>
      </x:c>
      <x:c r="J263" s="32" t="n">
        <x:v>387.6616856127794</x:v>
      </x:c>
      <x:c r="K263" s="36" t="b">
        <x:v>1</x:v>
      </x:c>
      <x:c r="L263" s="25" t="b">
        <x:f>G263&lt;'Selection Rules'!$B$4</x:f>
        <x:v>0</x:v>
      </x:c>
      <x:c r="M263" s="25" t="b">
        <x:f>SUMIF('EEZ LME Pairs'!$A$2:$A$351,A263,'EEZ LME Pairs'!$L$2:$L$351)&gt;0</x:f>
        <x:v>0</x:v>
      </x:c>
      <x:c r="N263" s="25" t="b">
        <x:f>SUMIF('EEZ LME Pairs'!$A$2:$A$351,A263,'EEZ LME Pairs'!$M$2:$M$351)&gt;0</x:f>
        <x:v>0</x:v>
      </x:c>
      <x:c r="O263" s="25" t="str"/>
      <x:c r="P263" s="25" t="str"/>
      <x:c r="Q263" s="25" t="str"/>
      <x:c r="R263" s="35" t="n">
        <x:v>0</x:v>
      </x:c>
      <x:c r="S263" s="34" t="n">
        <x:v>0.030870360816385403</x:v>
      </x:c>
      <x:c r="T263" s="33" t="n">
        <x:v>0.031065985423788068</x:v>
      </x:c>
      <x:c r="U263" s="33" t="n">
        <x:v>0</x:v>
      </x:c>
    </x:row>
    <x:row r="264" ht="18" customHeight="1">
      <x:c r="A264" s="25" t="str">
        <x:v>EEZ_951</x:v>
      </x:c>
      <x:c r="B264" s="25" t="str">
        <x:v>EEZ_951</x:v>
      </x:c>
      <x:c r="C264" s="25" t="str">
        <x:v>Panama (Caribbean)</x:v>
      </x:c>
      <x:c r="D264" s="25" t="n">
        <x:v>951</x:v>
      </x:c>
      <x:c r="E264" s="32" t="n">
        <x:v>142265.37708276403</x:v>
      </x:c>
      <x:c r="F264" s="32" t="n">
        <x:v>142079.9429414528</x:v>
      </x:c>
      <x:c r="G264" s="34" t="n">
        <x:f>F264/E264</x:f>
        <x:v>0.9986965616995952</x:v>
      </x:c>
      <x:c r="H264" s="32" t="n">
        <x:v>0</x:v>
      </x:c>
      <x:c r="I264" s="34" t="n">
        <x:f>H264/E264</x:f>
        <x:v>0</x:v>
      </x:c>
      <x:c r="J264" s="32" t="n">
        <x:v>185.43341937012104</x:v>
      </x:c>
      <x:c r="K264" s="36" t="b">
        <x:v>0</x:v>
      </x:c>
      <x:c r="L264" s="25" t="b">
        <x:f>G264&lt;'Selection Rules'!$B$4</x:f>
        <x:v>0</x:v>
      </x:c>
      <x:c r="M264" s="25" t="b">
        <x:f>SUMIF('EEZ LME Pairs'!$A$2:$A$351,A264,'EEZ LME Pairs'!$L$2:$L$351)&gt;0</x:f>
        <x:v>0</x:v>
      </x:c>
      <x:c r="N264" s="25" t="b">
        <x:f>SUMIF('EEZ LME Pairs'!$A$2:$A$351,A264,'EEZ LME Pairs'!$M$2:$M$351)&gt;0</x:f>
        <x:v>0</x:v>
      </x:c>
      <x:c r="O264" s="25" t="str"/>
      <x:c r="P264" s="25" t="str"/>
      <x:c r="Q264" s="25" t="str"/>
      <x:c r="R264" s="35" t="n">
        <x:v>0</x:v>
      </x:c>
      <x:c r="S264" s="34" t="n">
        <x:v>0.04354838202286699</x:v>
      </x:c>
      <x:c r="T264" s="33" t="n">
        <x:v>0.0436052187350638</x:v>
      </x:c>
      <x:c r="U264" s="33" t="n">
        <x:v>0</x:v>
      </x:c>
    </x:row>
    <x:row r="265" ht="18" customHeight="1">
      <x:c r="A265" s="25" t="str">
        <x:v>EEZ_952</x:v>
      </x:c>
      <x:c r="B265" s="25" t="str">
        <x:v>EEZ_952</x:v>
      </x:c>
      <x:c r="C265" s="25" t="str">
        <x:v>Panama (Pacific)</x:v>
      </x:c>
      <x:c r="D265" s="25" t="n">
        <x:v>952</x:v>
      </x:c>
      <x:c r="E265" s="32" t="n">
        <x:v>189016.8902661049</x:v>
      </x:c>
      <x:c r="F265" s="32" t="n">
        <x:v>187822.20436219696</x:v>
      </x:c>
      <x:c r="G265" s="34" t="n">
        <x:f>F265/E265</x:f>
        <x:v>0.9936794754044149</x:v>
      </x:c>
      <x:c r="H265" s="32" t="n">
        <x:v>0</x:v>
      </x:c>
      <x:c r="I265" s="34" t="n">
        <x:f>H265/E265</x:f>
        <x:v>0</x:v>
      </x:c>
      <x:c r="J265" s="32" t="n">
        <x:v>1194.6864958327822</x:v>
      </x:c>
      <x:c r="K265" s="36" t="b">
        <x:v>1</x:v>
      </x:c>
      <x:c r="L265" s="25" t="b">
        <x:f>G265&lt;'Selection Rules'!$B$4</x:f>
        <x:v>0</x:v>
      </x:c>
      <x:c r="M265" s="25" t="b">
        <x:f>SUMIF('EEZ LME Pairs'!$A$2:$A$351,A265,'EEZ LME Pairs'!$L$2:$L$351)&gt;0</x:f>
        <x:v>0</x:v>
      </x:c>
      <x:c r="N265" s="25" t="b">
        <x:f>SUMIF('EEZ LME Pairs'!$A$2:$A$351,A265,'EEZ LME Pairs'!$M$2:$M$351)&gt;0</x:f>
        <x:v>0</x:v>
      </x:c>
      <x:c r="O265" s="25" t="str"/>
      <x:c r="P265" s="25" t="str"/>
      <x:c r="Q265" s="25" t="str"/>
      <x:c r="R265" s="35" t="n">
        <x:v>0</x:v>
      </x:c>
      <x:c r="S265" s="34" t="n">
        <x:v>0.0947801190423938</x:v>
      </x:c>
      <x:c r="T265" s="33" t="n">
        <x:v>0.09538298957399668</x:v>
      </x:c>
      <x:c r="U265" s="33" t="n">
        <x:v>0</x:v>
      </x:c>
    </x:row>
    <x:row r="266" ht="18" customHeight="1">
      <x:c r="A266" s="25" t="str">
        <x:v>EEZ_953</x:v>
      </x:c>
      <x:c r="B266" s="25" t="str">
        <x:v>EEZ_953</x:v>
      </x:c>
      <x:c r="C266" s="25" t="str">
        <x:v>South Africa (Atlantic and Cape)</x:v>
      </x:c>
      <x:c r="D266" s="25" t="n">
        <x:v>953</x:v>
      </x:c>
      <x:c r="E266" s="32" t="n">
        <x:v>747474.4185659183</x:v>
      </x:c>
      <x:c r="F266" s="32" t="n">
        <x:v>538169.8273804439</x:v>
      </x:c>
      <x:c r="G266" s="34" t="n">
        <x:f>F266/E266</x:f>
        <x:v>0.7199842750645035</x:v>
      </x:c>
      <x:c r="H266" s="32" t="n">
        <x:v>566.6030206397146</x:v>
      </x:c>
      <x:c r="I266" s="34" t="n">
        <x:f>H266/E266</x:f>
        <x:v>0.0007580232935954944</x:v>
      </x:c>
      <x:c r="J266" s="32" t="n">
        <x:v>208768.9792225936</x:v>
      </x:c>
      <x:c r="K266" s="36" t="b">
        <x:v>1</x:v>
      </x:c>
      <x:c r="L266" s="25" t="b">
        <x:f>G266&lt;'Selection Rules'!$B$4</x:f>
        <x:v>0</x:v>
      </x:c>
      <x:c r="M266" s="25" t="b">
        <x:f>SUMIF('EEZ LME Pairs'!$A$2:$A$351,A266,'EEZ LME Pairs'!$L$2:$L$351)&gt;0</x:f>
        <x:v>0</x:v>
      </x:c>
      <x:c r="N266" s="25" t="b">
        <x:f>SUMIF('EEZ LME Pairs'!$A$2:$A$351,A266,'EEZ LME Pairs'!$M$2:$M$351)&gt;0</x:f>
        <x:v>0</x:v>
      </x:c>
      <x:c r="O266" s="25" t="str"/>
      <x:c r="P266" s="25" t="str"/>
      <x:c r="Q266" s="25" t="str"/>
      <x:c r="R266" s="35" t="n">
        <x:v>0</x:v>
      </x:c>
      <x:c r="S266" s="34" t="n">
        <x:v>0.18934505497281595</x:v>
      </x:c>
      <x:c r="T266" s="33" t="n">
        <x:v>0.512616022291174</x:v>
      </x:c>
      <x:c r="U266" s="33" t="n">
        <x:v>0</x:v>
      </x:c>
    </x:row>
    <x:row r="267" ht="18" customHeight="1">
      <x:c r="A267" s="25" t="str">
        <x:v>EEZ_954</x:v>
      </x:c>
      <x:c r="B267" s="25" t="str">
        <x:v>EEZ_954</x:v>
      </x:c>
      <x:c r="C267" s="25" t="str">
        <x:v>South Africa (Indian Ocean Coast)</x:v>
      </x:c>
      <x:c r="D267" s="25" t="n">
        <x:v>954</x:v>
      </x:c>
      <x:c r="E267" s="32" t="n">
        <x:v>321499.4565529416</x:v>
      </x:c>
      <x:c r="F267" s="32" t="n">
        <x:v>239073.07609800794</x:v>
      </x:c>
      <x:c r="G267" s="34" t="n">
        <x:f>F267/E267</x:f>
        <x:v>0.7436189120233849</x:v>
      </x:c>
      <x:c r="H267" s="32" t="n">
        <x:v>244.10217471483557</x:v>
      </x:c>
      <x:c r="I267" s="34" t="n">
        <x:f>H267/E267</x:f>
        <x:v>0.0007592615469153649</x:v>
      </x:c>
      <x:c r="J267" s="32" t="n">
        <x:v>82190.4762799294</x:v>
      </x:c>
      <x:c r="K267" s="36" t="b">
        <x:v>0</x:v>
      </x:c>
      <x:c r="L267" s="25" t="b">
        <x:f>G267&lt;'Selection Rules'!$B$4</x:f>
        <x:v>0</x:v>
      </x:c>
      <x:c r="M267" s="25" t="b">
        <x:f>SUMIF('EEZ LME Pairs'!$A$2:$A$351,A267,'EEZ LME Pairs'!$L$2:$L$351)&gt;0</x:f>
        <x:v>0</x:v>
      </x:c>
      <x:c r="N267" s="25" t="b">
        <x:f>SUMIF('EEZ LME Pairs'!$A$2:$A$351,A267,'EEZ LME Pairs'!$M$2:$M$351)&gt;0</x:f>
        <x:v>0</x:v>
      </x:c>
      <x:c r="O267" s="25" t="str"/>
      <x:c r="P267" s="25" t="str"/>
      <x:c r="Q267" s="25" t="str"/>
      <x:c r="R267" s="35" t="n">
        <x:v>0</x:v>
      </x:c>
      <x:c r="S267" s="34" t="n">
        <x:v>0.09101144203227526</x:v>
      </x:c>
      <x:c r="T267" s="33" t="n">
        <x:v>0.12238989697644105</x:v>
      </x:c>
      <x:c r="U267" s="33" t="n">
        <x:v>0</x:v>
      </x:c>
    </x:row>
    <x:row r="268" ht="18" customHeight="1">
      <x:c r="A268" s="25" t="str">
        <x:v>EEZ_956</x:v>
      </x:c>
      <x:c r="B268" s="25" t="str">
        <x:v>EEZ_956</x:v>
      </x:c>
      <x:c r="C268" s="25" t="str">
        <x:v>Thailand (Andaman Sea)</x:v>
      </x:c>
      <x:c r="D268" s="25" t="n">
        <x:v>956</x:v>
      </x:c>
      <x:c r="E268" s="32" t="n">
        <x:v>119385.57890397492</x:v>
      </x:c>
      <x:c r="F268" s="32" t="n">
        <x:v>118503.30509676215</x:v>
      </x:c>
      <x:c r="G268" s="34" t="n">
        <x:f>F268/E268</x:f>
        <x:v>0.992609879557376</x:v>
      </x:c>
      <x:c r="H268" s="32" t="n">
        <x:v>0</x:v>
      </x:c>
      <x:c r="I268" s="34" t="n">
        <x:f>H268/E268</x:f>
        <x:v>0</x:v>
      </x:c>
      <x:c r="J268" s="32" t="n">
        <x:v>882.2740264711716</x:v>
      </x:c>
      <x:c r="K268" s="36" t="b">
        <x:v>1</x:v>
      </x:c>
      <x:c r="L268" s="25" t="b">
        <x:f>G268&lt;'Selection Rules'!$B$4</x:f>
        <x:v>0</x:v>
      </x:c>
      <x:c r="M268" s="25" t="b">
        <x:f>SUMIF('EEZ LME Pairs'!$A$2:$A$351,A268,'EEZ LME Pairs'!$L$2:$L$351)&gt;0</x:f>
        <x:v>0</x:v>
      </x:c>
      <x:c r="N268" s="25" t="b">
        <x:f>SUMIF('EEZ LME Pairs'!$A$2:$A$351,A268,'EEZ LME Pairs'!$M$2:$M$351)&gt;0</x:f>
        <x:v>0</x:v>
      </x:c>
      <x:c r="O268" s="25" t="str"/>
      <x:c r="P268" s="25" t="str"/>
      <x:c r="Q268" s="25" t="str"/>
      <x:c r="R268" s="35" t="n">
        <x:v>0</x:v>
      </x:c>
      <x:c r="S268" s="34" t="n">
        <x:v>0.03233766935830897</x:v>
      </x:c>
      <x:c r="T268" s="33" t="n">
        <x:v>0.03257842786405568</x:v>
      </x:c>
      <x:c r="U268" s="33" t="n">
        <x:v>0</x:v>
      </x:c>
    </x:row>
    <x:row r="269" ht="18" customHeight="1">
      <x:c r="A269" s="25" t="str">
        <x:v>EEZ_957</x:v>
      </x:c>
      <x:c r="B269" s="25" t="str">
        <x:v>EEZ_957</x:v>
      </x:c>
      <x:c r="C269" s="25" t="str">
        <x:v>Thailand (Gulf of Thailand)</x:v>
      </x:c>
      <x:c r="D269" s="25" t="n">
        <x:v>957</x:v>
      </x:c>
      <x:c r="E269" s="32" t="n">
        <x:v>178890.67254913584</x:v>
      </x:c>
      <x:c r="F269" s="32" t="n">
        <x:v>178091.27294480996</x:v>
      </x:c>
      <x:c r="G269" s="34" t="n">
        <x:f>F269/E269</x:f>
        <x:v>0.9955313511155462</x:v>
      </x:c>
      <x:c r="H269" s="32" t="n">
        <x:v>0</x:v>
      </x:c>
      <x:c r="I269" s="34" t="n">
        <x:f>H269/E269</x:f>
        <x:v>0</x:v>
      </x:c>
      <x:c r="J269" s="32" t="n">
        <x:v>799.3985896505288</x:v>
      </x:c>
      <x:c r="K269" s="36" t="b">
        <x:v>1</x:v>
      </x:c>
      <x:c r="L269" s="25" t="b">
        <x:f>G269&lt;'Selection Rules'!$B$4</x:f>
        <x:v>0</x:v>
      </x:c>
      <x:c r="M269" s="25" t="b">
        <x:f>SUMIF('EEZ LME Pairs'!$A$2:$A$351,A269,'EEZ LME Pairs'!$L$2:$L$351)&gt;0</x:f>
        <x:v>0</x:v>
      </x:c>
      <x:c r="N269" s="25" t="b">
        <x:f>SUMIF('EEZ LME Pairs'!$A$2:$A$351,A269,'EEZ LME Pairs'!$M$2:$M$351)&gt;0</x:f>
        <x:v>0</x:v>
      </x:c>
      <x:c r="O269" s="25" t="str"/>
      <x:c r="P269" s="25" t="str"/>
      <x:c r="Q269" s="25" t="str"/>
      <x:c r="R269" s="35" t="n">
        <x:v>0</x:v>
      </x:c>
      <x:c r="S269" s="34" t="n">
        <x:v>0.4598167230670017</x:v>
      </x:c>
      <x:c r="T269" s="33" t="n">
        <x:v>0.4618807057675808</x:v>
      </x:c>
      <x:c r="U269" s="33" t="n">
        <x:v>0</x:v>
      </x:c>
    </x:row>
    <x:row r="270" ht="18" customHeight="1">
      <x:c r="A270" s="25" t="str">
        <x:v>EEZ_958</x:v>
      </x:c>
      <x:c r="B270" s="25" t="str">
        <x:v>EEZ_958</x:v>
      </x:c>
      <x:c r="C270" s="25" t="str">
        <x:v>USA (Alaska, Arctic)</x:v>
      </x:c>
      <x:c r="D270" s="25" t="n">
        <x:v>958</x:v>
      </x:c>
      <x:c r="E270" s="32" t="n">
        <x:v>507368.5723446214</x:v>
      </x:c>
      <x:c r="F270" s="32" t="n">
        <x:v>506310.30585701426</x:v>
      </x:c>
      <x:c r="G270" s="34" t="n">
        <x:f>F270/E270</x:f>
        <x:v>0.9979142056775082</x:v>
      </x:c>
      <x:c r="H270" s="32" t="n">
        <x:v>890.0705060908563</x:v>
      </x:c>
      <x:c r="I270" s="34" t="n">
        <x:f>H270/E270</x:f>
        <x:v>0.001754287818769924</x:v>
      </x:c>
      <x:c r="J270" s="32" t="n">
        <x:v>1058.2654427230564</x:v>
      </x:c>
      <x:c r="K270" s="36" t="b">
        <x:v>1</x:v>
      </x:c>
      <x:c r="L270" s="25" t="b">
        <x:f>G270&lt;'Selection Rules'!$B$4</x:f>
        <x:v>0</x:v>
      </x:c>
      <x:c r="M270" s="25" t="b">
        <x:f>SUMIF('EEZ LME Pairs'!$A$2:$A$351,A270,'EEZ LME Pairs'!$L$2:$L$351)&gt;0</x:f>
        <x:v>0</x:v>
      </x:c>
      <x:c r="N270" s="25" t="b">
        <x:f>SUMIF('EEZ LME Pairs'!$A$2:$A$351,A270,'EEZ LME Pairs'!$M$2:$M$351)&gt;0</x:f>
        <x:v>0</x:v>
      </x:c>
      <x:c r="O270" s="25" t="str"/>
      <x:c r="P270" s="25" t="str"/>
      <x:c r="Q270" s="25" t="str"/>
      <x:c r="R270" s="35" t="n">
        <x:v>0</x:v>
      </x:c>
      <x:c r="S270" s="34" t="n">
        <x:v>0.22014545555706597</x:v>
      </x:c>
      <x:c r="T270" s="33" t="n">
        <x:v>0.4638732069630044</x:v>
      </x:c>
      <x:c r="U270" s="33" t="n">
        <x:v>0</x:v>
      </x:c>
    </x:row>
    <x:row r="271" ht="18" customHeight="1">
      <x:c r="A271" s="25" t="str">
        <x:v>EEZ_959</x:v>
      </x:c>
      <x:c r="B271" s="25" t="str">
        <x:v>EEZ_959</x:v>
      </x:c>
      <x:c r="C271" s="25" t="str">
        <x:v>USA (Alaska, Subarctic)</x:v>
      </x:c>
      <x:c r="D271" s="25" t="n">
        <x:v>959</x:v>
      </x:c>
      <x:c r="E271" s="32" t="n">
        <x:v>3196948.718097772</x:v>
      </x:c>
      <x:c r="F271" s="32" t="n">
        <x:v>2294880.276059066</x:v>
      </x:c>
      <x:c r="G271" s="34" t="n">
        <x:f>F271/E271</x:f>
        <x:v>0.717834559893895</x:v>
      </x:c>
      <x:c r="H271" s="32" t="n">
        <x:v>1079.1764014668247</x:v>
      </x:c>
      <x:c r="I271" s="34" t="n">
        <x:f>H271/E271</x:f>
        <x:v>0.00033756450185067386</x:v>
      </x:c>
      <x:c r="J271" s="32" t="n">
        <x:v>901136.2347011752</x:v>
      </x:c>
      <x:c r="K271" s="36" t="b">
        <x:v>1</x:v>
      </x:c>
      <x:c r="L271" s="25" t="b">
        <x:f>G271&lt;'Selection Rules'!$B$4</x:f>
        <x:v>0</x:v>
      </x:c>
      <x:c r="M271" s="25" t="b">
        <x:f>SUMIF('EEZ LME Pairs'!$A$2:$A$351,A271,'EEZ LME Pairs'!$L$2:$L$351)&gt;0</x:f>
        <x:v>1</x:v>
      </x:c>
      <x:c r="N271" s="25" t="b">
        <x:f>SUMIF('EEZ LME Pairs'!$A$2:$A$351,A271,'EEZ LME Pairs'!$M$2:$M$351)&gt;0</x:f>
        <x:v>0</x:v>
      </x:c>
      <x:c r="O271" s="25" t="str">
        <x:v>LME_065</x:v>
      </x:c>
      <x:c r="P271" s="25" t="str"/>
      <x:c r="Q271" s="25" t="str">
        <x:v>LME_065</x:v>
      </x:c>
      <x:c r="R271" s="35" t="n">
        <x:v>1</x:v>
      </x:c>
      <x:c r="S271" s="34" t="n">
        <x:v>0.9940074972935719</x:v>
      </x:c>
      <x:c r="T271" s="33" t="n">
        <x:v>14.637342195955778</x:v>
      </x:c>
      <x:c r="U271" s="33" t="n">
        <x:v>14.637342195955778</x:v>
      </x:c>
    </x:row>
    <x:row r="272" ht="18" customHeight="1">
      <x:c r="A272" s="25" t="str">
        <x:v>EEZ_962</x:v>
      </x:c>
      <x:c r="B272" s="25" t="str">
        <x:v>EEZ_962</x:v>
      </x:c>
      <x:c r="C272" s="25" t="str">
        <x:v>Spain (mainland, Med and Gulf of Cadiz)</x:v>
      </x:c>
      <x:c r="D272" s="25" t="n">
        <x:v>962</x:v>
      </x:c>
      <x:c r="E272" s="32" t="n">
        <x:v>145807.37826406103</x:v>
      </x:c>
      <x:c r="F272" s="32" t="n">
        <x:v>145293.96747937863</x:v>
      </x:c>
      <x:c r="G272" s="34" t="n">
        <x:f>F272/E272</x:f>
        <x:v>0.9964788422177607</x:v>
      </x:c>
      <x:c r="H272" s="32" t="n">
        <x:v>0</x:v>
      </x:c>
      <x:c r="I272" s="34" t="n">
        <x:f>H272/E272</x:f>
        <x:v>0</x:v>
      </x:c>
      <x:c r="J272" s="32" t="n">
        <x:v>513.4148734027941</x:v>
      </x:c>
      <x:c r="K272" s="36" t="b">
        <x:v>1</x:v>
      </x:c>
      <x:c r="L272" s="25" t="b">
        <x:f>G272&lt;'Selection Rules'!$B$4</x:f>
        <x:v>0</x:v>
      </x:c>
      <x:c r="M272" s="25" t="b">
        <x:f>SUMIF('EEZ LME Pairs'!$A$2:$A$351,A272,'EEZ LME Pairs'!$L$2:$L$351)&gt;0</x:f>
        <x:v>0</x:v>
      </x:c>
      <x:c r="N272" s="25" t="b">
        <x:f>SUMIF('EEZ LME Pairs'!$A$2:$A$351,A272,'EEZ LME Pairs'!$M$2:$M$351)&gt;0</x:f>
        <x:v>0</x:v>
      </x:c>
      <x:c r="O272" s="25" t="str"/>
      <x:c r="P272" s="25" t="str"/>
      <x:c r="Q272" s="25" t="str"/>
      <x:c r="R272" s="35" t="n">
        <x:v>0</x:v>
      </x:c>
      <x:c r="S272" s="34" t="n">
        <x:v>0.051764774278853565</x:v>
      </x:c>
      <x:c r="T272" s="33" t="n">
        <x:v>0.47971885709564593</x:v>
      </x:c>
      <x:c r="U272" s="33" t="n">
        <x:v>0</x:v>
      </x:c>
    </x:row>
    <x:row r="273" ht="18" customHeight="1">
      <x:c r="A273" s="25" t="str">
        <x:v>EEZ_963</x:v>
      </x:c>
      <x:c r="B273" s="25" t="str">
        <x:v>EEZ_963</x:v>
      </x:c>
      <x:c r="C273" s="25" t="str">
        <x:v>Spain (Northwest)</x:v>
      </x:c>
      <x:c r="D273" s="25" t="n">
        <x:v>963</x:v>
      </x:c>
      <x:c r="E273" s="32" t="n">
        <x:v>288215.5247353311</x:v>
      </x:c>
      <x:c r="F273" s="32" t="n">
        <x:v>132314.21971017384</x:v>
      </x:c>
      <x:c r="G273" s="34" t="n">
        <x:f>F273/E273</x:f>
        <x:v>0.45908082096437464</x:v>
      </x:c>
      <x:c r="H273" s="32" t="n">
        <x:v>77.46173976456976</x:v>
      </x:c>
      <x:c r="I273" s="34" t="n">
        <x:f>H273/E273</x:f>
        <x:v>0.00026876324526828673</x:v>
      </x:c>
      <x:c r="J273" s="32" t="n">
        <x:v>155823.84204556822</x:v>
      </x:c>
      <x:c r="K273" s="36" t="b">
        <x:v>1</x:v>
      </x:c>
      <x:c r="L273" s="25" t="b">
        <x:f>G273&lt;'Selection Rules'!$B$4</x:f>
        <x:v>0</x:v>
      </x:c>
      <x:c r="M273" s="25" t="b">
        <x:f>SUMIF('EEZ LME Pairs'!$A$2:$A$351,A273,'EEZ LME Pairs'!$L$2:$L$351)&gt;0</x:f>
        <x:v>0</x:v>
      </x:c>
      <x:c r="N273" s="25" t="b">
        <x:f>SUMIF('EEZ LME Pairs'!$A$2:$A$351,A273,'EEZ LME Pairs'!$M$2:$M$351)&gt;0</x:f>
        <x:v>0</x:v>
      </x:c>
      <x:c r="O273" s="25" t="str"/>
      <x:c r="P273" s="25" t="str"/>
      <x:c r="Q273" s="25" t="str"/>
      <x:c r="R273" s="35" t="n">
        <x:v>0</x:v>
      </x:c>
      <x:c r="S273" s="34" t="n">
        <x:v>0.4303192739344187</x:v>
      </x:c>
      <x:c r="T273" s="33" t="n">
        <x:v>0.9482539482525912</x:v>
      </x:c>
      <x:c r="U273" s="33" t="n">
        <x:v>0</x:v>
      </x:c>
    </x:row>
    <x:row r="274" ht="18" customHeight="1">
      <x:c r="A274" s="25" t="str">
        <x:v>EEZ_966</x:v>
      </x:c>
      <x:c r="B274" s="25" t="str">
        <x:v>EEZ_966</x:v>
      </x:c>
      <x:c r="C274" s="25" t="str">
        <x:v>Turkey (Marmara Sea)</x:v>
      </x:c>
      <x:c r="D274" s="25" t="n">
        <x:v>966</x:v>
      </x:c>
      <x:c r="E274" s="32" t="n">
        <x:v>11625.021298974418</x:v>
      </x:c>
      <x:c r="F274" s="32" t="n">
        <x:v>11427.182726562893</x:v>
      </x:c>
      <x:c r="G274" s="34" t="n">
        <x:f>F274/E274</x:f>
        <x:v>0.9829816593601443</x:v>
      </x:c>
      <x:c r="H274" s="32" t="n">
        <x:v>0</x:v>
      </x:c>
      <x:c r="I274" s="34" t="n">
        <x:f>H274/E274</x:f>
        <x:v>0</x:v>
      </x:c>
      <x:c r="J274" s="32" t="n">
        <x:v>197.83852731608192</x:v>
      </x:c>
      <x:c r="K274" s="36" t="b">
        <x:v>0</x:v>
      </x:c>
      <x:c r="L274" s="25" t="b">
        <x:f>G274&lt;'Selection Rules'!$B$4</x:f>
        <x:v>0</x:v>
      </x:c>
      <x:c r="M274" s="25" t="b">
        <x:f>SUMIF('EEZ LME Pairs'!$A$2:$A$351,A274,'EEZ LME Pairs'!$L$2:$L$351)&gt;0</x:f>
        <x:v>0</x:v>
      </x:c>
      <x:c r="N274" s="25" t="b">
        <x:f>SUMIF('EEZ LME Pairs'!$A$2:$A$351,A274,'EEZ LME Pairs'!$M$2:$M$351)&gt;0</x:f>
        <x:v>0</x:v>
      </x:c>
      <x:c r="O274" s="25" t="str"/>
      <x:c r="P274" s="25" t="str"/>
      <x:c r="Q274" s="25" t="str"/>
      <x:c r="R274" s="35" t="n">
        <x:v>0</x:v>
      </x:c>
      <x:c r="S274" s="34" t="n">
        <x:v>0.004507016356379816</x:v>
      </x:c>
      <x:c r="T274" s="33" t="n">
        <x:v>0.025151209211589174</x:v>
      </x:c>
      <x:c r="U274" s="33" t="n">
        <x:v>0</x:v>
      </x:c>
    </x:row>
    <x:row r="275" ht="18" customHeight="1">
      <x:c r="A275" s="25" t="str">
        <x:v>EEZ_967</x:v>
      </x:c>
      <x:c r="B275" s="25" t="str">
        <x:v>EEZ_967</x:v>
      </x:c>
      <x:c r="C275" s="25" t="str">
        <x:v>Aruba (Netherlands)</x:v>
      </x:c>
      <x:c r="D275" s="25" t="n">
        <x:v>967</x:v>
      </x:c>
      <x:c r="E275" s="32" t="n">
        <x:v>31180.342544028197</x:v>
      </x:c>
      <x:c r="F275" s="32" t="n">
        <x:v>31143.78493351651</x:v>
      </x:c>
      <x:c r="G275" s="34" t="n">
        <x:f>F275/E275</x:f>
        <x:v>0.9988275430117528</x:v>
      </x:c>
      <x:c r="H275" s="32" t="n">
        <x:v>0</x:v>
      </x:c>
      <x:c r="I275" s="34" t="n">
        <x:f>H275/E275</x:f>
        <x:v>0</x:v>
      </x:c>
      <x:c r="J275" s="32" t="n">
        <x:v>36.55778771958724</x:v>
      </x:c>
      <x:c r="K275" s="36" t="b">
        <x:v>0</x:v>
      </x:c>
      <x:c r="L275" s="25" t="b">
        <x:f>G275&lt;'Selection Rules'!$B$4</x:f>
        <x:v>0</x:v>
      </x:c>
      <x:c r="M275" s="25" t="b">
        <x:f>SUMIF('EEZ LME Pairs'!$A$2:$A$351,A275,'EEZ LME Pairs'!$L$2:$L$351)&gt;0</x:f>
        <x:v>0</x:v>
      </x:c>
      <x:c r="N275" s="25" t="b">
        <x:f>SUMIF('EEZ LME Pairs'!$A$2:$A$351,A275,'EEZ LME Pairs'!$M$2:$M$351)&gt;0</x:f>
        <x:v>0</x:v>
      </x:c>
      <x:c r="O275" s="25" t="str"/>
      <x:c r="P275" s="25" t="str"/>
      <x:c r="Q275" s="25" t="str"/>
      <x:c r="R275" s="35" t="n">
        <x:v>0</x:v>
      </x:c>
      <x:c r="S275" s="34" t="n">
        <x:v>0.009545762870144619</x:v>
      </x:c>
      <x:c r="T275" s="33" t="n">
        <x:v>0.009556968004067443</x:v>
      </x:c>
      <x:c r="U275" s="33" t="n">
        <x:v>0</x:v>
      </x:c>
    </x:row>
    <x:row r="276" ht="18" customHeight="1">
      <x:c r="A276" s="25" t="str">
        <x:v>EEZ_968</x:v>
      </x:c>
      <x:c r="B276" s="25" t="str">
        <x:v>EEZ_968</x:v>
      </x:c>
      <x:c r="C276" s="25" t="str">
        <x:v>United Arab Emirates (Fujairah)</x:v>
      </x:c>
      <x:c r="D276" s="25" t="n">
        <x:v>968</x:v>
      </x:c>
      <x:c r="E276" s="32" t="n">
        <x:v>4318.796932743214</x:v>
      </x:c>
      <x:c r="F276" s="32" t="n">
        <x:v>4268.244206276785</x:v>
      </x:c>
      <x:c r="G276" s="34" t="n">
        <x:f>F276/E276</x:f>
        <x:v>0.9882947202071113</x:v>
      </x:c>
      <x:c r="H276" s="32" t="n">
        <x:v>0</x:v>
      </x:c>
      <x:c r="I276" s="34" t="n">
        <x:f>H276/E276</x:f>
        <x:v>0</x:v>
      </x:c>
      <x:c r="J276" s="32" t="n">
        <x:v>50.5528106674016</x:v>
      </x:c>
      <x:c r="K276" s="36" t="b">
        <x:v>0</x:v>
      </x:c>
      <x:c r="L276" s="25" t="b">
        <x:f>G276&lt;'Selection Rules'!$B$4</x:f>
        <x:v>0</x:v>
      </x:c>
      <x:c r="M276" s="25" t="b">
        <x:f>SUMIF('EEZ LME Pairs'!$A$2:$A$351,A276,'EEZ LME Pairs'!$L$2:$L$351)&gt;0</x:f>
        <x:v>0</x:v>
      </x:c>
      <x:c r="N276" s="25" t="b">
        <x:f>SUMIF('EEZ LME Pairs'!$A$2:$A$351,A276,'EEZ LME Pairs'!$M$2:$M$351)&gt;0</x:f>
        <x:v>0</x:v>
      </x:c>
      <x:c r="O276" s="25" t="str"/>
      <x:c r="P276" s="25" t="str"/>
      <x:c r="Q276" s="25" t="str"/>
      <x:c r="R276" s="35" t="n">
        <x:v>0</x:v>
      </x:c>
      <x:c r="S276" s="34" t="n">
        <x:v>0.001085541830026429</x:v>
      </x:c>
      <x:c r="T276" s="33" t="n">
        <x:v>0.0010983988964333822</x:v>
      </x:c>
      <x:c r="U276" s="33" t="n">
        <x:v>0</x:v>
      </x:c>
    </x:row>
    <x:row r="277" ht="18" customHeight="1">
      <x:c r="A277" s="25" t="str">
        <x:v>EEZ_969</x:v>
      </x:c>
      <x:c r="B277" s="25" t="str">
        <x:v>EEZ_969</x:v>
      </x:c>
      <x:c r="C277" s="25" t="str">
        <x:v>Fernando de Noronha (Brazil)</x:v>
      </x:c>
      <x:c r="D277" s="25" t="n">
        <x:v>969</x:v>
      </x:c>
      <x:c r="E277" s="32" t="n">
        <x:v>363228.6093656739</x:v>
      </x:c>
      <x:c r="F277" s="32" t="n">
        <x:v>124424.12899224037</x:v>
      </x:c>
      <x:c r="G277" s="34" t="n">
        <x:f>F277/E277</x:f>
        <x:v>0.34255046486984897</x:v>
      </x:c>
      <x:c r="H277" s="32" t="n">
        <x:v>19.632973659850702</x:v>
      </x:c>
      <x:c r="I277" s="34" t="n">
        <x:f>H277/E277</x:f>
        <x:v>0.00005405128658267542</x:v>
      </x:c>
      <x:c r="J277" s="32" t="n">
        <x:v>238784.84748278814</x:v>
      </x:c>
      <x:c r="K277" s="36" t="b">
        <x:v>0</x:v>
      </x:c>
      <x:c r="L277" s="25" t="b">
        <x:f>G277&lt;'Selection Rules'!$B$4</x:f>
        <x:v>0</x:v>
      </x:c>
      <x:c r="M277" s="25" t="b">
        <x:f>SUMIF('EEZ LME Pairs'!$A$2:$A$351,A277,'EEZ LME Pairs'!$L$2:$L$351)&gt;0</x:f>
        <x:v>0</x:v>
      </x:c>
      <x:c r="N277" s="25" t="b">
        <x:f>SUMIF('EEZ LME Pairs'!$A$2:$A$351,A277,'EEZ LME Pairs'!$M$2:$M$351)&gt;0</x:f>
        <x:v>0</x:v>
      </x:c>
      <x:c r="O277" s="25" t="str"/>
      <x:c r="P277" s="25" t="str"/>
      <x:c r="Q277" s="25" t="str"/>
      <x:c r="R277" s="35" t="n">
        <x:v>0</x:v>
      </x:c>
      <x:c r="S277" s="34" t="n">
        <x:v>0.11571992157780836</x:v>
      </x:c>
      <x:c r="T277" s="33" t="n">
        <x:v>0.3378186090676473</x:v>
      </x:c>
      <x:c r="U277" s="33" t="n">
        <x:v>0</x:v>
      </x:c>
    </x:row>
    <x:row r="278" ht="18" customHeight="1">
      <x:c r="A278" s="25" t="str">
        <x:v>EEZ_970</x:v>
      </x:c>
      <x:c r="B278" s="25" t="str">
        <x:v>EEZ_970</x:v>
      </x:c>
      <x:c r="C278" s="25" t="str">
        <x:v>St Paul and St. Peter Archipelago (Brazil)</x:v>
      </x:c>
      <x:c r="D278" s="25" t="n">
        <x:v>970</x:v>
      </x:c>
      <x:c r="E278" s="32" t="n">
        <x:v>411909.0341379875</x:v>
      </x:c>
      <x:c r="F278" s="32" t="n">
        <x:v>0</x:v>
      </x:c>
      <x:c r="G278" s="34" t="n">
        <x:f>F278/E278</x:f>
        <x:v>0</x:v>
      </x:c>
      <x:c r="H278" s="32" t="n">
        <x:v>276.6714603235634</x:v>
      </x:c>
      <x:c r="I278" s="34" t="n">
        <x:f>H278/E278</x:f>
        <x:v>0.0006716809717528066</x:v>
      </x:c>
      <x:c r="J278" s="32" t="n">
        <x:v>411632.3633061054</x:v>
      </x:c>
      <x:c r="K278" s="36" t="b">
        <x:v>0</x:v>
      </x:c>
      <x:c r="L278" s="25" t="b">
        <x:f>G278&lt;'Selection Rules'!$B$4</x:f>
        <x:v>1</x:v>
      </x:c>
      <x:c r="M278" s="25" t="b">
        <x:f>SUMIF('EEZ LME Pairs'!$A$2:$A$351,A278,'EEZ LME Pairs'!$L$2:$L$351)&gt;0</x:f>
        <x:v>0</x:v>
      </x:c>
      <x:c r="N278" s="25" t="b">
        <x:f>SUMIF('EEZ LME Pairs'!$A$2:$A$351,A278,'EEZ LME Pairs'!$M$2:$M$351)&gt;0</x:f>
        <x:v>0</x:v>
      </x:c>
      <x:c r="O278" s="25" t="str"/>
      <x:c r="P278" s="25" t="str"/>
      <x:c r="Q278" s="25" t="str"/>
      <x:c r="R278" s="35" t="n">
        <x:v>0</x:v>
      </x:c>
      <x:c r="S278" s="34" t="n">
        <x:v>0</x:v>
      </x:c>
      <x:c r="T278" s="33" t="n">
        <x:v>0</x:v>
      </x:c>
      <x:c r="U278" s="33" t="n">
        <x:v>0</x:v>
      </x:c>
    </x:row>
    <x:row r="279" ht="18" customHeight="1">
      <x:c r="A279" s="25" t="str">
        <x:v>EEZ_971</x:v>
      </x:c>
      <x:c r="B279" s="25" t="str">
        <x:v>EEZ_971</x:v>
      </x:c>
      <x:c r="C279" s="25" t="str">
        <x:v>Japan (Ogasawara Islands)</x:v>
      </x:c>
      <x:c r="D279" s="25" t="n">
        <x:v>971</x:v>
      </x:c>
      <x:c r="E279" s="32" t="n">
        <x:v>1083143.735178347</x:v>
      </x:c>
      <x:c r="F279" s="32" t="n">
        <x:v>0</x:v>
      </x:c>
      <x:c r="G279" s="34" t="n">
        <x:f>F279/E279</x:f>
        <x:v>0</x:v>
      </x:c>
      <x:c r="H279" s="32" t="n">
        <x:v>431.2134043171369</x:v>
      </x:c>
      <x:c r="I279" s="34" t="n">
        <x:f>H279/E279</x:f>
        <x:v>0.0003981128176364651</x:v>
      </x:c>
      <x:c r="J279" s="32" t="n">
        <x:v>1082712.5221378016</x:v>
      </x:c>
      <x:c r="K279" s="36" t="b">
        <x:v>0</x:v>
      </x:c>
      <x:c r="L279" s="25" t="b">
        <x:f>G279&lt;'Selection Rules'!$B$4</x:f>
        <x:v>1</x:v>
      </x:c>
      <x:c r="M279" s="25" t="b">
        <x:f>SUMIF('EEZ LME Pairs'!$A$2:$A$351,A279,'EEZ LME Pairs'!$L$2:$L$351)&gt;0</x:f>
        <x:v>0</x:v>
      </x:c>
      <x:c r="N279" s="25" t="b">
        <x:f>SUMIF('EEZ LME Pairs'!$A$2:$A$351,A279,'EEZ LME Pairs'!$M$2:$M$351)&gt;0</x:f>
        <x:v>0</x:v>
      </x:c>
      <x:c r="O279" s="25" t="str"/>
      <x:c r="P279" s="25" t="str"/>
      <x:c r="Q279" s="25" t="str"/>
      <x:c r="R279" s="35" t="n">
        <x:v>0</x:v>
      </x:c>
      <x:c r="S279" s="34" t="n">
        <x:v>0</x:v>
      </x:c>
      <x:c r="T279" s="33" t="n">
        <x:v>0</x:v>
      </x:c>
      <x:c r="U279" s="33" t="n">
        <x:v>0</x:v>
      </x:c>
    </x:row>
    <x:row r="280" ht="18" customHeight="1">
      <x:c r="A280" s="25" t="str">
        <x:v>EEZ_972</x:v>
      </x:c>
      <x:c r="B280" s="25" t="str">
        <x:v>EEZ_972</x:v>
      </x:c>
      <x:c r="C280" s="25" t="str">
        <x:v>Glorieuse Islands (France)</x:v>
      </x:c>
      <x:c r="D280" s="25" t="n">
        <x:v>972</x:v>
      </x:c>
      <x:c r="E280" s="32" t="n">
        <x:v>43150.88824823767</x:v>
      </x:c>
      <x:c r="F280" s="32" t="n">
        <x:v>41300.52950444082</x:v>
      </x:c>
      <x:c r="G280" s="34" t="n">
        <x:f>F280/E280</x:f>
        <x:v>0.9571188724284854</x:v>
      </x:c>
      <x:c r="H280" s="32" t="n">
        <x:v>0</x:v>
      </x:c>
      <x:c r="I280" s="34" t="n">
        <x:f>H280/E280</x:f>
        <x:v>0</x:v>
      </x:c>
      <x:c r="J280" s="32" t="n">
        <x:v>1850.3587440355693</x:v>
      </x:c>
      <x:c r="K280" s="36" t="b">
        <x:v>0</x:v>
      </x:c>
      <x:c r="L280" s="25" t="b">
        <x:f>G280&lt;'Selection Rules'!$B$4</x:f>
        <x:v>0</x:v>
      </x:c>
      <x:c r="M280" s="25" t="b">
        <x:f>SUMIF('EEZ LME Pairs'!$A$2:$A$351,A280,'EEZ LME Pairs'!$L$2:$L$351)&gt;0</x:f>
        <x:v>0</x:v>
      </x:c>
      <x:c r="N280" s="25" t="b">
        <x:f>SUMIF('EEZ LME Pairs'!$A$2:$A$351,A280,'EEZ LME Pairs'!$M$2:$M$351)&gt;0</x:f>
        <x:v>0</x:v>
      </x:c>
      <x:c r="O280" s="25" t="str"/>
      <x:c r="P280" s="25" t="str"/>
      <x:c r="Q280" s="25" t="str"/>
      <x:c r="R280" s="35" t="n">
        <x:v>0</x:v>
      </x:c>
      <x:c r="S280" s="34" t="n">
        <x:v>0.01572247619114903</x:v>
      </x:c>
      <x:c r="T280" s="33" t="n">
        <x:v>0.016426879297925235</x:v>
      </x:c>
      <x:c r="U280" s="33" t="n">
        <x:v>0</x:v>
      </x:c>
    </x:row>
    <x:row r="281" ht="18" customHeight="1">
      <x:c r="A281" s="25" t="str">
        <x:v>EEZ_973</x:v>
      </x:c>
      <x:c r="B281" s="25" t="str">
        <x:v>EEZ_973</x:v>
      </x:c>
      <x:c r="C281" s="25" t="str">
        <x:v>Korea (North, Yellow Sea)</x:v>
      </x:c>
      <x:c r="D281" s="25" t="n">
        <x:v>973</x:v>
      </x:c>
      <x:c r="E281" s="32" t="n">
        <x:v>24786.694525909683</x:v>
      </x:c>
      <x:c r="F281" s="32" t="n">
        <x:v>24535.220644160712</x:v>
      </x:c>
      <x:c r="G281" s="34" t="n">
        <x:f>F281/E281</x:f>
        <x:v>0.9898544809399211</x:v>
      </x:c>
      <x:c r="H281" s="32" t="n">
        <x:v>0</x:v>
      </x:c>
      <x:c r="I281" s="34" t="n">
        <x:f>H281/E281</x:f>
        <x:v>0</x:v>
      </x:c>
      <x:c r="J281" s="32" t="n">
        <x:v>251.47538906569386</x:v>
      </x:c>
      <x:c r="K281" s="36" t="b">
        <x:v>1</x:v>
      </x:c>
      <x:c r="L281" s="25" t="b">
        <x:f>G281&lt;'Selection Rules'!$B$4</x:f>
        <x:v>0</x:v>
      </x:c>
      <x:c r="M281" s="25" t="b">
        <x:f>SUMIF('EEZ LME Pairs'!$A$2:$A$351,A281,'EEZ LME Pairs'!$L$2:$L$351)&gt;0</x:f>
        <x:v>0</x:v>
      </x:c>
      <x:c r="N281" s="25" t="b">
        <x:f>SUMIF('EEZ LME Pairs'!$A$2:$A$351,A281,'EEZ LME Pairs'!$M$2:$M$351)&gt;0</x:f>
        <x:v>0</x:v>
      </x:c>
      <x:c r="O281" s="25" t="str"/>
      <x:c r="P281" s="25" t="str"/>
      <x:c r="Q281" s="25" t="str"/>
      <x:c r="R281" s="35" t="n">
        <x:v>0</x:v>
      </x:c>
      <x:c r="S281" s="34" t="n">
        <x:v>0.0557027103822054</x:v>
      </x:c>
      <x:c r="T281" s="33" t="n">
        <x:v>0.05627363562501896</x:v>
      </x:c>
      <x:c r="U281" s="33" t="n">
        <x:v>0</x:v>
      </x:c>
    </x:row>
    <x:row r="282" ht="18" customHeight="1">
      <x:c r="A282" s="25" t="str">
        <x:v>EEZ_974</x:v>
      </x:c>
      <x:c r="B282" s="25" t="str">
        <x:v>EEZ_974</x:v>
      </x:c>
      <x:c r="C282" s="25" t="str">
        <x:v>Korea (North, Sea of Japan)</x:v>
      </x:c>
      <x:c r="D282" s="25" t="n">
        <x:v>974</x:v>
      </x:c>
      <x:c r="E282" s="32" t="n">
        <x:v>89031.41368178965</x:v>
      </x:c>
      <x:c r="F282" s="32" t="n">
        <x:v>88513.44845135177</x:v>
      </x:c>
      <x:c r="G282" s="34" t="n">
        <x:f>F282/E282</x:f>
        <x:v>0.9941822194097787</x:v>
      </x:c>
      <x:c r="H282" s="32" t="n">
        <x:v>0</x:v>
      </x:c>
      <x:c r="I282" s="34" t="n">
        <x:f>H282/E282</x:f>
        <x:v>0</x:v>
      </x:c>
      <x:c r="J282" s="32" t="n">
        <x:v>517.9679138877706</x:v>
      </x:c>
      <x:c r="K282" s="36" t="b">
        <x:v>1</x:v>
      </x:c>
      <x:c r="L282" s="25" t="b">
        <x:f>G282&lt;'Selection Rules'!$B$4</x:f>
        <x:v>0</x:v>
      </x:c>
      <x:c r="M282" s="25" t="b">
        <x:f>SUMIF('EEZ LME Pairs'!$A$2:$A$351,A282,'EEZ LME Pairs'!$L$2:$L$351)&gt;0</x:f>
        <x:v>0</x:v>
      </x:c>
      <x:c r="N282" s="25" t="b">
        <x:f>SUMIF('EEZ LME Pairs'!$A$2:$A$351,A282,'EEZ LME Pairs'!$M$2:$M$351)&gt;0</x:f>
        <x:v>0</x:v>
      </x:c>
      <x:c r="O282" s="25" t="str"/>
      <x:c r="P282" s="25" t="str"/>
      <x:c r="Q282" s="25" t="str"/>
      <x:c r="R282" s="35" t="n">
        <x:v>0</x:v>
      </x:c>
      <x:c r="S282" s="34" t="n">
        <x:v>0.08956128521653291</x:v>
      </x:c>
      <x:c r="T282" s="33" t="n">
        <x:v>0.09008538220458542</x:v>
      </x:c>
      <x:c r="U282" s="33" t="n">
        <x:v>0</x:v>
      </x:c>
    </x:row>
    <x:row r="283" ht="18" customHeight="1">
      <x:c r="A283" s="25" t="str">
        <x:v>EEZ_977</x:v>
      </x:c>
      <x:c r="B283" s="25" t="str">
        <x:v>EEZ_977</x:v>
      </x:c>
      <x:c r="C283" s="25" t="str">
        <x:v>Yemen (Socotra)</x:v>
      </x:c>
      <x:c r="D283" s="25" t="n">
        <x:v>977</x:v>
      </x:c>
      <x:c r="E283" s="32" t="n">
        <x:v>312558.8466419083</x:v>
      </x:c>
      <x:c r="F283" s="32" t="n">
        <x:v>232311.09604314898</x:v>
      </x:c>
      <x:c r="G283" s="34" t="n">
        <x:f>F283/E283</x:f>
        <x:v>0.7432555454407043</x:v>
      </x:c>
      <x:c r="H283" s="32" t="n">
        <x:v>53.08370310456816</x:v>
      </x:c>
      <x:c r="I283" s="34" t="n">
        <x:f>H283/E283</x:f>
        <x:v>0.00016983586826894385</x:v>
      </x:c>
      <x:c r="J283" s="32" t="n">
        <x:v>80195.17368625519</x:v>
      </x:c>
      <x:c r="K283" s="36" t="b">
        <x:v>0</x:v>
      </x:c>
      <x:c r="L283" s="25" t="b">
        <x:f>G283&lt;'Selection Rules'!$B$4</x:f>
        <x:v>0</x:v>
      </x:c>
      <x:c r="M283" s="25" t="b">
        <x:f>SUMIF('EEZ LME Pairs'!$A$2:$A$351,A283,'EEZ LME Pairs'!$L$2:$L$351)&gt;0</x:f>
        <x:v>0</x:v>
      </x:c>
      <x:c r="N283" s="25" t="b">
        <x:f>SUMIF('EEZ LME Pairs'!$A$2:$A$351,A283,'EEZ LME Pairs'!$M$2:$M$351)&gt;0</x:f>
        <x:v>0</x:v>
      </x:c>
      <x:c r="O283" s="25" t="str"/>
      <x:c r="P283" s="25" t="str"/>
      <x:c r="Q283" s="25" t="str"/>
      <x:c r="R283" s="35" t="n">
        <x:v>0</x:v>
      </x:c>
      <x:c r="S283" s="34" t="n">
        <x:v>0.05908364192547141</x:v>
      </x:c>
      <x:c r="T283" s="33" t="n">
        <x:v>0.07949303881808038</x:v>
      </x:c>
      <x:c r="U283" s="3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edb80867dd454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32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48" customHeight="1">
      <x:c r="A1" s="30" t="str">
        <x:v>eez_unit_id</x:v>
      </x:c>
      <x:c r="B1" s="30" t="str">
        <x:v>eez_name</x:v>
      </x:c>
      <x:c r="C1" s="30" t="str">
        <x:v>lme_unit_id</x:v>
      </x:c>
      <x:c r="D1" s="30" t="str">
        <x:v>lme_name</x:v>
      </x:c>
      <x:c r="E1" s="30" t="str">
        <x:v>eez_area_km2</x:v>
      </x:c>
      <x:c r="F1" s="30" t="str">
        <x:v>lme_area_km2</x:v>
      </x:c>
      <x:c r="G1" s="30" t="str">
        <x:v>intersection_km2</x:v>
      </x:c>
      <x:c r="H1" s="30" t="str">
        <x:v>intersection_fraction_of_eez</x:v>
      </x:c>
      <x:c r="I1" s="30" t="str">
        <x:v>intersection_fraction_of_lme</x:v>
      </x:c>
      <x:c r="J1" s="30" t="str">
        <x:v>eez_to_lme_area_ratio</x:v>
      </x:c>
      <x:c r="K1" s="30" t="str">
        <x:v>lme_mostly_contained</x:v>
      </x:c>
      <x:c r="L1" s="30" t="str">
        <x:v>flag_prefer_eez_candidate</x:v>
      </x:c>
      <x:c r="M1" s="30" t="str">
        <x:v>flag_review_110_120</x:v>
      </x:c>
    </x:row>
    <x:row r="2" ht="18" customHeight="1">
      <x:c r="A2" s="25" t="str">
        <x:v>EEZ_008</x:v>
      </x:c>
      <x:c r="B2" s="25" t="str">
        <x:v>Albania</x:v>
      </x:c>
      <x:c r="C2" s="25" t="str">
        <x:v>LME_026</x:v>
      </x:c>
      <x:c r="D2" s="25" t="str">
        <x:v>Mediterranean Sea</x:v>
      </x:c>
      <x:c r="E2" s="32" t="n">
        <x:v>12219.555135005918</x:v>
      </x:c>
      <x:c r="F2" s="32" t="n">
        <x:v>2527801.206996367</x:v>
      </x:c>
      <x:c r="G2" s="32" t="n">
        <x:v>12091.177754117587</x:v>
      </x:c>
      <x:c r="H2" s="34" t="n">
        <x:f>G2/E2</x:f>
        <x:v>0.9894941035520547</x:v>
      </x:c>
      <x:c r="I2" s="34" t="n">
        <x:f>G2/F2</x:f>
        <x:v>0.004783278732778517</x:v>
      </x:c>
      <x:c r="J2" s="33" t="n">
        <x:f>E2/F2</x:f>
        <x:v>0.004834064918232108</x:v>
      </x:c>
      <x:c r="K2" s="25" t="b">
        <x:f>I2&gt;='Selection Rules'!$B$5</x:f>
        <x:v>0</x:v>
      </x:c>
      <x:c r="L2" s="25" t="n">
        <x:f>IF(AND(K2,J2&gt;='Selection Rules'!$B$6),1,0)</x:f>
        <x:v>0</x:v>
      </x:c>
      <x:c r="M2" s="25" t="n">
        <x:f>IF(AND(K2,J2&gt;='Selection Rules'!$B$7,J2&lt;'Selection Rules'!$B$6),1,0)</x:f>
        <x:v>0</x:v>
      </x:c>
    </x:row>
    <x:row r="3" ht="18" customHeight="1">
      <x:c r="A3" s="25" t="str">
        <x:v>EEZ_012</x:v>
      </x:c>
      <x:c r="B3" s="25" t="str">
        <x:v>Algeria</x:v>
      </x:c>
      <x:c r="C3" s="25" t="str">
        <x:v>LME_026</x:v>
      </x:c>
      <x:c r="D3" s="25" t="str">
        <x:v>Mediterranean Sea</x:v>
      </x:c>
      <x:c r="E3" s="32" t="n">
        <x:v>131003.5061804871</x:v>
      </x:c>
      <x:c r="F3" s="32" t="n">
        <x:v>2527801.206996367</x:v>
      </x:c>
      <x:c r="G3" s="32" t="n">
        <x:v>130687.93479332548</x:v>
      </x:c>
      <x:c r="H3" s="34" t="n">
        <x:f>G3/E3</x:f>
        <x:v>0.9975911225862394</x:v>
      </x:c>
      <x:c r="I3" s="34" t="n">
        <x:f>G3/F3</x:f>
        <x:v>0.0517002422625686</x:v>
      </x:c>
      <x:c r="J3" s="33" t="n">
        <x:f>E3/F3</x:f>
        <x:v>0.051825082533349456</x:v>
      </x:c>
      <x:c r="K3" s="25" t="b">
        <x:f>I3&gt;='Selection Rules'!$B$5</x:f>
        <x:v>0</x:v>
      </x:c>
      <x:c r="L3" s="25" t="n">
        <x:f>IF(AND(K3,J3&gt;='Selection Rules'!$B$6),1,0)</x:f>
        <x:v>0</x:v>
      </x:c>
      <x:c r="M3" s="25" t="n">
        <x:f>IF(AND(K3,J3&gt;='Selection Rules'!$B$7,J3&lt;'Selection Rules'!$B$6),1,0)</x:f>
        <x:v>0</x:v>
      </x:c>
    </x:row>
    <x:row r="4" ht="18" customHeight="1">
      <x:c r="A4" s="25" t="str">
        <x:v>EEZ_024</x:v>
      </x:c>
      <x:c r="B4" s="25" t="str">
        <x:v>Angola</x:v>
      </x:c>
      <x:c r="C4" s="25" t="str">
        <x:v>LME_028</x:v>
      </x:c>
      <x:c r="D4" s="25" t="str">
        <x:v>Guinea Current</x:v>
      </x:c>
      <x:c r="E4" s="32" t="n">
        <x:v>493804.0339161999</x:v>
      </x:c>
      <x:c r="F4" s="32" t="n">
        <x:v>1918690.5432233866</x:v>
      </x:c>
      <x:c r="G4" s="32" t="n">
        <x:v>15706.49527605547</x:v>
      </x:c>
      <x:c r="H4" s="34" t="n">
        <x:f>G4/E4</x:f>
        <x:v>0.031807142504471544</x:v>
      </x:c>
      <x:c r="I4" s="34" t="n">
        <x:f>G4/F4</x:f>
        <x:v>0.008186049246726711</x:v>
      </x:c>
      <x:c r="J4" s="33" t="n">
        <x:f>E4/F4</x:f>
        <x:v>0.2573651262629421</x:v>
      </x:c>
      <x:c r="K4" s="25" t="b">
        <x:f>I4&gt;='Selection Rules'!$B$5</x:f>
        <x:v>0</x:v>
      </x:c>
      <x:c r="L4" s="25" t="n">
        <x:f>IF(AND(K4,J4&gt;='Selection Rules'!$B$6),1,0)</x:f>
        <x:v>0</x:v>
      </x:c>
      <x:c r="M4" s="25" t="n">
        <x:f>IF(AND(K4,J4&gt;='Selection Rules'!$B$7,J4&lt;'Selection Rules'!$B$6),1,0)</x:f>
        <x:v>0</x:v>
      </x:c>
    </x:row>
    <x:row r="5" ht="18" customHeight="1">
      <x:c r="A5" s="25" t="str">
        <x:v>EEZ_024</x:v>
      </x:c>
      <x:c r="B5" s="25" t="str">
        <x:v>Angola</x:v>
      </x:c>
      <x:c r="C5" s="25" t="str">
        <x:v>LME_029</x:v>
      </x:c>
      <x:c r="D5" s="25" t="str">
        <x:v>Benguela Current</x:v>
      </x:c>
      <x:c r="E5" s="32" t="n">
        <x:v>493804.0339161999</x:v>
      </x:c>
      <x:c r="F5" s="32" t="n">
        <x:v>1458156.5656590832</x:v>
      </x:c>
      <x:c r="G5" s="32" t="n">
        <x:v>476849.230838916</x:v>
      </x:c>
      <x:c r="H5" s="34" t="n">
        <x:f>G5/E5</x:f>
        <x:v>0.9656649158111956</x:v>
      </x:c>
      <x:c r="I5" s="34" t="n">
        <x:f>G5/F5</x:f>
        <x:v>0.3270219687440637</x:v>
      </x:c>
      <x:c r="J5" s="33" t="n">
        <x:f>E5/F5</x:f>
        <x:v>0.3386495288268319</x:v>
      </x:c>
      <x:c r="K5" s="25" t="b">
        <x:f>I5&gt;='Selection Rules'!$B$5</x:f>
        <x:v>0</x:v>
      </x:c>
      <x:c r="L5" s="25" t="n">
        <x:f>IF(AND(K5,J5&gt;='Selection Rules'!$B$6),1,0)</x:f>
        <x:v>0</x:v>
      </x:c>
      <x:c r="M5" s="25" t="n">
        <x:f>IF(AND(K5,J5&gt;='Selection Rules'!$B$7,J5&lt;'Selection Rules'!$B$6),1,0)</x:f>
        <x:v>0</x:v>
      </x:c>
    </x:row>
    <x:row r="6" ht="18" customHeight="1">
      <x:c r="A6" s="25" t="str">
        <x:v>EEZ_028</x:v>
      </x:c>
      <x:c r="B6" s="25" t="str">
        <x:v>Antigua &amp; Barbuda</x:v>
      </x:c>
      <x:c r="C6" s="25" t="str">
        <x:v>LME_012</x:v>
      </x:c>
      <x:c r="D6" s="25" t="str">
        <x:v>Caribbean Sea</x:v>
      </x:c>
      <x:c r="E6" s="32" t="n">
        <x:v>111055.89188966993</x:v>
      </x:c>
      <x:c r="F6" s="32" t="n">
        <x:v>3262576.84767364</x:v>
      </x:c>
      <x:c r="G6" s="32" t="n">
        <x:v>3710.2403699359897</x:v>
      </x:c>
      <x:c r="H6" s="34" t="n">
        <x:f>G6/E6</x:f>
        <x:v>0.033408766584144683</x:v>
      </x:c>
      <x:c r="I6" s="34" t="n">
        <x:f>G6/F6</x:f>
        <x:v>0.001137211640725506</x:v>
      </x:c>
      <x:c r="J6" s="33" t="n">
        <x:f>E6/F6</x:f>
        <x:v>0.03403931832865719</x:v>
      </x:c>
      <x:c r="K6" s="25" t="b">
        <x:f>I6&gt;='Selection Rules'!$B$5</x:f>
        <x:v>0</x:v>
      </x:c>
      <x:c r="L6" s="25" t="n">
        <x:f>IF(AND(K6,J6&gt;='Selection Rules'!$B$6),1,0)</x:f>
        <x:v>0</x:v>
      </x:c>
      <x:c r="M6" s="25" t="n">
        <x:f>IF(AND(K6,J6&gt;='Selection Rules'!$B$7,J6&lt;'Selection Rules'!$B$6),1,0)</x:f>
        <x:v>0</x:v>
      </x:c>
    </x:row>
    <x:row r="7" ht="18" customHeight="1">
      <x:c r="A7" s="25" t="str">
        <x:v>EEZ_032</x:v>
      </x:c>
      <x:c r="B7" s="25" t="str">
        <x:v>Argentina</x:v>
      </x:c>
      <x:c r="C7" s="25" t="str">
        <x:v>LME_013</x:v>
      </x:c>
      <x:c r="D7" s="25" t="str">
        <x:v>Humboldt Current</x:v>
      </x:c>
      <x:c r="E7" s="32" t="n">
        <x:v>1092159.2771767338</x:v>
      </x:c>
      <x:c r="F7" s="32" t="n">
        <x:v>2559648.0480429977</x:v>
      </x:c>
      <x:c r="G7" s="32" t="n">
        <x:v>3948.12693768829</x:v>
      </x:c>
      <x:c r="H7" s="34" t="n">
        <x:f>G7/E7</x:f>
        <x:v>0.0036149735850748094</x:v>
      </x:c>
      <x:c r="I7" s="34" t="n">
        <x:f>G7/F7</x:f>
        <x:v>0.001542449142844801</x:v>
      </x:c>
      <x:c r="J7" s="33" t="n">
        <x:f>E7/F7</x:f>
        <x:v>0.4266833786042398</x:v>
      </x:c>
      <x:c r="K7" s="25" t="b">
        <x:f>I7&gt;='Selection Rules'!$B$5</x:f>
        <x:v>0</x:v>
      </x:c>
      <x:c r="L7" s="25" t="n">
        <x:f>IF(AND(K7,J7&gt;='Selection Rules'!$B$6),1,0)</x:f>
        <x:v>0</x:v>
      </x:c>
      <x:c r="M7" s="25" t="n">
        <x:f>IF(AND(K7,J7&gt;='Selection Rules'!$B$7,J7&lt;'Selection Rules'!$B$6),1,0)</x:f>
        <x:v>0</x:v>
      </x:c>
    </x:row>
    <x:row r="8" ht="18" customHeight="1">
      <x:c r="A8" s="25" t="str">
        <x:v>EEZ_032</x:v>
      </x:c>
      <x:c r="B8" s="25" t="str">
        <x:v>Argentina</x:v>
      </x:c>
      <x:c r="C8" s="25" t="str">
        <x:v>LME_014</x:v>
      </x:c>
      <x:c r="D8" s="25" t="str">
        <x:v>Patagonian Shelf</x:v>
      </x:c>
      <x:c r="E8" s="32" t="n">
        <x:v>1092159.2771767338</x:v>
      </x:c>
      <x:c r="F8" s="32" t="n">
        <x:v>1170311.112854071</x:v>
      </x:c>
      <x:c r="G8" s="32" t="n">
        <x:v>838224.3727281193</x:v>
      </x:c>
      <x:c r="H8" s="34" t="n">
        <x:f>G8/E8</x:f>
        <x:v>0.7674927917976906</x:v>
      </x:c>
      <x:c r="I8" s="34" t="n">
        <x:f>G8/F8</x:f>
        <x:v>0.716240633385013</x:v>
      </x:c>
      <x:c r="J8" s="33" t="n">
        <x:f>E8/F8</x:f>
        <x:v>0.9332213162645734</x:v>
      </x:c>
      <x:c r="K8" s="25" t="b">
        <x:f>I8&gt;='Selection Rules'!$B$5</x:f>
        <x:v>0</x:v>
      </x:c>
      <x:c r="L8" s="25" t="n">
        <x:f>IF(AND(K8,J8&gt;='Selection Rules'!$B$6),1,0)</x:f>
        <x:v>0</x:v>
      </x:c>
      <x:c r="M8" s="25" t="n">
        <x:f>IF(AND(K8,J8&gt;='Selection Rules'!$B$7,J8&lt;'Selection Rules'!$B$6),1,0)</x:f>
        <x:v>0</x:v>
      </x:c>
    </x:row>
    <x:row r="9" ht="18" customHeight="1">
      <x:c r="A9" s="25" t="str">
        <x:v>EEZ_036</x:v>
      </x:c>
      <x:c r="B9" s="25" t="str">
        <x:v>Australia</x:v>
      </x:c>
      <x:c r="C9" s="25" t="str">
        <x:v>LME_039</x:v>
      </x:c>
      <x:c r="D9" s="25" t="str">
        <x:v>North Australian Shelf</x:v>
      </x:c>
      <x:c r="E9" s="32" t="n">
        <x:v>6329385.118514362</x:v>
      </x:c>
      <x:c r="F9" s="32" t="n">
        <x:v>779233.7571536872</x:v>
      </x:c>
      <x:c r="G9" s="32" t="n">
        <x:v>774540.6124734362</x:v>
      </x:c>
      <x:c r="H9" s="34" t="n">
        <x:f>G9/E9</x:f>
        <x:v>0.12237217327916948</x:v>
      </x:c>
      <x:c r="I9" s="34" t="n">
        <x:f>G9/F9</x:f>
        <x:v>0.9939772313029742</x:v>
      </x:c>
      <x:c r="J9" s="33" t="n">
        <x:f>E9/F9</x:f>
        <x:v>8.12257562048358</x:v>
      </x:c>
      <x:c r="K9" s="25" t="b">
        <x:f>I9&gt;='Selection Rules'!$B$5</x:f>
        <x:v>1</x:v>
      </x:c>
      <x:c r="L9" s="25" t="n">
        <x:f>IF(AND(K9,J9&gt;='Selection Rules'!$B$6),1,0)</x:f>
        <x:v>1</x:v>
      </x:c>
      <x:c r="M9" s="25" t="n">
        <x:f>IF(AND(K9,J9&gt;='Selection Rules'!$B$7,J9&lt;'Selection Rules'!$B$6),1,0)</x:f>
        <x:v>0</x:v>
      </x:c>
    </x:row>
    <x:row r="10" ht="18" customHeight="1">
      <x:c r="A10" s="25" t="str">
        <x:v>EEZ_036</x:v>
      </x:c>
      <x:c r="B10" s="25" t="str">
        <x:v>Australia</x:v>
      </x:c>
      <x:c r="C10" s="25" t="str">
        <x:v>LME_040</x:v>
      </x:c>
      <x:c r="D10" s="25" t="str">
        <x:v>Northeast Australian Shelf-Great Barrier Reef</x:v>
      </x:c>
      <x:c r="E10" s="32" t="n">
        <x:v>6329385.118514362</x:v>
      </x:c>
      <x:c r="F10" s="32" t="n">
        <x:v>1281812.9017148397</x:v>
      </x:c>
      <x:c r="G10" s="32" t="n">
        <x:v>1274246.02491603</x:v>
      </x:c>
      <x:c r="H10" s="34" t="n">
        <x:f>G10/E10</x:f>
        <x:v>0.20132224553514325</x:v>
      </x:c>
      <x:c r="I10" s="34" t="n">
        <x:f>G10/F10</x:f>
        <x:v>0.994096738464181</x:v>
      </x:c>
      <x:c r="J10" s="33" t="n">
        <x:f>E10/F10</x:f>
        <x:v>4.937838517654768</x:v>
      </x:c>
      <x:c r="K10" s="25" t="b">
        <x:f>I10&gt;='Selection Rules'!$B$5</x:f>
        <x:v>1</x:v>
      </x:c>
      <x:c r="L10" s="25" t="n">
        <x:f>IF(AND(K10,J10&gt;='Selection Rules'!$B$6),1,0)</x:f>
        <x:v>1</x:v>
      </x:c>
      <x:c r="M10" s="25" t="n">
        <x:f>IF(AND(K10,J10&gt;='Selection Rules'!$B$7,J10&lt;'Selection Rules'!$B$6),1,0)</x:f>
        <x:v>0</x:v>
      </x:c>
    </x:row>
    <x:row r="11" ht="18" customHeight="1">
      <x:c r="A11" s="25" t="str">
        <x:v>EEZ_036</x:v>
      </x:c>
      <x:c r="B11" s="25" t="str">
        <x:v>Australia</x:v>
      </x:c>
      <x:c r="C11" s="25" t="str">
        <x:v>LME_041</x:v>
      </x:c>
      <x:c r="D11" s="25" t="str">
        <x:v>East-Central Australian Shelf</x:v>
      </x:c>
      <x:c r="E11" s="32" t="n">
        <x:v>6329385.118514362</x:v>
      </x:c>
      <x:c r="F11" s="32" t="n">
        <x:v>651954.7372632008</x:v>
      </x:c>
      <x:c r="G11" s="32" t="n">
        <x:v>615482.1601558736</x:v>
      </x:c>
      <x:c r="H11" s="34" t="n">
        <x:f>G11/E11</x:f>
        <x:v>0.09724201460825946</x:v>
      </x:c>
      <x:c r="I11" s="34" t="n">
        <x:f>G11/F11</x:f>
        <x:v>0.9440565808902117</x:v>
      </x:c>
      <x:c r="J11" s="33" t="n">
        <x:f>E11/F11</x:f>
        <x:v>9.7083198522095</x:v>
      </x:c>
      <x:c r="K11" s="25" t="b">
        <x:f>I11&gt;='Selection Rules'!$B$5</x:f>
        <x:v>1</x:v>
      </x:c>
      <x:c r="L11" s="25" t="n">
        <x:f>IF(AND(K11,J11&gt;='Selection Rules'!$B$6),1,0)</x:f>
        <x:v>1</x:v>
      </x:c>
      <x:c r="M11" s="25" t="n">
        <x:f>IF(AND(K11,J11&gt;='Selection Rules'!$B$7,J11&lt;'Selection Rules'!$B$6),1,0)</x:f>
        <x:v>0</x:v>
      </x:c>
    </x:row>
    <x:row r="12" ht="18" customHeight="1">
      <x:c r="A12" s="25" t="str">
        <x:v>EEZ_036</x:v>
      </x:c>
      <x:c r="B12" s="25" t="str">
        <x:v>Australia</x:v>
      </x:c>
      <x:c r="C12" s="25" t="str">
        <x:v>LME_042</x:v>
      </x:c>
      <x:c r="D12" s="25" t="str">
        <x:v>Southeast Australian Shelf</x:v>
      </x:c>
      <x:c r="E12" s="32" t="n">
        <x:v>6329385.118514362</x:v>
      </x:c>
      <x:c r="F12" s="32" t="n">
        <x:v>1191815.5483682519</x:v>
      </x:c>
      <x:c r="G12" s="32" t="n">
        <x:v>1188631.0719986544</x:v>
      </x:c>
      <x:c r="H12" s="34" t="n">
        <x:f>G12/E12</x:f>
        <x:v>0.18779566257103514</x:v>
      </x:c>
      <x:c r="I12" s="34" t="n">
        <x:f>G12/F12</x:f>
        <x:v>0.997328045959832</x:v>
      </x:c>
      <x:c r="J12" s="33" t="n">
        <x:f>E12/F12</x:f>
        <x:v>5.310708630358197</x:v>
      </x:c>
      <x:c r="K12" s="25" t="b">
        <x:f>I12&gt;='Selection Rules'!$B$5</x:f>
        <x:v>1</x:v>
      </x:c>
      <x:c r="L12" s="25" t="n">
        <x:f>IF(AND(K12,J12&gt;='Selection Rules'!$B$6),1,0)</x:f>
        <x:v>1</x:v>
      </x:c>
      <x:c r="M12" s="25" t="n">
        <x:f>IF(AND(K12,J12&gt;='Selection Rules'!$B$7,J12&lt;'Selection Rules'!$B$6),1,0)</x:f>
        <x:v>0</x:v>
      </x:c>
    </x:row>
    <x:row r="13" ht="18" customHeight="1">
      <x:c r="A13" s="25" t="str">
        <x:v>EEZ_036</x:v>
      </x:c>
      <x:c r="B13" s="25" t="str">
        <x:v>Australia</x:v>
      </x:c>
      <x:c r="C13" s="25" t="str">
        <x:v>LME_043</x:v>
      </x:c>
      <x:c r="D13" s="25" t="str">
        <x:v>Southwest Australian Shelf</x:v>
      </x:c>
      <x:c r="E13" s="32" t="n">
        <x:v>6329385.118514362</x:v>
      </x:c>
      <x:c r="F13" s="32" t="n">
        <x:v>1014951.130078868</x:v>
      </x:c>
      <x:c r="G13" s="32" t="n">
        <x:v>1012369.0772792876</x:v>
      </x:c>
      <x:c r="H13" s="34" t="n">
        <x:f>G13/E13</x:f>
        <x:v>0.1599474606653279</x:v>
      </x:c>
      <x:c r="I13" s="34" t="n">
        <x:f>G13/F13</x:f>
        <x:v>0.9974559831276016</x:v>
      </x:c>
      <x:c r="J13" s="33" t="n">
        <x:f>E13/F13</x:f>
        <x:v>6.236147663604778</x:v>
      </x:c>
      <x:c r="K13" s="25" t="b">
        <x:f>I13&gt;='Selection Rules'!$B$5</x:f>
        <x:v>1</x:v>
      </x:c>
      <x:c r="L13" s="25" t="n">
        <x:f>IF(AND(K13,J13&gt;='Selection Rules'!$B$6),1,0)</x:f>
        <x:v>1</x:v>
      </x:c>
      <x:c r="M13" s="25" t="n">
        <x:f>IF(AND(K13,J13&gt;='Selection Rules'!$B$7,J13&lt;'Selection Rules'!$B$6),1,0)</x:f>
        <x:v>0</x:v>
      </x:c>
    </x:row>
    <x:row r="14" ht="18" customHeight="1">
      <x:c r="A14" s="25" t="str">
        <x:v>EEZ_036</x:v>
      </x:c>
      <x:c r="B14" s="25" t="str">
        <x:v>Australia</x:v>
      </x:c>
      <x:c r="C14" s="25" t="str">
        <x:v>LME_044</x:v>
      </x:c>
      <x:c r="D14" s="25" t="str">
        <x:v>West-Central Australian Shelf</x:v>
      </x:c>
      <x:c r="E14" s="32" t="n">
        <x:v>6329385.118514362</x:v>
      </x:c>
      <x:c r="F14" s="32" t="n">
        <x:v>579356.8063443139</x:v>
      </x:c>
      <x:c r="G14" s="32" t="n">
        <x:v>578417.8018074617</x:v>
      </x:c>
      <x:c r="H14" s="34" t="n">
        <x:f>G14/E14</x:f>
        <x:v>0.09138609690781911</x:v>
      </x:c>
      <x:c r="I14" s="34" t="n">
        <x:f>G14/F14</x:f>
        <x:v>0.9983792292995102</x:v>
      </x:c>
      <x:c r="J14" s="33" t="n">
        <x:f>E14/F14</x:f>
        <x:v>10.924848123304493</x:v>
      </x:c>
      <x:c r="K14" s="25" t="b">
        <x:f>I14&gt;='Selection Rules'!$B$5</x:f>
        <x:v>1</x:v>
      </x:c>
      <x:c r="L14" s="25" t="n">
        <x:f>IF(AND(K14,J14&gt;='Selection Rules'!$B$6),1,0)</x:f>
        <x:v>1</x:v>
      </x:c>
      <x:c r="M14" s="25" t="n">
        <x:f>IF(AND(K14,J14&gt;='Selection Rules'!$B$7,J14&lt;'Selection Rules'!$B$6),1,0)</x:f>
        <x:v>0</x:v>
      </x:c>
    </x:row>
    <x:row r="15" ht="18" customHeight="1">
      <x:c r="A15" s="25" t="str">
        <x:v>EEZ_036</x:v>
      </x:c>
      <x:c r="B15" s="25" t="str">
        <x:v>Australia</x:v>
      </x:c>
      <x:c r="C15" s="25" t="str">
        <x:v>LME_045</x:v>
      </x:c>
      <x:c r="D15" s="25" t="str">
        <x:v>Northwest Australian Shelf</x:v>
      </x:c>
      <x:c r="E15" s="32" t="n">
        <x:v>6329385.118514362</x:v>
      </x:c>
      <x:c r="F15" s="32" t="n">
        <x:v>910842.4768383015</x:v>
      </x:c>
      <x:c r="G15" s="32" t="n">
        <x:v>845868.919397021</x:v>
      </x:c>
      <x:c r="H15" s="34" t="n">
        <x:f>G15/E15</x:f>
        <x:v>0.13364156289411633</x:v>
      </x:c>
      <x:c r="I15" s="34" t="n">
        <x:f>G15/F15</x:f>
        <x:v>0.9286665267667188</x:v>
      </x:c>
      <x:c r="J15" s="33" t="n">
        <x:f>E15/F15</x:f>
        <x:v>6.948934947000714</x:v>
      </x:c>
      <x:c r="K15" s="25" t="b">
        <x:f>I15&gt;='Selection Rules'!$B$5</x:f>
        <x:v>1</x:v>
      </x:c>
      <x:c r="L15" s="25" t="n">
        <x:f>IF(AND(K15,J15&gt;='Selection Rules'!$B$6),1,0)</x:f>
        <x:v>1</x:v>
      </x:c>
      <x:c r="M15" s="25" t="n">
        <x:f>IF(AND(K15,J15&gt;='Selection Rules'!$B$7,J15&lt;'Selection Rules'!$B$6),1,0)</x:f>
        <x:v>0</x:v>
      </x:c>
    </x:row>
    <x:row r="16" ht="18" customHeight="1">
      <x:c r="A16" s="25" t="str">
        <x:v>EEZ_038</x:v>
      </x:c>
      <x:c r="B16" s="25" t="str">
        <x:v>Lord Howe Isl. (Australia)</x:v>
      </x:c>
      <x:c r="C16" s="25" t="str">
        <x:v>LME_041</x:v>
      </x:c>
      <x:c r="D16" s="25" t="str">
        <x:v>East-Central Australian Shelf</x:v>
      </x:c>
      <x:c r="E16" s="32" t="n">
        <x:v>541148.0055378617</x:v>
      </x:c>
      <x:c r="F16" s="32" t="n">
        <x:v>651954.7372632008</x:v>
      </x:c>
      <x:c r="G16" s="32" t="n">
        <x:v>33748.080844045675</x:v>
      </x:c>
      <x:c r="H16" s="34" t="n">
        <x:f>G16/E16</x:f>
        <x:v>0.06236386441173804</x:v>
      </x:c>
      <x:c r="I16" s="34" t="n">
        <x:f>G16/F16</x:f>
        <x:v>0.051764453749833295</x:v>
      </x:c>
      <x:c r="J16" s="33" t="n">
        <x:f>E16/F16</x:f>
        <x:v>0.8300392260504348</x:v>
      </x:c>
      <x:c r="K16" s="25" t="b">
        <x:f>I16&gt;='Selection Rules'!$B$5</x:f>
        <x:v>0</x:v>
      </x:c>
      <x:c r="L16" s="25" t="n">
        <x:f>IF(AND(K16,J16&gt;='Selection Rules'!$B$6),1,0)</x:f>
        <x:v>0</x:v>
      </x:c>
      <x:c r="M16" s="25" t="n">
        <x:f>IF(AND(K16,J16&gt;='Selection Rules'!$B$7,J16&lt;'Selection Rules'!$B$6),1,0)</x:f>
        <x:v>0</x:v>
      </x:c>
    </x:row>
    <x:row r="17" ht="18" customHeight="1">
      <x:c r="A17" s="25" t="str">
        <x:v>EEZ_044</x:v>
      </x:c>
      <x:c r="B17" s="25" t="str">
        <x:v>Bahamas</x:v>
      </x:c>
      <x:c r="C17" s="25" t="str">
        <x:v>LME_006</x:v>
      </x:c>
      <x:c r="D17" s="25" t="str">
        <x:v>Southeast U.S. Continental Shelf</x:v>
      </x:c>
      <x:c r="E17" s="32" t="n">
        <x:v>619981.826721081</x:v>
      </x:c>
      <x:c r="F17" s="32" t="n">
        <x:v>301674.42192889133</x:v>
      </x:c>
      <x:c r="G17" s="32" t="n">
        <x:v>45447.48191332631</x:v>
      </x:c>
      <x:c r="H17" s="34" t="n">
        <x:f>G17/E17</x:f>
        <x:v>0.07330453886638251</x:v>
      </x:c>
      <x:c r="I17" s="34" t="n">
        <x:f>G17/F17</x:f>
        <x:v>0.15065076323918136</x:v>
      </x:c>
      <x:c r="J17" s="33" t="n">
        <x:f>E17/F17</x:f>
        <x:v>2.055135542340474</x:v>
      </x:c>
      <x:c r="K17" s="25" t="b">
        <x:f>I17&gt;='Selection Rules'!$B$5</x:f>
        <x:v>0</x:v>
      </x:c>
      <x:c r="L17" s="25" t="n">
        <x:f>IF(AND(K17,J17&gt;='Selection Rules'!$B$6),1,0)</x:f>
        <x:v>0</x:v>
      </x:c>
      <x:c r="M17" s="25" t="n">
        <x:f>IF(AND(K17,J17&gt;='Selection Rules'!$B$7,J17&lt;'Selection Rules'!$B$6),1,0)</x:f>
        <x:v>0</x:v>
      </x:c>
    </x:row>
    <x:row r="18" ht="18" customHeight="1">
      <x:c r="A18" s="25" t="str">
        <x:v>EEZ_044</x:v>
      </x:c>
      <x:c r="B18" s="25" t="str">
        <x:v>Bahamas</x:v>
      </x:c>
      <x:c r="C18" s="25" t="str">
        <x:v>LME_012</x:v>
      </x:c>
      <x:c r="D18" s="25" t="str">
        <x:v>Caribbean Sea</x:v>
      </x:c>
      <x:c r="E18" s="32" t="n">
        <x:v>619981.826721081</x:v>
      </x:c>
      <x:c r="F18" s="32" t="n">
        <x:v>3262576.84767364</x:v>
      </x:c>
      <x:c r="G18" s="32" t="n">
        <x:v>255926.3882773978</x:v>
      </x:c>
      <x:c r="H18" s="34" t="n">
        <x:f>G18/E18</x:f>
        <x:v>0.412796597008213</x:v>
      </x:c>
      <x:c r="I18" s="34" t="n">
        <x:f>G18/F18</x:f>
        <x:v>0.07844302225704952</x:v>
      </x:c>
      <x:c r="J18" s="33" t="n">
        <x:f>E18/F18</x:f>
        <x:v>0.19002826773663742</x:v>
      </x:c>
      <x:c r="K18" s="25" t="b">
        <x:f>I18&gt;='Selection Rules'!$B$5</x:f>
        <x:v>0</x:v>
      </x:c>
      <x:c r="L18" s="25" t="n">
        <x:f>IF(AND(K18,J18&gt;='Selection Rules'!$B$6),1,0)</x:f>
        <x:v>0</x:v>
      </x:c>
      <x:c r="M18" s="25" t="n">
        <x:f>IF(AND(K18,J18&gt;='Selection Rules'!$B$7,J18&lt;'Selection Rules'!$B$6),1,0)</x:f>
        <x:v>0</x:v>
      </x:c>
    </x:row>
    <x:row r="19" ht="18" customHeight="1">
      <x:c r="A19" s="25" t="str">
        <x:v>EEZ_048</x:v>
      </x:c>
      <x:c r="B19" s="25" t="str">
        <x:v>Bahrain</x:v>
      </x:c>
      <x:c r="C19" s="25" t="str">
        <x:v>LME_032</x:v>
      </x:c>
      <x:c r="D19" s="25" t="str">
        <x:v>Arabian Sea</x:v>
      </x:c>
      <x:c r="E19" s="32" t="n">
        <x:v>7423.356182623587</x:v>
      </x:c>
      <x:c r="F19" s="32" t="n">
        <x:v>3931902.1047515674</x:v>
      </x:c>
      <x:c r="G19" s="32" t="n">
        <x:v>7405.216550648655</x:v>
      </x:c>
      <x:c r="H19" s="34" t="n">
        <x:f>G19/E19</x:f>
        <x:v>0.9975564109374958</x:v>
      </x:c>
      <x:c r="I19" s="34" t="n">
        <x:f>G19/F19</x:f>
        <x:v>0.0018833674779694307</x:v>
      </x:c>
      <x:c r="J19" s="33" t="n">
        <x:f>E19/F19</x:f>
        <x:v>0.0018879809275141207</x:v>
      </x:c>
      <x:c r="K19" s="25" t="b">
        <x:f>I19&gt;='Selection Rules'!$B$5</x:f>
        <x:v>0</x:v>
      </x:c>
      <x:c r="L19" s="25" t="n">
        <x:f>IF(AND(K19,J19&gt;='Selection Rules'!$B$6),1,0)</x:f>
        <x:v>0</x:v>
      </x:c>
      <x:c r="M19" s="25" t="n">
        <x:f>IF(AND(K19,J19&gt;='Selection Rules'!$B$7,J19&lt;'Selection Rules'!$B$6),1,0)</x:f>
        <x:v>0</x:v>
      </x:c>
    </x:row>
    <x:row r="20" ht="18" customHeight="1">
      <x:c r="A20" s="25" t="str">
        <x:v>EEZ_050</x:v>
      </x:c>
      <x:c r="B20" s="25" t="str">
        <x:v>Bangladesh</x:v>
      </x:c>
      <x:c r="C20" s="25" t="str">
        <x:v>LME_034</x:v>
      </x:c>
      <x:c r="D20" s="25" t="str">
        <x:v>Bay of Bengal</x:v>
      </x:c>
      <x:c r="E20" s="32" t="n">
        <x:v>112185.80624509312</x:v>
      </x:c>
      <x:c r="F20" s="32" t="n">
        <x:v>3664559.241537097</x:v>
      </x:c>
      <x:c r="G20" s="32" t="n">
        <x:v>109806.93274044056</x:v>
      </x:c>
      <x:c r="H20" s="34" t="n">
        <x:f>G20/E20</x:f>
        <x:v>0.978795236364791</x:v>
      </x:c>
      <x:c r="I20" s="34" t="n">
        <x:f>G20/F20</x:f>
        <x:v>0.029964567497176582</x:v>
      </x:c>
      <x:c r="J20" s="33" t="n">
        <x:f>E20/F20</x:f>
        <x:v>0.030613724284625526</x:v>
      </x:c>
      <x:c r="K20" s="25" t="b">
        <x:f>I20&gt;='Selection Rules'!$B$5</x:f>
        <x:v>0</x:v>
      </x:c>
      <x:c r="L20" s="25" t="n">
        <x:f>IF(AND(K20,J20&gt;='Selection Rules'!$B$6),1,0)</x:f>
        <x:v>0</x:v>
      </x:c>
      <x:c r="M20" s="25" t="n">
        <x:f>IF(AND(K20,J20&gt;='Selection Rules'!$B$7,J20&lt;'Selection Rules'!$B$6),1,0)</x:f>
        <x:v>0</x:v>
      </x:c>
    </x:row>
    <x:row r="21" ht="18" customHeight="1">
      <x:c r="A21" s="25" t="str">
        <x:v>EEZ_052</x:v>
      </x:c>
      <x:c r="B21" s="25" t="str">
        <x:v>Barbados</x:v>
      </x:c>
      <x:c r="C21" s="25" t="str">
        <x:v>LME_012</x:v>
      </x:c>
      <x:c r="D21" s="25" t="str">
        <x:v>Caribbean Sea</x:v>
      </x:c>
      <x:c r="E21" s="32" t="n">
        <x:v>184229.9230477758</x:v>
      </x:c>
      <x:c r="F21" s="32" t="n">
        <x:v>3262576.84767364</x:v>
      </x:c>
      <x:c r="G21" s="32" t="n">
        <x:v>14243.437463011496</x:v>
      </x:c>
      <x:c r="H21" s="34" t="n">
        <x:f>G21/E21</x:f>
        <x:v>0.07731337682488088</x:v>
      </x:c>
      <x:c r="I21" s="34" t="n">
        <x:f>G21/F21</x:f>
        <x:v>0.004365701752946506</x:v>
      </x:c>
      <x:c r="J21" s="33" t="n">
        <x:f>E21/F21</x:f>
        <x:v>0.056467611844649664</x:v>
      </x:c>
      <x:c r="K21" s="25" t="b">
        <x:f>I21&gt;='Selection Rules'!$B$5</x:f>
        <x:v>0</x:v>
      </x:c>
      <x:c r="L21" s="25" t="n">
        <x:f>IF(AND(K21,J21&gt;='Selection Rules'!$B$6),1,0)</x:f>
        <x:v>0</x:v>
      </x:c>
      <x:c r="M21" s="25" t="n">
        <x:f>IF(AND(K21,J21&gt;='Selection Rules'!$B$7,J21&lt;'Selection Rules'!$B$6),1,0)</x:f>
        <x:v>0</x:v>
      </x:c>
    </x:row>
    <x:row r="22" ht="18" customHeight="1">
      <x:c r="A22" s="25" t="str">
        <x:v>EEZ_052</x:v>
      </x:c>
      <x:c r="B22" s="25" t="str">
        <x:v>Barbados</x:v>
      </x:c>
      <x:c r="C22" s="25" t="str">
        <x:v>LME_017</x:v>
      </x:c>
      <x:c r="D22" s="25" t="str">
        <x:v>North Brazil Shelf</x:v>
      </x:c>
      <x:c r="E22" s="32" t="n">
        <x:v>184229.9230477758</x:v>
      </x:c>
      <x:c r="F22" s="32" t="n">
        <x:v>1054826.778598855</x:v>
      </x:c>
      <x:c r="G22" s="32" t="n">
        <x:v>23109.345058963452</x:v>
      </x:c>
      <x:c r="H22" s="34" t="n">
        <x:f>G22/E22</x:f>
        <x:v>0.12543752218237952</x:v>
      </x:c>
      <x:c r="I22" s="34" t="n">
        <x:f>G22/F22</x:f>
        <x:v>0.021908189598352824</x:v>
      </x:c>
      <x:c r="J22" s="33" t="n">
        <x:f>E22/F22</x:f>
        <x:v>0.17465419610648458</x:v>
      </x:c>
      <x:c r="K22" s="25" t="b">
        <x:f>I22&gt;='Selection Rules'!$B$5</x:f>
        <x:v>0</x:v>
      </x:c>
      <x:c r="L22" s="25" t="n">
        <x:f>IF(AND(K22,J22&gt;='Selection Rules'!$B$6),1,0)</x:f>
        <x:v>0</x:v>
      </x:c>
      <x:c r="M22" s="25" t="n">
        <x:f>IF(AND(K22,J22&gt;='Selection Rules'!$B$7,J22&lt;'Selection Rules'!$B$6),1,0)</x:f>
        <x:v>0</x:v>
      </x:c>
    </x:row>
    <x:row r="23" ht="18" customHeight="1">
      <x:c r="A23" s="25" t="str">
        <x:v>EEZ_056</x:v>
      </x:c>
      <x:c r="B23" s="25" t="str">
        <x:v>Belgium</x:v>
      </x:c>
      <x:c r="C23" s="25" t="str">
        <x:v>LME_022</x:v>
      </x:c>
      <x:c r="D23" s="25" t="str">
        <x:v>North Sea</x:v>
      </x:c>
      <x:c r="E23" s="32" t="n">
        <x:v>3563.4444389643254</x:v>
      </x:c>
      <x:c r="F23" s="32" t="n">
        <x:v>696532.8905595425</x:v>
      </x:c>
      <x:c r="G23" s="32" t="n">
        <x:v>3497.8226299905527</x:v>
      </x:c>
      <x:c r="H23" s="34" t="n">
        <x:f>G23/E23</x:f>
        <x:v>0.9815847250889521</x:v>
      </x:c>
      <x:c r="I23" s="34" t="n">
        <x:f>G23/F23</x:f>
        <x:v>0.00502176232795075</x:v>
      </x:c>
      <x:c r="J23" s="33" t="n">
        <x:f>E23/F23</x:f>
        <x:v>0.005115974403020251</x:v>
      </x:c>
      <x:c r="K23" s="25" t="b">
        <x:f>I23&gt;='Selection Rules'!$B$5</x:f>
        <x:v>0</x:v>
      </x:c>
      <x:c r="L23" s="25" t="n">
        <x:f>IF(AND(K23,J23&gt;='Selection Rules'!$B$6),1,0)</x:f>
        <x:v>0</x:v>
      </x:c>
      <x:c r="M23" s="25" t="n">
        <x:f>IF(AND(K23,J23&gt;='Selection Rules'!$B$7,J23&lt;'Selection Rules'!$B$6),1,0)</x:f>
        <x:v>0</x:v>
      </x:c>
    </x:row>
    <x:row r="24" ht="18" customHeight="1">
      <x:c r="A24" s="25" t="str">
        <x:v>EEZ_070</x:v>
      </x:c>
      <x:c r="B24" s="25" t="str">
        <x:v>Bosnia &amp; Herzegovina</x:v>
      </x:c>
      <x:c r="C24" s="25" t="str">
        <x:v>LME_026</x:v>
      </x:c>
      <x:c r="D24" s="25" t="str">
        <x:v>Mediterranean Sea</x:v>
      </x:c>
      <x:c r="E24" s="32" t="n">
        <x:v>8.423500003006835</x:v>
      </x:c>
      <x:c r="F24" s="32" t="n">
        <x:v>2527801.206996367</x:v>
      </x:c>
      <x:c r="G24" s="32" t="n">
        <x:v>8.049444373667589</x:v>
      </x:c>
      <x:c r="H24" s="34" t="n">
        <x:f>G24/E24</x:f>
        <x:v>0.9555937995838163</x:v>
      </x:c>
      <x:c r="I24" s="34" t="n">
        <x:f>G24/F24</x:f>
        <x:v>0.0000031843660614563343</x:v>
      </x:c>
      <x:c r="J24" s="33" t="n">
        <x:f>E24/F24</x:f>
        <x:v>0.000003332342741071783</x:v>
      </x:c>
      <x:c r="K24" s="25" t="b">
        <x:f>I24&gt;='Selection Rules'!$B$5</x:f>
        <x:v>0</x:v>
      </x:c>
      <x:c r="L24" s="25" t="n">
        <x:f>IF(AND(K24,J24&gt;='Selection Rules'!$B$6),1,0)</x:f>
        <x:v>0</x:v>
      </x:c>
      <x:c r="M24" s="25" t="n">
        <x:f>IF(AND(K24,J24&gt;='Selection Rules'!$B$7,J24&lt;'Selection Rules'!$B$6),1,0)</x:f>
        <x:v>0</x:v>
      </x:c>
    </x:row>
    <x:row r="25" ht="18" customHeight="1">
      <x:c r="A25" s="25" t="str">
        <x:v>EEZ_076</x:v>
      </x:c>
      <x:c r="B25" s="25" t="str">
        <x:v>Brazil (mainland)</x:v>
      </x:c>
      <x:c r="C25" s="25" t="str">
        <x:v>LME_015</x:v>
      </x:c>
      <x:c r="D25" s="25" t="str">
        <x:v>South Brazil Shelf</x:v>
      </x:c>
      <x:c r="E25" s="32" t="n">
        <x:v>2412664.317181936</x:v>
      </x:c>
      <x:c r="F25" s="32" t="n">
        <x:v>566579.6220120125</x:v>
      </x:c>
      <x:c r="G25" s="32" t="n">
        <x:v>557609.8703593346</x:v>
      </x:c>
      <x:c r="H25" s="34" t="n">
        <x:f>G25/E25</x:f>
        <x:v>0.2311178834072697</x:v>
      </x:c>
      <x:c r="I25" s="34" t="n">
        <x:f>G25/F25</x:f>
        <x:v>0.9841685946613736</x:v>
      </x:c>
      <x:c r="J25" s="33" t="n">
        <x:f>E25/F25</x:f>
        <x:v>4.258297022074654</x:v>
      </x:c>
      <x:c r="K25" s="25" t="b">
        <x:f>I25&gt;='Selection Rules'!$B$5</x:f>
        <x:v>1</x:v>
      </x:c>
      <x:c r="L25" s="25" t="n">
        <x:f>IF(AND(K25,J25&gt;='Selection Rules'!$B$6),1,0)</x:f>
        <x:v>1</x:v>
      </x:c>
      <x:c r="M25" s="25" t="n">
        <x:f>IF(AND(K25,J25&gt;='Selection Rules'!$B$7,J25&lt;'Selection Rules'!$B$6),1,0)</x:f>
        <x:v>0</x:v>
      </x:c>
    </x:row>
    <x:row r="26" ht="18" customHeight="1">
      <x:c r="A26" s="25" t="str">
        <x:v>EEZ_076</x:v>
      </x:c>
      <x:c r="B26" s="25" t="str">
        <x:v>Brazil (mainland)</x:v>
      </x:c>
      <x:c r="C26" s="25" t="str">
        <x:v>LME_016</x:v>
      </x:c>
      <x:c r="D26" s="25" t="str">
        <x:v>East Brazil Shelf</x:v>
      </x:c>
      <x:c r="E26" s="32" t="n">
        <x:v>2412664.317181936</x:v>
      </x:c>
      <x:c r="F26" s="32" t="n">
        <x:v>1075217.8820703696</x:v>
      </x:c>
      <x:c r="G26" s="32" t="n">
        <x:v>947116.982596266</x:v>
      </x:c>
      <x:c r="H26" s="34" t="n">
        <x:f>G26/E26</x:f>
        <x:v>0.39256061270161563</x:v>
      </x:c>
      <x:c r="I26" s="34" t="n">
        <x:f>G26/F26</x:f>
        <x:v>0.880860519890684</x:v>
      </x:c>
      <x:c r="J26" s="33" t="n">
        <x:f>E26/F26</x:f>
        <x:v>2.243884107039093</x:v>
      </x:c>
      <x:c r="K26" s="25" t="b">
        <x:f>I26&gt;='Selection Rules'!$B$5</x:f>
        <x:v>0</x:v>
      </x:c>
      <x:c r="L26" s="25" t="n">
        <x:f>IF(AND(K26,J26&gt;='Selection Rules'!$B$6),1,0)</x:f>
        <x:v>0</x:v>
      </x:c>
      <x:c r="M26" s="25" t="n">
        <x:f>IF(AND(K26,J26&gt;='Selection Rules'!$B$7,J26&lt;'Selection Rules'!$B$6),1,0)</x:f>
        <x:v>0</x:v>
      </x:c>
    </x:row>
    <x:row r="27" ht="18" customHeight="1">
      <x:c r="A27" s="25" t="str">
        <x:v>EEZ_076</x:v>
      </x:c>
      <x:c r="B27" s="25" t="str">
        <x:v>Brazil (mainland)</x:v>
      </x:c>
      <x:c r="C27" s="25" t="str">
        <x:v>LME_017</x:v>
      </x:c>
      <x:c r="D27" s="25" t="str">
        <x:v>North Brazil Shelf</x:v>
      </x:c>
      <x:c r="E27" s="32" t="n">
        <x:v>2412664.317181936</x:v>
      </x:c>
      <x:c r="F27" s="32" t="n">
        <x:v>1054826.778598855</x:v>
      </x:c>
      <x:c r="G27" s="32" t="n">
        <x:v>520509.7121148606</x:v>
      </x:c>
      <x:c r="H27" s="34" t="n">
        <x:f>G27/E27</x:f>
        <x:v>0.21574062682819942</x:v>
      </x:c>
      <x:c r="I27" s="34" t="n">
        <x:f>G27/F27</x:f>
        <x:v>0.49345515555289826</x:v>
      </x:c>
      <x:c r="J27" s="33" t="n">
        <x:f>E27/F27</x:f>
        <x:v>2.2872611561745906</x:v>
      </x:c>
      <x:c r="K27" s="25" t="b">
        <x:f>I27&gt;='Selection Rules'!$B$5</x:f>
        <x:v>0</x:v>
      </x:c>
      <x:c r="L27" s="25" t="n">
        <x:f>IF(AND(K27,J27&gt;='Selection Rules'!$B$6),1,0)</x:f>
        <x:v>0</x:v>
      </x:c>
      <x:c r="M27" s="25" t="n">
        <x:f>IF(AND(K27,J27&gt;='Selection Rules'!$B$7,J27&lt;'Selection Rules'!$B$6),1,0)</x:f>
        <x:v>0</x:v>
      </x:c>
    </x:row>
    <x:row r="28" ht="18" customHeight="1">
      <x:c r="A28" s="25" t="str">
        <x:v>EEZ_084</x:v>
      </x:c>
      <x:c r="B28" s="25" t="str">
        <x:v>Belize</x:v>
      </x:c>
      <x:c r="C28" s="25" t="str">
        <x:v>LME_012</x:v>
      </x:c>
      <x:c r="D28" s="25" t="str">
        <x:v>Caribbean Sea</x:v>
      </x:c>
      <x:c r="E28" s="32" t="n">
        <x:v>34287.26243474843</x:v>
      </x:c>
      <x:c r="F28" s="32" t="n">
        <x:v>3262576.84767364</x:v>
      </x:c>
      <x:c r="G28" s="32" t="n">
        <x:v>33948.2527876345</x:v>
      </x:c>
      <x:c r="H28" s="34" t="n">
        <x:f>G28/E28</x:f>
        <x:v>0.9901126650819937</x:v>
      </x:c>
      <x:c r="I28" s="34" t="n">
        <x:f>G28/F28</x:f>
        <x:v>0.010405349627807568</x:v>
      </x:c>
      <x:c r="J28" s="33" t="n">
        <x:f>E28/F28</x:f>
        <x:v>0.01050925818320471</x:v>
      </x:c>
      <x:c r="K28" s="25" t="b">
        <x:f>I28&gt;='Selection Rules'!$B$5</x:f>
        <x:v>0</x:v>
      </x:c>
      <x:c r="L28" s="25" t="n">
        <x:f>IF(AND(K28,J28&gt;='Selection Rules'!$B$6),1,0)</x:f>
        <x:v>0</x:v>
      </x:c>
      <x:c r="M28" s="25" t="n">
        <x:f>IF(AND(K28,J28&gt;='Selection Rules'!$B$7,J28&lt;'Selection Rules'!$B$6),1,0)</x:f>
        <x:v>0</x:v>
      </x:c>
    </x:row>
    <x:row r="29" ht="18" customHeight="1">
      <x:c r="A29" s="25" t="str">
        <x:v>EEZ_090</x:v>
      </x:c>
      <x:c r="B29" s="25" t="str">
        <x:v>Solomon Isl.</x:v>
      </x:c>
      <x:c r="C29" s="25" t="str">
        <x:v>LME_040</x:v>
      </x:c>
      <x:c r="D29" s="25" t="str">
        <x:v>Northeast Australian Shelf-Great Barrier Reef</x:v>
      </x:c>
      <x:c r="E29" s="32" t="n">
        <x:v>1598531.4968482617</x:v>
      </x:c>
      <x:c r="F29" s="32" t="n">
        <x:v>1281812.9017148397</x:v>
      </x:c>
      <x:c r="G29" s="32" t="n">
        <x:v>199.9353264221019</x:v>
      </x:c>
      <x:c r="H29" s="34" t="n">
        <x:f>G29/E29</x:f>
        <x:v>0.00012507437408415385</x:v>
      </x:c>
      <x:c r="I29" s="34" t="n">
        <x:f>G29/F29</x:f>
        <x:v>0.00015597855674148985</x:v>
      </x:c>
      <x:c r="J29" s="33" t="n">
        <x:f>E29/F29</x:f>
        <x:v>1.2470864466332865</x:v>
      </x:c>
      <x:c r="K29" s="25" t="b">
        <x:f>I29&gt;='Selection Rules'!$B$5</x:f>
        <x:v>0</x:v>
      </x:c>
      <x:c r="L29" s="25" t="n">
        <x:f>IF(AND(K29,J29&gt;='Selection Rules'!$B$6),1,0)</x:f>
        <x:v>0</x:v>
      </x:c>
      <x:c r="M29" s="25" t="n">
        <x:f>IF(AND(K29,J29&gt;='Selection Rules'!$B$7,J29&lt;'Selection Rules'!$B$6),1,0)</x:f>
        <x:v>0</x:v>
      </x:c>
    </x:row>
    <x:row r="30" ht="18" customHeight="1">
      <x:c r="A30" s="25" t="str">
        <x:v>EEZ_092</x:v>
      </x:c>
      <x:c r="B30" s="25" t="str">
        <x:v>British Virgin Isl. (UK)</x:v>
      </x:c>
      <x:c r="C30" s="25" t="str">
        <x:v>LME_012</x:v>
      </x:c>
      <x:c r="D30" s="25" t="str">
        <x:v>Caribbean Sea</x:v>
      </x:c>
      <x:c r="E30" s="32" t="n">
        <x:v>80973.83009765265</x:v>
      </x:c>
      <x:c r="F30" s="32" t="n">
        <x:v>3262576.84767364</x:v>
      </x:c>
      <x:c r="G30" s="32" t="n">
        <x:v>1653.925646292676</x:v>
      </x:c>
      <x:c r="H30" s="34" t="n">
        <x:f>G30/E30</x:f>
        <x:v>0.020425434295229437</x:v>
      </x:c>
      <x:c r="I30" s="34" t="n">
        <x:f>G30/F30</x:f>
        <x:v>0.0005069384488129366</x:v>
      </x:c>
      <x:c r="J30" s="33" t="n">
        <x:f>E30/F30</x:f>
        <x:v>0.024818980173720823</x:v>
      </x:c>
      <x:c r="K30" s="25" t="b">
        <x:f>I30&gt;='Selection Rules'!$B$5</x:f>
        <x:v>0</x:v>
      </x:c>
      <x:c r="L30" s="25" t="n">
        <x:f>IF(AND(K30,J30&gt;='Selection Rules'!$B$6),1,0)</x:f>
        <x:v>0</x:v>
      </x:c>
      <x:c r="M30" s="25" t="n">
        <x:f>IF(AND(K30,J30&gt;='Selection Rules'!$B$7,J30&lt;'Selection Rules'!$B$6),1,0)</x:f>
        <x:v>0</x:v>
      </x:c>
    </x:row>
    <x:row r="31" ht="18" customHeight="1">
      <x:c r="A31" s="25" t="str">
        <x:v>EEZ_096</x:v>
      </x:c>
      <x:c r="B31" s="25" t="str">
        <x:v>Brunei Darussalam</x:v>
      </x:c>
      <x:c r="C31" s="25" t="str">
        <x:v>LME_036</x:v>
      </x:c>
      <x:c r="D31" s="25" t="str">
        <x:v>South China Sea</x:v>
      </x:c>
      <x:c r="E31" s="32" t="n">
        <x:v>43003.451351345146</x:v>
      </x:c>
      <x:c r="F31" s="32" t="n">
        <x:v>3164824.0447257855</x:v>
      </x:c>
      <x:c r="G31" s="32" t="n">
        <x:v>42968.62984542821</x:v>
      </x:c>
      <x:c r="H31" s="34" t="n">
        <x:f>G31/E31</x:f>
        <x:v>0.9991902625295714</x:v>
      </x:c>
      <x:c r="I31" s="34" t="n">
        <x:f>G31/F31</x:f>
        <x:v>0.013576941162664606</x:v>
      </x:c>
      <x:c r="J31" s="33" t="n">
        <x:f>E31/F31</x:f>
        <x:v>0.01358794382992978</x:v>
      </x:c>
      <x:c r="K31" s="25" t="b">
        <x:f>I31&gt;='Selection Rules'!$B$5</x:f>
        <x:v>0</x:v>
      </x:c>
      <x:c r="L31" s="25" t="n">
        <x:f>IF(AND(K31,J31&gt;='Selection Rules'!$B$6),1,0)</x:f>
        <x:v>0</x:v>
      </x:c>
      <x:c r="M31" s="25" t="n">
        <x:f>IF(AND(K31,J31&gt;='Selection Rules'!$B$7,J31&lt;'Selection Rules'!$B$6),1,0)</x:f>
        <x:v>0</x:v>
      </x:c>
    </x:row>
    <x:row r="32" ht="18" customHeight="1">
      <x:c r="A32" s="25" t="str">
        <x:v>EEZ_100</x:v>
      </x:c>
      <x:c r="B32" s="25" t="str">
        <x:v>Bulgaria</x:v>
      </x:c>
      <x:c r="C32" s="25" t="str">
        <x:v>LME_062</x:v>
      </x:c>
      <x:c r="D32" s="25" t="str">
        <x:v>Black Sea</x:v>
      </x:c>
      <x:c r="E32" s="32" t="n">
        <x:v>34853.710469157086</x:v>
      </x:c>
      <x:c r="F32" s="32" t="n">
        <x:v>462205.2642152028</x:v>
      </x:c>
      <x:c r="G32" s="32" t="n">
        <x:v>34762.912876961906</x:v>
      </x:c>
      <x:c r="H32" s="34" t="n">
        <x:f>G32/E32</x:f>
        <x:v>0.9973948945184609</x:v>
      </x:c>
      <x:c r="I32" s="34" t="n">
        <x:f>G32/F32</x:f>
        <x:v>0.07521098431448477</x:v>
      </x:c>
      <x:c r="J32" s="33" t="n">
        <x:f>E32/F32</x:f>
        <x:v>0.07540742862013185</x:v>
      </x:c>
      <x:c r="K32" s="25" t="b">
        <x:f>I32&gt;='Selection Rules'!$B$5</x:f>
        <x:v>0</x:v>
      </x:c>
      <x:c r="L32" s="25" t="n">
        <x:f>IF(AND(K32,J32&gt;='Selection Rules'!$B$6),1,0)</x:f>
        <x:v>0</x:v>
      </x:c>
      <x:c r="M32" s="25" t="n">
        <x:f>IF(AND(K32,J32&gt;='Selection Rules'!$B$7,J32&lt;'Selection Rules'!$B$6),1,0)</x:f>
        <x:v>0</x:v>
      </x:c>
    </x:row>
    <x:row r="33" ht="18" customHeight="1">
      <x:c r="A33" s="25" t="str">
        <x:v>EEZ_104</x:v>
      </x:c>
      <x:c r="B33" s="25" t="str">
        <x:v>Myanmar</x:v>
      </x:c>
      <x:c r="C33" s="25" t="str">
        <x:v>LME_034</x:v>
      </x:c>
      <x:c r="D33" s="25" t="str">
        <x:v>Bay of Bengal</x:v>
      </x:c>
      <x:c r="E33" s="32" t="n">
        <x:v>498939.3659281432</x:v>
      </x:c>
      <x:c r="F33" s="32" t="n">
        <x:v>3664559.241537097</x:v>
      </x:c>
      <x:c r="G33" s="32" t="n">
        <x:v>496007.1054981319</x:v>
      </x:c>
      <x:c r="H33" s="34" t="n">
        <x:f>G33/E33</x:f>
        <x:v>0.9941230124735565</x:v>
      </x:c>
      <x:c r="I33" s="34" t="n">
        <x:f>G33/F33</x:f>
        <x:v>0.1353524592742242</x:v>
      </x:c>
      <x:c r="J33" s="33" t="n">
        <x:f>E33/F33</x:f>
        <x:v>0.1361526265622229</x:v>
      </x:c>
      <x:c r="K33" s="25" t="b">
        <x:f>I33&gt;='Selection Rules'!$B$5</x:f>
        <x:v>0</x:v>
      </x:c>
      <x:c r="L33" s="25" t="n">
        <x:f>IF(AND(K33,J33&gt;='Selection Rules'!$B$6),1,0)</x:f>
        <x:v>0</x:v>
      </x:c>
      <x:c r="M33" s="25" t="n">
        <x:f>IF(AND(K33,J33&gt;='Selection Rules'!$B$7,J33&lt;'Selection Rules'!$B$6),1,0)</x:f>
        <x:v>0</x:v>
      </x:c>
    </x:row>
    <x:row r="34" ht="18" customHeight="1">
      <x:c r="A34" s="25" t="str">
        <x:v>EEZ_111</x:v>
      </x:c>
      <x:c r="B34" s="25" t="str">
        <x:v>Eritrea</x:v>
      </x:c>
      <x:c r="C34" s="25" t="str">
        <x:v>LME_033</x:v>
      </x:c>
      <x:c r="D34" s="25" t="str">
        <x:v>Red Sea</x:v>
      </x:c>
      <x:c r="E34" s="32" t="n">
        <x:v>78805.68437606614</x:v>
      </x:c>
      <x:c r="F34" s="32" t="n">
        <x:v>460970.08083065716</x:v>
      </x:c>
      <x:c r="G34" s="32" t="n">
        <x:v>78274.10580671318</x:v>
      </x:c>
      <x:c r="H34" s="34" t="n">
        <x:f>G34/E34</x:f>
        <x:v>0.9932545656628495</x:v>
      </x:c>
      <x:c r="I34" s="34" t="n">
        <x:f>G34/F34</x:f>
        <x:v>0.16980300687989358</x:v>
      </x:c>
      <x:c r="J34" s="33" t="n">
        <x:f>E34/F34</x:f>
        <x:v>0.1709561805704617</x:v>
      </x:c>
      <x:c r="K34" s="25" t="b">
        <x:f>I34&gt;='Selection Rules'!$B$5</x:f>
        <x:v>0</x:v>
      </x:c>
      <x:c r="L34" s="25" t="n">
        <x:f>IF(AND(K34,J34&gt;='Selection Rules'!$B$6),1,0)</x:f>
        <x:v>0</x:v>
      </x:c>
      <x:c r="M34" s="25" t="n">
        <x:f>IF(AND(K34,J34&gt;='Selection Rules'!$B$7,J34&lt;'Selection Rules'!$B$6),1,0)</x:f>
        <x:v>0</x:v>
      </x:c>
    </x:row>
    <x:row r="35" ht="18" customHeight="1">
      <x:c r="A35" s="25" t="str">
        <x:v>EEZ_116</x:v>
      </x:c>
      <x:c r="B35" s="25" t="str">
        <x:v>Cambodia</x:v>
      </x:c>
      <x:c r="C35" s="25" t="str">
        <x:v>LME_035</x:v>
      </x:c>
      <x:c r="D35" s="25" t="str">
        <x:v>Gulf of Thailand</x:v>
      </x:c>
      <x:c r="E35" s="32" t="n">
        <x:v>48875.105169272894</x:v>
      </x:c>
      <x:c r="F35" s="32" t="n">
        <x:v>387309.2560812747</x:v>
      </x:c>
      <x:c r="G35" s="32" t="n">
        <x:v>48722.2470468064</x:v>
      </x:c>
      <x:c r="H35" s="34" t="n">
        <x:f>G35/E35</x:f>
        <x:v>0.9968724748123386</x:v>
      </x:c>
      <x:c r="I35" s="34" t="n">
        <x:f>G35/F35</x:f>
        <x:v>0.12579675358076725</x:v>
      </x:c>
      <x:c r="J35" s="33" t="n">
        <x:f>E35/F35</x:f>
        <x:v>0.12619142042661827</x:v>
      </x:c>
      <x:c r="K35" s="25" t="b">
        <x:f>I35&gt;='Selection Rules'!$B$5</x:f>
        <x:v>0</x:v>
      </x:c>
      <x:c r="L35" s="25" t="n">
        <x:f>IF(AND(K35,J35&gt;='Selection Rules'!$B$6),1,0)</x:f>
        <x:v>0</x:v>
      </x:c>
      <x:c r="M35" s="25" t="n">
        <x:f>IF(AND(K35,J35&gt;='Selection Rules'!$B$7,J35&lt;'Selection Rules'!$B$6),1,0)</x:f>
        <x:v>0</x:v>
      </x:c>
    </x:row>
    <x:row r="36" ht="18" customHeight="1">
      <x:c r="A36" s="25" t="str">
        <x:v>EEZ_120</x:v>
      </x:c>
      <x:c r="B36" s="25" t="str">
        <x:v>Cameroon</x:v>
      </x:c>
      <x:c r="C36" s="25" t="str">
        <x:v>LME_028</x:v>
      </x:c>
      <x:c r="D36" s="25" t="str">
        <x:v>Guinea Current</x:v>
      </x:c>
      <x:c r="E36" s="32" t="n">
        <x:v>15340.603212116264</x:v>
      </x:c>
      <x:c r="F36" s="32" t="n">
        <x:v>1918690.5432233866</x:v>
      </x:c>
      <x:c r="G36" s="32" t="n">
        <x:v>14723.82416032674</x:v>
      </x:c>
      <x:c r="H36" s="34" t="n">
        <x:f>G36/E36</x:f>
        <x:v>0.9597943416395529</x:v>
      </x:c>
      <x:c r="I36" s="34" t="n">
        <x:f>G36/F36</x:f>
        <x:v>0.007673892078287319</x:v>
      </x:c>
      <x:c r="J36" s="33" t="n">
        <x:f>E36/F36</x:f>
        <x:v>0.007995350405148795</x:v>
      </x:c>
      <x:c r="K36" s="25" t="b">
        <x:f>I36&gt;='Selection Rules'!$B$5</x:f>
        <x:v>0</x:v>
      </x:c>
      <x:c r="L36" s="25" t="n">
        <x:f>IF(AND(K36,J36&gt;='Selection Rules'!$B$6),1,0)</x:f>
        <x:v>0</x:v>
      </x:c>
      <x:c r="M36" s="25" t="n">
        <x:f>IF(AND(K36,J36&gt;='Selection Rules'!$B$7,J36&lt;'Selection Rules'!$B$6),1,0)</x:f>
        <x:v>0</x:v>
      </x:c>
    </x:row>
    <x:row r="37" ht="18" customHeight="1">
      <x:c r="A37" s="25" t="str">
        <x:v>EEZ_132</x:v>
      </x:c>
      <x:c r="B37" s="25" t="str">
        <x:v>Cape Verde</x:v>
      </x:c>
      <x:c r="C37" s="25" t="str">
        <x:v>LME_027</x:v>
      </x:c>
      <x:c r="D37" s="25" t="str">
        <x:v>Canary Current</x:v>
      </x:c>
      <x:c r="E37" s="32" t="n">
        <x:v>796315.7467094944</x:v>
      </x:c>
      <x:c r="F37" s="32" t="n">
        <x:v>1123299.8683993171</x:v>
      </x:c>
      <x:c r="G37" s="32" t="n">
        <x:v>34675.69598091593</x:v>
      </x:c>
      <x:c r="H37" s="34" t="n">
        <x:f>G37/E37</x:f>
        <x:v>0.04354515922132838</x:v>
      </x:c>
      <x:c r="I37" s="34" t="n">
        <x:f>G37/F37</x:f>
        <x:v>0.030869491714913308</x:v>
      </x:c>
      <x:c r="J37" s="33" t="n">
        <x:f>E37/F37</x:f>
        <x:v>0.7089075402850625</x:v>
      </x:c>
      <x:c r="K37" s="25" t="b">
        <x:f>I37&gt;='Selection Rules'!$B$5</x:f>
        <x:v>0</x:v>
      </x:c>
      <x:c r="L37" s="25" t="n">
        <x:f>IF(AND(K37,J37&gt;='Selection Rules'!$B$6),1,0)</x:f>
        <x:v>0</x:v>
      </x:c>
      <x:c r="M37" s="25" t="n">
        <x:f>IF(AND(K37,J37&gt;='Selection Rules'!$B$7,J37&lt;'Selection Rules'!$B$6),1,0)</x:f>
        <x:v>0</x:v>
      </x:c>
    </x:row>
    <x:row r="38" ht="18" customHeight="1">
      <x:c r="A38" s="25" t="str">
        <x:v>EEZ_136</x:v>
      </x:c>
      <x:c r="B38" s="25" t="str">
        <x:v>Cayman Isl. (UK)</x:v>
      </x:c>
      <x:c r="C38" s="25" t="str">
        <x:v>LME_012</x:v>
      </x:c>
      <x:c r="D38" s="25" t="str">
        <x:v>Caribbean Sea</x:v>
      </x:c>
      <x:c r="E38" s="32" t="n">
        <x:v>120299.77201997675</x:v>
      </x:c>
      <x:c r="F38" s="32" t="n">
        <x:v>3262576.84767364</x:v>
      </x:c>
      <x:c r="G38" s="32" t="n">
        <x:v>120268.45821429986</x:v>
      </x:c>
      <x:c r="H38" s="34" t="n">
        <x:f>G38/E38</x:f>
        <x:v>0.9997397018701607</x:v>
      </x:c>
      <x:c r="I38" s="34" t="n">
        <x:f>G38/F38</x:f>
        <x:v>0.03686302693530622</x:v>
      </x:c>
      <x:c r="J38" s="33" t="n">
        <x:f>E38/F38</x:f>
        <x:v>0.03687262481058668</x:v>
      </x:c>
      <x:c r="K38" s="25" t="b">
        <x:f>I38&gt;='Selection Rules'!$B$5</x:f>
        <x:v>0</x:v>
      </x:c>
      <x:c r="L38" s="25" t="n">
        <x:f>IF(AND(K38,J38&gt;='Selection Rules'!$B$6),1,0)</x:f>
        <x:v>0</x:v>
      </x:c>
      <x:c r="M38" s="25" t="n">
        <x:f>IF(AND(K38,J38&gt;='Selection Rules'!$B$7,J38&lt;'Selection Rules'!$B$6),1,0)</x:f>
        <x:v>0</x:v>
      </x:c>
    </x:row>
    <x:row r="39" ht="18" customHeight="1">
      <x:c r="A39" s="25" t="str">
        <x:v>EEZ_144</x:v>
      </x:c>
      <x:c r="B39" s="25" t="str">
        <x:v>Sri Lanka</x:v>
      </x:c>
      <x:c r="C39" s="25" t="str">
        <x:v>LME_034</x:v>
      </x:c>
      <x:c r="D39" s="25" t="str">
        <x:v>Bay of Bengal</x:v>
      </x:c>
      <x:c r="E39" s="32" t="n">
        <x:v>530837.5864557527</x:v>
      </x:c>
      <x:c r="F39" s="32" t="n">
        <x:v>3664559.241537097</x:v>
      </x:c>
      <x:c r="G39" s="32" t="n">
        <x:v>395604.8393330295</x:v>
      </x:c>
      <x:c r="H39" s="34" t="n">
        <x:f>G39/E39</x:f>
        <x:v>0.7452464735482792</x:v>
      </x:c>
      <x:c r="I39" s="34" t="n">
        <x:f>G39/F39</x:f>
        <x:v>0.1079542758782345</x:v>
      </x:c>
      <x:c r="J39" s="33" t="n">
        <x:f>E39/F39</x:f>
        <x:v>0.14485714419316995</x:v>
      </x:c>
      <x:c r="K39" s="25" t="b">
        <x:f>I39&gt;='Selection Rules'!$B$5</x:f>
        <x:v>0</x:v>
      </x:c>
      <x:c r="L39" s="25" t="n">
        <x:f>IF(AND(K39,J39&gt;='Selection Rules'!$B$6),1,0)</x:f>
        <x:v>0</x:v>
      </x:c>
      <x:c r="M39" s="25" t="n">
        <x:f>IF(AND(K39,J39&gt;='Selection Rules'!$B$7,J39&lt;'Selection Rules'!$B$6),1,0)</x:f>
        <x:v>0</x:v>
      </x:c>
    </x:row>
    <x:row r="40" ht="18" customHeight="1">
      <x:c r="A40" s="25" t="str">
        <x:v>EEZ_152</x:v>
      </x:c>
      <x:c r="B40" s="25" t="str">
        <x:v>Chile (mainland)</x:v>
      </x:c>
      <x:c r="C40" s="25" t="str">
        <x:v>LME_013</x:v>
      </x:c>
      <x:c r="D40" s="25" t="str">
        <x:v>Humboldt Current</x:v>
      </x:c>
      <x:c r="E40" s="32" t="n">
        <x:v>1961185.5065139579</x:v>
      </x:c>
      <x:c r="F40" s="32" t="n">
        <x:v>2559648.0480429977</x:v>
      </x:c>
      <x:c r="G40" s="32" t="n">
        <x:v>1573025.8605883648</x:v>
      </x:c>
      <x:c r="H40" s="34" t="n">
        <x:f>G40/E40</x:f>
        <x:v>0.8020790768459463</x:v>
      </x:c>
      <x:c r="I40" s="34" t="n">
        <x:f>G40/F40</x:f>
        <x:v>0.6145477155701293</x:v>
      </x:c>
      <x:c r="J40" s="33" t="n">
        <x:f>E40/F40</x:f>
        <x:v>0.7661934256990527</x:v>
      </x:c>
      <x:c r="K40" s="25" t="b">
        <x:f>I40&gt;='Selection Rules'!$B$5</x:f>
        <x:v>0</x:v>
      </x:c>
      <x:c r="L40" s="25" t="n">
        <x:f>IF(AND(K40,J40&gt;='Selection Rules'!$B$6),1,0)</x:f>
        <x:v>0</x:v>
      </x:c>
      <x:c r="M40" s="25" t="n">
        <x:f>IF(AND(K40,J40&gt;='Selection Rules'!$B$7,J40&lt;'Selection Rules'!$B$6),1,0)</x:f>
        <x:v>0</x:v>
      </x:c>
    </x:row>
    <x:row r="41" ht="18" customHeight="1">
      <x:c r="A41" s="25" t="str">
        <x:v>EEZ_155</x:v>
      </x:c>
      <x:c r="B41" s="25" t="str">
        <x:v>Juan Fernandez Islands (Chile)</x:v>
      </x:c>
      <x:c r="C41" s="25" t="str">
        <x:v>LME_013</x:v>
      </x:c>
      <x:c r="D41" s="25" t="str">
        <x:v>Humboldt Current</x:v>
      </x:c>
      <x:c r="E41" s="32" t="n">
        <x:v>503102.73879556305</x:v>
      </x:c>
      <x:c r="F41" s="32" t="n">
        <x:v>2559648.0480429977</x:v>
      </x:c>
      <x:c r="G41" s="32" t="n">
        <x:v>4080.0904086684336</x:v>
      </x:c>
      <x:c r="H41" s="34" t="n">
        <x:f>G41/E41</x:f>
        <x:v>0.008109855292054746</x:v>
      </x:c>
      <x:c r="I41" s="34" t="n">
        <x:f>G41/F41</x:f>
        <x:v>0.0015940044615852184</x:v>
      </x:c>
      <x:c r="J41" s="33" t="n">
        <x:f>E41/F41</x:f>
        <x:v>0.19655152948867904</x:v>
      </x:c>
      <x:c r="K41" s="25" t="b">
        <x:f>I41&gt;='Selection Rules'!$B$5</x:f>
        <x:v>0</x:v>
      </x:c>
      <x:c r="L41" s="25" t="n">
        <x:f>IF(AND(K41,J41&gt;='Selection Rules'!$B$6),1,0)</x:f>
        <x:v>0</x:v>
      </x:c>
      <x:c r="M41" s="25" t="n">
        <x:f>IF(AND(K41,J41&gt;='Selection Rules'!$B$7,J41&lt;'Selection Rules'!$B$6),1,0)</x:f>
        <x:v>0</x:v>
      </x:c>
    </x:row>
    <x:row r="42" ht="18" customHeight="1">
      <x:c r="A42" s="25" t="str">
        <x:v>EEZ_156</x:v>
      </x:c>
      <x:c r="B42" s="25" t="str">
        <x:v>China</x:v>
      </x:c>
      <x:c r="C42" s="25" t="str">
        <x:v>LME_036</x:v>
      </x:c>
      <x:c r="D42" s="25" t="str">
        <x:v>South China Sea</x:v>
      </x:c>
      <x:c r="E42" s="32" t="n">
        <x:v>2613096.913290415</x:v>
      </x:c>
      <x:c r="F42" s="32" t="n">
        <x:v>3164824.0447257855</x:v>
      </x:c>
      <x:c r="G42" s="32" t="n">
        <x:v>1935791.4528600052</x:v>
      </x:c>
      <x:c r="H42" s="34" t="n">
        <x:f>G42/E42</x:f>
        <x:v>0.7408035434944715</x:v>
      </x:c>
      <x:c r="I42" s="34" t="n">
        <x:f>G42/F42</x:f>
        <x:v>0.6116584762701178</x:v>
      </x:c>
      <x:c r="J42" s="33" t="n">
        <x:f>E42/F42</x:f>
        <x:v>0.8256689396824983</x:v>
      </x:c>
      <x:c r="K42" s="25" t="b">
        <x:f>I42&gt;='Selection Rules'!$B$5</x:f>
        <x:v>0</x:v>
      </x:c>
      <x:c r="L42" s="25" t="n">
        <x:f>IF(AND(K42,J42&gt;='Selection Rules'!$B$6),1,0)</x:f>
        <x:v>0</x:v>
      </x:c>
      <x:c r="M42" s="25" t="n">
        <x:f>IF(AND(K42,J42&gt;='Selection Rules'!$B$7,J42&lt;'Selection Rules'!$B$6),1,0)</x:f>
        <x:v>0</x:v>
      </x:c>
    </x:row>
    <x:row r="43" ht="18" customHeight="1">
      <x:c r="A43" s="25" t="str">
        <x:v>EEZ_156</x:v>
      </x:c>
      <x:c r="B43" s="25" t="str">
        <x:v>China</x:v>
      </x:c>
      <x:c r="C43" s="25" t="str">
        <x:v>LME_047</x:v>
      </x:c>
      <x:c r="D43" s="25" t="str">
        <x:v>East China Sea</x:v>
      </x:c>
      <x:c r="E43" s="32" t="n">
        <x:v>2613096.913290415</x:v>
      </x:c>
      <x:c r="F43" s="32" t="n">
        <x:v>779660.4335896934</x:v>
      </x:c>
      <x:c r="G43" s="32" t="n">
        <x:v>368327.17432381824</x:v>
      </x:c>
      <x:c r="H43" s="34" t="n">
        <x:f>G43/E43</x:f>
        <x:v>0.1409542724766454</x:v>
      </x:c>
      <x:c r="I43" s="34" t="n">
        <x:f>G43/F43</x:f>
        <x:v>0.4724199901077131</x:v>
      </x:c>
      <x:c r="J43" s="33" t="n">
        <x:f>E43/F43</x:f>
        <x:v>3.3515833312962395</x:v>
      </x:c>
      <x:c r="K43" s="25" t="b">
        <x:f>I43&gt;='Selection Rules'!$B$5</x:f>
        <x:v>0</x:v>
      </x:c>
      <x:c r="L43" s="25" t="n">
        <x:f>IF(AND(K43,J43&gt;='Selection Rules'!$B$6),1,0)</x:f>
        <x:v>0</x:v>
      </x:c>
      <x:c r="M43" s="25" t="n">
        <x:f>IF(AND(K43,J43&gt;='Selection Rules'!$B$7,J43&lt;'Selection Rules'!$B$6),1,0)</x:f>
        <x:v>0</x:v>
      </x:c>
    </x:row>
    <x:row r="44" ht="18" customHeight="1">
      <x:c r="A44" s="25" t="str">
        <x:v>EEZ_156</x:v>
      </x:c>
      <x:c r="B44" s="25" t="str">
        <x:v>China</x:v>
      </x:c>
      <x:c r="C44" s="25" t="str">
        <x:v>LME_048</x:v>
      </x:c>
      <x:c r="D44" s="25" t="str">
        <x:v>Yellow Sea</x:v>
      </x:c>
      <x:c r="E44" s="32" t="n">
        <x:v>2613096.913290415</x:v>
      </x:c>
      <x:c r="F44" s="32" t="n">
        <x:v>440467.2676753383</x:v>
      </x:c>
      <x:c r="G44" s="32" t="n">
        <x:v>275894.2754332075</x:v>
      </x:c>
      <x:c r="H44" s="34" t="n">
        <x:f>G44/E44</x:f>
        <x:v>0.10558134068047292</x:v>
      </x:c>
      <x:c r="I44" s="34" t="n">
        <x:f>G44/F44</x:f>
        <x:v>0.6263672596815184</x:v>
      </x:c>
      <x:c r="J44" s="33" t="n">
        <x:f>E44/F44</x:f>
        <x:v>5.932556412379066</x:v>
      </x:c>
      <x:c r="K44" s="25" t="b">
        <x:f>I44&gt;='Selection Rules'!$B$5</x:f>
        <x:v>0</x:v>
      </x:c>
      <x:c r="L44" s="25" t="n">
        <x:f>IF(AND(K44,J44&gt;='Selection Rules'!$B$6),1,0)</x:f>
        <x:v>0</x:v>
      </x:c>
      <x:c r="M44" s="25" t="n">
        <x:f>IF(AND(K44,J44&gt;='Selection Rules'!$B$7,J44&lt;'Selection Rules'!$B$6),1,0)</x:f>
        <x:v>0</x:v>
      </x:c>
    </x:row>
    <x:row r="45" ht="18" customHeight="1">
      <x:c r="A45" s="25" t="str">
        <x:v>EEZ_156</x:v>
      </x:c>
      <x:c r="B45" s="25" t="str">
        <x:v>China</x:v>
      </x:c>
      <x:c r="C45" s="25" t="str">
        <x:v>LME_049</x:v>
      </x:c>
      <x:c r="D45" s="25" t="str">
        <x:v>Kuroshio Current</x:v>
      </x:c>
      <x:c r="E45" s="32" t="n">
        <x:v>2613096.913290415</x:v>
      </x:c>
      <x:c r="F45" s="32" t="n">
        <x:v>1320719.814467396</x:v>
      </x:c>
      <x:c r="G45" s="32" t="n">
        <x:v>27845.15545123965</x:v>
      </x:c>
      <x:c r="H45" s="34" t="n">
        <x:f>G45/E45</x:f>
        <x:v>0.010655997988293895</x:v>
      </x:c>
      <x:c r="I45" s="34" t="n">
        <x:f>G45/F45</x:f>
        <x:v>0.021083317707676484</x:v>
      </x:c>
      <x:c r="J45" s="33" t="n">
        <x:f>E45/F45</x:f>
        <x:v>1.9785399481904444</x:v>
      </x:c>
      <x:c r="K45" s="25" t="b">
        <x:f>I45&gt;='Selection Rules'!$B$5</x:f>
        <x:v>0</x:v>
      </x:c>
      <x:c r="L45" s="25" t="n">
        <x:f>IF(AND(K45,J45&gt;='Selection Rules'!$B$6),1,0)</x:f>
        <x:v>0</x:v>
      </x:c>
      <x:c r="M45" s="25" t="n">
        <x:f>IF(AND(K45,J45&gt;='Selection Rules'!$B$7,J45&lt;'Selection Rules'!$B$6),1,0)</x:f>
        <x:v>0</x:v>
      </x:c>
    </x:row>
    <x:row r="46" ht="18" customHeight="1">
      <x:c r="A46" s="25" t="str">
        <x:v>EEZ_157</x:v>
      </x:c>
      <x:c r="B46" s="25" t="str">
        <x:v>Taiwan</x:v>
      </x:c>
      <x:c r="C46" s="25" t="str">
        <x:v>LME_036</x:v>
      </x:c>
      <x:c r="D46" s="25" t="str">
        <x:v>South China Sea</x:v>
      </x:c>
      <x:c r="E46" s="32" t="n">
        <x:v>1147428.8675345082</x:v>
      </x:c>
      <x:c r="F46" s="32" t="n">
        <x:v>3164824.0447257855</x:v>
      </x:c>
      <x:c r="G46" s="32" t="n">
        <x:v>978320.554518573</x:v>
      </x:c>
      <x:c r="H46" s="34" t="n">
        <x:f>G46/E46</x:f>
        <x:v>0.8526197851555714</x:v>
      </x:c>
      <x:c r="I46" s="34" t="n">
        <x:f>G46/F46</x:f>
        <x:v>0.3091232058063244</x:v>
      </x:c>
      <x:c r="J46" s="33" t="n">
        <x:f>E46/F46</x:f>
        <x:v>0.3625569230133698</x:v>
      </x:c>
      <x:c r="K46" s="25" t="b">
        <x:f>I46&gt;='Selection Rules'!$B$5</x:f>
        <x:v>0</x:v>
      </x:c>
      <x:c r="L46" s="25" t="n">
        <x:f>IF(AND(K46,J46&gt;='Selection Rules'!$B$6),1,0)</x:f>
        <x:v>0</x:v>
      </x:c>
      <x:c r="M46" s="25" t="n">
        <x:f>IF(AND(K46,J46&gt;='Selection Rules'!$B$7,J46&lt;'Selection Rules'!$B$6),1,0)</x:f>
        <x:v>0</x:v>
      </x:c>
    </x:row>
    <x:row r="47" ht="18" customHeight="1">
      <x:c r="A47" s="25" t="str">
        <x:v>EEZ_157</x:v>
      </x:c>
      <x:c r="B47" s="25" t="str">
        <x:v>Taiwan</x:v>
      </x:c>
      <x:c r="C47" s="25" t="str">
        <x:v>LME_047</x:v>
      </x:c>
      <x:c r="D47" s="25" t="str">
        <x:v>East China Sea</x:v>
      </x:c>
      <x:c r="E47" s="32" t="n">
        <x:v>1147428.8675345082</x:v>
      </x:c>
      <x:c r="F47" s="32" t="n">
        <x:v>779660.4335896934</x:v>
      </x:c>
      <x:c r="G47" s="32" t="n">
        <x:v>120632.45718272497</x:v>
      </x:c>
      <x:c r="H47" s="34" t="n">
        <x:f>G47/E47</x:f>
        <x:v>0.10513284143001311</x:v>
      </x:c>
      <x:c r="I47" s="34" t="n">
        <x:f>G47/F47</x:f>
        <x:v>0.1547243543286043</x:v>
      </x:c>
      <x:c r="J47" s="33" t="n">
        <x:f>E47/F47</x:f>
        <x:v>1.4717033443027812</x:v>
      </x:c>
      <x:c r="K47" s="25" t="b">
        <x:f>I47&gt;='Selection Rules'!$B$5</x:f>
        <x:v>0</x:v>
      </x:c>
      <x:c r="L47" s="25" t="n">
        <x:f>IF(AND(K47,J47&gt;='Selection Rules'!$B$6),1,0)</x:f>
        <x:v>0</x:v>
      </x:c>
      <x:c r="M47" s="25" t="n">
        <x:f>IF(AND(K47,J47&gt;='Selection Rules'!$B$7,J47&lt;'Selection Rules'!$B$6),1,0)</x:f>
        <x:v>0</x:v>
      </x:c>
    </x:row>
    <x:row r="48" ht="18" customHeight="1">
      <x:c r="A48" s="25" t="str">
        <x:v>EEZ_157</x:v>
      </x:c>
      <x:c r="B48" s="25" t="str">
        <x:v>Taiwan</x:v>
      </x:c>
      <x:c r="C48" s="25" t="str">
        <x:v>LME_049</x:v>
      </x:c>
      <x:c r="D48" s="25" t="str">
        <x:v>Kuroshio Current</x:v>
      </x:c>
      <x:c r="E48" s="32" t="n">
        <x:v>1147428.8675345082</x:v>
      </x:c>
      <x:c r="F48" s="32" t="n">
        <x:v>1320719.814467396</x:v>
      </x:c>
      <x:c r="G48" s="32" t="n">
        <x:v>47336.25493201857</x:v>
      </x:c>
      <x:c r="H48" s="34" t="n">
        <x:f>G48/E48</x:f>
        <x:v>0.041254195594477634</x:v>
      </x:c>
      <x:c r="I48" s="34" t="n">
        <x:f>G48/F48</x:f>
        <x:v>0.035841254453434376</x:v>
      </x:c>
      <x:c r="J48" s="33" t="n">
        <x:f>E48/F48</x:f>
        <x:v>0.8687905299559919</x:v>
      </x:c>
      <x:c r="K48" s="25" t="b">
        <x:f>I48&gt;='Selection Rules'!$B$5</x:f>
        <x:v>0</x:v>
      </x:c>
      <x:c r="L48" s="25" t="n">
        <x:f>IF(AND(K48,J48&gt;='Selection Rules'!$B$6),1,0)</x:f>
        <x:v>0</x:v>
      </x:c>
      <x:c r="M48" s="25" t="n">
        <x:f>IF(AND(K48,J48&gt;='Selection Rules'!$B$7,J48&lt;'Selection Rules'!$B$6),1,0)</x:f>
        <x:v>0</x:v>
      </x:c>
    </x:row>
    <x:row r="49" ht="18" customHeight="1">
      <x:c r="A49" s="25" t="str">
        <x:v>EEZ_174</x:v>
      </x:c>
      <x:c r="B49" s="25" t="str">
        <x:v>Comoros Isl.</x:v>
      </x:c>
      <x:c r="C49" s="25" t="str">
        <x:v>LME_030</x:v>
      </x:c>
      <x:c r="D49" s="25" t="str">
        <x:v>Agulhas Current</x:v>
      </x:c>
      <x:c r="E49" s="32" t="n">
        <x:v>231439.09730520734</x:v>
      </x:c>
      <x:c r="F49" s="32" t="n">
        <x:v>2626846.36963807</x:v>
      </x:c>
      <x:c r="G49" s="32" t="n">
        <x:v>207669.7192454233</x:v>
      </x:c>
      <x:c r="H49" s="34" t="n">
        <x:f>G49/E49</x:f>
        <x:v>0.8972974819875033</x:v>
      </x:c>
      <x:c r="I49" s="34" t="n">
        <x:f>G49/F49</x:f>
        <x:v>0.07905666720586947</x:v>
      </x:c>
      <x:c r="J49" s="33" t="n">
        <x:f>E49/F49</x:f>
        <x:v>0.08810530375139346</x:v>
      </x:c>
      <x:c r="K49" s="25" t="b">
        <x:f>I49&gt;='Selection Rules'!$B$5</x:f>
        <x:v>0</x:v>
      </x:c>
      <x:c r="L49" s="25" t="n">
        <x:f>IF(AND(K49,J49&gt;='Selection Rules'!$B$6),1,0)</x:f>
        <x:v>0</x:v>
      </x:c>
      <x:c r="M49" s="25" t="n">
        <x:f>IF(AND(K49,J49&gt;='Selection Rules'!$B$7,J49&lt;'Selection Rules'!$B$6),1,0)</x:f>
        <x:v>0</x:v>
      </x:c>
    </x:row>
    <x:row r="50" ht="18" customHeight="1">
      <x:c r="A50" s="25" t="str">
        <x:v>EEZ_174</x:v>
      </x:c>
      <x:c r="B50" s="25" t="str">
        <x:v>Comoros Isl.</x:v>
      </x:c>
      <x:c r="C50" s="25" t="str">
        <x:v>LME_031</x:v>
      </x:c>
      <x:c r="D50" s="25" t="str">
        <x:v>Somali Coastal Current</x:v>
      </x:c>
      <x:c r="E50" s="32" t="n">
        <x:v>231439.09730520734</x:v>
      </x:c>
      <x:c r="F50" s="32" t="n">
        <x:v>840641.0911217374</x:v>
      </x:c>
      <x:c r="G50" s="32" t="n">
        <x:v>23223.484307484854</x:v>
      </x:c>
      <x:c r="H50" s="34" t="n">
        <x:f>G50/E50</x:f>
        <x:v>0.10034382512674245</x:v>
      </x:c>
      <x:c r="I50" s="34" t="n">
        <x:f>G50/F50</x:f>
        <x:v>0.02762592092244245</x:v>
      </x:c>
      <x:c r="J50" s="33" t="n">
        <x:f>E50/F50</x:f>
        <x:v>0.2753126152760138</x:v>
      </x:c>
      <x:c r="K50" s="25" t="b">
        <x:f>I50&gt;='Selection Rules'!$B$5</x:f>
        <x:v>0</x:v>
      </x:c>
      <x:c r="L50" s="25" t="n">
        <x:f>IF(AND(K50,J50&gt;='Selection Rules'!$B$6),1,0)</x:f>
        <x:v>0</x:v>
      </x:c>
      <x:c r="M50" s="25" t="n">
        <x:f>IF(AND(K50,J50&gt;='Selection Rules'!$B$7,J50&lt;'Selection Rules'!$B$6),1,0)</x:f>
        <x:v>0</x:v>
      </x:c>
    </x:row>
    <x:row r="51" ht="18" customHeight="1">
      <x:c r="A51" s="25" t="str">
        <x:v>EEZ_175</x:v>
      </x:c>
      <x:c r="B51" s="25" t="str">
        <x:v>Mayotte (France)</x:v>
      </x:c>
      <x:c r="C51" s="25" t="str">
        <x:v>LME_030</x:v>
      </x:c>
      <x:c r="D51" s="25" t="str">
        <x:v>Agulhas Current</x:v>
      </x:c>
      <x:c r="E51" s="32" t="n">
        <x:v>66564.53664489921</x:v>
      </x:c>
      <x:c r="F51" s="32" t="n">
        <x:v>2626846.36963807</x:v>
      </x:c>
      <x:c r="G51" s="32" t="n">
        <x:v>66506.09368664381</x:v>
      </x:c>
      <x:c r="H51" s="34" t="n">
        <x:f>G51/E51</x:f>
        <x:v>0.9991220105900057</x:v>
      </x:c>
      <x:c r="I51" s="34" t="n">
        <x:f>G51/F51</x:f>
        <x:v>0.02531784669836139</x:v>
      </x:c>
      <x:c r="J51" s="33" t="n">
        <x:f>E51/F51</x:f>
        <x:v>0.025340095033449007</x:v>
      </x:c>
      <x:c r="K51" s="25" t="b">
        <x:f>I51&gt;='Selection Rules'!$B$5</x:f>
        <x:v>0</x:v>
      </x:c>
      <x:c r="L51" s="25" t="n">
        <x:f>IF(AND(K51,J51&gt;='Selection Rules'!$B$6),1,0)</x:f>
        <x:v>0</x:v>
      </x:c>
      <x:c r="M51" s="25" t="n">
        <x:f>IF(AND(K51,J51&gt;='Selection Rules'!$B$7,J51&lt;'Selection Rules'!$B$6),1,0)</x:f>
        <x:v>0</x:v>
      </x:c>
    </x:row>
    <x:row r="52" ht="18" customHeight="1">
      <x:c r="A52" s="25" t="str">
        <x:v>EEZ_178</x:v>
      </x:c>
      <x:c r="B52" s="25" t="str">
        <x:v>Congo, R. of</x:v>
      </x:c>
      <x:c r="C52" s="25" t="str">
        <x:v>LME_028</x:v>
      </x:c>
      <x:c r="D52" s="25" t="str">
        <x:v>Guinea Current</x:v>
      </x:c>
      <x:c r="E52" s="32" t="n">
        <x:v>33792.9398921022</x:v>
      </x:c>
      <x:c r="F52" s="32" t="n">
        <x:v>1918690.5432233866</x:v>
      </x:c>
      <x:c r="G52" s="32" t="n">
        <x:v>33682.66997879706</x:v>
      </x:c>
      <x:c r="H52" s="34" t="n">
        <x:f>G52/E52</x:f>
        <x:v>0.9967368949355332</x:v>
      </x:c>
      <x:c r="I52" s="34" t="n">
        <x:f>G52/F52</x:f>
        <x:v>0.017555029964451907</x:v>
      </x:c>
      <x:c r="J52" s="33" t="n">
        <x:f>E52/F52</x:f>
        <x:v>0.01761250140699099</x:v>
      </x:c>
      <x:c r="K52" s="25" t="b">
        <x:f>I52&gt;='Selection Rules'!$B$5</x:f>
        <x:v>0</x:v>
      </x:c>
      <x:c r="L52" s="25" t="n">
        <x:f>IF(AND(K52,J52&gt;='Selection Rules'!$B$6),1,0)</x:f>
        <x:v>0</x:v>
      </x:c>
      <x:c r="M52" s="25" t="n">
        <x:f>IF(AND(K52,J52&gt;='Selection Rules'!$B$7,J52&lt;'Selection Rules'!$B$6),1,0)</x:f>
        <x:v>0</x:v>
      </x:c>
    </x:row>
    <x:row r="53" ht="18" customHeight="1">
      <x:c r="A53" s="25" t="str">
        <x:v>EEZ_180</x:v>
      </x:c>
      <x:c r="B53" s="25" t="str">
        <x:v>Congo (ex-Zaire)</x:v>
      </x:c>
      <x:c r="C53" s="25" t="str">
        <x:v>LME_028</x:v>
      </x:c>
      <x:c r="D53" s="25" t="str">
        <x:v>Guinea Current</x:v>
      </x:c>
      <x:c r="E53" s="32" t="n">
        <x:v>13151.36244471965</x:v>
      </x:c>
      <x:c r="F53" s="32" t="n">
        <x:v>1918690.5432233866</x:v>
      </x:c>
      <x:c r="G53" s="32" t="n">
        <x:v>11529.609127449234</x:v>
      </x:c>
      <x:c r="H53" s="34" t="n">
        <x:f>G53/E53</x:f>
        <x:v>0.8766855278996922</x:v>
      </x:c>
      <x:c r="I53" s="34" t="n">
        <x:f>G53/F53</x:f>
        <x:v>0.006009103014642253</x:v>
      </x:c>
      <x:c r="J53" s="33" t="n">
        <x:f>E53/F53</x:f>
        <x:v>0.006854342661545334</x:v>
      </x:c>
      <x:c r="K53" s="25" t="b">
        <x:f>I53&gt;='Selection Rules'!$B$5</x:f>
        <x:v>0</x:v>
      </x:c>
      <x:c r="L53" s="25" t="n">
        <x:f>IF(AND(K53,J53&gt;='Selection Rules'!$B$6),1,0)</x:f>
        <x:v>0</x:v>
      </x:c>
      <x:c r="M53" s="25" t="n">
        <x:f>IF(AND(K53,J53&gt;='Selection Rules'!$B$7,J53&lt;'Selection Rules'!$B$6),1,0)</x:f>
        <x:v>0</x:v>
      </x:c>
    </x:row>
    <x:row r="54" ht="18" customHeight="1">
      <x:c r="A54" s="25" t="str">
        <x:v>EEZ_180</x:v>
      </x:c>
      <x:c r="B54" s="25" t="str">
        <x:v>Congo (ex-Zaire)</x:v>
      </x:c>
      <x:c r="C54" s="25" t="str">
        <x:v>LME_029</x:v>
      </x:c>
      <x:c r="D54" s="25" t="str">
        <x:v>Benguela Current</x:v>
      </x:c>
      <x:c r="E54" s="32" t="n">
        <x:v>13151.36244471965</x:v>
      </x:c>
      <x:c r="F54" s="32" t="n">
        <x:v>1458156.5656590832</x:v>
      </x:c>
      <x:c r="G54" s="32" t="n">
        <x:v>1569.6286691438181</x:v>
      </x:c>
      <x:c r="H54" s="34" t="n">
        <x:f>G54/E54</x:f>
        <x:v>0.11935103117578766</x:v>
      </x:c>
      <x:c r="I54" s="34" t="n">
        <x:f>G54/F54</x:f>
        <x:v>0.0010764472801549606</x:v>
      </x:c>
      <x:c r="J54" s="33" t="n">
        <x:f>E54/F54</x:f>
        <x:v>0.009019170337703254</x:v>
      </x:c>
      <x:c r="K54" s="25" t="b">
        <x:f>I54&gt;='Selection Rules'!$B$5</x:f>
        <x:v>0</x:v>
      </x:c>
      <x:c r="L54" s="25" t="n">
        <x:f>IF(AND(K54,J54&gt;='Selection Rules'!$B$6),1,0)</x:f>
        <x:v>0</x:v>
      </x:c>
      <x:c r="M54" s="25" t="n">
        <x:f>IF(AND(K54,J54&gt;='Selection Rules'!$B$7,J54&lt;'Selection Rules'!$B$6),1,0)</x:f>
        <x:v>0</x:v>
      </x:c>
    </x:row>
    <x:row r="55" ht="18" customHeight="1">
      <x:c r="A55" s="25" t="str">
        <x:v>EEZ_191</x:v>
      </x:c>
      <x:c r="B55" s="25" t="str">
        <x:v>Croatia</x:v>
      </x:c>
      <x:c r="C55" s="25" t="str">
        <x:v>LME_026</x:v>
      </x:c>
      <x:c r="D55" s="25" t="str">
        <x:v>Mediterranean Sea</x:v>
      </x:c>
      <x:c r="E55" s="32" t="n">
        <x:v>56134.81411396706</x:v>
      </x:c>
      <x:c r="F55" s="32" t="n">
        <x:v>2527801.206996367</x:v>
      </x:c>
      <x:c r="G55" s="32" t="n">
        <x:v>55724.960883408385</x:v>
      </x:c>
      <x:c r="H55" s="34" t="n">
        <x:f>G55/E55</x:f>
        <x:v>0.99269876925705</x:v>
      </x:c>
      <x:c r="I55" s="34" t="n">
        <x:f>G55/F55</x:f>
        <x:v>0.02204483514335488</x:v>
      </x:c>
      <x:c r="J55" s="33" t="n">
        <x:f>E55/F55</x:f>
        <x:v>0.022206973380105577</x:v>
      </x:c>
      <x:c r="K55" s="25" t="b">
        <x:f>I55&gt;='Selection Rules'!$B$5</x:f>
        <x:v>0</x:v>
      </x:c>
      <x:c r="L55" s="25" t="n">
        <x:f>IF(AND(K55,J55&gt;='Selection Rules'!$B$6),1,0)</x:f>
        <x:v>0</x:v>
      </x:c>
      <x:c r="M55" s="25" t="n">
        <x:f>IF(AND(K55,J55&gt;='Selection Rules'!$B$7,J55&lt;'Selection Rules'!$B$6),1,0)</x:f>
        <x:v>0</x:v>
      </x:c>
    </x:row>
    <x:row r="56" ht="18" customHeight="1">
      <x:c r="A56" s="25" t="str">
        <x:v>EEZ_192</x:v>
      </x:c>
      <x:c r="B56" s="25" t="str">
        <x:v>Cuba</x:v>
      </x:c>
      <x:c r="C56" s="25" t="str">
        <x:v>LME_005</x:v>
      </x:c>
      <x:c r="D56" s="25" t="str">
        <x:v>Gulf of Mexico</x:v>
      </x:c>
      <x:c r="E56" s="32" t="n">
        <x:v>352563.4221543121</x:v>
      </x:c>
      <x:c r="F56" s="32" t="n">
        <x:v>1532439.5578843302</x:v>
      </x:c>
      <x:c r="G56" s="32" t="n">
        <x:v>55950.46593810242</x:v>
      </x:c>
      <x:c r="H56" s="34" t="n">
        <x:f>G56/E56</x:f>
        <x:v>0.15869617329052838</x:v>
      </x:c>
      <x:c r="I56" s="34" t="n">
        <x:f>G56/F56</x:f>
        <x:v>0.0365107162956215</x:v>
      </x:c>
      <x:c r="J56" s="33" t="n">
        <x:f>E56/F56</x:f>
        <x:v>0.23006677186084742</x:v>
      </x:c>
      <x:c r="K56" s="25" t="b">
        <x:f>I56&gt;='Selection Rules'!$B$5</x:f>
        <x:v>0</x:v>
      </x:c>
      <x:c r="L56" s="25" t="n">
        <x:f>IF(AND(K56,J56&gt;='Selection Rules'!$B$6),1,0)</x:f>
        <x:v>0</x:v>
      </x:c>
      <x:c r="M56" s="25" t="n">
        <x:f>IF(AND(K56,J56&gt;='Selection Rules'!$B$7,J56&lt;'Selection Rules'!$B$6),1,0)</x:f>
        <x:v>0</x:v>
      </x:c>
    </x:row>
    <x:row r="57" ht="18" customHeight="1">
      <x:c r="A57" s="25" t="str">
        <x:v>EEZ_192</x:v>
      </x:c>
      <x:c r="B57" s="25" t="str">
        <x:v>Cuba</x:v>
      </x:c>
      <x:c r="C57" s="25" t="str">
        <x:v>LME_012</x:v>
      </x:c>
      <x:c r="D57" s="25" t="str">
        <x:v>Caribbean Sea</x:v>
      </x:c>
      <x:c r="E57" s="32" t="n">
        <x:v>352563.4221543121</x:v>
      </x:c>
      <x:c r="F57" s="32" t="n">
        <x:v>3262576.84767364</x:v>
      </x:c>
      <x:c r="G57" s="32" t="n">
        <x:v>294911.29173012835</x:v>
      </x:c>
      <x:c r="H57" s="34" t="n">
        <x:f>G57/E57</x:f>
        <x:v>0.8364772781251533</x:v>
      </x:c>
      <x:c r="I57" s="34" t="n">
        <x:f>G57/F57</x:f>
        <x:v>0.0903921364918693</x:v>
      </x:c>
      <x:c r="J57" s="33" t="n">
        <x:f>E57/F57</x:f>
        <x:v>0.1080628713483654</x:v>
      </x:c>
      <x:c r="K57" s="25" t="b">
        <x:f>I57&gt;='Selection Rules'!$B$5</x:f>
        <x:v>0</x:v>
      </x:c>
      <x:c r="L57" s="25" t="n">
        <x:f>IF(AND(K57,J57&gt;='Selection Rules'!$B$6),1,0)</x:f>
        <x:v>0</x:v>
      </x:c>
      <x:c r="M57" s="25" t="n">
        <x:f>IF(AND(K57,J57&gt;='Selection Rules'!$B$7,J57&lt;'Selection Rules'!$B$6),1,0)</x:f>
        <x:v>0</x:v>
      </x:c>
    </x:row>
    <x:row r="58" ht="18" customHeight="1">
      <x:c r="A58" s="25" t="str">
        <x:v>EEZ_197</x:v>
      </x:c>
      <x:c r="B58" s="25" t="str">
        <x:v>Cyprus (North)</x:v>
      </x:c>
      <x:c r="C58" s="25" t="str">
        <x:v>LME_026</x:v>
      </x:c>
      <x:c r="D58" s="25" t="str">
        <x:v>Mediterranean Sea</x:v>
      </x:c>
      <x:c r="E58" s="32" t="n">
        <x:v>17555.247741041076</x:v>
      </x:c>
      <x:c r="F58" s="32" t="n">
        <x:v>2527801.206996367</x:v>
      </x:c>
      <x:c r="G58" s="32" t="n">
        <x:v>17474.78948393912</x:v>
      </x:c>
      <x:c r="H58" s="34" t="n">
        <x:f>G58/E58</x:f>
        <x:v>0.9954168543623648</x:v>
      </x:c>
      <x:c r="I58" s="34" t="n">
        <x:f>G58/F58</x:f>
        <x:v>0.0069130394572061125</x:v>
      </x:c>
      <x:c r="J58" s="33" t="n">
        <x:f>E58/F58</x:f>
        <x:v>0.006944868802361604</x:v>
      </x:c>
      <x:c r="K58" s="25" t="b">
        <x:f>I58&gt;='Selection Rules'!$B$5</x:f>
        <x:v>0</x:v>
      </x:c>
      <x:c r="L58" s="25" t="n">
        <x:f>IF(AND(K58,J58&gt;='Selection Rules'!$B$6),1,0)</x:f>
        <x:v>0</x:v>
      </x:c>
      <x:c r="M58" s="25" t="n">
        <x:f>IF(AND(K58,J58&gt;='Selection Rules'!$B$7,J58&lt;'Selection Rules'!$B$6),1,0)</x:f>
        <x:v>0</x:v>
      </x:c>
    </x:row>
    <x:row r="59" ht="18" customHeight="1">
      <x:c r="A59" s="25" t="str">
        <x:v>EEZ_198</x:v>
      </x:c>
      <x:c r="B59" s="25" t="str">
        <x:v>Cyprus (South)</x:v>
      </x:c>
      <x:c r="C59" s="25" t="str">
        <x:v>LME_026</x:v>
      </x:c>
      <x:c r="D59" s="25" t="str">
        <x:v>Mediterranean Sea</x:v>
      </x:c>
      <x:c r="E59" s="32" t="n">
        <x:v>80948.3455476028</x:v>
      </x:c>
      <x:c r="F59" s="32" t="n">
        <x:v>2527801.206996367</x:v>
      </x:c>
      <x:c r="G59" s="32" t="n">
        <x:v>80803.57254860135</x:v>
      </x:c>
      <x:c r="H59" s="34" t="n">
        <x:f>G59/E59</x:f>
        <x:v>0.9982115385061661</x:v>
      </x:c>
      <x:c r="I59" s="34" t="n">
        <x:f>G59/F59</x:f>
        <x:v>0.0319659521978848</x:v>
      </x:c>
      <x:c r="J59" s="33" t="n">
        <x:f>E59/F59</x:f>
        <x:v>0.03202322450181469</x:v>
      </x:c>
      <x:c r="K59" s="25" t="b">
        <x:f>I59&gt;='Selection Rules'!$B$5</x:f>
        <x:v>0</x:v>
      </x:c>
      <x:c r="L59" s="25" t="n">
        <x:f>IF(AND(K59,J59&gt;='Selection Rules'!$B$6),1,0)</x:f>
        <x:v>0</x:v>
      </x:c>
      <x:c r="M59" s="25" t="n">
        <x:f>IF(AND(K59,J59&gt;='Selection Rules'!$B$7,J59&lt;'Selection Rules'!$B$6),1,0)</x:f>
        <x:v>0</x:v>
      </x:c>
    </x:row>
    <x:row r="60" ht="18" customHeight="1">
      <x:c r="A60" s="25" t="str">
        <x:v>EEZ_204</x:v>
      </x:c>
      <x:c r="B60" s="25" t="str">
        <x:v>Benin</x:v>
      </x:c>
      <x:c r="C60" s="25" t="str">
        <x:v>LME_028</x:v>
      </x:c>
      <x:c r="D60" s="25" t="str">
        <x:v>Guinea Current</x:v>
      </x:c>
      <x:c r="E60" s="32" t="n">
        <x:v>35693.59622507248</x:v>
      </x:c>
      <x:c r="F60" s="32" t="n">
        <x:v>1918690.5432233866</x:v>
      </x:c>
      <x:c r="G60" s="32" t="n">
        <x:v>35439.778364044076</x:v>
      </x:c>
      <x:c r="H60" s="34" t="n">
        <x:f>G60/E60</x:f>
        <x:v>0.9928889804370535</x:v>
      </x:c>
      <x:c r="I60" s="34" t="n">
        <x:f>G60/F60</x:f>
        <x:v>0.018470815155270166</x:v>
      </x:c>
      <x:c r="J60" s="33" t="n">
        <x:f>E60/F60</x:f>
        <x:v>0.01860310217879507</x:v>
      </x:c>
      <x:c r="K60" s="25" t="b">
        <x:f>I60&gt;='Selection Rules'!$B$5</x:f>
        <x:v>0</x:v>
      </x:c>
      <x:c r="L60" s="25" t="n">
        <x:f>IF(AND(K60,J60&gt;='Selection Rules'!$B$6),1,0)</x:f>
        <x:v>0</x:v>
      </x:c>
      <x:c r="M60" s="25" t="n">
        <x:f>IF(AND(K60,J60&gt;='Selection Rules'!$B$7,J60&lt;'Selection Rules'!$B$6),1,0)</x:f>
        <x:v>0</x:v>
      </x:c>
    </x:row>
    <x:row r="61" ht="18" customHeight="1">
      <x:c r="A61" s="25" t="str">
        <x:v>EEZ_212</x:v>
      </x:c>
      <x:c r="B61" s="25" t="str">
        <x:v>Dominica</x:v>
      </x:c>
      <x:c r="C61" s="25" t="str">
        <x:v>LME_012</x:v>
      </x:c>
      <x:c r="D61" s="25" t="str">
        <x:v>Caribbean Sea</x:v>
      </x:c>
      <x:c r="E61" s="32" t="n">
        <x:v>28621.6644516181</x:v>
      </x:c>
      <x:c r="F61" s="32" t="n">
        <x:v>3262576.84767364</x:v>
      </x:c>
      <x:c r="G61" s="32" t="n">
        <x:v>15849.358869789028</x:v>
      </x:c>
      <x:c r="H61" s="34" t="n">
        <x:f>G61/E61</x:f>
        <x:v>0.5537539193983877</x:v>
      </x:c>
      <x:c r="I61" s="34" t="n">
        <x:f>G61/F61</x:f>
        <x:v>0.004857926605189488</x:v>
      </x:c>
      <x:c r="J61" s="33" t="n">
        <x:f>E61/F61</x:f>
        <x:v>0.008772717329869669</x:v>
      </x:c>
      <x:c r="K61" s="25" t="b">
        <x:f>I61&gt;='Selection Rules'!$B$5</x:f>
        <x:v>0</x:v>
      </x:c>
      <x:c r="L61" s="25" t="n">
        <x:f>IF(AND(K61,J61&gt;='Selection Rules'!$B$6),1,0)</x:f>
        <x:v>0</x:v>
      </x:c>
      <x:c r="M61" s="25" t="n">
        <x:f>IF(AND(K61,J61&gt;='Selection Rules'!$B$7,J61&lt;'Selection Rules'!$B$6),1,0)</x:f>
        <x:v>0</x:v>
      </x:c>
    </x:row>
    <x:row r="62" ht="18" customHeight="1">
      <x:c r="A62" s="25" t="str">
        <x:v>EEZ_214</x:v>
      </x:c>
      <x:c r="B62" s="25" t="str">
        <x:v>Dominican Republic</x:v>
      </x:c>
      <x:c r="C62" s="25" t="str">
        <x:v>LME_012</x:v>
      </x:c>
      <x:c r="D62" s="25" t="str">
        <x:v>Caribbean Sea</x:v>
      </x:c>
      <x:c r="E62" s="32" t="n">
        <x:v>377566.62882686494</x:v>
      </x:c>
      <x:c r="F62" s="32" t="n">
        <x:v>3262576.84767364</x:v>
      </x:c>
      <x:c r="G62" s="32" t="n">
        <x:v>232051.7406143485</x:v>
      </x:c>
      <x:c r="H62" s="34" t="n">
        <x:f>G62/E62</x:f>
        <x:v>0.614598120960412</x:v>
      </x:c>
      <x:c r="I62" s="34" t="n">
        <x:f>G62/F62</x:f>
        <x:v>0.07112529495812843</x:v>
      </x:c>
      <x:c r="J62" s="33" t="n">
        <x:f>E62/F62</x:f>
        <x:v>0.11572650896976923</x:v>
      </x:c>
      <x:c r="K62" s="25" t="b">
        <x:f>I62&gt;='Selection Rules'!$B$5</x:f>
        <x:v>0</x:v>
      </x:c>
      <x:c r="L62" s="25" t="n">
        <x:f>IF(AND(K62,J62&gt;='Selection Rules'!$B$6),1,0)</x:f>
        <x:v>0</x:v>
      </x:c>
      <x:c r="M62" s="25" t="n">
        <x:f>IF(AND(K62,J62&gt;='Selection Rules'!$B$7,J62&lt;'Selection Rules'!$B$6),1,0)</x:f>
        <x:v>0</x:v>
      </x:c>
    </x:row>
    <x:row r="63" ht="18" customHeight="1">
      <x:c r="A63" s="25" t="str">
        <x:v>EEZ_218</x:v>
      </x:c>
      <x:c r="B63" s="25" t="str">
        <x:v>Ecuador (mainland)</x:v>
      </x:c>
      <x:c r="C63" s="25" t="str">
        <x:v>LME_011</x:v>
      </x:c>
      <x:c r="D63" s="25" t="str">
        <x:v>Pacific Central-American Coastal</x:v>
      </x:c>
      <x:c r="E63" s="32" t="n">
        <x:v>234368.6690185131</x:v>
      </x:c>
      <x:c r="F63" s="32" t="n">
        <x:v>1981662.465291764</x:v>
      </x:c>
      <x:c r="G63" s="32" t="n">
        <x:v>138902.81774784098</x:v>
      </x:c>
      <x:c r="H63" s="34" t="n">
        <x:f>G63/E63</x:f>
        <x:v>0.5926680316508895</x:v>
      </x:c>
      <x:c r="I63" s="34" t="n">
        <x:f>G63/F63</x:f>
        <x:v>0.07009408523433382</x:v>
      </x:c>
      <x:c r="J63" s="33" t="n">
        <x:f>E63/F63</x:f>
        <x:v>0.1182687128223961</x:v>
      </x:c>
      <x:c r="K63" s="25" t="b">
        <x:f>I63&gt;='Selection Rules'!$B$5</x:f>
        <x:v>0</x:v>
      </x:c>
      <x:c r="L63" s="25" t="n">
        <x:f>IF(AND(K63,J63&gt;='Selection Rules'!$B$6),1,0)</x:f>
        <x:v>0</x:v>
      </x:c>
      <x:c r="M63" s="25" t="n">
        <x:f>IF(AND(K63,J63&gt;='Selection Rules'!$B$7,J63&lt;'Selection Rules'!$B$6),1,0)</x:f>
        <x:v>0</x:v>
      </x:c>
    </x:row>
    <x:row r="64" ht="18" customHeight="1">
      <x:c r="A64" s="25" t="str">
        <x:v>EEZ_222</x:v>
      </x:c>
      <x:c r="B64" s="25" t="str">
        <x:v>El Salvador</x:v>
      </x:c>
      <x:c r="C64" s="25" t="str">
        <x:v>LME_011</x:v>
      </x:c>
      <x:c r="D64" s="25" t="str">
        <x:v>Pacific Central-American Coastal</x:v>
      </x:c>
      <x:c r="E64" s="32" t="n">
        <x:v>94248.68859363357</x:v>
      </x:c>
      <x:c r="F64" s="32" t="n">
        <x:v>1981662.465291764</x:v>
      </x:c>
      <x:c r="G64" s="32" t="n">
        <x:v>88848.93824858099</x:v>
      </x:c>
      <x:c r="H64" s="34" t="n">
        <x:f>G64/E64</x:f>
        <x:v>0.9427074219744918</x:v>
      </x:c>
      <x:c r="I64" s="34" t="n">
        <x:f>G64/F64</x:f>
        <x:v>0.044835555905581324</x:v>
      </x:c>
      <x:c r="J64" s="33" t="n">
        <x:f>E64/F64</x:f>
        <x:v>0.04756041467423019</x:v>
      </x:c>
      <x:c r="K64" s="25" t="b">
        <x:f>I64&gt;='Selection Rules'!$B$5</x:f>
        <x:v>0</x:v>
      </x:c>
      <x:c r="L64" s="25" t="n">
        <x:f>IF(AND(K64,J64&gt;='Selection Rules'!$B$6),1,0)</x:f>
        <x:v>0</x:v>
      </x:c>
      <x:c r="M64" s="25" t="n">
        <x:f>IF(AND(K64,J64&gt;='Selection Rules'!$B$7,J64&lt;'Selection Rules'!$B$6),1,0)</x:f>
        <x:v>0</x:v>
      </x:c>
    </x:row>
    <x:row r="65" ht="18" customHeight="1">
      <x:c r="A65" s="25" t="str">
        <x:v>EEZ_226</x:v>
      </x:c>
      <x:c r="B65" s="25" t="str">
        <x:v>Equatorial Guinea</x:v>
      </x:c>
      <x:c r="C65" s="25" t="str">
        <x:v>LME_028</x:v>
      </x:c>
      <x:c r="D65" s="25" t="str">
        <x:v>Guinea Current</x:v>
      </x:c>
      <x:c r="E65" s="32" t="n">
        <x:v>302959.3278481262</x:v>
      </x:c>
      <x:c r="F65" s="32" t="n">
        <x:v>1918690.5432233866</x:v>
      </x:c>
      <x:c r="G65" s="32" t="n">
        <x:v>79558.89955054523</x:v>
      </x:c>
      <x:c r="H65" s="34" t="n">
        <x:f>G65/E65</x:f>
        <x:v>0.2626058755663341</x:v>
      </x:c>
      <x:c r="I65" s="34" t="n">
        <x:f>G65/F65</x:f>
        <x:v>0.04146520648237878</x:v>
      </x:c>
      <x:c r="J65" s="33" t="n">
        <x:f>E65/F65</x:f>
        <x:v>0.15789900508872923</x:v>
      </x:c>
      <x:c r="K65" s="25" t="b">
        <x:f>I65&gt;='Selection Rules'!$B$5</x:f>
        <x:v>0</x:v>
      </x:c>
      <x:c r="L65" s="25" t="n">
        <x:f>IF(AND(K65,J65&gt;='Selection Rules'!$B$6),1,0)</x:f>
        <x:v>0</x:v>
      </x:c>
      <x:c r="M65" s="25" t="n">
        <x:f>IF(AND(K65,J65&gt;='Selection Rules'!$B$7,J65&lt;'Selection Rules'!$B$6),1,0)</x:f>
        <x:v>0</x:v>
      </x:c>
    </x:row>
    <x:row r="66" ht="18" customHeight="1">
      <x:c r="A66" s="25" t="str">
        <x:v>EEZ_233</x:v>
      </x:c>
      <x:c r="B66" s="25" t="str">
        <x:v>Estonia</x:v>
      </x:c>
      <x:c r="C66" s="25" t="str">
        <x:v>LME_023</x:v>
      </x:c>
      <x:c r="D66" s="25" t="str">
        <x:v>Baltic Sea</x:v>
      </x:c>
      <x:c r="E66" s="32" t="n">
        <x:v>36339.615107312</x:v>
      </x:c>
      <x:c r="F66" s="32" t="n">
        <x:v>396444.90371621336</x:v>
      </x:c>
      <x:c r="G66" s="32" t="n">
        <x:v>35687.41928133159</x:v>
      </x:c>
      <x:c r="H66" s="34" t="n">
        <x:f>G66/E66</x:f>
        <x:v>0.9820527591155147</x:v>
      </x:c>
      <x:c r="I66" s="34" t="n">
        <x:f>G66/F66</x:f>
        <x:v>0.09001861027043917</x:v>
      </x:c>
      <x:c r="J66" s="33" t="n">
        <x:f>E66/F66</x:f>
        <x:v>0.09166372115436484</x:v>
      </x:c>
      <x:c r="K66" s="25" t="b">
        <x:f>I66&gt;='Selection Rules'!$B$5</x:f>
        <x:v>0</x:v>
      </x:c>
      <x:c r="L66" s="25" t="n">
        <x:f>IF(AND(K66,J66&gt;='Selection Rules'!$B$6),1,0)</x:f>
        <x:v>0</x:v>
      </x:c>
      <x:c r="M66" s="25" t="n">
        <x:f>IF(AND(K66,J66&gt;='Selection Rules'!$B$7,J66&lt;'Selection Rules'!$B$6),1,0)</x:f>
        <x:v>0</x:v>
      </x:c>
    </x:row>
    <x:row r="67" ht="18" customHeight="1">
      <x:c r="A67" s="25" t="str">
        <x:v>EEZ_234</x:v>
      </x:c>
      <x:c r="B67" s="25" t="str">
        <x:v>Faeroe Isl. (Denmark)</x:v>
      </x:c>
      <x:c r="C67" s="25" t="str">
        <x:v>LME_021</x:v>
      </x:c>
      <x:c r="D67" s="25" t="str">
        <x:v>Norwegian Sea</x:v>
      </x:c>
      <x:c r="E67" s="32" t="n">
        <x:v>272076.4346233961</x:v>
      </x:c>
      <x:c r="F67" s="32" t="n">
        <x:v>1060118.1873210357</x:v>
      </x:c>
      <x:c r="G67" s="32" t="n">
        <x:v>94933.04425191596</x:v>
      </x:c>
      <x:c r="H67" s="34" t="n">
        <x:f>G67/E67</x:f>
        <x:v>0.34892049501942635</x:v>
      </x:c>
      <x:c r="I67" s="34" t="n">
        <x:f>G67/F67</x:f>
        <x:v>0.08954949116741016</x:v>
      </x:c>
      <x:c r="J67" s="33" t="n">
        <x:f>E67/F67</x:f>
        <x:v>0.25664726619863487</x:v>
      </x:c>
      <x:c r="K67" s="25" t="b">
        <x:f>I67&gt;='Selection Rules'!$B$5</x:f>
        <x:v>0</x:v>
      </x:c>
      <x:c r="L67" s="25" t="n">
        <x:f>IF(AND(K67,J67&gt;='Selection Rules'!$B$6),1,0)</x:f>
        <x:v>0</x:v>
      </x:c>
      <x:c r="M67" s="25" t="n">
        <x:f>IF(AND(K67,J67&gt;='Selection Rules'!$B$7,J67&lt;'Selection Rules'!$B$6),1,0)</x:f>
        <x:v>0</x:v>
      </x:c>
    </x:row>
    <x:row r="68" ht="18" customHeight="1">
      <x:c r="A68" s="25" t="str">
        <x:v>EEZ_234</x:v>
      </x:c>
      <x:c r="B68" s="25" t="str">
        <x:v>Faeroe Isl. (Denmark)</x:v>
      </x:c>
      <x:c r="C68" s="25" t="str">
        <x:v>LME_022</x:v>
      </x:c>
      <x:c r="D68" s="25" t="str">
        <x:v>North Sea</x:v>
      </x:c>
      <x:c r="E68" s="32" t="n">
        <x:v>272076.4346233961</x:v>
      </x:c>
      <x:c r="F68" s="32" t="n">
        <x:v>696532.8905595425</x:v>
      </x:c>
      <x:c r="G68" s="32" t="n">
        <x:v>9684.77154168385</x:v>
      </x:c>
      <x:c r="H68" s="34" t="n">
        <x:f>G68/E68</x:f>
        <x:v>0.03559577497069659</x:v>
      </x:c>
      <x:c r="I68" s="34" t="n">
        <x:f>G68/F68</x:f>
        <x:v>0.013904255883600598</x:v>
      </x:c>
      <x:c r="J68" s="33" t="n">
        <x:f>E68/F68</x:f>
        <x:v>0.3906153439571679</x:v>
      </x:c>
      <x:c r="K68" s="25" t="b">
        <x:f>I68&gt;='Selection Rules'!$B$5</x:f>
        <x:v>0</x:v>
      </x:c>
      <x:c r="L68" s="25" t="n">
        <x:f>IF(AND(K68,J68&gt;='Selection Rules'!$B$6),1,0)</x:f>
        <x:v>0</x:v>
      </x:c>
      <x:c r="M68" s="25" t="n">
        <x:f>IF(AND(K68,J68&gt;='Selection Rules'!$B$7,J68&lt;'Selection Rules'!$B$6),1,0)</x:f>
        <x:v>0</x:v>
      </x:c>
    </x:row>
    <x:row r="69" ht="18" customHeight="1">
      <x:c r="A69" s="25" t="str">
        <x:v>EEZ_234</x:v>
      </x:c>
      <x:c r="B69" s="25" t="str">
        <x:v>Faeroe Isl. (Denmark)</x:v>
      </x:c>
      <x:c r="C69" s="25" t="str">
        <x:v>LME_059</x:v>
      </x:c>
      <x:c r="D69" s="25" t="str">
        <x:v>Iceland Shelf and Sea</x:v>
      </x:c>
      <x:c r="E69" s="32" t="n">
        <x:v>272076.4346233961</x:v>
      </x:c>
      <x:c r="F69" s="32" t="n">
        <x:v>480787.1636455053</x:v>
      </x:c>
      <x:c r="G69" s="32" t="n">
        <x:v>25211.41277169169</x:v>
      </x:c>
      <x:c r="H69" s="34" t="n">
        <x:f>G69/E69</x:f>
        <x:v>0.09266297835234767</x:v>
      </x:c>
      <x:c r="I69" s="34" t="n">
        <x:f>G69/F69</x:f>
        <x:v>0.05243778261576177</x:v>
      </x:c>
      <x:c r="J69" s="33" t="n">
        <x:f>E69/F69</x:f>
        <x:v>0.5658978758093547</x:v>
      </x:c>
      <x:c r="K69" s="25" t="b">
        <x:f>I69&gt;='Selection Rules'!$B$5</x:f>
        <x:v>0</x:v>
      </x:c>
      <x:c r="L69" s="25" t="n">
        <x:f>IF(AND(K69,J69&gt;='Selection Rules'!$B$6),1,0)</x:f>
        <x:v>0</x:v>
      </x:c>
      <x:c r="M69" s="25" t="n">
        <x:f>IF(AND(K69,J69&gt;='Selection Rules'!$B$7,J69&lt;'Selection Rules'!$B$6),1,0)</x:f>
        <x:v>0</x:v>
      </x:c>
    </x:row>
    <x:row r="70" ht="18" customHeight="1">
      <x:c r="A70" s="25" t="str">
        <x:v>EEZ_234</x:v>
      </x:c>
      <x:c r="B70" s="25" t="str">
        <x:v>Faeroe Isl. (Denmark)</x:v>
      </x:c>
      <x:c r="C70" s="25" t="str">
        <x:v>LME_060</x:v>
      </x:c>
      <x:c r="D70" s="25" t="str">
        <x:v>Faroe Plateau</x:v>
      </x:c>
      <x:c r="E70" s="32" t="n">
        <x:v>272076.4346233961</x:v>
      </x:c>
      <x:c r="F70" s="32" t="n">
        <x:v>104186.75713574768</x:v>
      </x:c>
      <x:c r="G70" s="32" t="n">
        <x:v>102961.79109181772</x:v>
      </x:c>
      <x:c r="H70" s="34" t="n">
        <x:f>G70/E70</x:f>
        <x:v>0.37842965427834946</x:v>
      </x:c>
      <x:c r="I70" s="34" t="n">
        <x:f>G70/F70</x:f>
        <x:v>0.9882425936116437</x:v>
      </x:c>
      <x:c r="J70" s="33" t="n">
        <x:f>E70/F70</x:f>
        <x:v>2.611430109768178</x:v>
      </x:c>
      <x:c r="K70" s="25" t="b">
        <x:f>I70&gt;='Selection Rules'!$B$5</x:f>
        <x:v>1</x:v>
      </x:c>
      <x:c r="L70" s="25" t="n">
        <x:f>IF(AND(K70,J70&gt;='Selection Rules'!$B$6),1,0)</x:f>
        <x:v>1</x:v>
      </x:c>
      <x:c r="M70" s="25" t="n">
        <x:f>IF(AND(K70,J70&gt;='Selection Rules'!$B$7,J70&lt;'Selection Rules'!$B$6),1,0)</x:f>
        <x:v>0</x:v>
      </x:c>
    </x:row>
    <x:row r="71" ht="18" customHeight="1">
      <x:c r="A71" s="25" t="str">
        <x:v>EEZ_238</x:v>
      </x:c>
      <x:c r="B71" s="25" t="str">
        <x:v>Falkland Isl. (UK)</x:v>
      </x:c>
      <x:c r="C71" s="25" t="str">
        <x:v>LME_014</x:v>
      </x:c>
      <x:c r="D71" s="25" t="str">
        <x:v>Patagonian Shelf</x:v>
      </x:c>
      <x:c r="E71" s="32" t="n">
        <x:v>550413.2949961914</x:v>
      </x:c>
      <x:c r="F71" s="32" t="n">
        <x:v>1170311.112854071</x:v>
      </x:c>
      <x:c r="G71" s="32" t="n">
        <x:v>234808.65587391448</x:v>
      </x:c>
      <x:c r="H71" s="34" t="n">
        <x:f>G71/E71</x:f>
        <x:v>0.42660425903327653</x:v>
      </x:c>
      <x:c r="I71" s="34" t="n">
        <x:f>G71/F71</x:f>
        <x:v>0.20063780758372868</x:v>
      </x:c>
      <x:c r="J71" s="33" t="n">
        <x:f>E71/F71</x:f>
        <x:v>0.47031365331042857</x:v>
      </x:c>
      <x:c r="K71" s="25" t="b">
        <x:f>I71&gt;='Selection Rules'!$B$5</x:f>
        <x:v>0</x:v>
      </x:c>
      <x:c r="L71" s="25" t="n">
        <x:f>IF(AND(K71,J71&gt;='Selection Rules'!$B$6),1,0)</x:f>
        <x:v>0</x:v>
      </x:c>
      <x:c r="M71" s="25" t="n">
        <x:f>IF(AND(K71,J71&gt;='Selection Rules'!$B$7,J71&lt;'Selection Rules'!$B$6),1,0)</x:f>
        <x:v>0</x:v>
      </x:c>
    </x:row>
    <x:row r="72" ht="18" customHeight="1">
      <x:c r="A72" s="25" t="str">
        <x:v>EEZ_246</x:v>
      </x:c>
      <x:c r="B72" s="25" t="str">
        <x:v>Finland</x:v>
      </x:c>
      <x:c r="C72" s="25" t="str">
        <x:v>LME_023</x:v>
      </x:c>
      <x:c r="D72" s="25" t="str">
        <x:v>Baltic Sea</x:v>
      </x:c>
      <x:c r="E72" s="32" t="n">
        <x:v>84203.40825310622</x:v>
      </x:c>
      <x:c r="F72" s="32" t="n">
        <x:v>396444.90371621336</x:v>
      </x:c>
      <x:c r="G72" s="32" t="n">
        <x:v>82533.72569687314</x:v>
      </x:c>
      <x:c r="H72" s="34" t="n">
        <x:f>G72/E72</x:f>
        <x:v>0.9801708435457364</x:v>
      </x:c>
      <x:c r="I72" s="34" t="n">
        <x:f>G72/F72</x:f>
        <x:v>0.20818460503140468</x:v>
      </x:c>
      <x:c r="J72" s="33" t="n">
        <x:f>E72/F72</x:f>
        <x:v>0.21239624337151633</x:v>
      </x:c>
      <x:c r="K72" s="25" t="b">
        <x:f>I72&gt;='Selection Rules'!$B$5</x:f>
        <x:v>0</x:v>
      </x:c>
      <x:c r="L72" s="25" t="n">
        <x:f>IF(AND(K72,J72&gt;='Selection Rules'!$B$6),1,0)</x:f>
        <x:v>0</x:v>
      </x:c>
      <x:c r="M72" s="25" t="n">
        <x:f>IF(AND(K72,J72&gt;='Selection Rules'!$B$7,J72&lt;'Selection Rules'!$B$6),1,0)</x:f>
        <x:v>0</x:v>
      </x:c>
    </x:row>
    <x:row r="73" ht="18" customHeight="1">
      <x:c r="A73" s="25" t="str">
        <x:v>EEZ_251</x:v>
      </x:c>
      <x:c r="B73" s="25" t="str">
        <x:v>Mozambique Channel Isl. (France)</x:v>
      </x:c>
      <x:c r="C73" s="25" t="str">
        <x:v>LME_030</x:v>
      </x:c>
      <x:c r="D73" s="25" t="str">
        <x:v>Agulhas Current</x:v>
      </x:c>
      <x:c r="E73" s="32" t="n">
        <x:v>309792.82429001847</x:v>
      </x:c>
      <x:c r="F73" s="32" t="n">
        <x:v>2626846.36963807</x:v>
      </x:c>
      <x:c r="G73" s="32" t="n">
        <x:v>309792.82429001824</x:v>
      </x:c>
      <x:c r="H73" s="34" t="n">
        <x:f>G73/E73</x:f>
        <x:v>0.9999999999999992</x:v>
      </x:c>
      <x:c r="I73" s="34" t="n">
        <x:f>G73/F73</x:f>
        <x:v>0.11793336217553593</x:v>
      </x:c>
      <x:c r="J73" s="33" t="n">
        <x:f>E73/F73</x:f>
        <x:v>0.11793336217553602</x:v>
      </x:c>
      <x:c r="K73" s="25" t="b">
        <x:f>I73&gt;='Selection Rules'!$B$5</x:f>
        <x:v>0</x:v>
      </x:c>
      <x:c r="L73" s="25" t="n">
        <x:f>IF(AND(K73,J73&gt;='Selection Rules'!$B$6),1,0)</x:f>
        <x:v>0</x:v>
      </x:c>
      <x:c r="M73" s="25" t="n">
        <x:f>IF(AND(K73,J73&gt;='Selection Rules'!$B$7,J73&lt;'Selection Rules'!$B$6),1,0)</x:f>
        <x:v>0</x:v>
      </x:c>
    </x:row>
    <x:row r="74" ht="18" customHeight="1">
      <x:c r="A74" s="25" t="str">
        <x:v>EEZ_254</x:v>
      </x:c>
      <x:c r="B74" s="25" t="str">
        <x:v>French Guiana</x:v>
      </x:c>
      <x:c r="C74" s="25" t="str">
        <x:v>LME_017</x:v>
      </x:c>
      <x:c r="D74" s="25" t="str">
        <x:v>North Brazil Shelf</x:v>
      </x:c>
      <x:c r="E74" s="32" t="n">
        <x:v>131176.9272345226</x:v>
      </x:c>
      <x:c r="F74" s="32" t="n">
        <x:v>1054826.778598855</x:v>
      </x:c>
      <x:c r="G74" s="32" t="n">
        <x:v>117681.16436888558</x:v>
      </x:c>
      <x:c r="H74" s="34" t="n">
        <x:f>G74/E74</x:f>
        <x:v>0.8971178609672048</x:v>
      </x:c>
      <x:c r="I74" s="34" t="n">
        <x:f>G74/F74</x:f>
        <x:v>0.11156444523071697</x:v>
      </x:c>
      <x:c r="J74" s="33" t="n">
        <x:f>E74/F74</x:f>
        <x:v>0.12435873822692216</x:v>
      </x:c>
      <x:c r="K74" s="25" t="b">
        <x:f>I74&gt;='Selection Rules'!$B$5</x:f>
        <x:v>0</x:v>
      </x:c>
      <x:c r="L74" s="25" t="n">
        <x:f>IF(AND(K74,J74&gt;='Selection Rules'!$B$6),1,0)</x:f>
        <x:v>0</x:v>
      </x:c>
      <x:c r="M74" s="25" t="n">
        <x:f>IF(AND(K74,J74&gt;='Selection Rules'!$B$7,J74&lt;'Selection Rules'!$B$6),1,0)</x:f>
        <x:v>0</x:v>
      </x:c>
    </x:row>
    <x:row r="75" ht="18" customHeight="1">
      <x:c r="A75" s="25" t="str">
        <x:v>EEZ_262</x:v>
      </x:c>
      <x:c r="B75" s="25" t="str">
        <x:v>Djibouti</x:v>
      </x:c>
      <x:c r="C75" s="25" t="str">
        <x:v>LME_032</x:v>
      </x:c>
      <x:c r="D75" s="25" t="str">
        <x:v>Arabian Sea</x:v>
      </x:c>
      <x:c r="E75" s="32" t="n">
        <x:v>7601.555570830089</x:v>
      </x:c>
      <x:c r="F75" s="32" t="n">
        <x:v>3931902.1047515674</x:v>
      </x:c>
      <x:c r="G75" s="32" t="n">
        <x:v>6915.702716944711</x:v>
      </x:c>
      <x:c r="H75" s="34" t="n">
        <x:f>G75/E75</x:f>
        <x:v>0.9097746707901153</x:v>
      </x:c>
      <x:c r="I75" s="34" t="n">
        <x:f>G75/F75</x:f>
        <x:v>0.001758869507098695</x:v>
      </x:c>
      <x:c r="J75" s="33" t="n">
        <x:f>E75/F75</x:f>
        <x:v>0.001933302347900237</x:v>
      </x:c>
      <x:c r="K75" s="25" t="b">
        <x:f>I75&gt;='Selection Rules'!$B$5</x:f>
        <x:v>0</x:v>
      </x:c>
      <x:c r="L75" s="25" t="n">
        <x:f>IF(AND(K75,J75&gt;='Selection Rules'!$B$6),1,0)</x:f>
        <x:v>0</x:v>
      </x:c>
      <x:c r="M75" s="25" t="n">
        <x:f>IF(AND(K75,J75&gt;='Selection Rules'!$B$7,J75&lt;'Selection Rules'!$B$6),1,0)</x:f>
        <x:v>0</x:v>
      </x:c>
    </x:row>
    <x:row r="76" ht="18" customHeight="1">
      <x:c r="A76" s="25" t="str">
        <x:v>EEZ_262</x:v>
      </x:c>
      <x:c r="B76" s="25" t="str">
        <x:v>Djibouti</x:v>
      </x:c>
      <x:c r="C76" s="25" t="str">
        <x:v>LME_033</x:v>
      </x:c>
      <x:c r="D76" s="25" t="str">
        <x:v>Red Sea</x:v>
      </x:c>
      <x:c r="E76" s="32" t="n">
        <x:v>7601.555570830089</x:v>
      </x:c>
      <x:c r="F76" s="32" t="n">
        <x:v>460970.08083065716</x:v>
      </x:c>
      <x:c r="G76" s="32" t="n">
        <x:v>489.52123747776164</x:v>
      </x:c>
      <x:c r="H76" s="34" t="n">
        <x:f>G76/E76</x:f>
        <x:v>0.06439750823584468</x:v>
      </x:c>
      <x:c r="I76" s="34" t="n">
        <x:f>G76/F76</x:f>
        <x:v>0.0010619371144340996</x:v>
      </x:c>
      <x:c r="J76" s="33" t="n">
        <x:f>E76/F76</x:f>
        <x:v>0.016490344790126652</x:v>
      </x:c>
      <x:c r="K76" s="25" t="b">
        <x:f>I76&gt;='Selection Rules'!$B$5</x:f>
        <x:v>0</x:v>
      </x:c>
      <x:c r="L76" s="25" t="n">
        <x:f>IF(AND(K76,J76&gt;='Selection Rules'!$B$6),1,0)</x:f>
        <x:v>0</x:v>
      </x:c>
      <x:c r="M76" s="25" t="n">
        <x:f>IF(AND(K76,J76&gt;='Selection Rules'!$B$7,J76&lt;'Selection Rules'!$B$6),1,0)</x:f>
        <x:v>0</x:v>
      </x:c>
    </x:row>
    <x:row r="77" ht="18" customHeight="1">
      <x:c r="A77" s="25" t="str">
        <x:v>EEZ_266</x:v>
      </x:c>
      <x:c r="B77" s="25" t="str">
        <x:v>Gabon</x:v>
      </x:c>
      <x:c r="C77" s="25" t="str">
        <x:v>LME_028</x:v>
      </x:c>
      <x:c r="D77" s="25" t="str">
        <x:v>Guinea Current</x:v>
      </x:c>
      <x:c r="E77" s="32" t="n">
        <x:v>200070.47822587713</x:v>
      </x:c>
      <x:c r="F77" s="32" t="n">
        <x:v>1918690.5432233866</x:v>
      </x:c>
      <x:c r="G77" s="32" t="n">
        <x:v>196046.95356566543</x:v>
      </x:c>
      <x:c r="H77" s="34" t="n">
        <x:f>G77/E77</x:f>
        <x:v>0.9798894634736206</x:v>
      </x:c>
      <x:c r="I77" s="34" t="n">
        <x:f>G77/F77</x:f>
        <x:v>0.10217747424569464</x:v>
      </x:c>
      <x:c r="J77" s="33" t="n">
        <x:f>E77/F77</x:f>
        <x:v>0.10427449018941852</x:v>
      </x:c>
      <x:c r="K77" s="25" t="b">
        <x:f>I77&gt;='Selection Rules'!$B$5</x:f>
        <x:v>0</x:v>
      </x:c>
      <x:c r="L77" s="25" t="n">
        <x:f>IF(AND(K77,J77&gt;='Selection Rules'!$B$6),1,0)</x:f>
        <x:v>0</x:v>
      </x:c>
      <x:c r="M77" s="25" t="n">
        <x:f>IF(AND(K77,J77&gt;='Selection Rules'!$B$7,J77&lt;'Selection Rules'!$B$6),1,0)</x:f>
        <x:v>0</x:v>
      </x:c>
    </x:row>
    <x:row r="78" ht="18" customHeight="1">
      <x:c r="A78" s="25" t="str">
        <x:v>EEZ_268</x:v>
      </x:c>
      <x:c r="B78" s="25" t="str">
        <x:v>Georgia</x:v>
      </x:c>
      <x:c r="C78" s="25" t="str">
        <x:v>LME_062</x:v>
      </x:c>
      <x:c r="D78" s="25" t="str">
        <x:v>Black Sea</x:v>
      </x:c>
      <x:c r="E78" s="32" t="n">
        <x:v>22850.06585155267</x:v>
      </x:c>
      <x:c r="F78" s="32" t="n">
        <x:v>462205.2642152028</x:v>
      </x:c>
      <x:c r="G78" s="32" t="n">
        <x:v>22624.717493003325</x:v>
      </x:c>
      <x:c r="H78" s="34" t="n">
        <x:f>G78/E78</x:f>
        <x:v>0.990137955837268</x:v>
      </x:c>
      <x:c r="I78" s="34" t="n">
        <x:f>G78/F78</x:f>
        <x:v>0.04894950197380109</x:v>
      </x:c>
      <x:c r="J78" s="33" t="n">
        <x:f>E78/F78</x:f>
        <x:v>0.04943705236752491</x:v>
      </x:c>
      <x:c r="K78" s="25" t="b">
        <x:f>I78&gt;='Selection Rules'!$B$5</x:f>
        <x:v>0</x:v>
      </x:c>
      <x:c r="L78" s="25" t="n">
        <x:f>IF(AND(K78,J78&gt;='Selection Rules'!$B$6),1,0)</x:f>
        <x:v>0</x:v>
      </x:c>
      <x:c r="M78" s="25" t="n">
        <x:f>IF(AND(K78,J78&gt;='Selection Rules'!$B$7,J78&lt;'Selection Rules'!$B$6),1,0)</x:f>
        <x:v>0</x:v>
      </x:c>
    </x:row>
    <x:row r="79" ht="18" customHeight="1">
      <x:c r="A79" s="25" t="str">
        <x:v>EEZ_270</x:v>
      </x:c>
      <x:c r="B79" s="25" t="str">
        <x:v>Gambia</x:v>
      </x:c>
      <x:c r="C79" s="25" t="str">
        <x:v>LME_027</x:v>
      </x:c>
      <x:c r="D79" s="25" t="str">
        <x:v>Canary Current</x:v>
      </x:c>
      <x:c r="E79" s="32" t="n">
        <x:v>22854.919108268692</x:v>
      </x:c>
      <x:c r="F79" s="32" t="n">
        <x:v>1123299.8683993171</x:v>
      </x:c>
      <x:c r="G79" s="32" t="n">
        <x:v>22654.05603769782</x:v>
      </x:c>
      <x:c r="H79" s="34" t="n">
        <x:f>G79/E79</x:f>
        <x:v>0.9912113856269043</x:v>
      </x:c>
      <x:c r="I79" s="34" t="n">
        <x:f>G79/F79</x:f>
        <x:v>0.02016741626612977</x:v>
      </x:c>
      <x:c r="J79" s="33" t="n">
        <x:f>E79/F79</x:f>
        <x:v>0.02034623144827441</x:v>
      </x:c>
      <x:c r="K79" s="25" t="b">
        <x:f>I79&gt;='Selection Rules'!$B$5</x:f>
        <x:v>0</x:v>
      </x:c>
      <x:c r="L79" s="25" t="n">
        <x:f>IF(AND(K79,J79&gt;='Selection Rules'!$B$6),1,0)</x:f>
        <x:v>0</x:v>
      </x:c>
      <x:c r="M79" s="25" t="n">
        <x:f>IF(AND(K79,J79&gt;='Selection Rules'!$B$7,J79&lt;'Selection Rules'!$B$6),1,0)</x:f>
        <x:v>0</x:v>
      </x:c>
    </x:row>
    <x:row r="80" ht="18" customHeight="1">
      <x:c r="A80" s="25" t="str">
        <x:v>EEZ_274</x:v>
      </x:c>
      <x:c r="B80" s="25" t="str">
        <x:v>Gaza Strip</x:v>
      </x:c>
      <x:c r="C80" s="25" t="str">
        <x:v>LME_026</x:v>
      </x:c>
      <x:c r="D80" s="25" t="str">
        <x:v>Mediterranean Sea</x:v>
      </x:c>
      <x:c r="E80" s="32" t="n">
        <x:v>2336.6988125930247</x:v>
      </x:c>
      <x:c r="F80" s="32" t="n">
        <x:v>2527801.206996367</x:v>
      </x:c>
      <x:c r="G80" s="32" t="n">
        <x:v>2327.714319858605</x:v>
      </x:c>
      <x:c r="H80" s="34" t="n">
        <x:f>G80/E80</x:f>
        <x:v>0.9961550488723664</x:v>
      </x:c>
      <x:c r="I80" s="34" t="n">
        <x:f>G80/F80</x:f>
        <x:v>0.0009208454816051326</x:v>
      </x:c>
      <x:c r="J80" s="33" t="n">
        <x:f>E80/F80</x:f>
        <x:v>0.0009243997534796586</x:v>
      </x:c>
      <x:c r="K80" s="25" t="b">
        <x:f>I80&gt;='Selection Rules'!$B$5</x:f>
        <x:v>0</x:v>
      </x:c>
      <x:c r="L80" s="25" t="n">
        <x:f>IF(AND(K80,J80&gt;='Selection Rules'!$B$6),1,0)</x:f>
        <x:v>0</x:v>
      </x:c>
      <x:c r="M80" s="25" t="n">
        <x:f>IF(AND(K80,J80&gt;='Selection Rules'!$B$7,J80&lt;'Selection Rules'!$B$6),1,0)</x:f>
        <x:v>0</x:v>
      </x:c>
    </x:row>
    <x:row r="81" ht="18" customHeight="1">
      <x:c r="A81" s="25" t="str">
        <x:v>EEZ_277</x:v>
      </x:c>
      <x:c r="B81" s="25" t="str">
        <x:v>Germany (North Sea)</x:v>
      </x:c>
      <x:c r="C81" s="25" t="str">
        <x:v>LME_022</x:v>
      </x:c>
      <x:c r="D81" s="25" t="str">
        <x:v>North Sea</x:v>
      </x:c>
      <x:c r="E81" s="32" t="n">
        <x:v>41220.36710931834</x:v>
      </x:c>
      <x:c r="F81" s="32" t="n">
        <x:v>696532.8905595425</x:v>
      </x:c>
      <x:c r="G81" s="32" t="n">
        <x:v>41055.378198530474</x:v>
      </x:c>
      <x:c r="H81" s="34" t="n">
        <x:f>G81/E81</x:f>
        <x:v>0.9959973934644905</x:v>
      </x:c>
      <x:c r="I81" s="34" t="n">
        <x:f>G81/F81</x:f>
        <x:v>0.05894248319781375</x:v>
      </x:c>
      <x:c r="J81" s="33" t="n">
        <x:f>E81/F81</x:f>
        <x:v>0.05917935487038519</x:v>
      </x:c>
      <x:c r="K81" s="25" t="b">
        <x:f>I81&gt;='Selection Rules'!$B$5</x:f>
        <x:v>0</x:v>
      </x:c>
      <x:c r="L81" s="25" t="n">
        <x:f>IF(AND(K81,J81&gt;='Selection Rules'!$B$6),1,0)</x:f>
        <x:v>0</x:v>
      </x:c>
      <x:c r="M81" s="25" t="n">
        <x:f>IF(AND(K81,J81&gt;='Selection Rules'!$B$7,J81&lt;'Selection Rules'!$B$6),1,0)</x:f>
        <x:v>0</x:v>
      </x:c>
    </x:row>
    <x:row r="82" ht="18" customHeight="1">
      <x:c r="A82" s="25" t="str">
        <x:v>EEZ_278</x:v>
      </x:c>
      <x:c r="B82" s="25" t="str">
        <x:v>Germany (Baltic Sea)</x:v>
      </x:c>
      <x:c r="C82" s="25" t="str">
        <x:v>LME_023</x:v>
      </x:c>
      <x:c r="D82" s="25" t="str">
        <x:v>Baltic Sea</x:v>
      </x:c>
      <x:c r="E82" s="32" t="n">
        <x:v>15527.898722394531</x:v>
      </x:c>
      <x:c r="F82" s="32" t="n">
        <x:v>396444.90371621336</x:v>
      </x:c>
      <x:c r="G82" s="32" t="n">
        <x:v>15251.1180334079</x:v>
      </x:c>
      <x:c r="H82" s="34" t="n">
        <x:f>G82/E82</x:f>
        <x:v>0.9821752644105377</x:v>
      </x:c>
      <x:c r="I82" s="34" t="n">
        <x:f>G82/F82</x:f>
        <x:v>0.03846970383638754</x:v>
      </x:c>
      <x:c r="J82" s="33" t="n">
        <x:f>E82/F82</x:f>
        <x:v>0.039167860595100114</x:v>
      </x:c>
      <x:c r="K82" s="25" t="b">
        <x:f>I82&gt;='Selection Rules'!$B$5</x:f>
        <x:v>0</x:v>
      </x:c>
      <x:c r="L82" s="25" t="n">
        <x:f>IF(AND(K82,J82&gt;='Selection Rules'!$B$6),1,0)</x:f>
        <x:v>0</x:v>
      </x:c>
      <x:c r="M82" s="25" t="n">
        <x:f>IF(AND(K82,J82&gt;='Selection Rules'!$B$7,J82&lt;'Selection Rules'!$B$6),1,0)</x:f>
        <x:v>0</x:v>
      </x:c>
    </x:row>
    <x:row r="83" ht="18" customHeight="1">
      <x:c r="A83" s="25" t="str">
        <x:v>EEZ_288</x:v>
      </x:c>
      <x:c r="B83" s="25" t="str">
        <x:v>Ghana</x:v>
      </x:c>
      <x:c r="C83" s="25" t="str">
        <x:v>LME_028</x:v>
      </x:c>
      <x:c r="D83" s="25" t="str">
        <x:v>Guinea Current</x:v>
      </x:c>
      <x:c r="E83" s="32" t="n">
        <x:v>225676.86432471164</x:v>
      </x:c>
      <x:c r="F83" s="32" t="n">
        <x:v>1918690.5432233866</x:v>
      </x:c>
      <x:c r="G83" s="32" t="n">
        <x:v>206072.43047817194</x:v>
      </x:c>
      <x:c r="H83" s="34" t="n">
        <x:f>G83/E83</x:f>
        <x:v>0.9131305111616042</x:v>
      </x:c>
      <x:c r="I83" s="34" t="n">
        <x:f>G83/F83</x:f>
        <x:v>0.10740264041327462</x:v>
      </x:c>
      <x:c r="J83" s="33" t="n">
        <x:f>E83/F83</x:f>
        <x:v>0.11762025154174997</x:v>
      </x:c>
      <x:c r="K83" s="25" t="b">
        <x:f>I83&gt;='Selection Rules'!$B$5</x:f>
        <x:v>0</x:v>
      </x:c>
      <x:c r="L83" s="25" t="n">
        <x:f>IF(AND(K83,J83&gt;='Selection Rules'!$B$6),1,0)</x:f>
        <x:v>0</x:v>
      </x:c>
      <x:c r="M83" s="25" t="n">
        <x:f>IF(AND(K83,J83&gt;='Selection Rules'!$B$7,J83&lt;'Selection Rules'!$B$6),1,0)</x:f>
        <x:v>0</x:v>
      </x:c>
    </x:row>
    <x:row r="84" ht="18" customHeight="1">
      <x:c r="A84" s="25" t="str">
        <x:v>EEZ_300</x:v>
      </x:c>
      <x:c r="B84" s="25" t="str">
        <x:v>Greece (without Crete)</x:v>
      </x:c>
      <x:c r="C84" s="25" t="str">
        <x:v>LME_026</x:v>
      </x:c>
      <x:c r="D84" s="25" t="str">
        <x:v>Mediterranean Sea</x:v>
      </x:c>
      <x:c r="E84" s="32" t="n">
        <x:v>387855.22647616203</x:v>
      </x:c>
      <x:c r="F84" s="32" t="n">
        <x:v>2527801.206996367</x:v>
      </x:c>
      <x:c r="G84" s="32" t="n">
        <x:v>386666.84271458525</x:v>
      </x:c>
      <x:c r="H84" s="34" t="n">
        <x:f>G84/E84</x:f>
        <x:v>0.9969360119950587</x:v>
      </x:c>
      <x:c r="I84" s="34" t="n">
        <x:f>G84/F84</x:f>
        <x:v>0.15296568481903608</x:v>
      </x:c>
      <x:c r="J84" s="33" t="n">
        <x:f>E84/F84</x:f>
        <x:v>0.15343581030132783</x:v>
      </x:c>
      <x:c r="K84" s="25" t="b">
        <x:f>I84&gt;='Selection Rules'!$B$5</x:f>
        <x:v>0</x:v>
      </x:c>
      <x:c r="L84" s="25" t="n">
        <x:f>IF(AND(K84,J84&gt;='Selection Rules'!$B$6),1,0)</x:f>
        <x:v>0</x:v>
      </x:c>
      <x:c r="M84" s="25" t="n">
        <x:f>IF(AND(K84,J84&gt;='Selection Rules'!$B$7,J84&lt;'Selection Rules'!$B$6),1,0)</x:f>
        <x:v>0</x:v>
      </x:c>
    </x:row>
    <x:row r="85" ht="18" customHeight="1">
      <x:c r="A85" s="25" t="str">
        <x:v>EEZ_304</x:v>
      </x:c>
      <x:c r="B85" s="25" t="str">
        <x:v>Greenland (Denmark)</x:v>
      </x:c>
      <x:c r="C85" s="25" t="str">
        <x:v>LME_018</x:v>
      </x:c>
      <x:c r="D85" s="25" t="str">
        <x:v>Canadian Eastern Arctic -West Greenland</x:v>
      </x:c>
      <x:c r="E85" s="32" t="n">
        <x:v>2279905.916216645</x:v>
      </x:c>
      <x:c r="F85" s="32" t="n">
        <x:v>1384957.584081398</x:v>
      </x:c>
      <x:c r="G85" s="32" t="n">
        <x:v>574309.7599373661</x:v>
      </x:c>
      <x:c r="H85" s="34" t="n">
        <x:f>G85/E85</x:f>
        <x:v>0.2519006402204507</x:v>
      </x:c>
      <x:c r="I85" s="34" t="n">
        <x:f>G85/F85</x:f>
        <x:v>0.41467678616185855</x:v>
      </x:c>
      <x:c r="J85" s="33" t="n">
        <x:f>E85/F85</x:f>
        <x:v>1.6461918707271024</x:v>
      </x:c>
      <x:c r="K85" s="25" t="b">
        <x:f>I85&gt;='Selection Rules'!$B$5</x:f>
        <x:v>0</x:v>
      </x:c>
      <x:c r="L85" s="25" t="n">
        <x:f>IF(AND(K85,J85&gt;='Selection Rules'!$B$6),1,0)</x:f>
        <x:v>0</x:v>
      </x:c>
      <x:c r="M85" s="25" t="n">
        <x:f>IF(AND(K85,J85&gt;='Selection Rules'!$B$7,J85&lt;'Selection Rules'!$B$6),1,0)</x:f>
        <x:v>0</x:v>
      </x:c>
    </x:row>
    <x:row r="86" ht="18" customHeight="1">
      <x:c r="A86" s="25" t="str">
        <x:v>EEZ_304</x:v>
      </x:c>
      <x:c r="B86" s="25" t="str">
        <x:v>Greenland (Denmark)</x:v>
      </x:c>
      <x:c r="C86" s="25" t="str">
        <x:v>LME_019</x:v>
      </x:c>
      <x:c r="D86" s="25" t="str">
        <x:v>Greenland Sea</x:v>
      </x:c>
      <x:c r="E86" s="32" t="n">
        <x:v>2279905.916216645</x:v>
      </x:c>
      <x:c r="F86" s="32" t="n">
        <x:v>1208537.6311131367</x:v>
      </x:c>
      <x:c r="G86" s="32" t="n">
        <x:v>799299.9368410778</x:v>
      </x:c>
      <x:c r="H86" s="34" t="n">
        <x:f>G86/E86</x:f>
        <x:v>0.3505846145473686</x:v>
      </x:c>
      <x:c r="I86" s="34" t="n">
        <x:f>G86/F86</x:f>
        <x:v>0.6613777810996865</x:v>
      </x:c>
      <x:c r="J86" s="33" t="n">
        <x:f>E86/F86</x:f>
        <x:v>1.8864997311806608</x:v>
      </x:c>
      <x:c r="K86" s="25" t="b">
        <x:f>I86&gt;='Selection Rules'!$B$5</x:f>
        <x:v>0</x:v>
      </x:c>
      <x:c r="L86" s="25" t="n">
        <x:f>IF(AND(K86,J86&gt;='Selection Rules'!$B$6),1,0)</x:f>
        <x:v>0</x:v>
      </x:c>
      <x:c r="M86" s="25" t="n">
        <x:f>IF(AND(K86,J86&gt;='Selection Rules'!$B$7,J86&lt;'Selection Rules'!$B$6),1,0)</x:f>
        <x:v>0</x:v>
      </x:c>
    </x:row>
    <x:row r="87" ht="18" customHeight="1">
      <x:c r="A87" s="25" t="str">
        <x:v>EEZ_304</x:v>
      </x:c>
      <x:c r="B87" s="25" t="str">
        <x:v>Greenland (Denmark)</x:v>
      </x:c>
      <x:c r="C87" s="25" t="str">
        <x:v>LME_020</x:v>
      </x:c>
      <x:c r="D87" s="25" t="str">
        <x:v>Barents Sea</x:v>
      </x:c>
      <x:c r="E87" s="32" t="n">
        <x:v>2279905.916216645</x:v>
      </x:c>
      <x:c r="F87" s="32" t="n">
        <x:v>2001350.9660391603</x:v>
      </x:c>
      <x:c r="G87" s="32" t="n">
        <x:v>6147.326677317846</x:v>
      </x:c>
      <x:c r="H87" s="34" t="n">
        <x:f>G87/E87</x:f>
        <x:v>0.0026963071737271214</x:v>
      </x:c>
      <x:c r="I87" s="34" t="n">
        <x:f>G87/F87</x:f>
        <x:v>0.003071588532761905</x:v>
      </x:c>
      <x:c r="J87" s="33" t="n">
        <x:f>E87/F87</x:f>
        <x:v>1.139183459025564</x:v>
      </x:c>
      <x:c r="K87" s="25" t="b">
        <x:f>I87&gt;='Selection Rules'!$B$5</x:f>
        <x:v>0</x:v>
      </x:c>
      <x:c r="L87" s="25" t="n">
        <x:f>IF(AND(K87,J87&gt;='Selection Rules'!$B$6),1,0)</x:f>
        <x:v>0</x:v>
      </x:c>
      <x:c r="M87" s="25" t="n">
        <x:f>IF(AND(K87,J87&gt;='Selection Rules'!$B$7,J87&lt;'Selection Rules'!$B$6),1,0)</x:f>
        <x:v>0</x:v>
      </x:c>
    </x:row>
    <x:row r="88" ht="18" customHeight="1">
      <x:c r="A88" s="25" t="str">
        <x:v>EEZ_304</x:v>
      </x:c>
      <x:c r="B88" s="25" t="str">
        <x:v>Greenland (Denmark)</x:v>
      </x:c>
      <x:c r="C88" s="25" t="str">
        <x:v>LME_059</x:v>
      </x:c>
      <x:c r="D88" s="25" t="str">
        <x:v>Iceland Shelf and Sea</x:v>
      </x:c>
      <x:c r="E88" s="32" t="n">
        <x:v>2279905.916216645</x:v>
      </x:c>
      <x:c r="F88" s="32" t="n">
        <x:v>480787.1636455053</x:v>
      </x:c>
      <x:c r="G88" s="32" t="n">
        <x:v>28556.819516340984</x:v>
      </x:c>
      <x:c r="H88" s="34" t="n">
        <x:f>G88/E88</x:f>
        <x:v>0.012525437700398252</x:v>
      </x:c>
      <x:c r="I88" s="34" t="n">
        <x:f>G88/F88</x:f>
        <x:v>0.05939596910161382</x:v>
      </x:c>
      <x:c r="J88" s="33" t="n">
        <x:f>E88/F88</x:f>
        <x:v>4.742027426293079</x:v>
      </x:c>
      <x:c r="K88" s="25" t="b">
        <x:f>I88&gt;='Selection Rules'!$B$5</x:f>
        <x:v>0</x:v>
      </x:c>
      <x:c r="L88" s="25" t="n">
        <x:f>IF(AND(K88,J88&gt;='Selection Rules'!$B$6),1,0)</x:f>
        <x:v>0</x:v>
      </x:c>
      <x:c r="M88" s="25" t="n">
        <x:f>IF(AND(K88,J88&gt;='Selection Rules'!$B$7,J88&lt;'Selection Rules'!$B$6),1,0)</x:f>
        <x:v>0</x:v>
      </x:c>
    </x:row>
    <x:row r="89" ht="18" customHeight="1">
      <x:c r="A89" s="25" t="str">
        <x:v>EEZ_304</x:v>
      </x:c>
      <x:c r="B89" s="25" t="str">
        <x:v>Greenland (Denmark)</x:v>
      </x:c>
      <x:c r="C89" s="25" t="str">
        <x:v>LME_064</x:v>
      </x:c>
      <x:c r="D89" s="25" t="str">
        <x:v>Central Arctic Ocean</x:v>
      </x:c>
      <x:c r="E89" s="32" t="n">
        <x:v>2279905.916216645</x:v>
      </x:c>
      <x:c r="F89" s="32" t="n">
        <x:v>3337137.3298031692</x:v>
      </x:c>
      <x:c r="G89" s="32" t="n">
        <x:v>219548.88103162273</x:v>
      </x:c>
      <x:c r="H89" s="34" t="n">
        <x:f>G89/E89</x:f>
        <x:v>0.09629734256576244</x:v>
      </x:c>
      <x:c r="I89" s="34" t="n">
        <x:f>G89/F89</x:f>
        <x:v>0.06578958530441184</x:v>
      </x:c>
      <x:c r="J89" s="33" t="n">
        <x:f>E89/F89</x:f>
        <x:v>0.6831921167448983</x:v>
      </x:c>
      <x:c r="K89" s="25" t="b">
        <x:f>I89&gt;='Selection Rules'!$B$5</x:f>
        <x:v>0</x:v>
      </x:c>
      <x:c r="L89" s="25" t="n">
        <x:f>IF(AND(K89,J89&gt;='Selection Rules'!$B$6),1,0)</x:f>
        <x:v>0</x:v>
      </x:c>
      <x:c r="M89" s="25" t="n">
        <x:f>IF(AND(K89,J89&gt;='Selection Rules'!$B$7,J89&lt;'Selection Rules'!$B$6),1,0)</x:f>
        <x:v>0</x:v>
      </x:c>
    </x:row>
    <x:row r="90" ht="18" customHeight="1">
      <x:c r="A90" s="25" t="str">
        <x:v>EEZ_304</x:v>
      </x:c>
      <x:c r="B90" s="25" t="str">
        <x:v>Greenland (Denmark)</x:v>
      </x:c>
      <x:c r="C90" s="25" t="str">
        <x:v>LME_066</x:v>
      </x:c>
      <x:c r="D90" s="25" t="str">
        <x:v>Canadian High Arctic - North Greenland</x:v>
      </x:c>
      <x:c r="E90" s="32" t="n">
        <x:v>2279905.916216645</x:v>
      </x:c>
      <x:c r="F90" s="32" t="n">
        <x:v>599987.2092506643</x:v>
      </x:c>
      <x:c r="G90" s="32" t="n">
        <x:v>130000.97167857991</x:v>
      </x:c>
      <x:c r="H90" s="34" t="n">
        <x:f>G90/E90</x:f>
        <x:v>0.057020322967672295</x:v>
      </x:c>
      <x:c r="I90" s="34" t="n">
        <x:f>G90/F90</x:f>
        <x:v>0.21667290514566243</x:v>
      </x:c>
      <x:c r="J90" s="33" t="n">
        <x:f>E90/F90</x:f>
        <x:v>3.799924200157639</x:v>
      </x:c>
      <x:c r="K90" s="25" t="b">
        <x:f>I90&gt;='Selection Rules'!$B$5</x:f>
        <x:v>0</x:v>
      </x:c>
      <x:c r="L90" s="25" t="n">
        <x:f>IF(AND(K90,J90&gt;='Selection Rules'!$B$6),1,0)</x:f>
        <x:v>0</x:v>
      </x:c>
      <x:c r="M90" s="25" t="n">
        <x:f>IF(AND(K90,J90&gt;='Selection Rules'!$B$7,J90&lt;'Selection Rules'!$B$6),1,0)</x:f>
        <x:v>0</x:v>
      </x:c>
    </x:row>
    <x:row r="91" ht="18" customHeight="1">
      <x:c r="A91" s="25" t="str">
        <x:v>EEZ_308</x:v>
      </x:c>
      <x:c r="B91" s="25" t="str">
        <x:v>Grenada</x:v>
      </x:c>
      <x:c r="C91" s="25" t="str">
        <x:v>LME_012</x:v>
      </x:c>
      <x:c r="D91" s="25" t="str">
        <x:v>Caribbean Sea</x:v>
      </x:c>
      <x:c r="E91" s="32" t="n">
        <x:v>25686.23111047267</x:v>
      </x:c>
      <x:c r="F91" s="32" t="n">
        <x:v>3262576.84767364</x:v>
      </x:c>
      <x:c r="G91" s="32" t="n">
        <x:v>25641.31259630884</x:v>
      </x:c>
      <x:c r="H91" s="34" t="n">
        <x:f>G91/E91</x:f>
        <x:v>0.9982512609977446</x:v>
      </x:c>
      <x:c r="I91" s="34" t="n">
        <x:f>G91/F91</x:f>
        <x:v>0.007859221037074487</x:v>
      </x:c>
      <x:c r="J91" s="33" t="n">
        <x:f>E91/F91</x:f>
        <x:v>0.007872988839722832</x:v>
      </x:c>
      <x:c r="K91" s="25" t="b">
        <x:f>I91&gt;='Selection Rules'!$B$5</x:f>
        <x:v>0</x:v>
      </x:c>
      <x:c r="L91" s="25" t="n">
        <x:f>IF(AND(K91,J91&gt;='Selection Rules'!$B$6),1,0)</x:f>
        <x:v>0</x:v>
      </x:c>
      <x:c r="M91" s="25" t="n">
        <x:f>IF(AND(K91,J91&gt;='Selection Rules'!$B$7,J91&lt;'Selection Rules'!$B$6),1,0)</x:f>
        <x:v>0</x:v>
      </x:c>
    </x:row>
    <x:row r="92" ht="18" customHeight="1">
      <x:c r="A92" s="25" t="str">
        <x:v>EEZ_312</x:v>
      </x:c>
      <x:c r="B92" s="25" t="str">
        <x:v>Guadeloupe  (France)</x:v>
      </x:c>
      <x:c r="C92" s="25" t="str">
        <x:v>LME_012</x:v>
      </x:c>
      <x:c r="D92" s="25" t="str">
        <x:v>Caribbean Sea</x:v>
      </x:c>
      <x:c r="E92" s="32" t="n">
        <x:v>90549.31835227297</x:v>
      </x:c>
      <x:c r="F92" s="32" t="n">
        <x:v>3262576.84767364</x:v>
      </x:c>
      <x:c r="G92" s="32" t="n">
        <x:v>17904.528788659834</x:v>
      </x:c>
      <x:c r="H92" s="34" t="n">
        <x:f>G92/E92</x:f>
        <x:v>0.19773234204816512</x:v>
      </x:c>
      <x:c r="I92" s="34" t="n">
        <x:f>G92/F92</x:f>
        <x:v>0.005487848907352649</x:v>
      </x:c>
      <x:c r="J92" s="33" t="n">
        <x:f>E92/F92</x:f>
        <x:v>0.0277539265984918</x:v>
      </x:c>
      <x:c r="K92" s="25" t="b">
        <x:f>I92&gt;='Selection Rules'!$B$5</x:f>
        <x:v>0</x:v>
      </x:c>
      <x:c r="L92" s="25" t="n">
        <x:f>IF(AND(K92,J92&gt;='Selection Rules'!$B$6),1,0)</x:f>
        <x:v>0</x:v>
      </x:c>
      <x:c r="M92" s="25" t="n">
        <x:f>IF(AND(K92,J92&gt;='Selection Rules'!$B$7,J92&lt;'Selection Rules'!$B$6),1,0)</x:f>
        <x:v>0</x:v>
      </x:c>
    </x:row>
    <x:row r="93" ht="18" customHeight="1">
      <x:c r="A93" s="25" t="str">
        <x:v>EEZ_324</x:v>
      </x:c>
      <x:c r="B93" s="25" t="str">
        <x:v>Guinea</x:v>
      </x:c>
      <x:c r="C93" s="25" t="str">
        <x:v>LME_028</x:v>
      </x:c>
      <x:c r="D93" s="25" t="str">
        <x:v>Guinea Current</x:v>
      </x:c>
      <x:c r="E93" s="32" t="n">
        <x:v>101986.56743171386</x:v>
      </x:c>
      <x:c r="F93" s="32" t="n">
        <x:v>1918690.5432233866</x:v>
      </x:c>
      <x:c r="G93" s="32" t="n">
        <x:v>101457.45133847129</x:v>
      </x:c>
      <x:c r="H93" s="34" t="n">
        <x:f>G93/E93</x:f>
        <x:v>0.9948119040912241</x:v>
      </x:c>
      <x:c r="I93" s="34" t="n">
        <x:f>G93/F93</x:f>
        <x:v>0.05287848616172543</x:v>
      </x:c>
      <x:c r="J93" s="33" t="n">
        <x:f>E93/F93</x:f>
        <x:v>0.053154255537413105</x:v>
      </x:c>
      <x:c r="K93" s="25" t="b">
        <x:f>I93&gt;='Selection Rules'!$B$5</x:f>
        <x:v>0</x:v>
      </x:c>
      <x:c r="L93" s="25" t="n">
        <x:f>IF(AND(K93,J93&gt;='Selection Rules'!$B$6),1,0)</x:f>
        <x:v>0</x:v>
      </x:c>
      <x:c r="M93" s="25" t="n">
        <x:f>IF(AND(K93,J93&gt;='Selection Rules'!$B$7,J93&lt;'Selection Rules'!$B$6),1,0)</x:f>
        <x:v>0</x:v>
      </x:c>
    </x:row>
    <x:row r="94" ht="18" customHeight="1">
      <x:c r="A94" s="25" t="str">
        <x:v>EEZ_328</x:v>
      </x:c>
      <x:c r="B94" s="25" t="str">
        <x:v>Guyana</x:v>
      </x:c>
      <x:c r="C94" s="25" t="str">
        <x:v>LME_017</x:v>
      </x:c>
      <x:c r="D94" s="25" t="str">
        <x:v>North Brazil Shelf</x:v>
      </x:c>
      <x:c r="E94" s="32" t="n">
        <x:v>138655.59958907196</x:v>
      </x:c>
      <x:c r="F94" s="32" t="n">
        <x:v>1054826.778598855</x:v>
      </x:c>
      <x:c r="G94" s="32" t="n">
        <x:v>138133.96332562107</x:v>
      </x:c>
      <x:c r="H94" s="34" t="n">
        <x:f>G94/E94</x:f>
        <x:v>0.9962378997675041</x:v>
      </x:c>
      <x:c r="I94" s="34" t="n">
        <x:f>G94/F94</x:f>
        <x:v>0.1309541681422867</x:v>
      </x:c>
      <x:c r="J94" s="33" t="n">
        <x:f>E94/F94</x:f>
        <x:v>0.13144869129436648</x:v>
      </x:c>
      <x:c r="K94" s="25" t="b">
        <x:f>I94&gt;='Selection Rules'!$B$5</x:f>
        <x:v>0</x:v>
      </x:c>
      <x:c r="L94" s="25" t="n">
        <x:f>IF(AND(K94,J94&gt;='Selection Rules'!$B$6),1,0)</x:f>
        <x:v>0</x:v>
      </x:c>
      <x:c r="M94" s="25" t="n">
        <x:f>IF(AND(K94,J94&gt;='Selection Rules'!$B$7,J94&lt;'Selection Rules'!$B$6),1,0)</x:f>
        <x:v>0</x:v>
      </x:c>
    </x:row>
    <x:row r="95" ht="18" customHeight="1">
      <x:c r="A95" s="25" t="str">
        <x:v>EEZ_332</x:v>
      </x:c>
      <x:c r="B95" s="25" t="str">
        <x:v>Haiti</x:v>
      </x:c>
      <x:c r="C95" s="25" t="str">
        <x:v>LME_012</x:v>
      </x:c>
      <x:c r="D95" s="25" t="str">
        <x:v>Caribbean Sea</x:v>
      </x:c>
      <x:c r="E95" s="32" t="n">
        <x:v>117475.29404810692</x:v>
      </x:c>
      <x:c r="F95" s="32" t="n">
        <x:v>3262576.84767364</x:v>
      </x:c>
      <x:c r="G95" s="32" t="n">
        <x:v>117095.21354853609</x:v>
      </x:c>
      <x:c r="H95" s="34" t="n">
        <x:f>G95/E95</x:f>
        <x:v>0.9967645920561374</x:v>
      </x:c>
      <x:c r="I95" s="34" t="n">
        <x:f>G95/F95</x:f>
        <x:v>0.03589040780205073</x:v>
      </x:c>
      <x:c r="J95" s="33" t="n">
        <x:f>E95/F95</x:f>
        <x:v>0.03600690482796503</x:v>
      </x:c>
      <x:c r="K95" s="25" t="b">
        <x:f>I95&gt;='Selection Rules'!$B$5</x:f>
        <x:v>0</x:v>
      </x:c>
      <x:c r="L95" s="25" t="n">
        <x:f>IF(AND(K95,J95&gt;='Selection Rules'!$B$6),1,0)</x:f>
        <x:v>0</x:v>
      </x:c>
      <x:c r="M95" s="25" t="n">
        <x:f>IF(AND(K95,J95&gt;='Selection Rules'!$B$7,J95&lt;'Selection Rules'!$B$6),1,0)</x:f>
        <x:v>0</x:v>
      </x:c>
    </x:row>
    <x:row r="96" ht="18" customHeight="1">
      <x:c r="A96" s="25" t="str">
        <x:v>EEZ_344</x:v>
      </x:c>
      <x:c r="B96" s="25" t="str">
        <x:v>Hong Kong (China)</x:v>
      </x:c>
      <x:c r="C96" s="25" t="str">
        <x:v>LME_036</x:v>
      </x:c>
      <x:c r="D96" s="25" t="str">
        <x:v>South China Sea</x:v>
      </x:c>
      <x:c r="E96" s="32" t="n">
        <x:v>2062.218966103303</x:v>
      </x:c>
      <x:c r="F96" s="32" t="n">
        <x:v>3164824.0447257855</x:v>
      </x:c>
      <x:c r="G96" s="32" t="n">
        <x:v>1907.387235383704</x:v>
      </x:c>
      <x:c r="H96" s="34" t="n">
        <x:f>G96/E96</x:f>
        <x:v>0.9249198396171461</x:v>
      </x:c>
      <x:c r="I96" s="34" t="n">
        <x:f>G96/F96</x:f>
        <x:v>0.0006026835010187647</x:v>
      </x:c>
      <x:c r="J96" s="33" t="n">
        <x:f>E96/F96</x:f>
        <x:v>0.0006516061989417749</x:v>
      </x:c>
      <x:c r="K96" s="25" t="b">
        <x:f>I96&gt;='Selection Rules'!$B$5</x:f>
        <x:v>0</x:v>
      </x:c>
      <x:c r="L96" s="25" t="n">
        <x:f>IF(AND(K96,J96&gt;='Selection Rules'!$B$6),1,0)</x:f>
        <x:v>0</x:v>
      </x:c>
      <x:c r="M96" s="25" t="n">
        <x:f>IF(AND(K96,J96&gt;='Selection Rules'!$B$7,J96&lt;'Selection Rules'!$B$6),1,0)</x:f>
        <x:v>0</x:v>
      </x:c>
    </x:row>
    <x:row r="97" ht="18" customHeight="1">
      <x:c r="A97" s="25" t="str">
        <x:v>EEZ_352</x:v>
      </x:c>
      <x:c r="B97" s="25" t="str">
        <x:v>Iceland</x:v>
      </x:c>
      <x:c r="C97" s="25" t="str">
        <x:v>LME_019</x:v>
      </x:c>
      <x:c r="D97" s="25" t="str">
        <x:v>Greenland Sea</x:v>
      </x:c>
      <x:c r="E97" s="32" t="n">
        <x:v>795723.2675435634</x:v>
      </x:c>
      <x:c r="F97" s="32" t="n">
        <x:v>1208537.6311131367</x:v>
      </x:c>
      <x:c r="G97" s="32" t="n">
        <x:v>42636.14235435948</x:v>
      </x:c>
      <x:c r="H97" s="34" t="n">
        <x:f>G97/E97</x:f>
        <x:v>0.053581620763685014</x:v>
      </x:c>
      <x:c r="I97" s="34" t="n">
        <x:f>G97/F97</x:f>
        <x:v>0.03527911854518671</x:v>
      </x:c>
      <x:c r="J97" s="33" t="n">
        <x:f>E97/F97</x:f>
        <x:v>0.658418279297314</x:v>
      </x:c>
      <x:c r="K97" s="25" t="b">
        <x:f>I97&gt;='Selection Rules'!$B$5</x:f>
        <x:v>0</x:v>
      </x:c>
      <x:c r="L97" s="25" t="n">
        <x:f>IF(AND(K97,J97&gt;='Selection Rules'!$B$6),1,0)</x:f>
        <x:v>0</x:v>
      </x:c>
      <x:c r="M97" s="25" t="n">
        <x:f>IF(AND(K97,J97&gt;='Selection Rules'!$B$7,J97&lt;'Selection Rules'!$B$6),1,0)</x:f>
        <x:v>0</x:v>
      </x:c>
    </x:row>
    <x:row r="98" ht="18" customHeight="1">
      <x:c r="A98" s="25" t="str">
        <x:v>EEZ_352</x:v>
      </x:c>
      <x:c r="B98" s="25" t="str">
        <x:v>Iceland</x:v>
      </x:c>
      <x:c r="C98" s="25" t="str">
        <x:v>LME_021</x:v>
      </x:c>
      <x:c r="D98" s="25" t="str">
        <x:v>Norwegian Sea</x:v>
      </x:c>
      <x:c r="E98" s="32" t="n">
        <x:v>795723.2675435634</x:v>
      </x:c>
      <x:c r="F98" s="32" t="n">
        <x:v>1060118.1873210357</x:v>
      </x:c>
      <x:c r="G98" s="32" t="n">
        <x:v>38813.97630221599</x:v>
      </x:c>
      <x:c r="H98" s="34" t="n">
        <x:f>G98/E98</x:f>
        <x:v>0.04877823470216804</x:v>
      </x:c>
      <x:c r="I98" s="34" t="n">
        <x:f>G98/F98</x:f>
        <x:v>0.03661287653247473</x:v>
      </x:c>
      <x:c r="J98" s="33" t="n">
        <x:f>E98/F98</x:f>
        <x:v>0.7505986380201536</x:v>
      </x:c>
      <x:c r="K98" s="25" t="b">
        <x:f>I98&gt;='Selection Rules'!$B$5</x:f>
        <x:v>0</x:v>
      </x:c>
      <x:c r="L98" s="25" t="n">
        <x:f>IF(AND(K98,J98&gt;='Selection Rules'!$B$6),1,0)</x:f>
        <x:v>0</x:v>
      </x:c>
      <x:c r="M98" s="25" t="n">
        <x:f>IF(AND(K98,J98&gt;='Selection Rules'!$B$7,J98&lt;'Selection Rules'!$B$6),1,0)</x:f>
        <x:v>0</x:v>
      </x:c>
    </x:row>
    <x:row r="99" ht="18" customHeight="1">
      <x:c r="A99" s="25" t="str">
        <x:v>EEZ_352</x:v>
      </x:c>
      <x:c r="B99" s="25" t="str">
        <x:v>Iceland</x:v>
      </x:c>
      <x:c r="C99" s="25" t="str">
        <x:v>LME_059</x:v>
      </x:c>
      <x:c r="D99" s="25" t="str">
        <x:v>Iceland Shelf and Sea</x:v>
      </x:c>
      <x:c r="E99" s="32" t="n">
        <x:v>795723.2675435634</x:v>
      </x:c>
      <x:c r="F99" s="32" t="n">
        <x:v>480787.1636455053</x:v>
      </x:c>
      <x:c r="G99" s="32" t="n">
        <x:v>407951.59323717694</x:v>
      </x:c>
      <x:c r="H99" s="34" t="n">
        <x:f>G99/E99</x:f>
        <x:v>0.5126802368071295</x:v>
      </x:c>
      <x:c r="I99" s="34" t="n">
        <x:f>G99/F99</x:f>
        <x:v>0.8485076642727684</x:v>
      </x:c>
      <x:c r="J99" s="33" t="n">
        <x:f>E99/F99</x:f>
        <x:v>1.6550426627659869</x:v>
      </x:c>
      <x:c r="K99" s="25" t="b">
        <x:f>I99&gt;='Selection Rules'!$B$5</x:f>
        <x:v>0</x:v>
      </x:c>
      <x:c r="L99" s="25" t="n">
        <x:f>IF(AND(K99,J99&gt;='Selection Rules'!$B$6),1,0)</x:f>
        <x:v>0</x:v>
      </x:c>
      <x:c r="M99" s="25" t="n">
        <x:f>IF(AND(K99,J99&gt;='Selection Rules'!$B$7,J99&lt;'Selection Rules'!$B$6),1,0)</x:f>
        <x:v>0</x:v>
      </x:c>
    </x:row>
    <x:row r="100" ht="18" customHeight="1">
      <x:c r="A100" s="25" t="str">
        <x:v>EEZ_356</x:v>
      </x:c>
      <x:c r="B100" s="25" t="str">
        <x:v>India (mainland)</x:v>
      </x:c>
      <x:c r="C100" s="25" t="str">
        <x:v>LME_032</x:v>
      </x:c>
      <x:c r="D100" s="25" t="str">
        <x:v>Arabian Sea</x:v>
      </x:c>
      <x:c r="E100" s="32" t="n">
        <x:v>1655050.8316858804</x:v>
      </x:c>
      <x:c r="F100" s="32" t="n">
        <x:v>3931902.1047515674</x:v>
      </x:c>
      <x:c r="G100" s="32" t="n">
        <x:v>1049649.1390617448</x:v>
      </x:c>
      <x:c r="H100" s="34" t="n">
        <x:f>G100/E100</x:f>
        <x:v>0.6342096079263881</x:v>
      </x:c>
      <x:c r="I100" s="34" t="n">
        <x:f>G100/F100</x:f>
        <x:v>0.2669570887315023</x:v>
      </x:c>
      <x:c r="J100" s="33" t="n">
        <x:f>E100/F100</x:f>
        <x:v>0.4209287992409091</x:v>
      </x:c>
      <x:c r="K100" s="25" t="b">
        <x:f>I100&gt;='Selection Rules'!$B$5</x:f>
        <x:v>0</x:v>
      </x:c>
      <x:c r="L100" s="25" t="n">
        <x:f>IF(AND(K100,J100&gt;='Selection Rules'!$B$6),1,0)</x:f>
        <x:v>0</x:v>
      </x:c>
      <x:c r="M100" s="25" t="n">
        <x:f>IF(AND(K100,J100&gt;='Selection Rules'!$B$7,J100&lt;'Selection Rules'!$B$6),1,0)</x:f>
        <x:v>0</x:v>
      </x:c>
    </x:row>
    <x:row r="101" ht="18" customHeight="1">
      <x:c r="A101" s="25" t="str">
        <x:v>EEZ_356</x:v>
      </x:c>
      <x:c r="B101" s="25" t="str">
        <x:v>India (mainland)</x:v>
      </x:c>
      <x:c r="C101" s="25" t="str">
        <x:v>LME_034</x:v>
      </x:c>
      <x:c r="D101" s="25" t="str">
        <x:v>Bay of Bengal</x:v>
      </x:c>
      <x:c r="E101" s="32" t="n">
        <x:v>1655050.8316858804</x:v>
      </x:c>
      <x:c r="F101" s="32" t="n">
        <x:v>3664559.241537097</x:v>
      </x:c>
      <x:c r="G101" s="32" t="n">
        <x:v>582197.7289305372</x:v>
      </x:c>
      <x:c r="H101" s="34" t="n">
        <x:f>G101/E101</x:f>
        <x:v>0.35177030081758554</x:v>
      </x:c>
      <x:c r="I101" s="34" t="n">
        <x:f>G101/F101</x:f>
        <x:v>0.15887251114170411</x:v>
      </x:c>
      <x:c r="J101" s="33" t="n">
        <x:f>E101/F101</x:f>
        <x:v>0.45163707900425987</x:v>
      </x:c>
      <x:c r="K101" s="25" t="b">
        <x:f>I101&gt;='Selection Rules'!$B$5</x:f>
        <x:v>0</x:v>
      </x:c>
      <x:c r="L101" s="25" t="n">
        <x:f>IF(AND(K101,J101&gt;='Selection Rules'!$B$6),1,0)</x:f>
        <x:v>0</x:v>
      </x:c>
      <x:c r="M101" s="25" t="n">
        <x:f>IF(AND(K101,J101&gt;='Selection Rules'!$B$7,J101&lt;'Selection Rules'!$B$6),1,0)</x:f>
        <x:v>0</x:v>
      </x:c>
    </x:row>
    <x:row r="102" ht="18" customHeight="1">
      <x:c r="A102" s="25" t="str">
        <x:v>EEZ_357</x:v>
      </x:c>
      <x:c r="B102" s="25" t="str">
        <x:v>Andaman &amp; Nicobar Isl. (India)</x:v>
      </x:c>
      <x:c r="C102" s="25" t="str">
        <x:v>LME_034</x:v>
      </x:c>
      <x:c r="D102" s="25" t="str">
        <x:v>Bay of Bengal</x:v>
      </x:c>
      <x:c r="E102" s="32" t="n">
        <x:v>660062.0566406576</x:v>
      </x:c>
      <x:c r="F102" s="32" t="n">
        <x:v>3664559.241537097</x:v>
      </x:c>
      <x:c r="G102" s="32" t="n">
        <x:v>659199.2647798238</x:v>
      </x:c>
      <x:c r="H102" s="34" t="n">
        <x:f>G102/E102</x:f>
        <x:v>0.9986928625086785</x:v>
      </x:c>
      <x:c r="I102" s="34" t="n">
        <x:f>G102/F102</x:f>
        <x:v>0.17988500699017848</x:v>
      </x:c>
      <x:c r="J102" s="33" t="n">
        <x:f>E102/F102</x:f>
        <x:v>0.18012044918225828</x:v>
      </x:c>
      <x:c r="K102" s="25" t="b">
        <x:f>I102&gt;='Selection Rules'!$B$5</x:f>
        <x:v>0</x:v>
      </x:c>
      <x:c r="L102" s="25" t="n">
        <x:f>IF(AND(K102,J102&gt;='Selection Rules'!$B$6),1,0)</x:f>
        <x:v>0</x:v>
      </x:c>
      <x:c r="M102" s="25" t="n">
        <x:f>IF(AND(K102,J102&gt;='Selection Rules'!$B$7,J102&lt;'Selection Rules'!$B$6),1,0)</x:f>
        <x:v>0</x:v>
      </x:c>
    </x:row>
    <x:row r="103" ht="18" customHeight="1">
      <x:c r="A103" s="25" t="str">
        <x:v>EEZ_361</x:v>
      </x:c>
      <x:c r="B103" s="25" t="str">
        <x:v>Indonesia (Eastern)</x:v>
      </x:c>
      <x:c r="C103" s="25" t="str">
        <x:v>LME_037</x:v>
      </x:c>
      <x:c r="D103" s="25" t="str">
        <x:v>Sulu-Celebes Sea</x:v>
      </x:c>
      <x:c r="E103" s="32" t="n">
        <x:v>3605063.517602203</x:v>
      </x:c>
      <x:c r="F103" s="32" t="n">
        <x:v>1013858.8714074758</x:v>
      </x:c>
      <x:c r="G103" s="32" t="n">
        <x:v>333512.49845666735</x:v>
      </x:c>
      <x:c r="H103" s="34" t="n">
        <x:f>G103/E103</x:f>
        <x:v>0.09251223919585554</x:v>
      </x:c>
      <x:c r="I103" s="34" t="n">
        <x:f>G103/F103</x:f>
        <x:v>0.32895357318684126</x:v>
      </x:c>
      <x:c r="J103" s="33" t="n">
        <x:f>E103/F103</x:f>
        <x:v>3.555784359412393</x:v>
      </x:c>
      <x:c r="K103" s="25" t="b">
        <x:f>I103&gt;='Selection Rules'!$B$5</x:f>
        <x:v>0</x:v>
      </x:c>
      <x:c r="L103" s="25" t="n">
        <x:f>IF(AND(K103,J103&gt;='Selection Rules'!$B$6),1,0)</x:f>
        <x:v>0</x:v>
      </x:c>
      <x:c r="M103" s="25" t="n">
        <x:f>IF(AND(K103,J103&gt;='Selection Rules'!$B$7,J103&lt;'Selection Rules'!$B$6),1,0)</x:f>
        <x:v>0</x:v>
      </x:c>
    </x:row>
    <x:row r="104" ht="18" customHeight="1">
      <x:c r="A104" s="25" t="str">
        <x:v>EEZ_361</x:v>
      </x:c>
      <x:c r="B104" s="25" t="str">
        <x:v>Indonesia (Eastern)</x:v>
      </x:c>
      <x:c r="C104" s="25" t="str">
        <x:v>LME_038</x:v>
      </x:c>
      <x:c r="D104" s="25" t="str">
        <x:v>Indonesian Sea</x:v>
      </x:c>
      <x:c r="E104" s="32" t="n">
        <x:v>3605063.517602203</x:v>
      </x:c>
      <x:c r="F104" s="32" t="n">
        <x:v>2267460.478990507</x:v>
      </x:c>
      <x:c r="G104" s="32" t="n">
        <x:v>1772582.8406489762</x:v>
      </x:c>
      <x:c r="H104" s="34" t="n">
        <x:f>G104/E104</x:f>
        <x:v>0.49169254078162683</x:v>
      </x:c>
      <x:c r="I104" s="34" t="n">
        <x:f>G104/F104</x:f>
        <x:v>0.7817480644417429</x:v>
      </x:c>
      <x:c r="J104" s="33" t="n">
        <x:f>E104/F104</x:f>
        <x:v>1.5899123936251398</x:v>
      </x:c>
      <x:c r="K104" s="25" t="b">
        <x:f>I104&gt;='Selection Rules'!$B$5</x:f>
        <x:v>0</x:v>
      </x:c>
      <x:c r="L104" s="25" t="n">
        <x:f>IF(AND(K104,J104&gt;='Selection Rules'!$B$6),1,0)</x:f>
        <x:v>0</x:v>
      </x:c>
      <x:c r="M104" s="25" t="n">
        <x:f>IF(AND(K104,J104&gt;='Selection Rules'!$B$7,J104&lt;'Selection Rules'!$B$6),1,0)</x:f>
        <x:v>0</x:v>
      </x:c>
    </x:row>
    <x:row r="105" ht="18" customHeight="1">
      <x:c r="A105" s="25" t="str">
        <x:v>EEZ_361</x:v>
      </x:c>
      <x:c r="B105" s="25" t="str">
        <x:v>Indonesia (Eastern)</x:v>
      </x:c>
      <x:c r="C105" s="25" t="str">
        <x:v>LME_039</x:v>
      </x:c>
      <x:c r="D105" s="25" t="str">
        <x:v>North Australian Shelf</x:v>
      </x:c>
      <x:c r="E105" s="32" t="n">
        <x:v>3605063.517602203</x:v>
      </x:c>
      <x:c r="F105" s="32" t="n">
        <x:v>779233.7571536872</x:v>
      </x:c>
      <x:c r="G105" s="32" t="n">
        <x:v>432.296619959743</x:v>
      </x:c>
      <x:c r="H105" s="34" t="n">
        <x:f>G105/E105</x:f>
        <x:v>0.0001199137318521566</x:v>
      </x:c>
      <x:c r="I105" s="34" t="n">
        <x:f>G105/F105</x:f>
        <x:v>0.000554771422555917</x:v>
      </x:c>
      <x:c r="J105" s="33" t="n">
        <x:f>E105/F105</x:f>
        <x:v>4.626421127814643</x:v>
      </x:c>
      <x:c r="K105" s="25" t="b">
        <x:f>I105&gt;='Selection Rules'!$B$5</x:f>
        <x:v>0</x:v>
      </x:c>
      <x:c r="L105" s="25" t="n">
        <x:f>IF(AND(K105,J105&gt;='Selection Rules'!$B$6),1,0)</x:f>
        <x:v>0</x:v>
      </x:c>
      <x:c r="M105" s="25" t="n">
        <x:f>IF(AND(K105,J105&gt;='Selection Rules'!$B$7,J105&lt;'Selection Rules'!$B$6),1,0)</x:f>
        <x:v>0</x:v>
      </x:c>
    </x:row>
    <x:row r="106" ht="18" customHeight="1">
      <x:c r="A106" s="25" t="str">
        <x:v>EEZ_361</x:v>
      </x:c>
      <x:c r="B106" s="25" t="str">
        <x:v>Indonesia (Eastern)</x:v>
      </x:c>
      <x:c r="C106" s="25" t="str">
        <x:v>LME_045</x:v>
      </x:c>
      <x:c r="D106" s="25" t="str">
        <x:v>Northwest Australian Shelf</x:v>
      </x:c>
      <x:c r="E106" s="32" t="n">
        <x:v>3605063.517602203</x:v>
      </x:c>
      <x:c r="F106" s="32" t="n">
        <x:v>910842.4768383015</x:v>
      </x:c>
      <x:c r="G106" s="32" t="n">
        <x:v>63100.443608046975</x:v>
      </x:c>
      <x:c r="H106" s="34" t="n">
        <x:f>G106/E106</x:f>
        <x:v>0.017503282064227344</x:v>
      </x:c>
      <x:c r="I106" s="34" t="n">
        <x:f>G106/F106</x:f>
        <x:v>0.0692770102543746</x:v>
      </x:c>
      <x:c r="J106" s="33" t="n">
        <x:f>E106/F106</x:f>
        <x:v>3.9579440015973217</x:v>
      </x:c>
      <x:c r="K106" s="25" t="b">
        <x:f>I106&gt;='Selection Rules'!$B$5</x:f>
        <x:v>0</x:v>
      </x:c>
      <x:c r="L106" s="25" t="n">
        <x:f>IF(AND(K106,J106&gt;='Selection Rules'!$B$6),1,0)</x:f>
        <x:v>0</x:v>
      </x:c>
      <x:c r="M106" s="25" t="n">
        <x:f>IF(AND(K106,J106&gt;='Selection Rules'!$B$7,J106&lt;'Selection Rules'!$B$6),1,0)</x:f>
        <x:v>0</x:v>
      </x:c>
    </x:row>
    <x:row r="107" ht="18" customHeight="1">
      <x:c r="A107" s="25" t="str">
        <x:v>EEZ_368</x:v>
      </x:c>
      <x:c r="B107" s="25" t="str">
        <x:v>Iraq</x:v>
      </x:c>
      <x:c r="C107" s="25" t="str">
        <x:v>LME_032</x:v>
      </x:c>
      <x:c r="D107" s="25" t="str">
        <x:v>Arabian Sea</x:v>
      </x:c>
      <x:c r="E107" s="32" t="n">
        <x:v>1139.5025804027696</x:v>
      </x:c>
      <x:c r="F107" s="32" t="n">
        <x:v>3931902.1047515674</x:v>
      </x:c>
      <x:c r="G107" s="32" t="n">
        <x:v>1130.017865152761</x:v>
      </x:c>
      <x:c r="H107" s="34" t="n">
        <x:f>G107/E107</x:f>
        <x:v>0.9916764424994491</x:v>
      </x:c>
      <x:c r="I107" s="34" t="n">
        <x:f>G107/F107</x:f>
        <x:v>0.0002873972533006795</x:v>
      </x:c>
      <x:c r="J107" s="33" t="n">
        <x:f>E107/F107</x:f>
        <x:v>0.0002898094993325801</x:v>
      </x:c>
      <x:c r="K107" s="25" t="b">
        <x:f>I107&gt;='Selection Rules'!$B$5</x:f>
        <x:v>0</x:v>
      </x:c>
      <x:c r="L107" s="25" t="n">
        <x:f>IF(AND(K107,J107&gt;='Selection Rules'!$B$6),1,0)</x:f>
        <x:v>0</x:v>
      </x:c>
      <x:c r="M107" s="25" t="n">
        <x:f>IF(AND(K107,J107&gt;='Selection Rules'!$B$7,J107&lt;'Selection Rules'!$B$6),1,0)</x:f>
        <x:v>0</x:v>
      </x:c>
    </x:row>
    <x:row r="108" ht="18" customHeight="1">
      <x:c r="A108" s="25" t="str">
        <x:v>EEZ_372</x:v>
      </x:c>
      <x:c r="B108" s="25" t="str">
        <x:v>Ireland</x:v>
      </x:c>
      <x:c r="C108" s="25" t="str">
        <x:v>LME_024</x:v>
      </x:c>
      <x:c r="D108" s="25" t="str">
        <x:v>Celtic-Biscay Shelf</x:v>
      </x:c>
      <x:c r="E108" s="32" t="n">
        <x:v>427981.0954464815</x:v>
      </x:c>
      <x:c r="F108" s="32" t="n">
        <x:v>762660.9802682624</x:v>
      </x:c>
      <x:c r="G108" s="32" t="n">
        <x:v>291366.7216076104</x:v>
      </x:c>
      <x:c r="H108" s="34" t="n">
        <x:f>G108/E108</x:f>
        <x:v>0.6807934385598241</x:v>
      </x:c>
      <x:c r="I108" s="34" t="n">
        <x:f>G108/F108</x:f>
        <x:v>0.38203963379000133</x:v>
      </x:c>
      <x:c r="J108" s="33" t="n">
        <x:f>E108/F108</x:f>
        <x:v>0.5611682077873462</x:v>
      </x:c>
      <x:c r="K108" s="25" t="b">
        <x:f>I108&gt;='Selection Rules'!$B$5</x:f>
        <x:v>0</x:v>
      </x:c>
      <x:c r="L108" s="25" t="n">
        <x:f>IF(AND(K108,J108&gt;='Selection Rules'!$B$6),1,0)</x:f>
        <x:v>0</x:v>
      </x:c>
      <x:c r="M108" s="25" t="n">
        <x:f>IF(AND(K108,J108&gt;='Selection Rules'!$B$7,J108&lt;'Selection Rules'!$B$6),1,0)</x:f>
        <x:v>0</x:v>
      </x:c>
    </x:row>
    <x:row r="109" ht="18" customHeight="1">
      <x:c r="A109" s="25" t="str">
        <x:v>EEZ_380</x:v>
      </x:c>
      <x:c r="B109" s="25" t="str">
        <x:v>Italy (mainland)</x:v>
      </x:c>
      <x:c r="C109" s="25" t="str">
        <x:v>LME_026</x:v>
      </x:c>
      <x:c r="D109" s="25" t="str">
        <x:v>Mediterranean Sea</x:v>
      </x:c>
      <x:c r="E109" s="32" t="n">
        <x:v>313880.6871942103</x:v>
      </x:c>
      <x:c r="F109" s="32" t="n">
        <x:v>2527801.206996367</x:v>
      </x:c>
      <x:c r="G109" s="32" t="n">
        <x:v>312911.51465259824</x:v>
      </x:c>
      <x:c r="H109" s="34" t="n">
        <x:f>G109/E109</x:f>
        <x:v>0.9969122899842118</x:v>
      </x:c>
      <x:c r="I109" s="34" t="n">
        <x:f>G109/F109</x:f>
        <x:v>0.12378802327751558</x:v>
      </x:c>
      <x:c r="J109" s="33" t="n">
        <x:f>E109/F109</x:f>
        <x:v>0.12417142864140639</x:v>
      </x:c>
      <x:c r="K109" s="25" t="b">
        <x:f>I109&gt;='Selection Rules'!$B$5</x:f>
        <x:v>0</x:v>
      </x:c>
      <x:c r="L109" s="25" t="n">
        <x:f>IF(AND(K109,J109&gt;='Selection Rules'!$B$6),1,0)</x:f>
        <x:v>0</x:v>
      </x:c>
      <x:c r="M109" s="25" t="n">
        <x:f>IF(AND(K109,J109&gt;='Selection Rules'!$B$7,J109&lt;'Selection Rules'!$B$6),1,0)</x:f>
        <x:v>0</x:v>
      </x:c>
    </x:row>
    <x:row r="110" ht="18" customHeight="1">
      <x:c r="A110" s="25" t="str">
        <x:v>EEZ_384</x:v>
      </x:c>
      <x:c r="B110" s="25" t="str">
        <x:v>Côte d'Ivoire</x:v>
      </x:c>
      <x:c r="C110" s="25" t="str">
        <x:v>LME_028</x:v>
      </x:c>
      <x:c r="D110" s="25" t="str">
        <x:v>Guinea Current</x:v>
      </x:c>
      <x:c r="E110" s="32" t="n">
        <x:v>170058.23435710688</x:v>
      </x:c>
      <x:c r="F110" s="32" t="n">
        <x:v>1918690.5432233866</x:v>
      </x:c>
      <x:c r="G110" s="32" t="n">
        <x:v>168592.29301724624</x:v>
      </x:c>
      <x:c r="H110" s="34" t="n">
        <x:f>G110/E110</x:f>
        <x:v>0.9913797685516228</x:v>
      </x:c>
      <x:c r="I110" s="34" t="n">
        <x:f>G110/F110</x:f>
        <x:v>0.08786841297190759</x:v>
      </x:c>
      <x:c r="J110" s="33" t="n">
        <x:f>E110/F110</x:f>
        <x:v>0.08863244516304868</x:v>
      </x:c>
      <x:c r="K110" s="25" t="b">
        <x:f>I110&gt;='Selection Rules'!$B$5</x:f>
        <x:v>0</x:v>
      </x:c>
      <x:c r="L110" s="25" t="n">
        <x:f>IF(AND(K110,J110&gt;='Selection Rules'!$B$6),1,0)</x:f>
        <x:v>0</x:v>
      </x:c>
      <x:c r="M110" s="25" t="n">
        <x:f>IF(AND(K110,J110&gt;='Selection Rules'!$B$7,J110&lt;'Selection Rules'!$B$6),1,0)</x:f>
        <x:v>0</x:v>
      </x:c>
    </x:row>
    <x:row r="111" ht="18" customHeight="1">
      <x:c r="A111" s="25" t="str">
        <x:v>EEZ_388</x:v>
      </x:c>
      <x:c r="B111" s="25" t="str">
        <x:v>Jamaica</x:v>
      </x:c>
      <x:c r="C111" s="25" t="str">
        <x:v>LME_012</x:v>
      </x:c>
      <x:c r="D111" s="25" t="str">
        <x:v>Caribbean Sea</x:v>
      </x:c>
      <x:c r="E111" s="32" t="n">
        <x:v>286012.3556760835</x:v>
      </x:c>
      <x:c r="F111" s="32" t="n">
        <x:v>3262576.84767364</x:v>
      </x:c>
      <x:c r="G111" s="32" t="n">
        <x:v>285786.0072552433</x:v>
      </x:c>
      <x:c r="H111" s="34" t="n">
        <x:f>G111/E111</x:f>
        <x:v>0.9992086061446362</x:v>
      </x:c>
      <x:c r="I111" s="34" t="n">
        <x:f>G111/F111</x:f>
        <x:v>0.08759518031246413</x:v>
      </x:c>
      <x:c r="J111" s="33" t="n">
        <x:f>E111/F111</x:f>
        <x:v>0.08766455750460646</x:v>
      </x:c>
      <x:c r="K111" s="25" t="b">
        <x:f>I111&gt;='Selection Rules'!$B$5</x:f>
        <x:v>0</x:v>
      </x:c>
      <x:c r="L111" s="25" t="n">
        <x:f>IF(AND(K111,J111&gt;='Selection Rules'!$B$6),1,0)</x:f>
        <x:v>0</x:v>
      </x:c>
      <x:c r="M111" s="25" t="n">
        <x:f>IF(AND(K111,J111&gt;='Selection Rules'!$B$7,J111&lt;'Selection Rules'!$B$6),1,0)</x:f>
        <x:v>0</x:v>
      </x:c>
    </x:row>
    <x:row r="112" ht="18" customHeight="1">
      <x:c r="A112" s="25" t="str">
        <x:v>EEZ_390</x:v>
      </x:c>
      <x:c r="B112" s="25" t="str">
        <x:v>Japan (main islands)</x:v>
      </x:c>
      <x:c r="C112" s="25" t="str">
        <x:v>LME_047</x:v>
      </x:c>
      <x:c r="D112" s="25" t="str">
        <x:v>East China Sea</x:v>
      </x:c>
      <x:c r="E112" s="32" t="n">
        <x:v>2583959.1756775146</x:v>
      </x:c>
      <x:c r="F112" s="32" t="n">
        <x:v>779660.4335896934</x:v>
      </x:c>
      <x:c r="G112" s="32" t="n">
        <x:v>386577.16576726316</x:v>
      </x:c>
      <x:c r="H112" s="34" t="n">
        <x:f>G112/E112</x:f>
        <x:v>0.14960652993517304</x:v>
      </x:c>
      <x:c r="I112" s="34" t="n">
        <x:f>G112/F112</x:f>
        <x:v>0.495827605342744</x:v>
      </x:c>
      <x:c r="J112" s="33" t="n">
        <x:f>E112/F112</x:f>
        <x:v>3.3142109876994956</x:v>
      </x:c>
      <x:c r="K112" s="25" t="b">
        <x:f>I112&gt;='Selection Rules'!$B$5</x:f>
        <x:v>0</x:v>
      </x:c>
      <x:c r="L112" s="25" t="n">
        <x:f>IF(AND(K112,J112&gt;='Selection Rules'!$B$6),1,0)</x:f>
        <x:v>0</x:v>
      </x:c>
      <x:c r="M112" s="25" t="n">
        <x:f>IF(AND(K112,J112&gt;='Selection Rules'!$B$7,J112&lt;'Selection Rules'!$B$6),1,0)</x:f>
        <x:v>0</x:v>
      </x:c>
    </x:row>
    <x:row r="113" ht="18" customHeight="1">
      <x:c r="A113" s="25" t="str">
        <x:v>EEZ_390</x:v>
      </x:c>
      <x:c r="B113" s="25" t="str">
        <x:v>Japan (main islands)</x:v>
      </x:c>
      <x:c r="C113" s="25" t="str">
        <x:v>LME_049</x:v>
      </x:c>
      <x:c r="D113" s="25" t="str">
        <x:v>Kuroshio Current</x:v>
      </x:c>
      <x:c r="E113" s="32" t="n">
        <x:v>2583959.1756775146</x:v>
      </x:c>
      <x:c r="F113" s="32" t="n">
        <x:v>1320719.814467396</x:v>
      </x:c>
      <x:c r="G113" s="32" t="n">
        <x:v>1101368.463809616</x:v>
      </x:c>
      <x:c r="H113" s="34" t="n">
        <x:f>G113/E113</x:f>
        <x:v>0.42623291969031857</x:v>
      </x:c>
      <x:c r="I113" s="34" t="n">
        <x:f>G113/F113</x:f>
        <x:v>0.8339153026592265</x:v>
      </x:c>
      <x:c r="J113" s="33" t="n">
        <x:f>E113/F113</x:f>
        <x:v>1.9564779352686117</x:v>
      </x:c>
      <x:c r="K113" s="25" t="b">
        <x:f>I113&gt;='Selection Rules'!$B$5</x:f>
        <x:v>0</x:v>
      </x:c>
      <x:c r="L113" s="25" t="n">
        <x:f>IF(AND(K113,J113&gt;='Selection Rules'!$B$6),1,0)</x:f>
        <x:v>0</x:v>
      </x:c>
      <x:c r="M113" s="25" t="n">
        <x:f>IF(AND(K113,J113&gt;='Selection Rules'!$B$7,J113&lt;'Selection Rules'!$B$6),1,0)</x:f>
        <x:v>0</x:v>
      </x:c>
    </x:row>
    <x:row r="114" ht="18" customHeight="1">
      <x:c r="A114" s="25" t="str">
        <x:v>EEZ_390</x:v>
      </x:c>
      <x:c r="B114" s="25" t="str">
        <x:v>Japan (main islands)</x:v>
      </x:c>
      <x:c r="C114" s="25" t="str">
        <x:v>LME_050</x:v>
      </x:c>
      <x:c r="D114" s="25" t="str">
        <x:v>Sea of Japan / East Sea</x:v>
      </x:c>
      <x:c r="E114" s="32" t="n">
        <x:v>2583959.1756775146</x:v>
      </x:c>
      <x:c r="F114" s="32" t="n">
        <x:v>988300.3380015396</x:v>
      </x:c>
      <x:c r="G114" s="32" t="n">
        <x:v>492302.32308343926</x:v>
      </x:c>
      <x:c r="H114" s="34" t="n">
        <x:f>G114/E114</x:f>
        <x:v>0.19052248492058993</x:v>
      </x:c>
      <x:c r="I114" s="34" t="n">
        <x:f>G114/F114</x:f>
        <x:v>0.4981302789786887</x:v>
      </x:c>
      <x:c r="J114" s="33" t="n">
        <x:f>E114/F114</x:f>
        <x:v>2.6145485095174474</x:v>
      </x:c>
      <x:c r="K114" s="25" t="b">
        <x:f>I114&gt;='Selection Rules'!$B$5</x:f>
        <x:v>0</x:v>
      </x:c>
      <x:c r="L114" s="25" t="n">
        <x:f>IF(AND(K114,J114&gt;='Selection Rules'!$B$6),1,0)</x:f>
        <x:v>0</x:v>
      </x:c>
      <x:c r="M114" s="25" t="n">
        <x:f>IF(AND(K114,J114&gt;='Selection Rules'!$B$7,J114&lt;'Selection Rules'!$B$6),1,0)</x:f>
        <x:v>0</x:v>
      </x:c>
    </x:row>
    <x:row r="115" ht="18" customHeight="1">
      <x:c r="A115" s="25" t="str">
        <x:v>EEZ_390</x:v>
      </x:c>
      <x:c r="B115" s="25" t="str">
        <x:v>Japan (main islands)</x:v>
      </x:c>
      <x:c r="C115" s="25" t="str">
        <x:v>LME_051</x:v>
      </x:c>
      <x:c r="D115" s="25" t="str">
        <x:v>Oyashio Current</x:v>
      </x:c>
      <x:c r="E115" s="32" t="n">
        <x:v>2583959.1756775146</x:v>
      </x:c>
      <x:c r="F115" s="32" t="n">
        <x:v>534330.3467746209</x:v>
      </x:c>
      <x:c r="G115" s="32" t="n">
        <x:v>200093.57419135806</x:v>
      </x:c>
      <x:c r="H115" s="34" t="n">
        <x:f>G115/E115</x:f>
        <x:v>0.0774368171427838</x:v>
      </x:c>
      <x:c r="I115" s="34" t="n">
        <x:f>G115/F115</x:f>
        <x:v>0.37447540720676487</x:v>
      </x:c>
      <x:c r="J115" s="33" t="n">
        <x:f>E115/F115</x:f>
        <x:v>4.835883253262839</x:v>
      </x:c>
      <x:c r="K115" s="25" t="b">
        <x:f>I115&gt;='Selection Rules'!$B$5</x:f>
        <x:v>0</x:v>
      </x:c>
      <x:c r="L115" s="25" t="n">
        <x:f>IF(AND(K115,J115&gt;='Selection Rules'!$B$6),1,0)</x:f>
        <x:v>0</x:v>
      </x:c>
      <x:c r="M115" s="25" t="n">
        <x:f>IF(AND(K115,J115&gt;='Selection Rules'!$B$7,J115&lt;'Selection Rules'!$B$6),1,0)</x:f>
        <x:v>0</x:v>
      </x:c>
    </x:row>
    <x:row r="116" ht="18" customHeight="1">
      <x:c r="A116" s="25" t="str">
        <x:v>EEZ_390</x:v>
      </x:c>
      <x:c r="B116" s="25" t="str">
        <x:v>Japan (main islands)</x:v>
      </x:c>
      <x:c r="C116" s="25" t="str">
        <x:v>LME_052</x:v>
      </x:c>
      <x:c r="D116" s="25" t="str">
        <x:v>Sea of Okhotsk</x:v>
      </x:c>
      <x:c r="E116" s="32" t="n">
        <x:v>2583959.1756775146</x:v>
      </x:c>
      <x:c r="F116" s="32" t="n">
        <x:v>1563892.65463195</x:v>
      </x:c>
      <x:c r="G116" s="32" t="n">
        <x:v>96033.93952644135</x:v>
      </x:c>
      <x:c r="H116" s="34" t="n">
        <x:f>G116/E116</x:f>
        <x:v>0.037165424450353875</x:v>
      </x:c>
      <x:c r="I116" s="34" t="n">
        <x:f>G116/F116</x:f>
        <x:v>0.061406989310939755</x:v>
      </x:c>
      <x:c r="J116" s="33" t="n">
        <x:f>E116/F116</x:f>
        <x:v>1.652261213724819</x:v>
      </x:c>
      <x:c r="K116" s="25" t="b">
        <x:f>I116&gt;='Selection Rules'!$B$5</x:f>
        <x:v>0</x:v>
      </x:c>
      <x:c r="L116" s="25" t="n">
        <x:f>IF(AND(K116,J116&gt;='Selection Rules'!$B$6),1,0)</x:f>
        <x:v>0</x:v>
      </x:c>
      <x:c r="M116" s="25" t="n">
        <x:f>IF(AND(K116,J116&gt;='Selection Rules'!$B$7,J116&lt;'Selection Rules'!$B$6),1,0)</x:f>
        <x:v>0</x:v>
      </x:c>
    </x:row>
    <x:row r="117" ht="18" customHeight="1">
      <x:c r="A117" s="25" t="str">
        <x:v>EEZ_393</x:v>
      </x:c>
      <x:c r="B117" s="25" t="str">
        <x:v>Japan (Daito Islands)</x:v>
      </x:c>
      <x:c r="C117" s="25" t="str">
        <x:v>LME_049</x:v>
      </x:c>
      <x:c r="D117" s="25" t="str">
        <x:v>Kuroshio Current</x:v>
      </x:c>
      <x:c r="E117" s="32" t="n">
        <x:v>792374.5938506415</x:v>
      </x:c>
      <x:c r="F117" s="32" t="n">
        <x:v>1320719.814467396</x:v>
      </x:c>
      <x:c r="G117" s="32" t="n">
        <x:v>124632.03750151751</x:v>
      </x:c>
      <x:c r="H117" s="34" t="n">
        <x:f>G117/E117</x:f>
        <x:v>0.15728929027854469</x:v>
      </x:c>
      <x:c r="I117" s="34" t="n">
        <x:f>G117/F117</x:f>
        <x:v>0.09436675071902183</x:v>
      </x:c>
      <x:c r="J117" s="33" t="n">
        <x:f>E117/F117</x:f>
        <x:v>0.5999566184824605</x:v>
      </x:c>
      <x:c r="K117" s="25" t="b">
        <x:f>I117&gt;='Selection Rules'!$B$5</x:f>
        <x:v>0</x:v>
      </x:c>
      <x:c r="L117" s="25" t="n">
        <x:f>IF(AND(K117,J117&gt;='Selection Rules'!$B$6),1,0)</x:f>
        <x:v>0</x:v>
      </x:c>
      <x:c r="M117" s="25" t="n">
        <x:f>IF(AND(K117,J117&gt;='Selection Rules'!$B$7,J117&lt;'Selection Rules'!$B$6),1,0)</x:f>
        <x:v>0</x:v>
      </x:c>
    </x:row>
    <x:row r="118" ht="18" customHeight="1">
      <x:c r="A118" s="25" t="str">
        <x:v>EEZ_400</x:v>
      </x:c>
      <x:c r="B118" s="25" t="str">
        <x:v>Jordan</x:v>
      </x:c>
      <x:c r="C118" s="25" t="str">
        <x:v>LME_033</x:v>
      </x:c>
      <x:c r="D118" s="25" t="str">
        <x:v>Red Sea</x:v>
      </x:c>
      <x:c r="E118" s="32" t="n">
        <x:v>100.52526667076052</x:v>
      </x:c>
      <x:c r="F118" s="32" t="n">
        <x:v>460970.08083065716</x:v>
      </x:c>
      <x:c r="G118" s="32" t="n">
        <x:v>90.72956237777626</x:v>
      </x:c>
      <x:c r="H118" s="34" t="n">
        <x:f>G118/E118</x:f>
        <x:v>0.902554804205921</x:v>
      </x:c>
      <x:c r="I118" s="34" t="n">
        <x:f>G118/F118</x:f>
        <x:v>0.0001968231044719513</x:v>
      </x:c>
      <x:c r="J118" s="33" t="n">
        <x:f>E118/F118</x:f>
        <x:v>0.00021807329987581051</x:v>
      </x:c>
      <x:c r="K118" s="25" t="b">
        <x:f>I118&gt;='Selection Rules'!$B$5</x:f>
        <x:v>0</x:v>
      </x:c>
      <x:c r="L118" s="25" t="n">
        <x:f>IF(AND(K118,J118&gt;='Selection Rules'!$B$6),1,0)</x:f>
        <x:v>0</x:v>
      </x:c>
      <x:c r="M118" s="25" t="n">
        <x:f>IF(AND(K118,J118&gt;='Selection Rules'!$B$7,J118&lt;'Selection Rules'!$B$6),1,0)</x:f>
        <x:v>0</x:v>
      </x:c>
    </x:row>
    <x:row r="119" ht="18" customHeight="1">
      <x:c r="A119" s="25" t="str">
        <x:v>EEZ_404</x:v>
      </x:c>
      <x:c r="B119" s="25" t="str">
        <x:v>Kenya</x:v>
      </x:c>
      <x:c r="C119" s="25" t="str">
        <x:v>LME_031</x:v>
      </x:c>
      <x:c r="D119" s="25" t="str">
        <x:v>Somali Coastal Current</x:v>
      </x:c>
      <x:c r="E119" s="32" t="n">
        <x:v>162847.01515204387</x:v>
      </x:c>
      <x:c r="F119" s="32" t="n">
        <x:v>840641.0911217374</x:v>
      </x:c>
      <x:c r="G119" s="32" t="n">
        <x:v>152063.6119930169</x:v>
      </x:c>
      <x:c r="H119" s="34" t="n">
        <x:f>G119/E119</x:f>
        <x:v>0.9337820030108693</x:v>
      </x:c>
      <x:c r="I119" s="34" t="n">
        <x:f>G119/F119</x:f>
        <x:v>0.18089005355437215</x:v>
      </x:c>
      <x:c r="J119" s="33" t="n">
        <x:f>E119/F119</x:f>
        <x:v>0.19371764819959436</x:v>
      </x:c>
      <x:c r="K119" s="25" t="b">
        <x:f>I119&gt;='Selection Rules'!$B$5</x:f>
        <x:v>0</x:v>
      </x:c>
      <x:c r="L119" s="25" t="n">
        <x:f>IF(AND(K119,J119&gt;='Selection Rules'!$B$6),1,0)</x:f>
        <x:v>0</x:v>
      </x:c>
      <x:c r="M119" s="25" t="n">
        <x:f>IF(AND(K119,J119&gt;='Selection Rules'!$B$7,J119&lt;'Selection Rules'!$B$6),1,0)</x:f>
        <x:v>0</x:v>
      </x:c>
    </x:row>
    <x:row r="120" ht="18" customHeight="1">
      <x:c r="A120" s="25" t="str">
        <x:v>EEZ_410</x:v>
      </x:c>
      <x:c r="B120" s="25" t="str">
        <x:v>Korea (South)</x:v>
      </x:c>
      <x:c r="C120" s="25" t="str">
        <x:v>LME_047</x:v>
      </x:c>
      <x:c r="D120" s="25" t="str">
        <x:v>East China Sea</x:v>
      </x:c>
      <x:c r="E120" s="32" t="n">
        <x:v>453741.2637617713</x:v>
      </x:c>
      <x:c r="F120" s="32" t="n">
        <x:v>779660.4335896934</x:v>
      </x:c>
      <x:c r="G120" s="32" t="n">
        <x:v>170282.9151302665</x:v>
      </x:c>
      <x:c r="H120" s="34" t="n">
        <x:f>G120/E120</x:f>
        <x:v>0.37528637734757686</x:v>
      </x:c>
      <x:c r="I120" s="34" t="n">
        <x:f>G120/F120</x:f>
        <x:v>0.21840651108361894</x:v>
      </x:c>
      <x:c r="J120" s="33" t="n">
        <x:f>E120/F120</x:f>
        <x:v>0.5819729259219516</x:v>
      </x:c>
      <x:c r="K120" s="25" t="b">
        <x:f>I120&gt;='Selection Rules'!$B$5</x:f>
        <x:v>0</x:v>
      </x:c>
      <x:c r="L120" s="25" t="n">
        <x:f>IF(AND(K120,J120&gt;='Selection Rules'!$B$6),1,0)</x:f>
        <x:v>0</x:v>
      </x:c>
      <x:c r="M120" s="25" t="n">
        <x:f>IF(AND(K120,J120&gt;='Selection Rules'!$B$7,J120&lt;'Selection Rules'!$B$6),1,0)</x:f>
        <x:v>0</x:v>
      </x:c>
    </x:row>
    <x:row r="121" ht="18" customHeight="1">
      <x:c r="A121" s="25" t="str">
        <x:v>EEZ_410</x:v>
      </x:c>
      <x:c r="B121" s="25" t="str">
        <x:v>Korea (South)</x:v>
      </x:c>
      <x:c r="C121" s="25" t="str">
        <x:v>LME_048</x:v>
      </x:c>
      <x:c r="D121" s="25" t="str">
        <x:v>Yellow Sea</x:v>
      </x:c>
      <x:c r="E121" s="32" t="n">
        <x:v>453741.2637617713</x:v>
      </x:c>
      <x:c r="F121" s="32" t="n">
        <x:v>440467.2676753383</x:v>
      </x:c>
      <x:c r="G121" s="32" t="n">
        <x:v>133323.33505592472</x:v>
      </x:c>
      <x:c r="H121" s="34" t="n">
        <x:f>G121/E121</x:f>
        <x:v>0.29383118905827293</x:v>
      </x:c>
      <x:c r="I121" s="34" t="n">
        <x:f>G121/F121</x:f>
        <x:v>0.3026861354751003</x:v>
      </x:c>
      <x:c r="J121" s="33" t="n">
        <x:f>E121/F121</x:f>
        <x:v>1.0301361691561994</x:v>
      </x:c>
      <x:c r="K121" s="25" t="b">
        <x:f>I121&gt;='Selection Rules'!$B$5</x:f>
        <x:v>0</x:v>
      </x:c>
      <x:c r="L121" s="25" t="n">
        <x:f>IF(AND(K121,J121&gt;='Selection Rules'!$B$6),1,0)</x:f>
        <x:v>0</x:v>
      </x:c>
      <x:c r="M121" s="25" t="n">
        <x:f>IF(AND(K121,J121&gt;='Selection Rules'!$B$7,J121&lt;'Selection Rules'!$B$6),1,0)</x:f>
        <x:v>0</x:v>
      </x:c>
    </x:row>
    <x:row r="122" ht="18" customHeight="1">
      <x:c r="A122" s="25" t="str">
        <x:v>EEZ_410</x:v>
      </x:c>
      <x:c r="B122" s="25" t="str">
        <x:v>Korea (South)</x:v>
      </x:c>
      <x:c r="C122" s="25" t="str">
        <x:v>LME_050</x:v>
      </x:c>
      <x:c r="D122" s="25" t="str">
        <x:v>Sea of Japan / East Sea</x:v>
      </x:c>
      <x:c r="E122" s="32" t="n">
        <x:v>453741.2637617713</x:v>
      </x:c>
      <x:c r="F122" s="32" t="n">
        <x:v>988300.3380015396</x:v>
      </x:c>
      <x:c r="G122" s="32" t="n">
        <x:v>149079.20175102304</x:v>
      </x:c>
      <x:c r="H122" s="34" t="n">
        <x:f>G122/E122</x:f>
        <x:v>0.3285555307777659</x:v>
      </x:c>
      <x:c r="I122" s="34" t="n">
        <x:f>G122/F122</x:f>
        <x:v>0.1508440258681676</x:v>
      </x:c>
      <x:c r="J122" s="33" t="n">
        <x:f>E122/F122</x:f>
        <x:v>0.4591127274926263</x:v>
      </x:c>
      <x:c r="K122" s="25" t="b">
        <x:f>I122&gt;='Selection Rules'!$B$5</x:f>
        <x:v>0</x:v>
      </x:c>
      <x:c r="L122" s="25" t="n">
        <x:f>IF(AND(K122,J122&gt;='Selection Rules'!$B$6),1,0)</x:f>
        <x:v>0</x:v>
      </x:c>
      <x:c r="M122" s="25" t="n">
        <x:f>IF(AND(K122,J122&gt;='Selection Rules'!$B$7,J122&lt;'Selection Rules'!$B$6),1,0)</x:f>
        <x:v>0</x:v>
      </x:c>
    </x:row>
    <x:row r="123" ht="18" customHeight="1">
      <x:c r="A123" s="25" t="str">
        <x:v>EEZ_414</x:v>
      </x:c>
      <x:c r="B123" s="25" t="str">
        <x:v>Kuwait</x:v>
      </x:c>
      <x:c r="C123" s="25" t="str">
        <x:v>LME_032</x:v>
      </x:c>
      <x:c r="D123" s="25" t="str">
        <x:v>Arabian Sea</x:v>
      </x:c>
      <x:c r="E123" s="32" t="n">
        <x:v>11029.174020879194</x:v>
      </x:c>
      <x:c r="F123" s="32" t="n">
        <x:v>3931902.1047515674</x:v>
      </x:c>
      <x:c r="G123" s="32" t="n">
        <x:v>10923.506592344374</x:v>
      </x:c>
      <x:c r="H123" s="34" t="n">
        <x:f>G123/E123</x:f>
        <x:v>0.990419279962871</x:v>
      </x:c>
      <x:c r="I123" s="34" t="n">
        <x:f>G123/F123</x:f>
        <x:v>0.002778173591642502</x:v>
      </x:c>
      <x:c r="J123" s="33" t="n">
        <x:f>E123/F123</x:f>
        <x:v>0.002805047970942822</x:v>
      </x:c>
      <x:c r="K123" s="25" t="b">
        <x:f>I123&gt;='Selection Rules'!$B$5</x:f>
        <x:v>0</x:v>
      </x:c>
      <x:c r="L123" s="25" t="n">
        <x:f>IF(AND(K123,J123&gt;='Selection Rules'!$B$6),1,0)</x:f>
        <x:v>0</x:v>
      </x:c>
      <x:c r="M123" s="25" t="n">
        <x:f>IF(AND(K123,J123&gt;='Selection Rules'!$B$7,J123&lt;'Selection Rules'!$B$6),1,0)</x:f>
        <x:v>0</x:v>
      </x:c>
    </x:row>
    <x:row r="124" ht="18" customHeight="1">
      <x:c r="A124" s="25" t="str">
        <x:v>EEZ_422</x:v>
      </x:c>
      <x:c r="B124" s="25" t="str">
        <x:v>Lebanon</x:v>
      </x:c>
      <x:c r="C124" s="25" t="str">
        <x:v>LME_026</x:v>
      </x:c>
      <x:c r="D124" s="25" t="str">
        <x:v>Mediterranean Sea</x:v>
      </x:c>
      <x:c r="E124" s="32" t="n">
        <x:v>20200.358913025284</x:v>
      </x:c>
      <x:c r="F124" s="32" t="n">
        <x:v>2527801.206996367</x:v>
      </x:c>
      <x:c r="G124" s="32" t="n">
        <x:v>20125.564119722043</x:v>
      </x:c>
      <x:c r="H124" s="34" t="n">
        <x:f>G124/E124</x:f>
        <x:v>0.9962973532487577</x:v>
      </x:c>
      <x:c r="I124" s="34" t="n">
        <x:f>G124/F124</x:f>
        <x:v>0.007961687835269305</x:v>
      </x:c>
      <x:c r="J124" s="33" t="n">
        <x:f>E124/F124</x:f>
        <x:v>0.007991276710017932</x:v>
      </x:c>
      <x:c r="K124" s="25" t="b">
        <x:f>I124&gt;='Selection Rules'!$B$5</x:f>
        <x:v>0</x:v>
      </x:c>
      <x:c r="L124" s="25" t="n">
        <x:f>IF(AND(K124,J124&gt;='Selection Rules'!$B$6),1,0)</x:f>
        <x:v>0</x:v>
      </x:c>
      <x:c r="M124" s="25" t="n">
        <x:f>IF(AND(K124,J124&gt;='Selection Rules'!$B$7,J124&lt;'Selection Rules'!$B$6),1,0)</x:f>
        <x:v>0</x:v>
      </x:c>
    </x:row>
    <x:row r="125" ht="18" customHeight="1">
      <x:c r="A125" s="25" t="str">
        <x:v>EEZ_428</x:v>
      </x:c>
      <x:c r="B125" s="25" t="str">
        <x:v>Latvia</x:v>
      </x:c>
      <x:c r="C125" s="25" t="str">
        <x:v>LME_023</x:v>
      </x:c>
      <x:c r="D125" s="25" t="str">
        <x:v>Baltic Sea</x:v>
      </x:c>
      <x:c r="E125" s="32" t="n">
        <x:v>28134.782934099727</x:v>
      </x:c>
      <x:c r="F125" s="32" t="n">
        <x:v>396444.90371621336</x:v>
      </x:c>
      <x:c r="G125" s="32" t="n">
        <x:v>27959.88087194695</x:v>
      </x:c>
      <x:c r="H125" s="34" t="n">
        <x:f>G125/E125</x:f>
        <x:v>0.9937834223721416</x:v>
      </x:c>
      <x:c r="I125" s="34" t="n">
        <x:f>G125/F125</x:f>
        <x:v>0.070526523635076</x:v>
      </x:c>
      <x:c r="J125" s="33" t="n">
        <x:f>E125/F125</x:f>
        <x:v>0.07096769985026573</x:v>
      </x:c>
      <x:c r="K125" s="25" t="b">
        <x:f>I125&gt;='Selection Rules'!$B$5</x:f>
        <x:v>0</x:v>
      </x:c>
      <x:c r="L125" s="25" t="n">
        <x:f>IF(AND(K125,J125&gt;='Selection Rules'!$B$6),1,0)</x:f>
        <x:v>0</x:v>
      </x:c>
      <x:c r="M125" s="25" t="n">
        <x:f>IF(AND(K125,J125&gt;='Selection Rules'!$B$7,J125&lt;'Selection Rules'!$B$6),1,0)</x:f>
        <x:v>0</x:v>
      </x:c>
    </x:row>
    <x:row r="126" ht="18" customHeight="1">
      <x:c r="A126" s="25" t="str">
        <x:v>EEZ_430</x:v>
      </x:c>
      <x:c r="B126" s="25" t="str">
        <x:v>Liberia</x:v>
      </x:c>
      <x:c r="C126" s="25" t="str">
        <x:v>LME_028</x:v>
      </x:c>
      <x:c r="D126" s="25" t="str">
        <x:v>Guinea Current</x:v>
      </x:c>
      <x:c r="E126" s="32" t="n">
        <x:v>250086.1462022722</x:v>
      </x:c>
      <x:c r="F126" s="32" t="n">
        <x:v>1918690.5432233866</x:v>
      </x:c>
      <x:c r="G126" s="32" t="n">
        <x:v>247429.50519639315</x:v>
      </x:c>
      <x:c r="H126" s="34" t="n">
        <x:f>G126/E126</x:f>
        <x:v>0.9893770964676694</x:v>
      </x:c>
      <x:c r="I126" s="34" t="n">
        <x:f>G126/F126</x:f>
        <x:v>0.1289574840874096</x:v>
      </x:c>
      <x:c r="J126" s="33" t="n">
        <x:f>E126/F126</x:f>
        <x:v>0.13034209559511833</x:v>
      </x:c>
      <x:c r="K126" s="25" t="b">
        <x:f>I126&gt;='Selection Rules'!$B$5</x:f>
        <x:v>0</x:v>
      </x:c>
      <x:c r="L126" s="25" t="n">
        <x:f>IF(AND(K126,J126&gt;='Selection Rules'!$B$6),1,0)</x:f>
        <x:v>0</x:v>
      </x:c>
      <x:c r="M126" s="25" t="n">
        <x:f>IF(AND(K126,J126&gt;='Selection Rules'!$B$7,J126&lt;'Selection Rules'!$B$6),1,0)</x:f>
        <x:v>0</x:v>
      </x:c>
    </x:row>
    <x:row r="127" ht="18" customHeight="1">
      <x:c r="A127" s="25" t="str">
        <x:v>EEZ_434</x:v>
      </x:c>
      <x:c r="B127" s="25" t="str">
        <x:v>Libya</x:v>
      </x:c>
      <x:c r="C127" s="25" t="str">
        <x:v>LME_026</x:v>
      </x:c>
      <x:c r="D127" s="25" t="str">
        <x:v>Mediterranean Sea</x:v>
      </x:c>
      <x:c r="E127" s="32" t="n">
        <x:v>363821.3807070278</x:v>
      </x:c>
      <x:c r="F127" s="32" t="n">
        <x:v>2527801.206996367</x:v>
      </x:c>
      <x:c r="G127" s="32" t="n">
        <x:v>363037.35066975525</x:v>
      </x:c>
      <x:c r="H127" s="34" t="n">
        <x:f>G127/E127</x:f>
        <x:v>0.9978450138478697</x:v>
      </x:c>
      <x:c r="I127" s="34" t="n">
        <x:f>G127/F127</x:f>
        <x:v>0.14361784054258386</x:v>
      </x:c>
      <x:c r="J127" s="33" t="n">
        <x:f>E127/F127</x:f>
        <x:v>0.14392800339680775</x:v>
      </x:c>
      <x:c r="K127" s="25" t="b">
        <x:f>I127&gt;='Selection Rules'!$B$5</x:f>
        <x:v>0</x:v>
      </x:c>
      <x:c r="L127" s="25" t="n">
        <x:f>IF(AND(K127,J127&gt;='Selection Rules'!$B$6),1,0)</x:f>
        <x:v>0</x:v>
      </x:c>
      <x:c r="M127" s="25" t="n">
        <x:f>IF(AND(K127,J127&gt;='Selection Rules'!$B$7,J127&lt;'Selection Rules'!$B$6),1,0)</x:f>
        <x:v>0</x:v>
      </x:c>
    </x:row>
    <x:row r="128" ht="18" customHeight="1">
      <x:c r="A128" s="25" t="str">
        <x:v>EEZ_440</x:v>
      </x:c>
      <x:c r="B128" s="25" t="str">
        <x:v>Lithuania</x:v>
      </x:c>
      <x:c r="C128" s="25" t="str">
        <x:v>LME_023</x:v>
      </x:c>
      <x:c r="D128" s="25" t="str">
        <x:v>Baltic Sea</x:v>
      </x:c>
      <x:c r="E128" s="32" t="n">
        <x:v>7008.331721446631</x:v>
      </x:c>
      <x:c r="F128" s="32" t="n">
        <x:v>396444.90371621336</x:v>
      </x:c>
      <x:c r="G128" s="32" t="n">
        <x:v>6938.703792082944</x:v>
      </x:c>
      <x:c r="H128" s="34" t="n">
        <x:f>G128/E128</x:f>
        <x:v>0.9900649780673747</x:v>
      </x:c>
      <x:c r="I128" s="34" t="n">
        <x:f>G128/F128</x:f>
        <x:v>0.017502315522385598</x:v>
      </x:c>
      <x:c r="J128" s="33" t="n">
        <x:f>E128/F128</x:f>
        <x:v>0.0176779463066661</x:v>
      </x:c>
      <x:c r="K128" s="25" t="b">
        <x:f>I128&gt;='Selection Rules'!$B$5</x:f>
        <x:v>0</x:v>
      </x:c>
      <x:c r="L128" s="25" t="n">
        <x:f>IF(AND(K128,J128&gt;='Selection Rules'!$B$6),1,0)</x:f>
        <x:v>0</x:v>
      </x:c>
      <x:c r="M128" s="25" t="n">
        <x:f>IF(AND(K128,J128&gt;='Selection Rules'!$B$7,J128&lt;'Selection Rules'!$B$6),1,0)</x:f>
        <x:v>0</x:v>
      </x:c>
    </x:row>
    <x:row r="129" ht="18" customHeight="1">
      <x:c r="A129" s="25" t="str">
        <x:v>EEZ_450</x:v>
      </x:c>
      <x:c r="B129" s="25" t="str">
        <x:v>Madagascar</x:v>
      </x:c>
      <x:c r="C129" s="25" t="str">
        <x:v>LME_030</x:v>
      </x:c>
      <x:c r="D129" s="25" t="str">
        <x:v>Agulhas Current</x:v>
      </x:c>
      <x:c r="E129" s="32" t="n">
        <x:v>1238493.7218613813</x:v>
      </x:c>
      <x:c r="F129" s="32" t="n">
        <x:v>2626846.36963807</x:v>
      </x:c>
      <x:c r="G129" s="32" t="n">
        <x:v>870483.8367576683</x:v>
      </x:c>
      <x:c r="H129" s="34" t="n">
        <x:f>G129/E129</x:f>
        <x:v>0.7028568828345643</x:v>
      </x:c>
      <x:c r="I129" s="34" t="n">
        <x:f>G129/F129</x:f>
        <x:v>0.3313798046277082</x:v>
      </x:c>
      <x:c r="J129" s="33" t="n">
        <x:f>E129/F129</x:f>
        <x:v>0.4714755062101414</x:v>
      </x:c>
      <x:c r="K129" s="25" t="b">
        <x:f>I129&gt;='Selection Rules'!$B$5</x:f>
        <x:v>0</x:v>
      </x:c>
      <x:c r="L129" s="25" t="n">
        <x:f>IF(AND(K129,J129&gt;='Selection Rules'!$B$6),1,0)</x:f>
        <x:v>0</x:v>
      </x:c>
      <x:c r="M129" s="25" t="n">
        <x:f>IF(AND(K129,J129&gt;='Selection Rules'!$B$7,J129&lt;'Selection Rules'!$B$6),1,0)</x:f>
        <x:v>0</x:v>
      </x:c>
    </x:row>
    <x:row r="130" ht="18" customHeight="1">
      <x:c r="A130" s="25" t="str">
        <x:v>EEZ_459</x:v>
      </x:c>
      <x:c r="B130" s="25" t="str">
        <x:v>Malaysia (Peninsula West)</x:v>
      </x:c>
      <x:c r="C130" s="25" t="str">
        <x:v>LME_034</x:v>
      </x:c>
      <x:c r="D130" s="25" t="str">
        <x:v>Bay of Bengal</x:v>
      </x:c>
      <x:c r="E130" s="32" t="n">
        <x:v>68574.12771320854</x:v>
      </x:c>
      <x:c r="F130" s="32" t="n">
        <x:v>3664559.241537097</x:v>
      </x:c>
      <x:c r="G130" s="32" t="n">
        <x:v>67891.02636166943</x:v>
      </x:c>
      <x:c r="H130" s="34" t="n">
        <x:f>G130/E130</x:f>
        <x:v>0.9900384973995443</x:v>
      </x:c>
      <x:c r="I130" s="34" t="n">
        <x:f>G130/F130</x:f>
        <x:v>0.018526382543400385</x:v>
      </x:c>
      <x:c r="J130" s="33" t="n">
        <x:f>E130/F130</x:f>
        <x:v>0.018712790050146703</x:v>
      </x:c>
      <x:c r="K130" s="25" t="b">
        <x:f>I130&gt;='Selection Rules'!$B$5</x:f>
        <x:v>0</x:v>
      </x:c>
      <x:c r="L130" s="25" t="n">
        <x:f>IF(AND(K130,J130&gt;='Selection Rules'!$B$6),1,0)</x:f>
        <x:v>0</x:v>
      </x:c>
      <x:c r="M130" s="25" t="n">
        <x:f>IF(AND(K130,J130&gt;='Selection Rules'!$B$7,J130&lt;'Selection Rules'!$B$6),1,0)</x:f>
        <x:v>0</x:v>
      </x:c>
    </x:row>
    <x:row r="131" ht="18" customHeight="1">
      <x:c r="A131" s="25" t="str">
        <x:v>EEZ_459</x:v>
      </x:c>
      <x:c r="B131" s="25" t="str">
        <x:v>Malaysia (Peninsula West)</x:v>
      </x:c>
      <x:c r="C131" s="25" t="str">
        <x:v>LME_036</x:v>
      </x:c>
      <x:c r="D131" s="25" t="str">
        <x:v>South China Sea</x:v>
      </x:c>
      <x:c r="E131" s="32" t="n">
        <x:v>68574.12771320854</x:v>
      </x:c>
      <x:c r="F131" s="32" t="n">
        <x:v>3164824.0447257855</x:v>
      </x:c>
      <x:c r="G131" s="32" t="n">
        <x:v>118.57441630949972</x:v>
      </x:c>
      <x:c r="H131" s="34" t="n">
        <x:f>G131/E131</x:f>
        <x:v>0.0017291421745151893</x:v>
      </x:c>
      <x:c r="I131" s="34" t="n">
        <x:f>G131/F131</x:f>
        <x:v>0.00003746635346350623</x:v>
      </x:c>
      <x:c r="J131" s="33" t="n">
        <x:f>E131/F131</x:f>
        <x:v>0.021667595652746664</x:v>
      </x:c>
      <x:c r="K131" s="25" t="b">
        <x:f>I131&gt;='Selection Rules'!$B$5</x:f>
        <x:v>0</x:v>
      </x:c>
      <x:c r="L131" s="25" t="n">
        <x:f>IF(AND(K131,J131&gt;='Selection Rules'!$B$6),1,0)</x:f>
        <x:v>0</x:v>
      </x:c>
      <x:c r="M131" s="25" t="n">
        <x:f>IF(AND(K131,J131&gt;='Selection Rules'!$B$7,J131&lt;'Selection Rules'!$B$6),1,0)</x:f>
        <x:v>0</x:v>
      </x:c>
    </x:row>
    <x:row r="132" ht="18" customHeight="1">
      <x:c r="A132" s="25" t="str">
        <x:v>EEZ_460</x:v>
      </x:c>
      <x:c r="B132" s="25" t="str">
        <x:v>Malaysia (Peninsula East)</x:v>
      </x:c>
      <x:c r="C132" s="25" t="str">
        <x:v>LME_035</x:v>
      </x:c>
      <x:c r="D132" s="25" t="str">
        <x:v>Gulf of Thailand</x:v>
      </x:c>
      <x:c r="E132" s="32" t="n">
        <x:v>132226.57561793693</x:v>
      </x:c>
      <x:c r="F132" s="32" t="n">
        <x:v>387309.2560812747</x:v>
      </x:c>
      <x:c r="G132" s="32" t="n">
        <x:v>87305.50184460562</x:v>
      </x:c>
      <x:c r="H132" s="34" t="n">
        <x:f>G132/E132</x:f>
        <x:v>0.6602719720797365</x:v>
      </x:c>
      <x:c r="I132" s="34" t="n">
        <x:f>G132/F132</x:f>
        <x:v>0.22541547993958874</x:v>
      </x:c>
      <x:c r="J132" s="33" t="n">
        <x:f>E132/F132</x:f>
        <x:v>0.3413979230854992</x:v>
      </x:c>
      <x:c r="K132" s="25" t="b">
        <x:f>I132&gt;='Selection Rules'!$B$5</x:f>
        <x:v>0</x:v>
      </x:c>
      <x:c r="L132" s="25" t="n">
        <x:f>IF(AND(K132,J132&gt;='Selection Rules'!$B$6),1,0)</x:f>
        <x:v>0</x:v>
      </x:c>
      <x:c r="M132" s="25" t="n">
        <x:f>IF(AND(K132,J132&gt;='Selection Rules'!$B$7,J132&lt;'Selection Rules'!$B$6),1,0)</x:f>
        <x:v>0</x:v>
      </x:c>
    </x:row>
    <x:row r="133" ht="18" customHeight="1">
      <x:c r="A133" s="25" t="str">
        <x:v>EEZ_460</x:v>
      </x:c>
      <x:c r="B133" s="25" t="str">
        <x:v>Malaysia (Peninsula East)</x:v>
      </x:c>
      <x:c r="C133" s="25" t="str">
        <x:v>LME_036</x:v>
      </x:c>
      <x:c r="D133" s="25" t="str">
        <x:v>South China Sea</x:v>
      </x:c>
      <x:c r="E133" s="32" t="n">
        <x:v>132226.57561793693</x:v>
      </x:c>
      <x:c r="F133" s="32" t="n">
        <x:v>3164824.0447257855</x:v>
      </x:c>
      <x:c r="G133" s="32" t="n">
        <x:v>44074.07684878061</x:v>
      </x:c>
      <x:c r="H133" s="34" t="n">
        <x:f>G133/E133</x:f>
        <x:v>0.3333223797319745</x:v>
      </x:c>
      <x:c r="I133" s="34" t="n">
        <x:f>G133/F133</x:f>
        <x:v>0.01392623293615029</x:v>
      </x:c>
      <x:c r="J133" s="33" t="n">
        <x:f>E133/F133</x:f>
        <x:v>0.04178007173520246</x:v>
      </x:c>
      <x:c r="K133" s="25" t="b">
        <x:f>I133&gt;='Selection Rules'!$B$5</x:f>
        <x:v>0</x:v>
      </x:c>
      <x:c r="L133" s="25" t="n">
        <x:f>IF(AND(K133,J133&gt;='Selection Rules'!$B$6),1,0)</x:f>
        <x:v>0</x:v>
      </x:c>
      <x:c r="M133" s="25" t="n">
        <x:f>IF(AND(K133,J133&gt;='Selection Rules'!$B$7,J133&lt;'Selection Rules'!$B$6),1,0)</x:f>
        <x:v>0</x:v>
      </x:c>
    </x:row>
    <x:row r="134" ht="18" customHeight="1">
      <x:c r="A134" s="25" t="str">
        <x:v>EEZ_461</x:v>
      </x:c>
      <x:c r="B134" s="25" t="str">
        <x:v>Malaysia (Sabah)</x:v>
      </x:c>
      <x:c r="C134" s="25" t="str">
        <x:v>LME_036</x:v>
      </x:c>
      <x:c r="D134" s="25" t="str">
        <x:v>South China Sea</x:v>
      </x:c>
      <x:c r="E134" s="32" t="n">
        <x:v>137590.1571123239</x:v>
      </x:c>
      <x:c r="F134" s="32" t="n">
        <x:v>3164824.0447257855</x:v>
      </x:c>
      <x:c r="G134" s="32" t="n">
        <x:v>110338.39339730037</x:v>
      </x:c>
      <x:c r="H134" s="34" t="n">
        <x:f>G134/E134</x:f>
        <x:v>0.8019352235147451</x:v>
      </x:c>
      <x:c r="I134" s="34" t="n">
        <x:f>G134/F134</x:f>
        <x:v>0.03486398985788184</x:v>
      </x:c>
      <x:c r="J134" s="33" t="n">
        <x:f>E134/F134</x:f>
        <x:v>0.043474820453800404</x:v>
      </x:c>
      <x:c r="K134" s="25" t="b">
        <x:f>I134&gt;='Selection Rules'!$B$5</x:f>
        <x:v>0</x:v>
      </x:c>
      <x:c r="L134" s="25" t="n">
        <x:f>IF(AND(K134,J134&gt;='Selection Rules'!$B$6),1,0)</x:f>
        <x:v>0</x:v>
      </x:c>
      <x:c r="M134" s="25" t="n">
        <x:f>IF(AND(K134,J134&gt;='Selection Rules'!$B$7,J134&lt;'Selection Rules'!$B$6),1,0)</x:f>
        <x:v>0</x:v>
      </x:c>
    </x:row>
    <x:row r="135" ht="18" customHeight="1">
      <x:c r="A135" s="25" t="str">
        <x:v>EEZ_461</x:v>
      </x:c>
      <x:c r="B135" s="25" t="str">
        <x:v>Malaysia (Sabah)</x:v>
      </x:c>
      <x:c r="C135" s="25" t="str">
        <x:v>LME_037</x:v>
      </x:c>
      <x:c r="D135" s="25" t="str">
        <x:v>Sulu-Celebes Sea</x:v>
      </x:c>
      <x:c r="E135" s="32" t="n">
        <x:v>137590.1571123239</x:v>
      </x:c>
      <x:c r="F135" s="32" t="n">
        <x:v>1013858.8714074758</x:v>
      </x:c>
      <x:c r="G135" s="32" t="n">
        <x:v>26209.887228194868</x:v>
      </x:c>
      <x:c r="H135" s="34" t="n">
        <x:f>G135/E135</x:f>
        <x:v>0.19049245802370884</x:v>
      </x:c>
      <x:c r="I135" s="34" t="n">
        <x:f>G135/F135</x:f>
        <x:v>0.02585161304729656</x:v>
      </x:c>
      <x:c r="J135" s="33" t="n">
        <x:f>E135/F135</x:f>
        <x:v>0.13570937828981686</x:v>
      </x:c>
      <x:c r="K135" s="25" t="b">
        <x:f>I135&gt;='Selection Rules'!$B$5</x:f>
        <x:v>0</x:v>
      </x:c>
      <x:c r="L135" s="25" t="n">
        <x:f>IF(AND(K135,J135&gt;='Selection Rules'!$B$6),1,0)</x:f>
        <x:v>0</x:v>
      </x:c>
      <x:c r="M135" s="25" t="n">
        <x:f>IF(AND(K135,J135&gt;='Selection Rules'!$B$7,J135&lt;'Selection Rules'!$B$6),1,0)</x:f>
        <x:v>0</x:v>
      </x:c>
    </x:row>
    <x:row r="136" ht="18" customHeight="1">
      <x:c r="A136" s="25" t="str">
        <x:v>EEZ_462</x:v>
      </x:c>
      <x:c r="B136" s="25" t="str">
        <x:v>Maldives</x:v>
      </x:c>
      <x:c r="C136" s="25" t="str">
        <x:v>LME_032</x:v>
      </x:c>
      <x:c r="D136" s="25" t="str">
        <x:v>Arabian Sea</x:v>
      </x:c>
      <x:c r="E136" s="32" t="n">
        <x:v>923586.8532356664</x:v>
      </x:c>
      <x:c r="F136" s="32" t="n">
        <x:v>3931902.1047515674</x:v>
      </x:c>
      <x:c r="G136" s="32" t="n">
        <x:v>51462.13998000543</x:v>
      </x:c>
      <x:c r="H136" s="34" t="n">
        <x:f>G136/E136</x:f>
        <x:v>0.05571987063232279</x:v>
      </x:c>
      <x:c r="I136" s="34" t="n">
        <x:f>G136/F136</x:f>
        <x:v>0.01308835739267649</x:v>
      </x:c>
      <x:c r="J136" s="33" t="n">
        <x:f>E136/F136</x:f>
        <x:v>0.23489568881166795</x:v>
      </x:c>
      <x:c r="K136" s="25" t="b">
        <x:f>I136&gt;='Selection Rules'!$B$5</x:f>
        <x:v>0</x:v>
      </x:c>
      <x:c r="L136" s="25" t="n">
        <x:f>IF(AND(K136,J136&gt;='Selection Rules'!$B$6),1,0)</x:f>
        <x:v>0</x:v>
      </x:c>
      <x:c r="M136" s="25" t="n">
        <x:f>IF(AND(K136,J136&gt;='Selection Rules'!$B$7,J136&lt;'Selection Rules'!$B$6),1,0)</x:f>
        <x:v>0</x:v>
      </x:c>
    </x:row>
    <x:row r="137" ht="18" customHeight="1">
      <x:c r="A137" s="25" t="str">
        <x:v>EEZ_463</x:v>
      </x:c>
      <x:c r="B137" s="25" t="str">
        <x:v>Malaysia (Sarawak)</x:v>
      </x:c>
      <x:c r="C137" s="25" t="str">
        <x:v>LME_036</x:v>
      </x:c>
      <x:c r="D137" s="25" t="str">
        <x:v>South China Sea</x:v>
      </x:c>
      <x:c r="E137" s="32" t="n">
        <x:v>172275.94671695333</x:v>
      </x:c>
      <x:c r="F137" s="32" t="n">
        <x:v>3164824.0447257855</x:v>
      </x:c>
      <x:c r="G137" s="32" t="n">
        <x:v>171637.10256241393</x:v>
      </x:c>
      <x:c r="H137" s="34" t="n">
        <x:f>G137/E137</x:f>
        <x:v>0.9962917391155655</x:v>
      </x:c>
      <x:c r="I137" s="34" t="n">
        <x:f>G137/F137</x:f>
        <x:v>0.054232747267087114</x:v>
      </x:c>
      <x:c r="J137" s="33" t="n">
        <x:f>E137/F137</x:f>
        <x:v>0.0544346049835071</x:v>
      </x:c>
      <x:c r="K137" s="25" t="b">
        <x:f>I137&gt;='Selection Rules'!$B$5</x:f>
        <x:v>0</x:v>
      </x:c>
      <x:c r="L137" s="25" t="n">
        <x:f>IF(AND(K137,J137&gt;='Selection Rules'!$B$6),1,0)</x:f>
        <x:v>0</x:v>
      </x:c>
      <x:c r="M137" s="25" t="n">
        <x:f>IF(AND(K137,J137&gt;='Selection Rules'!$B$7,J137&lt;'Selection Rules'!$B$6),1,0)</x:f>
        <x:v>0</x:v>
      </x:c>
    </x:row>
    <x:row r="138" ht="18" customHeight="1">
      <x:c r="A138" s="25" t="str">
        <x:v>EEZ_470</x:v>
      </x:c>
      <x:c r="B138" s="25" t="str">
        <x:v>Malta</x:v>
      </x:c>
      <x:c r="C138" s="25" t="str">
        <x:v>LME_026</x:v>
      </x:c>
      <x:c r="D138" s="25" t="str">
        <x:v>Mediterranean Sea</x:v>
      </x:c>
      <x:c r="E138" s="32" t="n">
        <x:v>52530.4269671255</x:v>
      </x:c>
      <x:c r="F138" s="32" t="n">
        <x:v>2527801.206996367</x:v>
      </x:c>
      <x:c r="G138" s="32" t="n">
        <x:v>52510.97063989156</x:v>
      </x:c>
      <x:c r="H138" s="34" t="n">
        <x:f>G138/E138</x:f>
        <x:v>0.9996296179498766</x:v>
      </x:c>
      <x:c r="I138" s="34" t="n">
        <x:f>G138/F138</x:f>
        <x:v>0.020773378260344755</x:v>
      </x:c>
      <x:c r="J138" s="33" t="n">
        <x:f>E138/F138</x:f>
        <x:v>0.020781075197580205</x:v>
      </x:c>
      <x:c r="K138" s="25" t="b">
        <x:f>I138&gt;='Selection Rules'!$B$5</x:f>
        <x:v>0</x:v>
      </x:c>
      <x:c r="L138" s="25" t="n">
        <x:f>IF(AND(K138,J138&gt;='Selection Rules'!$B$6),1,0)</x:f>
        <x:v>0</x:v>
      </x:c>
      <x:c r="M138" s="25" t="n">
        <x:f>IF(AND(K138,J138&gt;='Selection Rules'!$B$7,J138&lt;'Selection Rules'!$B$6),1,0)</x:f>
        <x:v>0</x:v>
      </x:c>
    </x:row>
    <x:row r="139" ht="18" customHeight="1">
      <x:c r="A139" s="25" t="str">
        <x:v>EEZ_474</x:v>
      </x:c>
      <x:c r="B139" s="25" t="str">
        <x:v>Martinique (France)</x:v>
      </x:c>
      <x:c r="C139" s="25" t="str">
        <x:v>LME_012</x:v>
      </x:c>
      <x:c r="D139" s="25" t="str">
        <x:v>Caribbean Sea</x:v>
      </x:c>
      <x:c r="E139" s="32" t="n">
        <x:v>47488.325606302045</x:v>
      </x:c>
      <x:c r="F139" s="32" t="n">
        <x:v>3262576.84767364</x:v>
      </x:c>
      <x:c r="G139" s="32" t="n">
        <x:v>20239.039117226996</x:v>
      </x:c>
      <x:c r="H139" s="34" t="n">
        <x:f>G139/E139</x:f>
        <x:v>0.4261897815689911</x:v>
      </x:c>
      <x:c r="I139" s="34" t="n">
        <x:f>G139/F139</x:f>
        <x:v>0.00620339077427657</x:v>
      </x:c>
      <x:c r="J139" s="33" t="n">
        <x:f>E139/F139</x:f>
        <x:v>0.014555465763254985</x:v>
      </x:c>
      <x:c r="K139" s="25" t="b">
        <x:f>I139&gt;='Selection Rules'!$B$5</x:f>
        <x:v>0</x:v>
      </x:c>
      <x:c r="L139" s="25" t="n">
        <x:f>IF(AND(K139,J139&gt;='Selection Rules'!$B$6),1,0)</x:f>
        <x:v>0</x:v>
      </x:c>
      <x:c r="M139" s="25" t="n">
        <x:f>IF(AND(K139,J139&gt;='Selection Rules'!$B$7,J139&lt;'Selection Rules'!$B$6),1,0)</x:f>
        <x:v>0</x:v>
      </x:c>
    </x:row>
    <x:row r="140" ht="18" customHeight="1">
      <x:c r="A140" s="25" t="str">
        <x:v>EEZ_478</x:v>
      </x:c>
      <x:c r="B140" s="25" t="str">
        <x:v>Mauritania</x:v>
      </x:c>
      <x:c r="C140" s="25" t="str">
        <x:v>LME_027</x:v>
      </x:c>
      <x:c r="D140" s="25" t="str">
        <x:v>Canary Current</x:v>
      </x:c>
      <x:c r="E140" s="32" t="n">
        <x:v>173096.20192285252</x:v>
      </x:c>
      <x:c r="F140" s="32" t="n">
        <x:v>1123299.8683993171</x:v>
      </x:c>
      <x:c r="G140" s="32" t="n">
        <x:v>172669.22513031858</x:v>
      </x:c>
      <x:c r="H140" s="34" t="n">
        <x:f>G140/E140</x:f>
        <x:v>0.9975332977396913</x:v>
      </x:c>
      <x:c r="I140" s="34" t="n">
        <x:f>G140/F140</x:f>
        <x:v>0.1537160556925634</x:v>
      </x:c>
      <x:c r="J140" s="33" t="n">
        <x:f>E140/F140</x:f>
        <x:v>0.15409616505120008</x:v>
      </x:c>
      <x:c r="K140" s="25" t="b">
        <x:f>I140&gt;='Selection Rules'!$B$5</x:f>
        <x:v>0</x:v>
      </x:c>
      <x:c r="L140" s="25" t="n">
        <x:f>IF(AND(K140,J140&gt;='Selection Rules'!$B$6),1,0)</x:f>
        <x:v>0</x:v>
      </x:c>
      <x:c r="M140" s="25" t="n">
        <x:f>IF(AND(K140,J140&gt;='Selection Rules'!$B$7,J140&lt;'Selection Rules'!$B$6),1,0)</x:f>
        <x:v>0</x:v>
      </x:c>
    </x:row>
    <x:row r="141" ht="18" customHeight="1">
      <x:c r="A141" s="25" t="str">
        <x:v>EEZ_488</x:v>
      </x:c>
      <x:c r="B141" s="25" t="str">
        <x:v>Hawaii Northwest Islands (USA)</x:v>
      </x:c>
      <x:c r="C141" s="25" t="str">
        <x:v>LME_010</x:v>
      </x:c>
      <x:c r="D141" s="25" t="str">
        <x:v>Insular Pacific-Hawaiian</x:v>
      </x:c>
      <x:c r="E141" s="32" t="n">
        <x:v>1575391.8710068562</x:v>
      </x:c>
      <x:c r="F141" s="32" t="n">
        <x:v>980512.2770259965</x:v>
      </x:c>
      <x:c r="G141" s="32" t="n">
        <x:v>654839.9117833031</x:v>
      </x:c>
      <x:c r="H141" s="34" t="n">
        <x:f>G141/E141</x:f>
        <x:v>0.41566795146961455</x:v>
      </x:c>
      <x:c r="I141" s="34" t="n">
        <x:f>G141/F141</x:f>
        <x:v>0.6678548827246773</x:v>
      </x:c>
      <x:c r="J141" s="33" t="n">
        <x:f>E141/F141</x:f>
        <x:v>1.606702851070051</x:v>
      </x:c>
      <x:c r="K141" s="25" t="b">
        <x:f>I141&gt;='Selection Rules'!$B$5</x:f>
        <x:v>0</x:v>
      </x:c>
      <x:c r="L141" s="25" t="n">
        <x:f>IF(AND(K141,J141&gt;='Selection Rules'!$B$6),1,0)</x:f>
        <x:v>0</x:v>
      </x:c>
      <x:c r="M141" s="25" t="n">
        <x:f>IF(AND(K141,J141&gt;='Selection Rules'!$B$7,J141&lt;'Selection Rules'!$B$6),1,0)</x:f>
        <x:v>0</x:v>
      </x:c>
    </x:row>
    <x:row r="142" ht="18" customHeight="1">
      <x:c r="A142" s="25" t="str">
        <x:v>EEZ_500</x:v>
      </x:c>
      <x:c r="B142" s="25" t="str">
        <x:v>Montserrat (UK)</x:v>
      </x:c>
      <x:c r="C142" s="25" t="str">
        <x:v>LME_012</x:v>
      </x:c>
      <x:c r="D142" s="25" t="str">
        <x:v>Caribbean Sea</x:v>
      </x:c>
      <x:c r="E142" s="32" t="n">
        <x:v>7188.4596357846785</x:v>
      </x:c>
      <x:c r="F142" s="32" t="n">
        <x:v>3262576.84767364</x:v>
      </x:c>
      <x:c r="G142" s="32" t="n">
        <x:v>7168.153292627734</x:v>
      </x:c>
      <x:c r="H142" s="34" t="n">
        <x:f>G142/E142</x:f>
        <x:v>0.9971751468067153</x:v>
      </x:c>
      <x:c r="I142" s="34" t="n">
        <x:f>G142/F142</x:f>
        <x:v>0.0021970833568989924</x:v>
      </x:c>
      <x:c r="J142" s="33" t="n">
        <x:f>E142/F142</x:f>
        <x:v>0.0022033073767780717</x:v>
      </x:c>
      <x:c r="K142" s="25" t="b">
        <x:f>I142&gt;='Selection Rules'!$B$5</x:f>
        <x:v>0</x:v>
      </x:c>
      <x:c r="L142" s="25" t="n">
        <x:f>IF(AND(K142,J142&gt;='Selection Rules'!$B$6),1,0)</x:f>
        <x:v>0</x:v>
      </x:c>
      <x:c r="M142" s="25" t="n">
        <x:f>IF(AND(K142,J142&gt;='Selection Rules'!$B$7,J142&lt;'Selection Rules'!$B$6),1,0)</x:f>
        <x:v>0</x:v>
      </x:c>
    </x:row>
    <x:row r="143" ht="18" customHeight="1">
      <x:c r="A143" s="25" t="str">
        <x:v>EEZ_508</x:v>
      </x:c>
      <x:c r="B143" s="25" t="str">
        <x:v>Mozambique</x:v>
      </x:c>
      <x:c r="C143" s="25" t="str">
        <x:v>LME_030</x:v>
      </x:c>
      <x:c r="D143" s="25" t="str">
        <x:v>Agulhas Current</x:v>
      </x:c>
      <x:c r="E143" s="32" t="n">
        <x:v>566413.8347150033</x:v>
      </x:c>
      <x:c r="F143" s="32" t="n">
        <x:v>2626846.36963807</x:v>
      </x:c>
      <x:c r="G143" s="32" t="n">
        <x:v>564742.289339204</x:v>
      </x:c>
      <x:c r="H143" s="34" t="n">
        <x:f>G143/E143</x:f>
        <x:v>0.9970488973373323</x:v>
      </x:c>
      <x:c r="I143" s="34" t="n">
        <x:f>G143/F143</x:f>
        <x:v>0.2149887012299904</x:v>
      </x:c>
      <x:c r="J143" s="33" t="n">
        <x:f>E143/F143</x:f>
        <x:v>0.21562503283853804</x:v>
      </x:c>
      <x:c r="K143" s="25" t="b">
        <x:f>I143&gt;='Selection Rules'!$B$5</x:f>
        <x:v>0</x:v>
      </x:c>
      <x:c r="L143" s="25" t="n">
        <x:f>IF(AND(K143,J143&gt;='Selection Rules'!$B$6),1,0)</x:f>
        <x:v>0</x:v>
      </x:c>
      <x:c r="M143" s="25" t="n">
        <x:f>IF(AND(K143,J143&gt;='Selection Rules'!$B$7,J143&lt;'Selection Rules'!$B$6),1,0)</x:f>
        <x:v>0</x:v>
      </x:c>
    </x:row>
    <x:row r="144" ht="18" customHeight="1">
      <x:c r="A144" s="25" t="str">
        <x:v>EEZ_512</x:v>
      </x:c>
      <x:c r="B144" s="25" t="str">
        <x:v>Oman</x:v>
      </x:c>
      <x:c r="C144" s="25" t="str">
        <x:v>LME_032</x:v>
      </x:c>
      <x:c r="D144" s="25" t="str">
        <x:v>Arabian Sea</x:v>
      </x:c>
      <x:c r="E144" s="32" t="n">
        <x:v>547384.9956572816</x:v>
      </x:c>
      <x:c r="F144" s="32" t="n">
        <x:v>3931902.1047515674</x:v>
      </x:c>
      <x:c r="G144" s="32" t="n">
        <x:v>546536.2876581472</x:v>
      </x:c>
      <x:c r="H144" s="34" t="n">
        <x:f>G144/E144</x:f>
        <x:v>0.9984495227200824</x:v>
      </x:c>
      <x:c r="I144" s="34" t="n">
        <x:f>G144/F144</x:f>
        <x:v>0.13900048197987355</x:v>
      </x:c>
      <x:c r="J144" s="33" t="n">
        <x:f>E144/F144</x:f>
        <x:v>0.1392163337423345</x:v>
      </x:c>
      <x:c r="K144" s="25" t="b">
        <x:f>I144&gt;='Selection Rules'!$B$5</x:f>
        <x:v>0</x:v>
      </x:c>
      <x:c r="L144" s="25" t="n">
        <x:f>IF(AND(K144,J144&gt;='Selection Rules'!$B$6),1,0)</x:f>
        <x:v>0</x:v>
      </x:c>
      <x:c r="M144" s="25" t="n">
        <x:f>IF(AND(K144,J144&gt;='Selection Rules'!$B$7,J144&lt;'Selection Rules'!$B$6),1,0)</x:f>
        <x:v>0</x:v>
      </x:c>
    </x:row>
    <x:row r="145" ht="18" customHeight="1">
      <x:c r="A145" s="25" t="str">
        <x:v>EEZ_516</x:v>
      </x:c>
      <x:c r="B145" s="25" t="str">
        <x:v>Namibia</x:v>
      </x:c>
      <x:c r="C145" s="25" t="str">
        <x:v>LME_029</x:v>
      </x:c>
      <x:c r="D145" s="25" t="str">
        <x:v>Benguela Current</x:v>
      </x:c>
      <x:c r="E145" s="32" t="n">
        <x:v>560103.1998429117</x:v>
      </x:c>
      <x:c r="F145" s="32" t="n">
        <x:v>1458156.5656590832</x:v>
      </x:c>
      <x:c r="G145" s="32" t="n">
        <x:v>557313.8321717926</x:v>
      </x:c>
      <x:c r="H145" s="34" t="n">
        <x:f>G145/E145</x:f>
        <x:v>0.9950199040607135</x:v>
      </x:c>
      <x:c r="I145" s="34" t="n">
        <x:f>G145/F145</x:f>
        <x:v>0.38220438414985164</x:v>
      </x:c>
      <x:c r="J145" s="33" t="n">
        <x:f>E145/F145</x:f>
        <x:v>0.3841173252816966</x:v>
      </x:c>
      <x:c r="K145" s="25" t="b">
        <x:f>I145&gt;='Selection Rules'!$B$5</x:f>
        <x:v>0</x:v>
      </x:c>
      <x:c r="L145" s="25" t="n">
        <x:f>IF(AND(K145,J145&gt;='Selection Rules'!$B$6),1,0)</x:f>
        <x:v>0</x:v>
      </x:c>
      <x:c r="M145" s="25" t="n">
        <x:f>IF(AND(K145,J145&gt;='Selection Rules'!$B$7,J145&lt;'Selection Rules'!$B$6),1,0)</x:f>
        <x:v>0</x:v>
      </x:c>
    </x:row>
    <x:row r="146" ht="18" customHeight="1">
      <x:c r="A146" s="25" t="str">
        <x:v>EEZ_528</x:v>
      </x:c>
      <x:c r="B146" s="25" t="str">
        <x:v>Netherlands</x:v>
      </x:c>
      <x:c r="C146" s="25" t="str">
        <x:v>LME_022</x:v>
      </x:c>
      <x:c r="D146" s="25" t="str">
        <x:v>North Sea</x:v>
      </x:c>
      <x:c r="E146" s="32" t="n">
        <x:v>61829.80129591206</x:v>
      </x:c>
      <x:c r="F146" s="32" t="n">
        <x:v>696532.8905595425</x:v>
      </x:c>
      <x:c r="G146" s="32" t="n">
        <x:v>61664.944586457976</x:v>
      </x:c>
      <x:c r="H146" s="34" t="n">
        <x:f>G146/E146</x:f>
        <x:v>0.9973337014514232</x:v>
      </x:c>
      <x:c r="I146" s="34" t="n">
        <x:f>G146/F146</x:f>
        <x:v>0.08853127457760246</x:v>
      </x:c>
      <x:c r="J146" s="33" t="n">
        <x:f>E146/F146</x:f>
        <x:v>0.08876795645104801</x:v>
      </x:c>
      <x:c r="K146" s="25" t="b">
        <x:f>I146&gt;='Selection Rules'!$B$5</x:f>
        <x:v>0</x:v>
      </x:c>
      <x:c r="L146" s="25" t="n">
        <x:f>IF(AND(K146,J146&gt;='Selection Rules'!$B$6),1,0)</x:f>
        <x:v>0</x:v>
      </x:c>
      <x:c r="M146" s="25" t="n">
        <x:f>IF(AND(K146,J146&gt;='Selection Rules'!$B$7,J146&lt;'Selection Rules'!$B$6),1,0)</x:f>
        <x:v>0</x:v>
      </x:c>
    </x:row>
    <x:row r="147" ht="18" customHeight="1">
      <x:c r="A147" s="25" t="str">
        <x:v>EEZ_540</x:v>
      </x:c>
      <x:c r="B147" s="25" t="str">
        <x:v>New Caledonia (France)</x:v>
      </x:c>
      <x:c r="C147" s="25" t="str">
        <x:v>LME_040</x:v>
      </x:c>
      <x:c r="D147" s="25" t="str">
        <x:v>Northeast Australian Shelf-Great Barrier Reef</x:v>
      </x:c>
      <x:c r="E147" s="32" t="n">
        <x:v>1364197.552630788</x:v>
      </x:c>
      <x:c r="F147" s="32" t="n">
        <x:v>1281812.9017148397</x:v>
      </x:c>
      <x:c r="G147" s="32" t="n">
        <x:v>4702.957138403012</x:v>
      </x:c>
      <x:c r="H147" s="34" t="n">
        <x:f>G147/E147</x:f>
        <x:v>0.0034474164898871066</x:v>
      </x:c>
      <x:c r="I147" s="34" t="n">
        <x:f>G147/F147</x:f>
        <x:v>0.0036689887674802497</x:v>
      </x:c>
      <x:c r="J147" s="33" t="n">
        <x:f>E147/F147</x:f>
        <x:v>1.0642719782315595</x:v>
      </x:c>
      <x:c r="K147" s="25" t="b">
        <x:f>I147&gt;='Selection Rules'!$B$5</x:f>
        <x:v>0</x:v>
      </x:c>
      <x:c r="L147" s="25" t="n">
        <x:f>IF(AND(K147,J147&gt;='Selection Rules'!$B$6),1,0)</x:f>
        <x:v>0</x:v>
      </x:c>
      <x:c r="M147" s="25" t="n">
        <x:f>IF(AND(K147,J147&gt;='Selection Rules'!$B$7,J147&lt;'Selection Rules'!$B$6),1,0)</x:f>
        <x:v>0</x:v>
      </x:c>
    </x:row>
    <x:row r="148" ht="18" customHeight="1">
      <x:c r="A148" s="25" t="str">
        <x:v>EEZ_540</x:v>
      </x:c>
      <x:c r="B148" s="25" t="str">
        <x:v>New Caledonia (France)</x:v>
      </x:c>
      <x:c r="C148" s="25" t="str">
        <x:v>LME_041</x:v>
      </x:c>
      <x:c r="D148" s="25" t="str">
        <x:v>East-Central Australian Shelf</x:v>
      </x:c>
      <x:c r="E148" s="32" t="n">
        <x:v>1364197.552630788</x:v>
      </x:c>
      <x:c r="F148" s="32" t="n">
        <x:v>651954.7372632008</x:v>
      </x:c>
      <x:c r="G148" s="32" t="n">
        <x:v>1917.2148345698586</x:v>
      </x:c>
      <x:c r="H148" s="34" t="n">
        <x:f>G148/E148</x:f>
        <x:v>0.0014053791775777665</x:v>
      </x:c>
      <x:c r="I148" s="34" t="n">
        <x:f>G148/F148</x:f>
        <x:v>0.0029407176986212453</x:v>
      </x:c>
      <x:c r="J148" s="33" t="n">
        <x:f>E148/F148</x:f>
        <x:v>2.0924727970494787</x:v>
      </x:c>
      <x:c r="K148" s="25" t="b">
        <x:f>I148&gt;='Selection Rules'!$B$5</x:f>
        <x:v>0</x:v>
      </x:c>
      <x:c r="L148" s="25" t="n">
        <x:f>IF(AND(K148,J148&gt;='Selection Rules'!$B$6),1,0)</x:f>
        <x:v>0</x:v>
      </x:c>
      <x:c r="M148" s="25" t="n">
        <x:f>IF(AND(K148,J148&gt;='Selection Rules'!$B$7,J148&lt;'Selection Rules'!$B$6),1,0)</x:f>
        <x:v>0</x:v>
      </x:c>
    </x:row>
    <x:row r="149" ht="18" customHeight="1">
      <x:c r="A149" s="25" t="str">
        <x:v>EEZ_554</x:v>
      </x:c>
      <x:c r="B149" s="25" t="str">
        <x:v>New Zealand</x:v>
      </x:c>
      <x:c r="C149" s="25" t="str">
        <x:v>LME_046</x:v>
      </x:c>
      <x:c r="D149" s="25" t="str">
        <x:v>New Zealand Shelf</x:v>
      </x:c>
      <x:c r="E149" s="32" t="n">
        <x:v>3473197.167140932</x:v>
      </x:c>
      <x:c r="F149" s="32" t="n">
        <x:v>968277.8585268654</x:v>
      </x:c>
      <x:c r="G149" s="32" t="n">
        <x:v>866218.9936120085</x:v>
      </x:c>
      <x:c r="H149" s="34" t="n">
        <x:f>G149/E149</x:f>
        <x:v>0.2494010423039309</x:v>
      </x:c>
      <x:c r="I149" s="34" t="n">
        <x:f>G149/F149</x:f>
        <x:v>0.8945975434467449</x:v>
      </x:c>
      <x:c r="J149" s="33" t="n">
        <x:f>E149/F149</x:f>
        <x:v>3.58698398043</x:v>
      </x:c>
      <x:c r="K149" s="25" t="b">
        <x:f>I149&gt;='Selection Rules'!$B$5</x:f>
        <x:v>0</x:v>
      </x:c>
      <x:c r="L149" s="25" t="n">
        <x:f>IF(AND(K149,J149&gt;='Selection Rules'!$B$6),1,0)</x:f>
        <x:v>0</x:v>
      </x:c>
      <x:c r="M149" s="25" t="n">
        <x:f>IF(AND(K149,J149&gt;='Selection Rules'!$B$7,J149&lt;'Selection Rules'!$B$6),1,0)</x:f>
        <x:v>0</x:v>
      </x:c>
    </x:row>
    <x:row r="150" ht="18" customHeight="1">
      <x:c r="A150" s="25" t="str">
        <x:v>EEZ_566</x:v>
      </x:c>
      <x:c r="B150" s="25" t="str">
        <x:v>Nigeria</x:v>
      </x:c>
      <x:c r="C150" s="25" t="str">
        <x:v>LME_028</x:v>
      </x:c>
      <x:c r="D150" s="25" t="str">
        <x:v>Guinea Current</x:v>
      </x:c>
      <x:c r="E150" s="32" t="n">
        <x:v>212892.55769140885</x:v>
      </x:c>
      <x:c r="F150" s="32" t="n">
        <x:v>1918690.5432233866</x:v>
      </x:c>
      <x:c r="G150" s="32" t="n">
        <x:v>208574.1470856653</x:v>
      </x:c>
      <x:c r="H150" s="34" t="n">
        <x:f>G150/E150</x:f>
        <x:v>0.9797155398358116</x:v>
      </x:c>
      <x:c r="I150" s="34" t="n">
        <x:f>G150/F150</x:f>
        <x:v>0.10870650706145775</x:v>
      </x:c>
      <x:c r="J150" s="33" t="n">
        <x:f>E150/F150</x:f>
        <x:v>0.11095721425392072</x:v>
      </x:c>
      <x:c r="K150" s="25" t="b">
        <x:f>I150&gt;='Selection Rules'!$B$5</x:f>
        <x:v>0</x:v>
      </x:c>
      <x:c r="L150" s="25" t="n">
        <x:f>IF(AND(K150,J150&gt;='Selection Rules'!$B$6),1,0)</x:f>
        <x:v>0</x:v>
      </x:c>
      <x:c r="M150" s="25" t="n">
        <x:f>IF(AND(K150,J150&gt;='Selection Rules'!$B$7,J150&lt;'Selection Rules'!$B$6),1,0)</x:f>
        <x:v>0</x:v>
      </x:c>
    </x:row>
    <x:row r="151" ht="18" customHeight="1">
      <x:c r="A151" s="25" t="str">
        <x:v>EEZ_578</x:v>
      </x:c>
      <x:c r="B151" s="25" t="str">
        <x:v>Norway</x:v>
      </x:c>
      <x:c r="C151" s="25" t="str">
        <x:v>LME_020</x:v>
      </x:c>
      <x:c r="D151" s="25" t="str">
        <x:v>Barents Sea</x:v>
      </x:c>
      <x:c r="E151" s="32" t="n">
        <x:v>938451.5065379218</x:v>
      </x:c>
      <x:c r="F151" s="32" t="n">
        <x:v>2001350.9660391603</x:v>
      </x:c>
      <x:c r="G151" s="32" t="n">
        <x:v>290814.6785908666</x:v>
      </x:c>
      <x:c r="H151" s="34" t="n">
        <x:f>G151/E151</x:f>
        <x:v>0.3098878062050563</x:v>
      </x:c>
      <x:c r="I151" s="34" t="n">
        <x:f>G151/F151</x:f>
        <x:v>0.14530918540810112</x:v>
      </x:c>
      <x:c r="J151" s="33" t="n">
        <x:f>E151/F151</x:f>
        <x:v>0.4689090131928211</x:v>
      </x:c>
      <x:c r="K151" s="25" t="b">
        <x:f>I151&gt;='Selection Rules'!$B$5</x:f>
        <x:v>0</x:v>
      </x:c>
      <x:c r="L151" s="25" t="n">
        <x:f>IF(AND(K151,J151&gt;='Selection Rules'!$B$6),1,0)</x:f>
        <x:v>0</x:v>
      </x:c>
      <x:c r="M151" s="25" t="n">
        <x:f>IF(AND(K151,J151&gt;='Selection Rules'!$B$7,J151&lt;'Selection Rules'!$B$6),1,0)</x:f>
        <x:v>0</x:v>
      </x:c>
    </x:row>
    <x:row r="152" ht="18" customHeight="1">
      <x:c r="A152" s="25" t="str">
        <x:v>EEZ_578</x:v>
      </x:c>
      <x:c r="B152" s="25" t="str">
        <x:v>Norway</x:v>
      </x:c>
      <x:c r="C152" s="25" t="str">
        <x:v>LME_021</x:v>
      </x:c>
      <x:c r="D152" s="25" t="str">
        <x:v>Norwegian Sea</x:v>
      </x:c>
      <x:c r="E152" s="32" t="n">
        <x:v>938451.5065379218</x:v>
      </x:c>
      <x:c r="F152" s="32" t="n">
        <x:v>1060118.1873210357</x:v>
      </x:c>
      <x:c r="G152" s="32" t="n">
        <x:v>484596.3651595365</x:v>
      </x:c>
      <x:c r="H152" s="34" t="n">
        <x:f>G152/E152</x:f>
        <x:v>0.5163786959512483</x:v>
      </x:c>
      <x:c r="I152" s="34" t="n">
        <x:f>G152/F152</x:f>
        <x:v>0.45711541501248304</x:v>
      </x:c>
      <x:c r="J152" s="33" t="n">
        <x:f>E152/F152</x:f>
        <x:v>0.8852329087093858</x:v>
      </x:c>
      <x:c r="K152" s="25" t="b">
        <x:f>I152&gt;='Selection Rules'!$B$5</x:f>
        <x:v>0</x:v>
      </x:c>
      <x:c r="L152" s="25" t="n">
        <x:f>IF(AND(K152,J152&gt;='Selection Rules'!$B$6),1,0)</x:f>
        <x:v>0</x:v>
      </x:c>
      <x:c r="M152" s="25" t="n">
        <x:f>IF(AND(K152,J152&gt;='Selection Rules'!$B$7,J152&lt;'Selection Rules'!$B$6),1,0)</x:f>
        <x:v>0</x:v>
      </x:c>
    </x:row>
    <x:row r="153" ht="18" customHeight="1">
      <x:c r="A153" s="25" t="str">
        <x:v>EEZ_578</x:v>
      </x:c>
      <x:c r="B153" s="25" t="str">
        <x:v>Norway</x:v>
      </x:c>
      <x:c r="C153" s="25" t="str">
        <x:v>LME_022</x:v>
      </x:c>
      <x:c r="D153" s="25" t="str">
        <x:v>North Sea</x:v>
      </x:c>
      <x:c r="E153" s="32" t="n">
        <x:v>938451.5065379218</x:v>
      </x:c>
      <x:c r="F153" s="32" t="n">
        <x:v>696532.8905595425</x:v>
      </x:c>
      <x:c r="G153" s="32" t="n">
        <x:v>155145.2260804061</x:v>
      </x:c>
      <x:c r="H153" s="34" t="n">
        <x:f>G153/E153</x:f>
        <x:v>0.16532045076336274</x:v>
      </x:c>
      <x:c r="I153" s="34" t="n">
        <x:f>G153/F153</x:f>
        <x:v>0.2227392678553543</x:v>
      </x:c>
      <x:c r="J153" s="33" t="n">
        <x:f>E153/F153</x:f>
        <x:v>1.3473182950255802</x:v>
      </x:c>
      <x:c r="K153" s="25" t="b">
        <x:f>I153&gt;='Selection Rules'!$B$5</x:f>
        <x:v>0</x:v>
      </x:c>
      <x:c r="L153" s="25" t="n">
        <x:f>IF(AND(K153,J153&gt;='Selection Rules'!$B$6),1,0)</x:f>
        <x:v>0</x:v>
      </x:c>
      <x:c r="M153" s="25" t="n">
        <x:f>IF(AND(K153,J153&gt;='Selection Rules'!$B$7,J153&lt;'Selection Rules'!$B$6),1,0)</x:f>
        <x:v>0</x:v>
      </x:c>
    </x:row>
    <x:row r="154" ht="18" customHeight="1">
      <x:c r="A154" s="25" t="str">
        <x:v>EEZ_579</x:v>
      </x:c>
      <x:c r="B154" s="25" t="str">
        <x:v>Jan Mayen Isl. (Norway)</x:v>
      </x:c>
      <x:c r="C154" s="25" t="str">
        <x:v>LME_019</x:v>
      </x:c>
      <x:c r="D154" s="25" t="str">
        <x:v>Greenland Sea</x:v>
      </x:c>
      <x:c r="E154" s="32" t="n">
        <x:v>305376.5402938453</x:v>
      </x:c>
      <x:c r="F154" s="32" t="n">
        <x:v>1208537.6311131367</x:v>
      </x:c>
      <x:c r="G154" s="32" t="n">
        <x:v>145545.2919919093</x:v>
      </x:c>
      <x:c r="H154" s="34" t="n">
        <x:f>G154/E154</x:f>
        <x:v>0.476609276704294</x:v>
      </x:c>
      <x:c r="I154" s="34" t="n">
        <x:f>G154/F154</x:f>
        <x:v>0.12043091439184499</x:v>
      </x:c>
      <x:c r="J154" s="33" t="n">
        <x:f>E154/F154</x:f>
        <x:v>0.25268269057751636</x:v>
      </x:c>
      <x:c r="K154" s="25" t="b">
        <x:f>I154&gt;='Selection Rules'!$B$5</x:f>
        <x:v>0</x:v>
      </x:c>
      <x:c r="L154" s="25" t="n">
        <x:f>IF(AND(K154,J154&gt;='Selection Rules'!$B$6),1,0)</x:f>
        <x:v>0</x:v>
      </x:c>
      <x:c r="M154" s="25" t="n">
        <x:f>IF(AND(K154,J154&gt;='Selection Rules'!$B$7,J154&lt;'Selection Rules'!$B$6),1,0)</x:f>
        <x:v>0</x:v>
      </x:c>
    </x:row>
    <x:row r="155" ht="18" customHeight="1">
      <x:c r="A155" s="25" t="str">
        <x:v>EEZ_579</x:v>
      </x:c>
      <x:c r="B155" s="25" t="str">
        <x:v>Jan Mayen Isl. (Norway)</x:v>
      </x:c>
      <x:c r="C155" s="25" t="str">
        <x:v>LME_021</x:v>
      </x:c>
      <x:c r="D155" s="25" t="str">
        <x:v>Norwegian Sea</x:v>
      </x:c>
      <x:c r="E155" s="32" t="n">
        <x:v>305376.5402938453</x:v>
      </x:c>
      <x:c r="F155" s="32" t="n">
        <x:v>1060118.1873210357</x:v>
      </x:c>
      <x:c r="G155" s="32" t="n">
        <x:v>115516.19037604493</x:v>
      </x:c>
      <x:c r="H155" s="34" t="n">
        <x:f>G155/E155</x:f>
        <x:v>0.3782746057208282</x:v>
      </x:c>
      <x:c r="I155" s="34" t="n">
        <x:f>G155/F155</x:f>
        <x:v>0.10896538872515651</x:v>
      </x:c>
      <x:c r="J155" s="33" t="n">
        <x:f>E155/F155</x:f>
        <x:v>0.288058957903123</x:v>
      </x:c>
      <x:c r="K155" s="25" t="b">
        <x:f>I155&gt;='Selection Rules'!$B$5</x:f>
        <x:v>0</x:v>
      </x:c>
      <x:c r="L155" s="25" t="n">
        <x:f>IF(AND(K155,J155&gt;='Selection Rules'!$B$6),1,0)</x:f>
        <x:v>0</x:v>
      </x:c>
      <x:c r="M155" s="25" t="n">
        <x:f>IF(AND(K155,J155&gt;='Selection Rules'!$B$7,J155&lt;'Selection Rules'!$B$6),1,0)</x:f>
        <x:v>0</x:v>
      </x:c>
    </x:row>
    <x:row r="156" ht="18" customHeight="1">
      <x:c r="A156" s="25" t="str">
        <x:v>EEZ_579</x:v>
      </x:c>
      <x:c r="B156" s="25" t="str">
        <x:v>Jan Mayen Isl. (Norway)</x:v>
      </x:c>
      <x:c r="C156" s="25" t="str">
        <x:v>LME_059</x:v>
      </x:c>
      <x:c r="D156" s="25" t="str">
        <x:v>Iceland Shelf and Sea</x:v>
      </x:c>
      <x:c r="E156" s="32" t="n">
        <x:v>305376.5402938453</x:v>
      </x:c>
      <x:c r="F156" s="32" t="n">
        <x:v>480787.1636455053</x:v>
      </x:c>
      <x:c r="G156" s="32" t="n">
        <x:v>44217.72591102572</x:v>
      </x:c>
      <x:c r="H156" s="34" t="n">
        <x:f>G156/E156</x:f>
        <x:v>0.14479738970281636</x:v>
      </x:c>
      <x:c r="I156" s="34" t="n">
        <x:f>G156/F156</x:f>
        <x:v>0.09196943939965169</x:v>
      </x:c>
      <x:c r="J156" s="33" t="n">
        <x:f>E156/F156</x:f>
        <x:v>0.6351595121183518</x:v>
      </x:c>
      <x:c r="K156" s="25" t="b">
        <x:f>I156&gt;='Selection Rules'!$B$5</x:f>
        <x:v>0</x:v>
      </x:c>
      <x:c r="L156" s="25" t="n">
        <x:f>IF(AND(K156,J156&gt;='Selection Rules'!$B$6),1,0)</x:f>
        <x:v>0</x:v>
      </x:c>
      <x:c r="M156" s="25" t="n">
        <x:f>IF(AND(K156,J156&gt;='Selection Rules'!$B$7,J156&lt;'Selection Rules'!$B$6),1,0)</x:f>
        <x:v>0</x:v>
      </x:c>
    </x:row>
    <x:row r="157" ht="18" customHeight="1">
      <x:c r="A157" s="25" t="str">
        <x:v>EEZ_586</x:v>
      </x:c>
      <x:c r="B157" s="25" t="str">
        <x:v>Pakistan</x:v>
      </x:c>
      <x:c r="C157" s="25" t="str">
        <x:v>LME_032</x:v>
      </x:c>
      <x:c r="D157" s="25" t="str">
        <x:v>Arabian Sea</x:v>
      </x:c>
      <x:c r="E157" s="32" t="n">
        <x:v>224044.43640127857</x:v>
      </x:c>
      <x:c r="F157" s="32" t="n">
        <x:v>3931902.1047515674</x:v>
      </x:c>
      <x:c r="G157" s="32" t="n">
        <x:v>222219.95902239316</x:v>
      </x:c>
      <x:c r="H157" s="34" t="n">
        <x:f>G157/E157</x:f>
        <x:v>0.9918566271575803</x:v>
      </x:c>
      <x:c r="I157" s="34" t="n">
        <x:f>G157/F157</x:f>
        <x:v>0.05651716474676418</x:v>
      </x:c>
      <x:c r="J157" s="33" t="n">
        <x:f>E157/F157</x:f>
        <x:v>0.056981183771215624</x:v>
      </x:c>
      <x:c r="K157" s="25" t="b">
        <x:f>I157&gt;='Selection Rules'!$B$5</x:f>
        <x:v>0</x:v>
      </x:c>
      <x:c r="L157" s="25" t="n">
        <x:f>IF(AND(K157,J157&gt;='Selection Rules'!$B$6),1,0)</x:f>
        <x:v>0</x:v>
      </x:c>
      <x:c r="M157" s="25" t="n">
        <x:f>IF(AND(K157,J157&gt;='Selection Rules'!$B$7,J157&lt;'Selection Rules'!$B$6),1,0)</x:f>
        <x:v>0</x:v>
      </x:c>
    </x:row>
    <x:row r="158" ht="18" customHeight="1">
      <x:c r="A158" s="25" t="str">
        <x:v>EEZ_598</x:v>
      </x:c>
      <x:c r="B158" s="25" t="str">
        <x:v>Papua New Guinea</x:v>
      </x:c>
      <x:c r="C158" s="25" t="str">
        <x:v>LME_039</x:v>
      </x:c>
      <x:c r="D158" s="25" t="str">
        <x:v>North Australian Shelf</x:v>
      </x:c>
      <x:c r="E158" s="32" t="n">
        <x:v>2398837.4171039592</x:v>
      </x:c>
      <x:c r="F158" s="32" t="n">
        <x:v>779233.7571536872</x:v>
      </x:c>
      <x:c r="G158" s="32" t="n">
        <x:v>26.807606952768204</x:v>
      </x:c>
      <x:c r="H158" s="34" t="n">
        <x:f>G158/E158</x:f>
        <x:v>0.000011175249627851888</x:v>
      </x:c>
      <x:c r="I158" s="34" t="n">
        <x:f>G158/F158</x:f>
        <x:v>0.00003440252261489357</x:v>
      </x:c>
      <x:c r="J158" s="33" t="n">
        <x:f>E158/F158</x:f>
        <x:v>3.0784567468768422</x:v>
      </x:c>
      <x:c r="K158" s="25" t="b">
        <x:f>I158&gt;='Selection Rules'!$B$5</x:f>
        <x:v>0</x:v>
      </x:c>
      <x:c r="L158" s="25" t="n">
        <x:f>IF(AND(K158,J158&gt;='Selection Rules'!$B$6),1,0)</x:f>
        <x:v>0</x:v>
      </x:c>
      <x:c r="M158" s="25" t="n">
        <x:f>IF(AND(K158,J158&gt;='Selection Rules'!$B$7,J158&lt;'Selection Rules'!$B$6),1,0)</x:f>
        <x:v>0</x:v>
      </x:c>
    </x:row>
    <x:row r="159" ht="18" customHeight="1">
      <x:c r="A159" s="25" t="str">
        <x:v>EEZ_598</x:v>
      </x:c>
      <x:c r="B159" s="25" t="str">
        <x:v>Papua New Guinea</x:v>
      </x:c>
      <x:c r="C159" s="25" t="str">
        <x:v>LME_040</x:v>
      </x:c>
      <x:c r="D159" s="25" t="str">
        <x:v>Northeast Australian Shelf-Great Barrier Reef</x:v>
      </x:c>
      <x:c r="E159" s="32" t="n">
        <x:v>2398837.4171039592</x:v>
      </x:c>
      <x:c r="F159" s="32" t="n">
        <x:v>1281812.9017148397</x:v>
      </x:c>
      <x:c r="G159" s="32" t="n">
        <x:v>4068.6800851864373</x:v>
      </x:c>
      <x:c r="H159" s="34" t="n">
        <x:f>G159/E159</x:f>
        <x:v>0.0016961049782600217</x:v>
      </x:c>
      <x:c r="I159" s="34" t="n">
        <x:f>G159/F159</x:f>
        <x:v>0.0031741606592844093</x:v>
      </x:c>
      <x:c r="J159" s="33" t="n">
        <x:f>E159/F159</x:f>
        <x:v>1.8714411548633483</x:v>
      </x:c>
      <x:c r="K159" s="25" t="b">
        <x:f>I159&gt;='Selection Rules'!$B$5</x:f>
        <x:v>0</x:v>
      </x:c>
      <x:c r="L159" s="25" t="n">
        <x:f>IF(AND(K159,J159&gt;='Selection Rules'!$B$6),1,0)</x:f>
        <x:v>0</x:v>
      </x:c>
      <x:c r="M159" s="25" t="n">
        <x:f>IF(AND(K159,J159&gt;='Selection Rules'!$B$7,J159&lt;'Selection Rules'!$B$6),1,0)</x:f>
        <x:v>0</x:v>
      </x:c>
    </x:row>
    <x:row r="160" ht="18" customHeight="1">
      <x:c r="A160" s="25" t="str">
        <x:v>EEZ_604</x:v>
      </x:c>
      <x:c r="B160" s="25" t="str">
        <x:v>Peru</x:v>
      </x:c>
      <x:c r="C160" s="25" t="str">
        <x:v>LME_011</x:v>
      </x:c>
      <x:c r="D160" s="25" t="str">
        <x:v>Pacific Central-American Coastal</x:v>
      </x:c>
      <x:c r="E160" s="32" t="n">
        <x:v>851965.3818763017</x:v>
      </x:c>
      <x:c r="F160" s="32" t="n">
        <x:v>1981662.465291764</x:v>
      </x:c>
      <x:c r="G160" s="32" t="n">
        <x:v>9668.726718693923</x:v>
      </x:c>
      <x:c r="H160" s="34" t="n">
        <x:f>G160/E160</x:f>
        <x:v>0.011348731913731374</x:v>
      </x:c>
      <x:c r="I160" s="34" t="n">
        <x:f>G160/F160</x:f>
        <x:v>0.004879098680042051</x:v>
      </x:c>
      <x:c r="J160" s="33" t="n">
        <x:f>E160/F160</x:f>
        <x:v>0.42992456929382533</x:v>
      </x:c>
      <x:c r="K160" s="25" t="b">
        <x:f>I160&gt;='Selection Rules'!$B$5</x:f>
        <x:v>0</x:v>
      </x:c>
      <x:c r="L160" s="25" t="n">
        <x:f>IF(AND(K160,J160&gt;='Selection Rules'!$B$6),1,0)</x:f>
        <x:v>0</x:v>
      </x:c>
      <x:c r="M160" s="25" t="n">
        <x:f>IF(AND(K160,J160&gt;='Selection Rules'!$B$7,J160&lt;'Selection Rules'!$B$6),1,0)</x:f>
        <x:v>0</x:v>
      </x:c>
    </x:row>
    <x:row r="161" ht="18" customHeight="1">
      <x:c r="A161" s="25" t="str">
        <x:v>EEZ_604</x:v>
      </x:c>
      <x:c r="B161" s="25" t="str">
        <x:v>Peru</x:v>
      </x:c>
      <x:c r="C161" s="25" t="str">
        <x:v>LME_013</x:v>
      </x:c>
      <x:c r="D161" s="25" t="str">
        <x:v>Humboldt Current</x:v>
      </x:c>
      <x:c r="E161" s="32" t="n">
        <x:v>851965.3818763017</x:v>
      </x:c>
      <x:c r="F161" s="32" t="n">
        <x:v>2559648.0480429977</x:v>
      </x:c>
      <x:c r="G161" s="32" t="n">
        <x:v>700038.9393131385</x:v>
      </x:c>
      <x:c r="H161" s="34" t="n">
        <x:f>G161/E161</x:f>
        <x:v>0.8216753335345947</x:v>
      </x:c>
      <x:c r="I161" s="34" t="n">
        <x:f>G161/F161</x:f>
        <x:v>0.27349031045434535</x:v>
      </x:c>
      <x:c r="J161" s="33" t="n">
        <x:f>E161/F161</x:f>
        <x:v>0.3328447372003661</x:v>
      </x:c>
      <x:c r="K161" s="25" t="b">
        <x:f>I161&gt;='Selection Rules'!$B$5</x:f>
        <x:v>0</x:v>
      </x:c>
      <x:c r="L161" s="25" t="n">
        <x:f>IF(AND(K161,J161&gt;='Selection Rules'!$B$6),1,0)</x:f>
        <x:v>0</x:v>
      </x:c>
      <x:c r="M161" s="25" t="n">
        <x:f>IF(AND(K161,J161&gt;='Selection Rules'!$B$7,J161&lt;'Selection Rules'!$B$6),1,0)</x:f>
        <x:v>0</x:v>
      </x:c>
    </x:row>
    <x:row r="162" ht="18" customHeight="1">
      <x:c r="A162" s="25" t="str">
        <x:v>EEZ_608</x:v>
      </x:c>
      <x:c r="B162" s="25" t="str">
        <x:v>Philippines</x:v>
      </x:c>
      <x:c r="C162" s="25" t="str">
        <x:v>LME_036</x:v>
      </x:c>
      <x:c r="D162" s="25" t="str">
        <x:v>South China Sea</x:v>
      </x:c>
      <x:c r="E162" s="32" t="n">
        <x:v>2326286.2631614525</x:v>
      </x:c>
      <x:c r="F162" s="32" t="n">
        <x:v>3164824.0447257855</x:v>
      </x:c>
      <x:c r="G162" s="32" t="n">
        <x:v>897005.0561281673</x:v>
      </x:c>
      <x:c r="H162" s="34" t="n">
        <x:f>G162/E162</x:f>
        <x:v>0.38559530283651594</x:v>
      </x:c>
      <x:c r="I162" s="34" t="n">
        <x:f>G162/F162</x:f>
        <x:v>0.2834296768008434</x:v>
      </x:c>
      <x:c r="J162" s="33" t="n">
        <x:f>E162/F162</x:f>
        <x:v>0.7350444227818081</x:v>
      </x:c>
      <x:c r="K162" s="25" t="b">
        <x:f>I162&gt;='Selection Rules'!$B$5</x:f>
        <x:v>0</x:v>
      </x:c>
      <x:c r="L162" s="25" t="n">
        <x:f>IF(AND(K162,J162&gt;='Selection Rules'!$B$6),1,0)</x:f>
        <x:v>0</x:v>
      </x:c>
      <x:c r="M162" s="25" t="n">
        <x:f>IF(AND(K162,J162&gt;='Selection Rules'!$B$7,J162&lt;'Selection Rules'!$B$6),1,0)</x:f>
        <x:v>0</x:v>
      </x:c>
    </x:row>
    <x:row r="163" ht="18" customHeight="1">
      <x:c r="A163" s="25" t="str">
        <x:v>EEZ_608</x:v>
      </x:c>
      <x:c r="B163" s="25" t="str">
        <x:v>Philippines</x:v>
      </x:c>
      <x:c r="C163" s="25" t="str">
        <x:v>LME_037</x:v>
      </x:c>
      <x:c r="D163" s="25" t="str">
        <x:v>Sulu-Celebes Sea</x:v>
      </x:c>
      <x:c r="E163" s="32" t="n">
        <x:v>2326286.2631614525</x:v>
      </x:c>
      <x:c r="F163" s="32" t="n">
        <x:v>1013858.8714074758</x:v>
      </x:c>
      <x:c r="G163" s="32" t="n">
        <x:v>645755.2959350039</x:v>
      </x:c>
      <x:c r="H163" s="34" t="n">
        <x:f>G163/E163</x:f>
        <x:v>0.2775906414275147</x:v>
      </x:c>
      <x:c r="I163" s="34" t="n">
        <x:f>G163/F163</x:f>
        <x:v>0.6369281900532595</x:v>
      </x:c>
      <x:c r="J163" s="33" t="n">
        <x:f>E163/F163</x:f>
        <x:v>2.2944872592888763</x:v>
      </x:c>
      <x:c r="K163" s="25" t="b">
        <x:f>I163&gt;='Selection Rules'!$B$5</x:f>
        <x:v>0</x:v>
      </x:c>
      <x:c r="L163" s="25" t="n">
        <x:f>IF(AND(K163,J163&gt;='Selection Rules'!$B$6),1,0)</x:f>
        <x:v>0</x:v>
      </x:c>
      <x:c r="M163" s="25" t="n">
        <x:f>IF(AND(K163,J163&gt;='Selection Rules'!$B$7,J163&lt;'Selection Rules'!$B$6),1,0)</x:f>
        <x:v>0</x:v>
      </x:c>
    </x:row>
    <x:row r="164" ht="18" customHeight="1">
      <x:c r="A164" s="25" t="str">
        <x:v>EEZ_608</x:v>
      </x:c>
      <x:c r="B164" s="25" t="str">
        <x:v>Philippines</x:v>
      </x:c>
      <x:c r="C164" s="25" t="str">
        <x:v>LME_049</x:v>
      </x:c>
      <x:c r="D164" s="25" t="str">
        <x:v>Kuroshio Current</x:v>
      </x:c>
      <x:c r="E164" s="32" t="n">
        <x:v>2326286.2631614525</x:v>
      </x:c>
      <x:c r="F164" s="32" t="n">
        <x:v>1320719.814467396</x:v>
      </x:c>
      <x:c r="G164" s="32" t="n">
        <x:v>13130.917755298464</x:v>
      </x:c>
      <x:c r="H164" s="34" t="n">
        <x:f>G164/E164</x:f>
        <x:v>0.005644583800040748</x:v>
      </x:c>
      <x:c r="I164" s="34" t="n">
        <x:f>G164/F164</x:f>
        <x:v>0.009942243321755374</x:v>
      </x:c>
      <x:c r="J164" s="33" t="n">
        <x:f>E164/F164</x:f>
        <x:v>1.761377574318872</x:v>
      </x:c>
      <x:c r="K164" s="25" t="b">
        <x:f>I164&gt;='Selection Rules'!$B$5</x:f>
        <x:v>0</x:v>
      </x:c>
      <x:c r="L164" s="25" t="n">
        <x:f>IF(AND(K164,J164&gt;='Selection Rules'!$B$6),1,0)</x:f>
        <x:v>0</x:v>
      </x:c>
      <x:c r="M164" s="25" t="n">
        <x:f>IF(AND(K164,J164&gt;='Selection Rules'!$B$7,J164&lt;'Selection Rules'!$B$6),1,0)</x:f>
        <x:v>0</x:v>
      </x:c>
    </x:row>
    <x:row r="165" ht="18" customHeight="1">
      <x:c r="A165" s="25" t="str">
        <x:v>EEZ_616</x:v>
      </x:c>
      <x:c r="B165" s="25" t="str">
        <x:v>Poland</x:v>
      </x:c>
      <x:c r="C165" s="25" t="str">
        <x:v>LME_023</x:v>
      </x:c>
      <x:c r="D165" s="25" t="str">
        <x:v>Baltic Sea</x:v>
      </x:c>
      <x:c r="E165" s="32" t="n">
        <x:v>29732.158735194436</x:v>
      </x:c>
      <x:c r="F165" s="32" t="n">
        <x:v>396444.90371621336</x:v>
      </x:c>
      <x:c r="G165" s="32" t="n">
        <x:v>29518.27961542344</x:v>
      </x:c>
      <x:c r="H165" s="34" t="n">
        <x:f>G165/E165</x:f>
        <x:v>0.9928064718853453</x:v>
      </x:c>
      <x:c r="I165" s="34" t="n">
        <x:f>G165/F165</x:f>
        <x:v>0.07445745761573333</x:v>
      </x:c>
      <x:c r="J165" s="33" t="n">
        <x:f>E165/F165</x:f>
        <x:v>0.07499695028612997</x:v>
      </x:c>
      <x:c r="K165" s="25" t="b">
        <x:f>I165&gt;='Selection Rules'!$B$5</x:f>
        <x:v>0</x:v>
      </x:c>
      <x:c r="L165" s="25" t="n">
        <x:f>IF(AND(K165,J165&gt;='Selection Rules'!$B$6),1,0)</x:f>
        <x:v>0</x:v>
      </x:c>
      <x:c r="M165" s="25" t="n">
        <x:f>IF(AND(K165,J165&gt;='Selection Rules'!$B$7,J165&lt;'Selection Rules'!$B$6),1,0)</x:f>
        <x:v>0</x:v>
      </x:c>
    </x:row>
    <x:row r="166" ht="18" customHeight="1">
      <x:c r="A166" s="25" t="str">
        <x:v>EEZ_620</x:v>
      </x:c>
      <x:c r="B166" s="25" t="str">
        <x:v>Portugal (mainland)</x:v>
      </x:c>
      <x:c r="C166" s="25" t="str">
        <x:v>LME_025</x:v>
      </x:c>
      <x:c r="D166" s="25" t="str">
        <x:v>Iberian Coastal</x:v>
      </x:c>
      <x:c r="E166" s="32" t="n">
        <x:v>314158.3409284222</x:v>
      </x:c>
      <x:c r="F166" s="32" t="n">
        <x:v>303943.39540209086</x:v>
      </x:c>
      <x:c r="G166" s="32" t="n">
        <x:v>159270.09026173048</x:v>
      </x:c>
      <x:c r="H166" s="34" t="n">
        <x:f>G166/E166</x:f>
        <x:v>0.5069739348350408</x:v>
      </x:c>
      <x:c r="I166" s="34" t="n">
        <x:f>G166/F166</x:f>
        <x:v>0.5240123413474075</x:v>
      </x:c>
      <x:c r="J166" s="33" t="n">
        <x:f>E166/F166</x:f>
        <x:v>1.033608052291506</x:v>
      </x:c>
      <x:c r="K166" s="25" t="b">
        <x:f>I166&gt;='Selection Rules'!$B$5</x:f>
        <x:v>0</x:v>
      </x:c>
      <x:c r="L166" s="25" t="n">
        <x:f>IF(AND(K166,J166&gt;='Selection Rules'!$B$6),1,0)</x:f>
        <x:v>0</x:v>
      </x:c>
      <x:c r="M166" s="25" t="n">
        <x:f>IF(AND(K166,J166&gt;='Selection Rules'!$B$7,J166&lt;'Selection Rules'!$B$6),1,0)</x:f>
        <x:v>0</x:v>
      </x:c>
    </x:row>
    <x:row r="167" ht="18" customHeight="1">
      <x:c r="A167" s="25" t="str">
        <x:v>EEZ_620</x:v>
      </x:c>
      <x:c r="B167" s="25" t="str">
        <x:v>Portugal (mainland)</x:v>
      </x:c>
      <x:c r="C167" s="25" t="str">
        <x:v>LME_027</x:v>
      </x:c>
      <x:c r="D167" s="25" t="str">
        <x:v>Canary Current</x:v>
      </x:c>
      <x:c r="E167" s="32" t="n">
        <x:v>314158.3409284222</x:v>
      </x:c>
      <x:c r="F167" s="32" t="n">
        <x:v>1123299.8683993171</x:v>
      </x:c>
      <x:c r="G167" s="32" t="n">
        <x:v>20606.036304183097</x:v>
      </x:c>
      <x:c r="H167" s="34" t="n">
        <x:f>G167/E167</x:f>
        <x:v>0.06559124371260279</x:v>
      </x:c>
      <x:c r="I167" s="34" t="n">
        <x:f>G167/F167</x:f>
        <x:v>0.018344198983612756</x:v>
      </x:c>
      <x:c r="J167" s="33" t="n">
        <x:f>E167/F167</x:f>
        <x:v>0.2796745105793455</x:v>
      </x:c>
      <x:c r="K167" s="25" t="b">
        <x:f>I167&gt;='Selection Rules'!$B$5</x:f>
        <x:v>0</x:v>
      </x:c>
      <x:c r="L167" s="25" t="n">
        <x:f>IF(AND(K167,J167&gt;='Selection Rules'!$B$6),1,0)</x:f>
        <x:v>0</x:v>
      </x:c>
      <x:c r="M167" s="25" t="n">
        <x:f>IF(AND(K167,J167&gt;='Selection Rules'!$B$7,J167&lt;'Selection Rules'!$B$6),1,0)</x:f>
        <x:v>0</x:v>
      </x:c>
    </x:row>
    <x:row r="168" ht="18" customHeight="1">
      <x:c r="A168" s="25" t="str">
        <x:v>EEZ_621</x:v>
      </x:c>
      <x:c r="B168" s="25" t="str">
        <x:v>Madeira Isl. (Portugal)</x:v>
      </x:c>
      <x:c r="C168" s="25" t="str">
        <x:v>LME_027</x:v>
      </x:c>
      <x:c r="D168" s="25" t="str">
        <x:v>Canary Current</x:v>
      </x:c>
      <x:c r="E168" s="32" t="n">
        <x:v>458579.10804146284</x:v>
      </x:c>
      <x:c r="F168" s="32" t="n">
        <x:v>1123299.8683993171</x:v>
      </x:c>
      <x:c r="G168" s="32" t="n">
        <x:v>18974.575764427464</x:v>
      </x:c>
      <x:c r="H168" s="34" t="n">
        <x:f>G168/E168</x:f>
        <x:v>0.04137688663023842</x:v>
      </x:c>
      <x:c r="I168" s="34" t="n">
        <x:f>G168/F168</x:f>
        <x:v>0.016891816956647477</x:v>
      </x:c>
      <x:c r="J168" s="33" t="n">
        <x:f>E168/F168</x:f>
        <x:v>0.4082428218343247</x:v>
      </x:c>
      <x:c r="K168" s="25" t="b">
        <x:f>I168&gt;='Selection Rules'!$B$5</x:f>
        <x:v>0</x:v>
      </x:c>
      <x:c r="L168" s="25" t="n">
        <x:f>IF(AND(K168,J168&gt;='Selection Rules'!$B$6),1,0)</x:f>
        <x:v>0</x:v>
      </x:c>
      <x:c r="M168" s="25" t="n">
        <x:f>IF(AND(K168,J168&gt;='Selection Rules'!$B$7,J168&lt;'Selection Rules'!$B$6),1,0)</x:f>
        <x:v>0</x:v>
      </x:c>
    </x:row>
    <x:row r="169" ht="18" customHeight="1">
      <x:c r="A169" s="25" t="str">
        <x:v>EEZ_624</x:v>
      </x:c>
      <x:c r="B169" s="25" t="str">
        <x:v>Guinea-Bissau</x:v>
      </x:c>
      <x:c r="C169" s="25" t="str">
        <x:v>LME_027</x:v>
      </x:c>
      <x:c r="D169" s="25" t="str">
        <x:v>Canary Current</x:v>
      </x:c>
      <x:c r="E169" s="32" t="n">
        <x:v>140734.2505170062</x:v>
      </x:c>
      <x:c r="F169" s="32" t="n">
        <x:v>1123299.8683993171</x:v>
      </x:c>
      <x:c r="G169" s="32" t="n">
        <x:v>22308.60786195309</x:v>
      </x:c>
      <x:c r="H169" s="34" t="n">
        <x:f>G169/E169</x:f>
        <x:v>0.15851583946338163</x:v>
      </x:c>
      <x:c r="I169" s="34" t="n">
        <x:f>G169/F169</x:f>
        <x:v>0.019859886473362155</x:v>
      </x:c>
      <x:c r="J169" s="33" t="n">
        <x:f>E169/F169</x:f>
        <x:v>0.12528644797007774</x:v>
      </x:c>
      <x:c r="K169" s="25" t="b">
        <x:f>I169&gt;='Selection Rules'!$B$5</x:f>
        <x:v>0</x:v>
      </x:c>
      <x:c r="L169" s="25" t="n">
        <x:f>IF(AND(K169,J169&gt;='Selection Rules'!$B$6),1,0)</x:f>
        <x:v>0</x:v>
      </x:c>
      <x:c r="M169" s="25" t="n">
        <x:f>IF(AND(K169,J169&gt;='Selection Rules'!$B$7,J169&lt;'Selection Rules'!$B$6),1,0)</x:f>
        <x:v>0</x:v>
      </x:c>
    </x:row>
    <x:row r="170" ht="18" customHeight="1">
      <x:c r="A170" s="25" t="str">
        <x:v>EEZ_624</x:v>
      </x:c>
      <x:c r="B170" s="25" t="str">
        <x:v>Guinea-Bissau</x:v>
      </x:c>
      <x:c r="C170" s="25" t="str">
        <x:v>LME_028</x:v>
      </x:c>
      <x:c r="D170" s="25" t="str">
        <x:v>Guinea Current</x:v>
      </x:c>
      <x:c r="E170" s="32" t="n">
        <x:v>140734.2505170062</x:v>
      </x:c>
      <x:c r="F170" s="32" t="n">
        <x:v>1918690.5432233866</x:v>
      </x:c>
      <x:c r="G170" s="32" t="n">
        <x:v>107704.27220234263</x:v>
      </x:c>
      <x:c r="H170" s="34" t="n">
        <x:f>G170/E170</x:f>
        <x:v>0.7653024889582777</x:v>
      </x:c>
      <x:c r="I170" s="34" t="n">
        <x:f>G170/F170</x:f>
        <x:v>0.05613425916062536</x:v>
      </x:c>
      <x:c r="J170" s="33" t="n">
        <x:f>E170/F170</x:f>
        <x:v>0.0733491135472913</x:v>
      </x:c>
      <x:c r="K170" s="25" t="b">
        <x:f>I170&gt;='Selection Rules'!$B$5</x:f>
        <x:v>0</x:v>
      </x:c>
      <x:c r="L170" s="25" t="n">
        <x:f>IF(AND(K170,J170&gt;='Selection Rules'!$B$6),1,0)</x:f>
        <x:v>0</x:v>
      </x:c>
      <x:c r="M170" s="25" t="n">
        <x:f>IF(AND(K170,J170&gt;='Selection Rules'!$B$7,J170&lt;'Selection Rules'!$B$6),1,0)</x:f>
        <x:v>0</x:v>
      </x:c>
    </x:row>
    <x:row r="171" ht="18" customHeight="1">
      <x:c r="A171" s="25" t="str">
        <x:v>EEZ_626</x:v>
      </x:c>
      <x:c r="B171" s="25" t="str">
        <x:v>Timor Leste</x:v>
      </x:c>
      <x:c r="C171" s="25" t="str">
        <x:v>LME_038</x:v>
      </x:c>
      <x:c r="D171" s="25" t="str">
        <x:v>Indonesian Sea</x:v>
      </x:c>
      <x:c r="E171" s="32" t="n">
        <x:v>78039.65468766144</x:v>
      </x:c>
      <x:c r="F171" s="32" t="n">
        <x:v>2267460.478990507</x:v>
      </x:c>
      <x:c r="G171" s="32" t="n">
        <x:v>8382.48004024259</x:v>
      </x:c>
      <x:c r="H171" s="34" t="n">
        <x:f>G171/E171</x:f>
        <x:v>0.10741308471688961</x:v>
      </x:c>
      <x:c r="I171" s="34" t="n">
        <x:f>G171/F171</x:f>
        <x:v>0.0036968582773158377</x:v>
      </x:c>
      <x:c r="J171" s="33" t="n">
        <x:f>E171/F171</x:f>
        <x:v>0.03441720612586173</x:v>
      </x:c>
      <x:c r="K171" s="25" t="b">
        <x:f>I171&gt;='Selection Rules'!$B$5</x:f>
        <x:v>0</x:v>
      </x:c>
      <x:c r="L171" s="25" t="n">
        <x:f>IF(AND(K171,J171&gt;='Selection Rules'!$B$6),1,0)</x:f>
        <x:v>0</x:v>
      </x:c>
      <x:c r="M171" s="25" t="n">
        <x:f>IF(AND(K171,J171&gt;='Selection Rules'!$B$7,J171&lt;'Selection Rules'!$B$6),1,0)</x:f>
        <x:v>0</x:v>
      </x:c>
    </x:row>
    <x:row r="172" ht="18" customHeight="1">
      <x:c r="A172" s="25" t="str">
        <x:v>EEZ_626</x:v>
      </x:c>
      <x:c r="B172" s="25" t="str">
        <x:v>Timor Leste</x:v>
      </x:c>
      <x:c r="C172" s="25" t="str">
        <x:v>LME_039</x:v>
      </x:c>
      <x:c r="D172" s="25" t="str">
        <x:v>North Australian Shelf</x:v>
      </x:c>
      <x:c r="E172" s="32" t="n">
        <x:v>78039.65468766144</x:v>
      </x:c>
      <x:c r="F172" s="32" t="n">
        <x:v>779233.7571536872</x:v>
      </x:c>
      <x:c r="G172" s="32" t="n">
        <x:v>141.3867591899487</x:v>
      </x:c>
      <x:c r="H172" s="34" t="n">
        <x:f>G172/E172</x:f>
        <x:v>0.001811729687372679</x:v>
      </x:c>
      <x:c r="I172" s="34" t="n">
        <x:f>G172/F172</x:f>
        <x:v>0.0001814433190194341</x:v>
      </x:c>
      <x:c r="J172" s="33" t="n">
        <x:f>E172/F172</x:f>
        <x:v>0.10014922219581125</x:v>
      </x:c>
      <x:c r="K172" s="25" t="b">
        <x:f>I172&gt;='Selection Rules'!$B$5</x:f>
        <x:v>0</x:v>
      </x:c>
      <x:c r="L172" s="25" t="n">
        <x:f>IF(AND(K172,J172&gt;='Selection Rules'!$B$6),1,0)</x:f>
        <x:v>0</x:v>
      </x:c>
      <x:c r="M172" s="25" t="n">
        <x:f>IF(AND(K172,J172&gt;='Selection Rules'!$B$7,J172&lt;'Selection Rules'!$B$6),1,0)</x:f>
        <x:v>0</x:v>
      </x:c>
    </x:row>
    <x:row r="173" ht="18" customHeight="1">
      <x:c r="A173" s="25" t="str">
        <x:v>EEZ_630</x:v>
      </x:c>
      <x:c r="B173" s="25" t="str">
        <x:v>Puerto Rico (USA)</x:v>
      </x:c>
      <x:c r="C173" s="25" t="str">
        <x:v>LME_012</x:v>
      </x:c>
      <x:c r="D173" s="25" t="str">
        <x:v>Caribbean Sea</x:v>
      </x:c>
      <x:c r="E173" s="32" t="n">
        <x:v>173208.77566717693</x:v>
      </x:c>
      <x:c r="F173" s="32" t="n">
        <x:v>3262576.84767364</x:v>
      </x:c>
      <x:c r="G173" s="32" t="n">
        <x:v>105879.23250434989</x:v>
      </x:c>
      <x:c r="H173" s="34" t="n">
        <x:f>G173/E173</x:f>
        <x:v>0.611280993682435</x:v>
      </x:c>
      <x:c r="I173" s="34" t="n">
        <x:f>G173/F173</x:f>
        <x:v>0.03245264018220641</x:v>
      </x:c>
      <x:c r="J173" s="33" t="n">
        <x:f>E173/F173</x:f>
        <x:v>0.05308956194876524</x:v>
      </x:c>
      <x:c r="K173" s="25" t="b">
        <x:f>I173&gt;='Selection Rules'!$B$5</x:f>
        <x:v>0</x:v>
      </x:c>
      <x:c r="L173" s="25" t="n">
        <x:f>IF(AND(K173,J173&gt;='Selection Rules'!$B$6),1,0)</x:f>
        <x:v>0</x:v>
      </x:c>
      <x:c r="M173" s="25" t="n">
        <x:f>IF(AND(K173,J173&gt;='Selection Rules'!$B$7,J173&lt;'Selection Rules'!$B$6),1,0)</x:f>
        <x:v>0</x:v>
      </x:c>
    </x:row>
    <x:row r="174" ht="18" customHeight="1">
      <x:c r="A174" s="25" t="str">
        <x:v>EEZ_634</x:v>
      </x:c>
      <x:c r="B174" s="25" t="str">
        <x:v>Qatar</x:v>
      </x:c>
      <x:c r="C174" s="25" t="str">
        <x:v>LME_032</x:v>
      </x:c>
      <x:c r="D174" s="25" t="str">
        <x:v>Arabian Sea</x:v>
      </x:c>
      <x:c r="E174" s="32" t="n">
        <x:v>30486.733813287738</x:v>
      </x:c>
      <x:c r="F174" s="32" t="n">
        <x:v>3931902.1047515674</x:v>
      </x:c>
      <x:c r="G174" s="32" t="n">
        <x:v>30326.388514823877</x:v>
      </x:c>
      <x:c r="H174" s="34" t="n">
        <x:f>G174/E174</x:f>
        <x:v>0.9947404894389187</x:v>
      </x:c>
      <x:c r="I174" s="34" t="n">
        <x:f>G174/F174</x:f>
        <x:v>0.00771290528270668</x:v>
      </x:c>
      <x:c r="J174" s="33" t="n">
        <x:f>E174/F174</x:f>
        <x:v>0.007753685875455947</x:v>
      </x:c>
      <x:c r="K174" s="25" t="b">
        <x:f>I174&gt;='Selection Rules'!$B$5</x:f>
        <x:v>0</x:v>
      </x:c>
      <x:c r="L174" s="25" t="n">
        <x:f>IF(AND(K174,J174&gt;='Selection Rules'!$B$6),1,0)</x:f>
        <x:v>0</x:v>
      </x:c>
      <x:c r="M174" s="25" t="n">
        <x:f>IF(AND(K174,J174&gt;='Selection Rules'!$B$7,J174&lt;'Selection Rules'!$B$6),1,0)</x:f>
        <x:v>0</x:v>
      </x:c>
    </x:row>
    <x:row r="175" ht="18" customHeight="1">
      <x:c r="A175" s="25" t="str">
        <x:v>EEZ_642</x:v>
      </x:c>
      <x:c r="B175" s="25" t="str">
        <x:v>Romania</x:v>
      </x:c>
      <x:c r="C175" s="25" t="str">
        <x:v>LME_062</x:v>
      </x:c>
      <x:c r="D175" s="25" t="str">
        <x:v>Black Sea</x:v>
      </x:c>
      <x:c r="E175" s="32" t="n">
        <x:v>30288.91359280861</x:v>
      </x:c>
      <x:c r="F175" s="32" t="n">
        <x:v>462205.2642152028</x:v>
      </x:c>
      <x:c r="G175" s="32" t="n">
        <x:v>30087.015402579334</x:v>
      </x:c>
      <x:c r="H175" s="34" t="n">
        <x:f>G175/E175</x:f>
        <x:v>0.9933342544753004</x:v>
      </x:c>
      <x:c r="I175" s="34" t="n">
        <x:f>G175/F175</x:f>
        <x:v>0.06509448881692273</x:v>
      </x:c>
      <x:c r="J175" s="33" t="n">
        <x:f>E175/F175</x:f>
        <x:v>0.06553130381203554</x:v>
      </x:c>
      <x:c r="K175" s="25" t="b">
        <x:f>I175&gt;='Selection Rules'!$B$5</x:f>
        <x:v>0</x:v>
      </x:c>
      <x:c r="L175" s="25" t="n">
        <x:f>IF(AND(K175,J175&gt;='Selection Rules'!$B$6),1,0)</x:f>
        <x:v>0</x:v>
      </x:c>
      <x:c r="M175" s="25" t="n">
        <x:f>IF(AND(K175,J175&gt;='Selection Rules'!$B$7,J175&lt;'Selection Rules'!$B$6),1,0)</x:f>
        <x:v>0</x:v>
      </x:c>
    </x:row>
    <x:row r="176" ht="18" customHeight="1">
      <x:c r="A176" s="25" t="str">
        <x:v>EEZ_645</x:v>
      </x:c>
      <x:c r="B176" s="25" t="str">
        <x:v>Russia (Barents Sea)</x:v>
      </x:c>
      <x:c r="C176" s="25" t="str">
        <x:v>LME_020</x:v>
      </x:c>
      <x:c r="D176" s="25" t="str">
        <x:v>Barents Sea</x:v>
      </x:c>
      <x:c r="E176" s="32" t="n">
        <x:v>1198570.6153619662</x:v>
      </x:c>
      <x:c r="F176" s="32" t="n">
        <x:v>2001350.9660391603</x:v>
      </x:c>
      <x:c r="G176" s="32" t="n">
        <x:v>1069846.881355835</x:v>
      </x:c>
      <x:c r="H176" s="34" t="n">
        <x:f>G176/E176</x:f>
        <x:v>0.8926022944695194</x:v>
      </x:c>
      <x:c r="I176" s="34" t="n">
        <x:f>G176/F176</x:f>
        <x:v>0.5345623528856364</x:v>
      </x:c>
      <x:c r="J176" s="33" t="n">
        <x:f>E176/F176</x:f>
        <x:v>0.5988807738874691</x:v>
      </x:c>
      <x:c r="K176" s="25" t="b">
        <x:f>I176&gt;='Selection Rules'!$B$5</x:f>
        <x:v>0</x:v>
      </x:c>
      <x:c r="L176" s="25" t="n">
        <x:f>IF(AND(K176,J176&gt;='Selection Rules'!$B$6),1,0)</x:f>
        <x:v>0</x:v>
      </x:c>
      <x:c r="M176" s="25" t="n">
        <x:f>IF(AND(K176,J176&gt;='Selection Rules'!$B$7,J176&lt;'Selection Rules'!$B$6),1,0)</x:f>
        <x:v>0</x:v>
      </x:c>
    </x:row>
    <x:row r="177" ht="18" customHeight="1">
      <x:c r="A177" s="25" t="str">
        <x:v>EEZ_645</x:v>
      </x:c>
      <x:c r="B177" s="25" t="str">
        <x:v>Russia (Barents Sea)</x:v>
      </x:c>
      <x:c r="C177" s="25" t="str">
        <x:v>LME_058</x:v>
      </x:c>
      <x:c r="D177" s="25" t="str">
        <x:v>Kara Sea</x:v>
      </x:c>
      <x:c r="E177" s="32" t="n">
        <x:v>1198570.6153619662</x:v>
      </x:c>
      <x:c r="F177" s="32" t="n">
        <x:v>993288.5596090119</x:v>
      </x:c>
      <x:c r="G177" s="32" t="n">
        <x:v>34039.661641707135</x:v>
      </x:c>
      <x:c r="H177" s="34" t="n">
        <x:f>G177/E177</x:f>
        <x:v>0.028400213725769688</x:v>
      </x:c>
      <x:c r="I177" s="34" t="n">
        <x:f>G177/F177</x:f>
        <x:v>0.034269660424868044</x:v>
      </x:c>
      <x:c r="J177" s="33" t="n">
        <x:f>E177/F177</x:f>
        <x:v>1.2066691031191978</x:v>
      </x:c>
      <x:c r="K177" s="25" t="b">
        <x:f>I177&gt;='Selection Rules'!$B$5</x:f>
        <x:v>0</x:v>
      </x:c>
      <x:c r="L177" s="25" t="n">
        <x:f>IF(AND(K177,J177&gt;='Selection Rules'!$B$6),1,0)</x:f>
        <x:v>0</x:v>
      </x:c>
      <x:c r="M177" s="25" t="n">
        <x:f>IF(AND(K177,J177&gt;='Selection Rules'!$B$7,J177&lt;'Selection Rules'!$B$6),1,0)</x:f>
        <x:v>0</x:v>
      </x:c>
    </x:row>
    <x:row r="178" ht="18" customHeight="1">
      <x:c r="A178" s="25" t="str">
        <x:v>EEZ_645</x:v>
      </x:c>
      <x:c r="B178" s="25" t="str">
        <x:v>Russia (Barents Sea)</x:v>
      </x:c>
      <x:c r="C178" s="25" t="str">
        <x:v>LME_064</x:v>
      </x:c>
      <x:c r="D178" s="25" t="str">
        <x:v>Central Arctic Ocean</x:v>
      </x:c>
      <x:c r="E178" s="32" t="n">
        <x:v>1198570.6153619662</x:v>
      </x:c>
      <x:c r="F178" s="32" t="n">
        <x:v>3337137.3298031692</x:v>
      </x:c>
      <x:c r="G178" s="32" t="n">
        <x:v>84295.05301499566</x:v>
      </x:c>
      <x:c r="H178" s="34" t="n">
        <x:f>G178/E178</x:f>
        <x:v>0.07032965094804923</x:v>
      </x:c>
      <x:c r="I178" s="34" t="n">
        <x:f>G178/F178</x:f>
        <x:v>0.025259689573508666</x:v>
      </x:c>
      <x:c r="J178" s="33" t="n">
        <x:f>E178/F178</x:f>
        <x:v>0.35916131010187113</x:v>
      </x:c>
      <x:c r="K178" s="25" t="b">
        <x:f>I178&gt;='Selection Rules'!$B$5</x:f>
        <x:v>0</x:v>
      </x:c>
      <x:c r="L178" s="25" t="n">
        <x:f>IF(AND(K178,J178&gt;='Selection Rules'!$B$6),1,0)</x:f>
        <x:v>0</x:v>
      </x:c>
      <x:c r="M178" s="25" t="n">
        <x:f>IF(AND(K178,J178&gt;='Selection Rules'!$B$7,J178&lt;'Selection Rules'!$B$6),1,0)</x:f>
        <x:v>0</x:v>
      </x:c>
    </x:row>
    <x:row r="179" ht="18" customHeight="1">
      <x:c r="A179" s="25" t="str">
        <x:v>EEZ_647</x:v>
      </x:c>
      <x:c r="B179" s="25" t="str">
        <x:v>Russia (Black Sea)</x:v>
      </x:c>
      <x:c r="C179" s="25" t="str">
        <x:v>LME_062</x:v>
      </x:c>
      <x:c r="D179" s="25" t="str">
        <x:v>Black Sea</x:v>
      </x:c>
      <x:c r="E179" s="32" t="n">
        <x:v>157768.95651583862</x:v>
      </x:c>
      <x:c r="F179" s="32" t="n">
        <x:v>462205.2642152028</x:v>
      </x:c>
      <x:c r="G179" s="32" t="n">
        <x:v>154913.88897460504</x:v>
      </x:c>
      <x:c r="H179" s="34" t="n">
        <x:f>G179/E179</x:f>
        <x:v>0.9819034897340723</x:v>
      </x:c>
      <x:c r="I179" s="34" t="n">
        <x:f>G179/F179</x:f>
        <x:v>0.3351625370118613</x:v>
      </x:c>
      <x:c r="J179" s="33" t="n">
        <x:f>E179/F179</x:f>
        <x:v>0.3413395924508151</x:v>
      </x:c>
      <x:c r="K179" s="25" t="b">
        <x:f>I179&gt;='Selection Rules'!$B$5</x:f>
        <x:v>0</x:v>
      </x:c>
      <x:c r="L179" s="25" t="n">
        <x:f>IF(AND(K179,J179&gt;='Selection Rules'!$B$6),1,0)</x:f>
        <x:v>0</x:v>
      </x:c>
      <x:c r="M179" s="25" t="n">
        <x:f>IF(AND(K179,J179&gt;='Selection Rules'!$B$7,J179&lt;'Selection Rules'!$B$6),1,0)</x:f>
        <x:v>0</x:v>
      </x:c>
    </x:row>
    <x:row r="180" ht="18" customHeight="1">
      <x:c r="A180" s="25" t="str">
        <x:v>EEZ_648</x:v>
      </x:c>
      <x:c r="B180" s="25" t="str">
        <x:v>Russia (Baltic Sea)</x:v>
      </x:c>
      <x:c r="C180" s="25" t="str">
        <x:v>LME_023</x:v>
      </x:c>
      <x:c r="D180" s="25" t="str">
        <x:v>Baltic Sea</x:v>
      </x:c>
      <x:c r="E180" s="32" t="n">
        <x:v>23208.42247971121</x:v>
      </x:c>
      <x:c r="F180" s="32" t="n">
        <x:v>396444.90371621336</x:v>
      </x:c>
      <x:c r="G180" s="32" t="n">
        <x:v>22766.537108993743</x:v>
      </x:c>
      <x:c r="H180" s="34" t="n">
        <x:f>G180/E180</x:f>
        <x:v>0.9809601289745667</x:v>
      </x:c>
      <x:c r="I180" s="34" t="n">
        <x:f>G180/F180</x:f>
        <x:v>0.05742673671822676</x:v>
      </x:c>
      <x:c r="J180" s="33" t="n">
        <x:f>E180/F180</x:f>
        <x:v>0.058541356597497006</x:v>
      </x:c>
      <x:c r="K180" s="25" t="b">
        <x:f>I180&gt;='Selection Rules'!$B$5</x:f>
        <x:v>0</x:v>
      </x:c>
      <x:c r="L180" s="25" t="n">
        <x:f>IF(AND(K180,J180&gt;='Selection Rules'!$B$6),1,0)</x:f>
        <x:v>0</x:v>
      </x:c>
      <x:c r="M180" s="25" t="n">
        <x:f>IF(AND(K180,J180&gt;='Selection Rules'!$B$7,J180&lt;'Selection Rules'!$B$6),1,0)</x:f>
        <x:v>0</x:v>
      </x:c>
    </x:row>
    <x:row r="181" ht="18" customHeight="1">
      <x:c r="A181" s="25" t="str">
        <x:v>EEZ_649</x:v>
      </x:c>
      <x:c r="B181" s="25" t="str">
        <x:v>Russia (Far East)</x:v>
      </x:c>
      <x:c r="C181" s="25" t="str">
        <x:v>LME_001</x:v>
      </x:c>
      <x:c r="D181" s="25" t="str">
        <x:v>East Bering Sea</x:v>
      </x:c>
      <x:c r="E181" s="32" t="n">
        <x:v>3394719.1917649913</x:v>
      </x:c>
      <x:c r="F181" s="32" t="n">
        <x:v>1286076.9881305452</x:v>
      </x:c>
      <x:c r="G181" s="32" t="n">
        <x:v>35905.45202320987</x:v>
      </x:c>
      <x:c r="H181" s="34" t="n">
        <x:f>G181/E181</x:f>
        <x:v>0.010576854813296595</x:v>
      </x:c>
      <x:c r="I181" s="34" t="n">
        <x:f>G181/F181</x:f>
        <x:v>0.027918586798915054</x:v>
      </x:c>
      <x:c r="J181" s="33" t="n">
        <x:f>E181/F181</x:f>
        <x:v>2.639592515141407</x:v>
      </x:c>
      <x:c r="K181" s="25" t="b">
        <x:f>I181&gt;='Selection Rules'!$B$5</x:f>
        <x:v>0</x:v>
      </x:c>
      <x:c r="L181" s="25" t="n">
        <x:f>IF(AND(K181,J181&gt;='Selection Rules'!$B$6),1,0)</x:f>
        <x:v>0</x:v>
      </x:c>
      <x:c r="M181" s="25" t="n">
        <x:f>IF(AND(K181,J181&gt;='Selection Rules'!$B$7,J181&lt;'Selection Rules'!$B$6),1,0)</x:f>
        <x:v>0</x:v>
      </x:c>
    </x:row>
    <x:row r="182" ht="18" customHeight="1">
      <x:c r="A182" s="25" t="str">
        <x:v>EEZ_649</x:v>
      </x:c>
      <x:c r="B182" s="25" t="str">
        <x:v>Russia (Far East)</x:v>
      </x:c>
      <x:c r="C182" s="25" t="str">
        <x:v>LME_050</x:v>
      </x:c>
      <x:c r="D182" s="25" t="str">
        <x:v>Sea of Japan / East Sea</x:v>
      </x:c>
      <x:c r="E182" s="32" t="n">
        <x:v>3394719.1917649913</x:v>
      </x:c>
      <x:c r="F182" s="32" t="n">
        <x:v>988300.3380015396</x:v>
      </x:c>
      <x:c r="G182" s="32" t="n">
        <x:v>315480.6469430194</x:v>
      </x:c>
      <x:c r="H182" s="34" t="n">
        <x:f>G182/E182</x:f>
        <x:v>0.09293276678327962</x:v>
      </x:c>
      <x:c r="I182" s="34" t="n">
        <x:f>G182/F182</x:f>
        <x:v>0.3192153587450538</x:v>
      </x:c>
      <x:c r="J182" s="33" t="n">
        <x:f>E182/F182</x:f>
        <x:v>3.434906436063268</x:v>
      </x:c>
      <x:c r="K182" s="25" t="b">
        <x:f>I182&gt;='Selection Rules'!$B$5</x:f>
        <x:v>0</x:v>
      </x:c>
      <x:c r="L182" s="25" t="n">
        <x:f>IF(AND(K182,J182&gt;='Selection Rules'!$B$6),1,0)</x:f>
        <x:v>0</x:v>
      </x:c>
      <x:c r="M182" s="25" t="n">
        <x:f>IF(AND(K182,J182&gt;='Selection Rules'!$B$7,J182&lt;'Selection Rules'!$B$6),1,0)</x:f>
        <x:v>0</x:v>
      </x:c>
    </x:row>
    <x:row r="183" ht="18" customHeight="1">
      <x:c r="A183" s="25" t="str">
        <x:v>EEZ_649</x:v>
      </x:c>
      <x:c r="B183" s="25" t="str">
        <x:v>Russia (Far East)</x:v>
      </x:c>
      <x:c r="C183" s="25" t="str">
        <x:v>LME_051</x:v>
      </x:c>
      <x:c r="D183" s="25" t="str">
        <x:v>Oyashio Current</x:v>
      </x:c>
      <x:c r="E183" s="32" t="n">
        <x:v>3394719.1917649913</x:v>
      </x:c>
      <x:c r="F183" s="32" t="n">
        <x:v>534330.3467746209</x:v>
      </x:c>
      <x:c r="G183" s="32" t="n">
        <x:v>456178.6292816789</x:v>
      </x:c>
      <x:c r="H183" s="34" t="n">
        <x:f>G183/E183</x:f>
        <x:v>0.13437889955325033</x:v>
      </x:c>
      <x:c r="I183" s="34" t="n">
        <x:f>G183/F183</x:f>
        <x:v>0.8537389501369529</x:v>
      </x:c>
      <x:c r="J183" s="33" t="n">
        <x:f>E183/F183</x:f>
        <x:v>6.353221770495612</x:v>
      </x:c>
      <x:c r="K183" s="25" t="b">
        <x:f>I183&gt;='Selection Rules'!$B$5</x:f>
        <x:v>0</x:v>
      </x:c>
      <x:c r="L183" s="25" t="n">
        <x:f>IF(AND(K183,J183&gt;='Selection Rules'!$B$6),1,0)</x:f>
        <x:v>0</x:v>
      </x:c>
      <x:c r="M183" s="25" t="n">
        <x:f>IF(AND(K183,J183&gt;='Selection Rules'!$B$7,J183&lt;'Selection Rules'!$B$6),1,0)</x:f>
        <x:v>0</x:v>
      </x:c>
    </x:row>
    <x:row r="184" ht="18" customHeight="1">
      <x:c r="A184" s="25" t="str">
        <x:v>EEZ_649</x:v>
      </x:c>
      <x:c r="B184" s="25" t="str">
        <x:v>Russia (Far East)</x:v>
      </x:c>
      <x:c r="C184" s="25" t="str">
        <x:v>LME_052</x:v>
      </x:c>
      <x:c r="D184" s="25" t="str">
        <x:v>Sea of Okhotsk</x:v>
      </x:c>
      <x:c r="E184" s="32" t="n">
        <x:v>3394719.1917649913</x:v>
      </x:c>
      <x:c r="F184" s="32" t="n">
        <x:v>1563892.65463195</x:v>
      </x:c>
      <x:c r="G184" s="32" t="n">
        <x:v>1480327.9215697974</x:v>
      </x:c>
      <x:c r="H184" s="34" t="n">
        <x:f>G184/E184</x:f>
        <x:v>0.43606785655815655</x:v>
      </x:c>
      <x:c r="I184" s="34" t="n">
        <x:f>G184/F184</x:f>
        <x:v>0.9465661963340963</x:v>
      </x:c>
      <x:c r="J184" s="33" t="n">
        <x:f>E184/F184</x:f>
        <x:v>2.1706855529441134</x:v>
      </x:c>
      <x:c r="K184" s="25" t="b">
        <x:f>I184&gt;='Selection Rules'!$B$5</x:f>
        <x:v>1</x:v>
      </x:c>
      <x:c r="L184" s="25" t="n">
        <x:f>IF(AND(K184,J184&gt;='Selection Rules'!$B$6),1,0)</x:f>
        <x:v>1</x:v>
      </x:c>
      <x:c r="M184" s="25" t="n">
        <x:f>IF(AND(K184,J184&gt;='Selection Rules'!$B$7,J184&lt;'Selection Rules'!$B$6),1,0)</x:f>
        <x:v>0</x:v>
      </x:c>
    </x:row>
    <x:row r="185" ht="18" customHeight="1">
      <x:c r="A185" s="25" t="str">
        <x:v>EEZ_649</x:v>
      </x:c>
      <x:c r="B185" s="25" t="str">
        <x:v>Russia (Far East)</x:v>
      </x:c>
      <x:c r="C185" s="25" t="str">
        <x:v>LME_053</x:v>
      </x:c>
      <x:c r="D185" s="25" t="str">
        <x:v>West Bering Sea</x:v>
      </x:c>
      <x:c r="E185" s="32" t="n">
        <x:v>3394719.1917649913</x:v>
      </x:c>
      <x:c r="F185" s="32" t="n">
        <x:v>750343.1420938191</x:v>
      </x:c>
      <x:c r="G185" s="32" t="n">
        <x:v>659782.2748985598</x:v>
      </x:c>
      <x:c r="H185" s="34" t="n">
        <x:f>G185/E185</x:f>
        <x:v>0.19435547909207893</x:v>
      </x:c>
      <x:c r="I185" s="34" t="n">
        <x:f>G185/F185</x:f>
        <x:v>0.8793073966897987</x:v>
      </x:c>
      <x:c r="J185" s="33" t="n">
        <x:f>E185/F185</x:f>
        <x:v>4.524222320859877</x:v>
      </x:c>
      <x:c r="K185" s="25" t="b">
        <x:f>I185&gt;='Selection Rules'!$B$5</x:f>
        <x:v>0</x:v>
      </x:c>
      <x:c r="L185" s="25" t="n">
        <x:f>IF(AND(K185,J185&gt;='Selection Rules'!$B$6),1,0)</x:f>
        <x:v>0</x:v>
      </x:c>
      <x:c r="M185" s="25" t="n">
        <x:f>IF(AND(K185,J185&gt;='Selection Rules'!$B$7,J185&lt;'Selection Rules'!$B$6),1,0)</x:f>
        <x:v>0</x:v>
      </x:c>
    </x:row>
    <x:row r="186" ht="18" customHeight="1">
      <x:c r="A186" s="25" t="str">
        <x:v>EEZ_649</x:v>
      </x:c>
      <x:c r="B186" s="25" t="str">
        <x:v>Russia (Far East)</x:v>
      </x:c>
      <x:c r="C186" s="25" t="str">
        <x:v>LME_054</x:v>
      </x:c>
      <x:c r="D186" s="25" t="str">
        <x:v>Northern Bering - Chukchi Seas</x:v>
      </x:c>
      <x:c r="E186" s="32" t="n">
        <x:v>3394719.1917649913</x:v>
      </x:c>
      <x:c r="F186" s="32" t="n">
        <x:v>1332042.5311335474</x:v>
      </x:c>
      <x:c r="G186" s="32" t="n">
        <x:v>154631.7276501186</x:v>
      </x:c>
      <x:c r="H186" s="34" t="n">
        <x:f>G186/E186</x:f>
        <x:v>0.04555066823354013</x:v>
      </x:c>
      <x:c r="I186" s="34" t="n">
        <x:f>G186/F186</x:f>
        <x:v>0.11608617895896269</x:v>
      </x:c>
      <x:c r="J186" s="33" t="n">
        <x:f>E186/F186</x:f>
        <x:v>2.5485066072748728</x:v>
      </x:c>
      <x:c r="K186" s="25" t="b">
        <x:f>I186&gt;='Selection Rules'!$B$5</x:f>
        <x:v>0</x:v>
      </x:c>
      <x:c r="L186" s="25" t="n">
        <x:f>IF(AND(K186,J186&gt;='Selection Rules'!$B$6),1,0)</x:f>
        <x:v>0</x:v>
      </x:c>
      <x:c r="M186" s="25" t="n">
        <x:f>IF(AND(K186,J186&gt;='Selection Rules'!$B$7,J186&lt;'Selection Rules'!$B$6),1,0)</x:f>
        <x:v>0</x:v>
      </x:c>
    </x:row>
    <x:row r="187" ht="18" customHeight="1">
      <x:c r="A187" s="25" t="str">
        <x:v>EEZ_659</x:v>
      </x:c>
      <x:c r="B187" s="25" t="str">
        <x:v>Saint Kitts &amp; Nevis</x:v>
      </x:c>
      <x:c r="C187" s="25" t="str">
        <x:v>LME_012</x:v>
      </x:c>
      <x:c r="D187" s="25" t="str">
        <x:v>Caribbean Sea</x:v>
      </x:c>
      <x:c r="E187" s="32" t="n">
        <x:v>9581.113284239815</x:v>
      </x:c>
      <x:c r="F187" s="32" t="n">
        <x:v>3262576.84767364</x:v>
      </x:c>
      <x:c r="G187" s="32" t="n">
        <x:v>8956.559342805063</x:v>
      </x:c>
      <x:c r="H187" s="34" t="n">
        <x:f>G187/E187</x:f>
        <x:v>0.9348140531370093</x:v>
      </x:c>
      <x:c r="I187" s="34" t="n">
        <x:f>G187/F187</x:f>
        <x:v>0.0027452408819707897</x:v>
      </x:c>
      <x:c r="J187" s="33" t="n">
        <x:f>E187/F187</x:f>
        <x:v>0.0029366705311697308</x:v>
      </x:c>
      <x:c r="K187" s="25" t="b">
        <x:f>I187&gt;='Selection Rules'!$B$5</x:f>
        <x:v>0</x:v>
      </x:c>
      <x:c r="L187" s="25" t="n">
        <x:f>IF(AND(K187,J187&gt;='Selection Rules'!$B$6),1,0)</x:f>
        <x:v>0</x:v>
      </x:c>
      <x:c r="M187" s="25" t="n">
        <x:f>IF(AND(K187,J187&gt;='Selection Rules'!$B$7,J187&lt;'Selection Rules'!$B$6),1,0)</x:f>
        <x:v>0</x:v>
      </x:c>
    </x:row>
    <x:row r="188" ht="18" customHeight="1">
      <x:c r="A188" s="25" t="str">
        <x:v>EEZ_660</x:v>
      </x:c>
      <x:c r="B188" s="25" t="str">
        <x:v>Anguilla (UK)</x:v>
      </x:c>
      <x:c r="C188" s="25" t="str">
        <x:v>LME_012</x:v>
      </x:c>
      <x:c r="D188" s="25" t="str">
        <x:v>Caribbean Sea</x:v>
      </x:c>
      <x:c r="E188" s="32" t="n">
        <x:v>90163.04219307765</x:v>
      </x:c>
      <x:c r="F188" s="32" t="n">
        <x:v>3262576.84767364</x:v>
      </x:c>
      <x:c r="G188" s="32" t="n">
        <x:v>707.7761277000692</x:v>
      </x:c>
      <x:c r="H188" s="34" t="n">
        <x:f>G188/E188</x:f>
        <x:v>0.007849958369687856</x:v>
      </x:c>
      <x:c r="I188" s="34" t="n">
        <x:f>G188/F188</x:f>
        <x:v>0.00021693776445595283</x:v>
      </x:c>
      <x:c r="J188" s="33" t="n">
        <x:f>E188/F188</x:f>
        <x:v>0.02763553056454987</x:v>
      </x:c>
      <x:c r="K188" s="25" t="b">
        <x:f>I188&gt;='Selection Rules'!$B$5</x:f>
        <x:v>0</x:v>
      </x:c>
      <x:c r="L188" s="25" t="n">
        <x:f>IF(AND(K188,J188&gt;='Selection Rules'!$B$6),1,0)</x:f>
        <x:v>0</x:v>
      </x:c>
      <x:c r="M188" s="25" t="n">
        <x:f>IF(AND(K188,J188&gt;='Selection Rules'!$B$7,J188&lt;'Selection Rules'!$B$6),1,0)</x:f>
        <x:v>0</x:v>
      </x:c>
    </x:row>
    <x:row r="189" ht="18" customHeight="1">
      <x:c r="A189" s="25" t="str">
        <x:v>EEZ_662</x:v>
      </x:c>
      <x:c r="B189" s="25" t="str">
        <x:v>Saint Lucia</x:v>
      </x:c>
      <x:c r="C189" s="25" t="str">
        <x:v>LME_012</x:v>
      </x:c>
      <x:c r="D189" s="25" t="str">
        <x:v>Caribbean Sea</x:v>
      </x:c>
      <x:c r="E189" s="32" t="n">
        <x:v>15535.13994713363</x:v>
      </x:c>
      <x:c r="F189" s="32" t="n">
        <x:v>3262576.84767364</x:v>
      </x:c>
      <x:c r="G189" s="32" t="n">
        <x:v>15513.995011977093</x:v>
      </x:c>
      <x:c r="H189" s="34" t="n">
        <x:f>G189/E189</x:f>
        <x:v>0.9986388963840369</x:v>
      </x:c>
      <x:c r="I189" s="34" t="n">
        <x:f>G189/F189</x:f>
        <x:v>0.004755135506781779</x:v>
      </x:c>
      <x:c r="J189" s="33" t="n">
        <x:f>E189/F189</x:f>
        <x:v>0.004761616560299833</x:v>
      </x:c>
      <x:c r="K189" s="25" t="b">
        <x:f>I189&gt;='Selection Rules'!$B$5</x:f>
        <x:v>0</x:v>
      </x:c>
      <x:c r="L189" s="25" t="n">
        <x:f>IF(AND(K189,J189&gt;='Selection Rules'!$B$6),1,0)</x:f>
        <x:v>0</x:v>
      </x:c>
      <x:c r="M189" s="25" t="n">
        <x:f>IF(AND(K189,J189&gt;='Selection Rules'!$B$7,J189&lt;'Selection Rules'!$B$6),1,0)</x:f>
        <x:v>0</x:v>
      </x:c>
    </x:row>
    <x:row r="190" ht="18" customHeight="1">
      <x:c r="A190" s="25" t="str">
        <x:v>EEZ_666</x:v>
      </x:c>
      <x:c r="B190" s="25" t="str">
        <x:v>Saint Pierre &amp; Miquelon (France)</x:v>
      </x:c>
      <x:c r="C190" s="25" t="str">
        <x:v>LME_008</x:v>
      </x:c>
      <x:c r="D190" s="25" t="str">
        <x:v>Scotian Shelf</x:v>
      </x:c>
      <x:c r="E190" s="32" t="n">
        <x:v>12355.915938262144</x:v>
      </x:c>
      <x:c r="F190" s="32" t="n">
        <x:v>284630.68453900755</x:v>
      </x:c>
      <x:c r="G190" s="32" t="n">
        <x:v>1145.4375854942816</x:v>
      </x:c>
      <x:c r="H190" s="34" t="n">
        <x:f>G190/E190</x:f>
        <x:v>0.09270357545467302</x:v>
      </x:c>
      <x:c r="I190" s="34" t="n">
        <x:f>G190/F190</x:f>
        <x:v>0.004024294103601131</x:v>
      </x:c>
      <x:c r="J190" s="33" t="n">
        <x:f>E190/F190</x:f>
        <x:v>0.043410344033265366</x:v>
      </x:c>
      <x:c r="K190" s="25" t="b">
        <x:f>I190&gt;='Selection Rules'!$B$5</x:f>
        <x:v>0</x:v>
      </x:c>
      <x:c r="L190" s="25" t="n">
        <x:f>IF(AND(K190,J190&gt;='Selection Rules'!$B$6),1,0)</x:f>
        <x:v>0</x:v>
      </x:c>
      <x:c r="M190" s="25" t="n">
        <x:f>IF(AND(K190,J190&gt;='Selection Rules'!$B$7,J190&lt;'Selection Rules'!$B$6),1,0)</x:f>
        <x:v>0</x:v>
      </x:c>
    </x:row>
    <x:row r="191" ht="18" customHeight="1">
      <x:c r="A191" s="25" t="str">
        <x:v>EEZ_666</x:v>
      </x:c>
      <x:c r="B191" s="25" t="str">
        <x:v>Saint Pierre &amp; Miquelon (France)</x:v>
      </x:c>
      <x:c r="C191" s="25" t="str">
        <x:v>LME_009</x:v>
      </x:c>
      <x:c r="D191" s="25" t="str">
        <x:v>Newfoundland-Labrador Shelf</x:v>
      </x:c>
      <x:c r="E191" s="32" t="n">
        <x:v>12355.915938262144</x:v>
      </x:c>
      <x:c r="F191" s="32" t="n">
        <x:v>909411.1731080089</x:v>
      </x:c>
      <x:c r="G191" s="32" t="n">
        <x:v>8642.517163240775</x:v>
      </x:c>
      <x:c r="H191" s="34" t="n">
        <x:f>G191/E191</x:f>
        <x:v>0.6994639010514621</x:v>
      </x:c>
      <x:c r="I191" s="34" t="n">
        <x:f>G191/F191</x:f>
        <x:v>0.00950342091543043</x:v>
      </x:c>
      <x:c r="J191" s="33" t="n">
        <x:f>E191/F191</x:f>
        <x:v>0.013586721060435725</x:v>
      </x:c>
      <x:c r="K191" s="25" t="b">
        <x:f>I191&gt;='Selection Rules'!$B$5</x:f>
        <x:v>0</x:v>
      </x:c>
      <x:c r="L191" s="25" t="n">
        <x:f>IF(AND(K191,J191&gt;='Selection Rules'!$B$6),1,0)</x:f>
        <x:v>0</x:v>
      </x:c>
      <x:c r="M191" s="25" t="n">
        <x:f>IF(AND(K191,J191&gt;='Selection Rules'!$B$7,J191&lt;'Selection Rules'!$B$6),1,0)</x:f>
        <x:v>0</x:v>
      </x:c>
    </x:row>
    <x:row r="192" ht="18" customHeight="1">
      <x:c r="A192" s="25" t="str">
        <x:v>EEZ_670</x:v>
      </x:c>
      <x:c r="B192" s="25" t="str">
        <x:v>Saint Vincent &amp; the Grenadines</x:v>
      </x:c>
      <x:c r="C192" s="25" t="str">
        <x:v>LME_012</x:v>
      </x:c>
      <x:c r="D192" s="25" t="str">
        <x:v>Caribbean Sea</x:v>
      </x:c>
      <x:c r="E192" s="32" t="n">
        <x:v>36476.16388194662</x:v>
      </x:c>
      <x:c r="F192" s="32" t="n">
        <x:v>3262576.84767364</x:v>
      </x:c>
      <x:c r="G192" s="32" t="n">
        <x:v>36467.35634718342</x:v>
      </x:c>
      <x:c r="H192" s="34" t="n">
        <x:f>G192/E192</x:f>
        <x:v>0.9997585399936325</x:v>
      </x:c>
      <x:c r="I192" s="34" t="n">
        <x:f>G192/F192</x:f>
        <x:v>0.011177470462706875</x:v>
      </x:c>
      <x:c r="J192" s="33" t="n">
        <x:f>E192/F192</x:f>
        <x:v>0.011180170026632696</x:v>
      </x:c>
      <x:c r="K192" s="25" t="b">
        <x:f>I192&gt;='Selection Rules'!$B$5</x:f>
        <x:v>0</x:v>
      </x:c>
      <x:c r="L192" s="25" t="n">
        <x:f>IF(AND(K192,J192&gt;='Selection Rules'!$B$6),1,0)</x:f>
        <x:v>0</x:v>
      </x:c>
      <x:c r="M192" s="25" t="n">
        <x:f>IF(AND(K192,J192&gt;='Selection Rules'!$B$7,J192&lt;'Selection Rules'!$B$6),1,0)</x:f>
        <x:v>0</x:v>
      </x:c>
    </x:row>
    <x:row r="193" ht="18" customHeight="1">
      <x:c r="A193" s="25" t="str">
        <x:v>EEZ_678</x:v>
      </x:c>
      <x:c r="B193" s="25" t="str">
        <x:v>Sao Tome &amp; Principe</x:v>
      </x:c>
      <x:c r="C193" s="25" t="str">
        <x:v>LME_028</x:v>
      </x:c>
      <x:c r="D193" s="25" t="str">
        <x:v>Guinea Current</x:v>
      </x:c>
      <x:c r="E193" s="32" t="n">
        <x:v>165124.14631917796</x:v>
      </x:c>
      <x:c r="F193" s="32" t="n">
        <x:v>1918690.5432233866</x:v>
      </x:c>
      <x:c r="G193" s="32" t="n">
        <x:v>133704.177135771</x:v>
      </x:c>
      <x:c r="H193" s="34" t="n">
        <x:f>G193/E193</x:f>
        <x:v>0.8097191120511624</x:v>
      </x:c>
      <x:c r="I193" s="34" t="n">
        <x:f>G193/F193</x:f>
        <x:v>0.06968511811766628</x:v>
      </x:c>
      <x:c r="J193" s="33" t="n">
        <x:f>E193/F193</x:f>
        <x:v>0.08606085379551126</x:v>
      </x:c>
      <x:c r="K193" s="25" t="b">
        <x:f>I193&gt;='Selection Rules'!$B$5</x:f>
        <x:v>0</x:v>
      </x:c>
      <x:c r="L193" s="25" t="n">
        <x:f>IF(AND(K193,J193&gt;='Selection Rules'!$B$6),1,0)</x:f>
        <x:v>0</x:v>
      </x:c>
      <x:c r="M193" s="25" t="n">
        <x:f>IF(AND(K193,J193&gt;='Selection Rules'!$B$7,J193&lt;'Selection Rules'!$B$6),1,0)</x:f>
        <x:v>0</x:v>
      </x:c>
    </x:row>
    <x:row r="194" ht="18" customHeight="1">
      <x:c r="A194" s="25" t="str">
        <x:v>EEZ_683</x:v>
      </x:c>
      <x:c r="B194" s="25" t="str">
        <x:v>Saudi Arabia (Red Sea)</x:v>
      </x:c>
      <x:c r="C194" s="25" t="str">
        <x:v>LME_033</x:v>
      </x:c>
      <x:c r="D194" s="25" t="str">
        <x:v>Red Sea</x:v>
      </x:c>
      <x:c r="E194" s="32" t="n">
        <x:v>190695.09681524482</x:v>
      </x:c>
      <x:c r="F194" s="32" t="n">
        <x:v>460970.08083065716</x:v>
      </x:c>
      <x:c r="G194" s="32" t="n">
        <x:v>189200.42139404238</x:v>
      </x:c>
      <x:c r="H194" s="34" t="n">
        <x:f>G194/E194</x:f>
        <x:v>0.9921619619687938</x:v>
      </x:c>
      <x:c r="I194" s="34" t="n">
        <x:f>G194/F194</x:f>
        <x:v>0.41043969936857444</x:v>
      </x:c>
      <x:c r="J194" s="33" t="n">
        <x:f>E194/F194</x:f>
        <x:v>0.41368215583887086</x:v>
      </x:c>
      <x:c r="K194" s="25" t="b">
        <x:f>I194&gt;='Selection Rules'!$B$5</x:f>
        <x:v>0</x:v>
      </x:c>
      <x:c r="L194" s="25" t="n">
        <x:f>IF(AND(K194,J194&gt;='Selection Rules'!$B$6),1,0)</x:f>
        <x:v>0</x:v>
      </x:c>
      <x:c r="M194" s="25" t="n">
        <x:f>IF(AND(K194,J194&gt;='Selection Rules'!$B$7,J194&lt;'Selection Rules'!$B$6),1,0)</x:f>
        <x:v>0</x:v>
      </x:c>
    </x:row>
    <x:row r="195" ht="18" customHeight="1">
      <x:c r="A195" s="25" t="str">
        <x:v>EEZ_684</x:v>
      </x:c>
      <x:c r="B195" s="25" t="str">
        <x:v>Saudi Arabia (Persian Gulf)</x:v>
      </x:c>
      <x:c r="C195" s="25" t="str">
        <x:v>LME_032</x:v>
      </x:c>
      <x:c r="D195" s="25" t="str">
        <x:v>Arabian Sea</x:v>
      </x:c>
      <x:c r="E195" s="32" t="n">
        <x:v>33918.15090195135</x:v>
      </x:c>
      <x:c r="F195" s="32" t="n">
        <x:v>3931902.1047515674</x:v>
      </x:c>
      <x:c r="G195" s="32" t="n">
        <x:v>33662.359168130795</x:v>
      </x:c>
      <x:c r="H195" s="34" t="n">
        <x:f>G195/E195</x:f>
        <x:v>0.99245855900105</x:v>
      </x:c>
      <x:c r="I195" s="34" t="n">
        <x:f>G195/F195</x:f>
        <x:v>0.008561342137041256</x:v>
      </x:c>
      <x:c r="J195" s="33" t="n">
        <x:f>E195/F195</x:f>
        <x:v>0.008626397605617505</x:v>
      </x:c>
      <x:c r="K195" s="25" t="b">
        <x:f>I195&gt;='Selection Rules'!$B$5</x:f>
        <x:v>0</x:v>
      </x:c>
      <x:c r="L195" s="25" t="n">
        <x:f>IF(AND(K195,J195&gt;='Selection Rules'!$B$6),1,0)</x:f>
        <x:v>0</x:v>
      </x:c>
      <x:c r="M195" s="25" t="n">
        <x:f>IF(AND(K195,J195&gt;='Selection Rules'!$B$7,J195&lt;'Selection Rules'!$B$6),1,0)</x:f>
        <x:v>0</x:v>
      </x:c>
    </x:row>
    <x:row r="196" ht="18" customHeight="1">
      <x:c r="A196" s="25" t="str">
        <x:v>EEZ_686</x:v>
      </x:c>
      <x:c r="B196" s="25" t="str">
        <x:v>Senegal</x:v>
      </x:c>
      <x:c r="C196" s="25" t="str">
        <x:v>LME_027</x:v>
      </x:c>
      <x:c r="D196" s="25" t="str">
        <x:v>Canary Current</x:v>
      </x:c>
      <x:c r="E196" s="32" t="n">
        <x:v>186974.17661936954</x:v>
      </x:c>
      <x:c r="F196" s="32" t="n">
        <x:v>1123299.8683993171</x:v>
      </x:c>
      <x:c r="G196" s="32" t="n">
        <x:v>139436.9222781755</x:v>
      </x:c>
      <x:c r="H196" s="34" t="n">
        <x:f>G196/E196</x:f>
        <x:v>0.7457549742926938</x:v>
      </x:c>
      <x:c r="I196" s="34" t="n">
        <x:f>G196/F196</x:f>
        <x:v>0.12413152195670664</x:v>
      </x:c>
      <x:c r="J196" s="33" t="n">
        <x:f>E196/F196</x:f>
        <x:v>0.16645081325061</x:v>
      </x:c>
      <x:c r="K196" s="25" t="b">
        <x:f>I196&gt;='Selection Rules'!$B$5</x:f>
        <x:v>0</x:v>
      </x:c>
      <x:c r="L196" s="25" t="n">
        <x:f>IF(AND(K196,J196&gt;='Selection Rules'!$B$6),1,0)</x:f>
        <x:v>0</x:v>
      </x:c>
      <x:c r="M196" s="25" t="n">
        <x:f>IF(AND(K196,J196&gt;='Selection Rules'!$B$7,J196&lt;'Selection Rules'!$B$6),1,0)</x:f>
        <x:v>0</x:v>
      </x:c>
    </x:row>
    <x:row r="197" ht="18" customHeight="1">
      <x:c r="A197" s="25" t="str">
        <x:v>EEZ_686</x:v>
      </x:c>
      <x:c r="B197" s="25" t="str">
        <x:v>Senegal</x:v>
      </x:c>
      <x:c r="C197" s="25" t="str">
        <x:v>LME_028</x:v>
      </x:c>
      <x:c r="D197" s="25" t="str">
        <x:v>Guinea Current</x:v>
      </x:c>
      <x:c r="E197" s="32" t="n">
        <x:v>186974.17661936954</x:v>
      </x:c>
      <x:c r="F197" s="32" t="n">
        <x:v>1918690.5432233866</x:v>
      </x:c>
      <x:c r="G197" s="32" t="n">
        <x:v>36339.771050793264</x:v>
      </x:c>
      <x:c r="H197" s="34" t="n">
        <x:f>G197/E197</x:f>
        <x:v>0.1943571658281535</x:v>
      </x:c>
      <x:c r="I197" s="34" t="n">
        <x:f>G197/F197</x:f>
        <x:v>0.01893988125346295</x:v>
      </x:c>
      <x:c r="J197" s="33" t="n">
        <x:f>E197/F197</x:f>
        <x:v>0.0974488446194425</x:v>
      </x:c>
      <x:c r="K197" s="25" t="b">
        <x:f>I197&gt;='Selection Rules'!$B$5</x:f>
        <x:v>0</x:v>
      </x:c>
      <x:c r="L197" s="25" t="n">
        <x:f>IF(AND(K197,J197&gt;='Selection Rules'!$B$6),1,0)</x:f>
        <x:v>0</x:v>
      </x:c>
      <x:c r="M197" s="25" t="n">
        <x:f>IF(AND(K197,J197&gt;='Selection Rules'!$B$7,J197&lt;'Selection Rules'!$B$6),1,0)</x:f>
        <x:v>0</x:v>
      </x:c>
    </x:row>
    <x:row r="198" ht="18" customHeight="1">
      <x:c r="A198" s="25" t="str">
        <x:v>EEZ_690</x:v>
      </x:c>
      <x:c r="B198" s="25" t="str">
        <x:v>Seychelles</x:v>
      </x:c>
      <x:c r="C198" s="25" t="str">
        <x:v>LME_030</x:v>
      </x:c>
      <x:c r="D198" s="25" t="str">
        <x:v>Agulhas Current</x:v>
      </x:c>
      <x:c r="E198" s="32" t="n">
        <x:v>1335619.808491177</x:v>
      </x:c>
      <x:c r="F198" s="32" t="n">
        <x:v>2626846.36963807</x:v>
      </x:c>
      <x:c r="G198" s="32" t="n">
        <x:v>34081.298615085914</x:v>
      </x:c>
      <x:c r="H198" s="34" t="n">
        <x:f>G198/E198</x:f>
        <x:v>0.025517215601636573</x:v>
      </x:c>
      <x:c r="I198" s="34" t="n">
        <x:f>G198/F198</x:f>
        <x:v>0.012974226056387789</x:v>
      </x:c>
      <x:c r="J198" s="33" t="n">
        <x:f>E198/F198</x:f>
        <x:v>0.5084499131463102</x:v>
      </x:c>
      <x:c r="K198" s="25" t="b">
        <x:f>I198&gt;='Selection Rules'!$B$5</x:f>
        <x:v>0</x:v>
      </x:c>
      <x:c r="L198" s="25" t="n">
        <x:f>IF(AND(K198,J198&gt;='Selection Rules'!$B$6),1,0)</x:f>
        <x:v>0</x:v>
      </x:c>
      <x:c r="M198" s="25" t="n">
        <x:f>IF(AND(K198,J198&gt;='Selection Rules'!$B$7,J198&lt;'Selection Rules'!$B$6),1,0)</x:f>
        <x:v>0</x:v>
      </x:c>
    </x:row>
    <x:row r="199" ht="18" customHeight="1">
      <x:c r="A199" s="25" t="str">
        <x:v>EEZ_690</x:v>
      </x:c>
      <x:c r="B199" s="25" t="str">
        <x:v>Seychelles</x:v>
      </x:c>
      <x:c r="C199" s="25" t="str">
        <x:v>LME_031</x:v>
      </x:c>
      <x:c r="D199" s="25" t="str">
        <x:v>Somali Coastal Current</x:v>
      </x:c>
      <x:c r="E199" s="32" t="n">
        <x:v>1335619.808491177</x:v>
      </x:c>
      <x:c r="F199" s="32" t="n">
        <x:v>840641.0911217374</x:v>
      </x:c>
      <x:c r="G199" s="32" t="n">
        <x:v>11897.665350776086</x:v>
      </x:c>
      <x:c r="H199" s="34" t="n">
        <x:f>G199/E199</x:f>
        <x:v>0.008907973118650166</x:v>
      </x:c>
      <x:c r="I199" s="34" t="n">
        <x:f>G199/F199</x:f>
        <x:v>0.014153085634798128</x:v>
      </x:c>
      <x:c r="J199" s="33" t="n">
        <x:f>E199/F199</x:f>
        <x:v>1.5888109950810854</x:v>
      </x:c>
      <x:c r="K199" s="25" t="b">
        <x:f>I199&gt;='Selection Rules'!$B$5</x:f>
        <x:v>0</x:v>
      </x:c>
      <x:c r="L199" s="25" t="n">
        <x:f>IF(AND(K199,J199&gt;='Selection Rules'!$B$6),1,0)</x:f>
        <x:v>0</x:v>
      </x:c>
      <x:c r="M199" s="25" t="n">
        <x:f>IF(AND(K199,J199&gt;='Selection Rules'!$B$7,J199&lt;'Selection Rules'!$B$6),1,0)</x:f>
        <x:v>0</x:v>
      </x:c>
    </x:row>
    <x:row r="200" ht="18" customHeight="1">
      <x:c r="A200" s="25" t="str">
        <x:v>EEZ_694</x:v>
      </x:c>
      <x:c r="B200" s="25" t="str">
        <x:v>Sierra Leone</x:v>
      </x:c>
      <x:c r="C200" s="25" t="str">
        <x:v>LME_028</x:v>
      </x:c>
      <x:c r="D200" s="25" t="str">
        <x:v>Guinea Current</x:v>
      </x:c>
      <x:c r="E200" s="32" t="n">
        <x:v>159258.87998501462</x:v>
      </x:c>
      <x:c r="F200" s="32" t="n">
        <x:v>1918690.5432233866</x:v>
      </x:c>
      <x:c r="G200" s="32" t="n">
        <x:v>159003.43552213832</x:v>
      </x:c>
      <x:c r="H200" s="34" t="n">
        <x:f>G200/E200</x:f>
        <x:v>0.9983960425760853</x:v>
      </x:c>
      <x:c r="I200" s="34" t="n">
        <x:f>G200/F200</x:f>
        <x:v>0.08287080794957881</x:v>
      </x:c>
      <x:c r="J200" s="33" t="n">
        <x:f>E200/F200</x:f>
        <x:v>0.08300394273975042</x:v>
      </x:c>
      <x:c r="K200" s="25" t="b">
        <x:f>I200&gt;='Selection Rules'!$B$5</x:f>
        <x:v>0</x:v>
      </x:c>
      <x:c r="L200" s="25" t="n">
        <x:f>IF(AND(K200,J200&gt;='Selection Rules'!$B$6),1,0)</x:f>
        <x:v>0</x:v>
      </x:c>
      <x:c r="M200" s="25" t="n">
        <x:f>IF(AND(K200,J200&gt;='Selection Rules'!$B$7,J200&lt;'Selection Rules'!$B$6),1,0)</x:f>
        <x:v>0</x:v>
      </x:c>
    </x:row>
    <x:row r="201" ht="18" customHeight="1">
      <x:c r="A201" s="25" t="str">
        <x:v>EEZ_702</x:v>
      </x:c>
      <x:c r="B201" s="25" t="str">
        <x:v>Singapore</x:v>
      </x:c>
      <x:c r="C201" s="25" t="str">
        <x:v>LME_036</x:v>
      </x:c>
      <x:c r="D201" s="25" t="str">
        <x:v>South China Sea</x:v>
      </x:c>
      <x:c r="E201" s="32" t="n">
        <x:v>918.0786211586919</x:v>
      </x:c>
      <x:c r="F201" s="32" t="n">
        <x:v>3164824.0447257855</x:v>
      </x:c>
      <x:c r="G201" s="32" t="n">
        <x:v>873.132884928453</x:v>
      </x:c>
      <x:c r="H201" s="34" t="n">
        <x:f>G201/E201</x:f>
        <x:v>0.9510436958291071</x:v>
      </x:c>
      <x:c r="I201" s="34" t="n">
        <x:f>G201/F201</x:f>
        <x:v>0.00027588670731427825</x:v>
      </x:c>
      <x:c r="J201" s="33" t="n">
        <x:f>E201/F201</x:f>
        <x:v>0.000290088361369941</x:v>
      </x:c>
      <x:c r="K201" s="25" t="b">
        <x:f>I201&gt;='Selection Rules'!$B$5</x:f>
        <x:v>0</x:v>
      </x:c>
      <x:c r="L201" s="25" t="n">
        <x:f>IF(AND(K201,J201&gt;='Selection Rules'!$B$6),1,0)</x:f>
        <x:v>0</x:v>
      </x:c>
      <x:c r="M201" s="25" t="n">
        <x:f>IF(AND(K201,J201&gt;='Selection Rules'!$B$7,J201&lt;'Selection Rules'!$B$6),1,0)</x:f>
        <x:v>0</x:v>
      </x:c>
    </x:row>
    <x:row r="202" ht="18" customHeight="1">
      <x:c r="A202" s="25" t="str">
        <x:v>EEZ_704</x:v>
      </x:c>
      <x:c r="B202" s="25" t="str">
        <x:v>Viet Nam</x:v>
      </x:c>
      <x:c r="C202" s="25" t="str">
        <x:v>LME_035</x:v>
      </x:c>
      <x:c r="D202" s="25" t="str">
        <x:v>Gulf of Thailand</x:v>
      </x:c>
      <x:c r="E202" s="32" t="n">
        <x:v>1441177.9830089605</x:v>
      </x:c>
      <x:c r="F202" s="32" t="n">
        <x:v>387309.2560812747</x:v>
      </x:c>
      <x:c r="G202" s="32" t="n">
        <x:v>70460.64050845121</x:v>
      </x:c>
      <x:c r="H202" s="34" t="n">
        <x:f>G202/E202</x:f>
        <x:v>0.04889100537141159</x:v>
      </x:c>
      <x:c r="I202" s="34" t="n">
        <x:f>G202/F202</x:f>
        <x:v>0.18192346142552665</x:v>
      </x:c>
      <x:c r="J202" s="33" t="n">
        <x:f>E202/F202</x:f>
        <x:v>3.721000622578814</x:v>
      </x:c>
      <x:c r="K202" s="25" t="b">
        <x:f>I202&gt;='Selection Rules'!$B$5</x:f>
        <x:v>0</x:v>
      </x:c>
      <x:c r="L202" s="25" t="n">
        <x:f>IF(AND(K202,J202&gt;='Selection Rules'!$B$6),1,0)</x:f>
        <x:v>0</x:v>
      </x:c>
      <x:c r="M202" s="25" t="n">
        <x:f>IF(AND(K202,J202&gt;='Selection Rules'!$B$7,J202&lt;'Selection Rules'!$B$6),1,0)</x:f>
        <x:v>0</x:v>
      </x:c>
    </x:row>
    <x:row r="203" ht="18" customHeight="1">
      <x:c r="A203" s="25" t="str">
        <x:v>EEZ_704</x:v>
      </x:c>
      <x:c r="B203" s="25" t="str">
        <x:v>Viet Nam</x:v>
      </x:c>
      <x:c r="C203" s="25" t="str">
        <x:v>LME_036</x:v>
      </x:c>
      <x:c r="D203" s="25" t="str">
        <x:v>South China Sea</x:v>
      </x:c>
      <x:c r="E203" s="32" t="n">
        <x:v>1441177.9830089605</x:v>
      </x:c>
      <x:c r="F203" s="32" t="n">
        <x:v>3164824.0447257855</x:v>
      </x:c>
      <x:c r="G203" s="32" t="n">
        <x:v>1369068.571198716</x:v>
      </x:c>
      <x:c r="H203" s="34" t="n">
        <x:f>G203/E203</x:f>
        <x:v>0.9499649504361072</x:v>
      </x:c>
      <x:c r="I203" s="34" t="n">
        <x:f>G203/F203</x:f>
        <x:v>0.43258915878128645</x:v>
      </x:c>
      <x:c r="J203" s="33" t="n">
        <x:f>E203/F203</x:f>
        <x:v>0.45537380993129767</x:v>
      </x:c>
      <x:c r="K203" s="25" t="b">
        <x:f>I203&gt;='Selection Rules'!$B$5</x:f>
        <x:v>0</x:v>
      </x:c>
      <x:c r="L203" s="25" t="n">
        <x:f>IF(AND(K203,J203&gt;='Selection Rules'!$B$6),1,0)</x:f>
        <x:v>0</x:v>
      </x:c>
      <x:c r="M203" s="25" t="n">
        <x:f>IF(AND(K203,J203&gt;='Selection Rules'!$B$7,J203&lt;'Selection Rules'!$B$6),1,0)</x:f>
        <x:v>0</x:v>
      </x:c>
    </x:row>
    <x:row r="204" ht="18" customHeight="1">
      <x:c r="A204" s="25" t="str">
        <x:v>EEZ_705</x:v>
      </x:c>
      <x:c r="B204" s="25" t="str">
        <x:v>Slovenia</x:v>
      </x:c>
      <x:c r="C204" s="25" t="str">
        <x:v>LME_026</x:v>
      </x:c>
      <x:c r="D204" s="25" t="str">
        <x:v>Mediterranean Sea</x:v>
      </x:c>
      <x:c r="E204" s="32" t="n">
        <x:v>141.2641568861313</x:v>
      </x:c>
      <x:c r="F204" s="32" t="n">
        <x:v>2527801.206996367</x:v>
      </x:c>
      <x:c r="G204" s="32" t="n">
        <x:v>130.87159987862412</x:v>
      </x:c>
      <x:c r="H204" s="34" t="n">
        <x:f>G204/E204</x:f>
        <x:v>0.9264317486007133</x:v>
      </x:c>
      <x:c r="I204" s="34" t="n">
        <x:f>G204/F204</x:f>
        <x:v>0.00005177290030418607</x:v>
      </x:c>
      <x:c r="J204" s="33" t="n">
        <x:f>E204/F204</x:f>
        <x:v>0.00005588420343148223</x:v>
      </x:c>
      <x:c r="K204" s="25" t="b">
        <x:f>I204&gt;='Selection Rules'!$B$5</x:f>
        <x:v>0</x:v>
      </x:c>
      <x:c r="L204" s="25" t="n">
        <x:f>IF(AND(K204,J204&gt;='Selection Rules'!$B$6),1,0)</x:f>
        <x:v>0</x:v>
      </x:c>
      <x:c r="M204" s="25" t="n">
        <x:f>IF(AND(K204,J204&gt;='Selection Rules'!$B$7,J204&lt;'Selection Rules'!$B$6),1,0)</x:f>
        <x:v>0</x:v>
      </x:c>
    </x:row>
    <x:row r="205" ht="18" customHeight="1">
      <x:c r="A205" s="25" t="str">
        <x:v>EEZ_706</x:v>
      </x:c>
      <x:c r="B205" s="25" t="str">
        <x:v>Somalia</x:v>
      </x:c>
      <x:c r="C205" s="25" t="str">
        <x:v>LME_031</x:v>
      </x:c>
      <x:c r="D205" s="25" t="str">
        <x:v>Somali Coastal Current</x:v>
      </x:c>
      <x:c r="E205" s="32" t="n">
        <x:v>830125.0726553557</x:v>
      </x:c>
      <x:c r="F205" s="32" t="n">
        <x:v>840641.0911217374</x:v>
      </x:c>
      <x:c r="G205" s="32" t="n">
        <x:v>461291.6058760339</x:v>
      </x:c>
      <x:c r="H205" s="34" t="n">
        <x:f>G205/E205</x:f>
        <x:v>0.5556892823396855</x:v>
      </x:c>
      <x:c r="I205" s="34" t="n">
        <x:f>G205/F205</x:f>
        <x:v>0.5487378748765351</x:v>
      </x:c>
      <x:c r="J205" s="33" t="n">
        <x:f>E205/F205</x:f>
        <x:v>0.9874904777110654</x:v>
      </x:c>
      <x:c r="K205" s="25" t="b">
        <x:f>I205&gt;='Selection Rules'!$B$5</x:f>
        <x:v>0</x:v>
      </x:c>
      <x:c r="L205" s="25" t="n">
        <x:f>IF(AND(K205,J205&gt;='Selection Rules'!$B$6),1,0)</x:f>
        <x:v>0</x:v>
      </x:c>
      <x:c r="M205" s="25" t="n">
        <x:f>IF(AND(K205,J205&gt;='Selection Rules'!$B$7,J205&lt;'Selection Rules'!$B$6),1,0)</x:f>
        <x:v>0</x:v>
      </x:c>
    </x:row>
    <x:row r="206" ht="18" customHeight="1">
      <x:c r="A206" s="25" t="str">
        <x:v>EEZ_706</x:v>
      </x:c>
      <x:c r="B206" s="25" t="str">
        <x:v>Somalia</x:v>
      </x:c>
      <x:c r="C206" s="25" t="str">
        <x:v>LME_032</x:v>
      </x:c>
      <x:c r="D206" s="25" t="str">
        <x:v>Arabian Sea</x:v>
      </x:c>
      <x:c r="E206" s="32" t="n">
        <x:v>830125.0726553557</x:v>
      </x:c>
      <x:c r="F206" s="32" t="n">
        <x:v>3931902.1047515674</x:v>
      </x:c>
      <x:c r="G206" s="32" t="n">
        <x:v>136096.71592203673</x:v>
      </x:c>
      <x:c r="H206" s="34" t="n">
        <x:f>G206/E206</x:f>
        <x:v>0.16394724169298788</x:v>
      </x:c>
      <x:c r="I206" s="34" t="n">
        <x:f>G206/F206</x:f>
        <x:v>0.03461345483590972</x:v>
      </x:c>
      <x:c r="J206" s="33" t="n">
        <x:f>E206/F206</x:f>
        <x:v>0.21112556989966214</x:v>
      </x:c>
      <x:c r="K206" s="25" t="b">
        <x:f>I206&gt;='Selection Rules'!$B$5</x:f>
        <x:v>0</x:v>
      </x:c>
      <x:c r="L206" s="25" t="n">
        <x:f>IF(AND(K206,J206&gt;='Selection Rules'!$B$6),1,0)</x:f>
        <x:v>0</x:v>
      </x:c>
      <x:c r="M206" s="25" t="n">
        <x:f>IF(AND(K206,J206&gt;='Selection Rules'!$B$7,J206&lt;'Selection Rules'!$B$6),1,0)</x:f>
        <x:v>0</x:v>
      </x:c>
    </x:row>
    <x:row r="207" ht="18" customHeight="1">
      <x:c r="A207" s="25" t="str">
        <x:v>EEZ_723</x:v>
      </x:c>
      <x:c r="B207" s="25" t="str">
        <x:v>Canary Isl. (Spain)</x:v>
      </x:c>
      <x:c r="C207" s="25" t="str">
        <x:v>LME_027</x:v>
      </x:c>
      <x:c r="D207" s="25" t="str">
        <x:v>Canary Current</x:v>
      </x:c>
      <x:c r="E207" s="32" t="n">
        <x:v>444385.76547107263</x:v>
      </x:c>
      <x:c r="F207" s="32" t="n">
        <x:v>1123299.8683993171</x:v>
      </x:c>
      <x:c r="G207" s="32" t="n">
        <x:v>195165.65759026544</x:v>
      </x:c>
      <x:c r="H207" s="34" t="n">
        <x:f>G207/E207</x:f>
        <x:v>0.4391807135932435</x:v>
      </x:c>
      <x:c r="I207" s="34" t="n">
        <x:f>G207/F207</x:f>
        <x:v>0.17374315005339858</x:v>
      </x:c>
      <x:c r="J207" s="33" t="n">
        <x:f>E207/F207</x:f>
        <x:v>0.3956074223566986</x:v>
      </x:c>
      <x:c r="K207" s="25" t="b">
        <x:f>I207&gt;='Selection Rules'!$B$5</x:f>
        <x:v>0</x:v>
      </x:c>
      <x:c r="L207" s="25" t="n">
        <x:f>IF(AND(K207,J207&gt;='Selection Rules'!$B$6),1,0)</x:f>
        <x:v>0</x:v>
      </x:c>
      <x:c r="M207" s="25" t="n">
        <x:f>IF(AND(K207,J207&gt;='Selection Rules'!$B$7,J207&lt;'Selection Rules'!$B$6),1,0)</x:f>
        <x:v>0</x:v>
      </x:c>
    </x:row>
    <x:row r="208" ht="18" customHeight="1">
      <x:c r="A208" s="25" t="str">
        <x:v>EEZ_736</x:v>
      </x:c>
      <x:c r="B208" s="25" t="str">
        <x:v>Sudan</x:v>
      </x:c>
      <x:c r="C208" s="25" t="str">
        <x:v>LME_033</x:v>
      </x:c>
      <x:c r="D208" s="25" t="str">
        <x:v>Red Sea</x:v>
      </x:c>
      <x:c r="E208" s="32" t="n">
        <x:v>82536.08825331145</x:v>
      </x:c>
      <x:c r="F208" s="32" t="n">
        <x:v>460970.08083065716</x:v>
      </x:c>
      <x:c r="G208" s="32" t="n">
        <x:v>82166.0301915836</x:v>
      </x:c>
      <x:c r="H208" s="34" t="n">
        <x:f>G208/E208</x:f>
        <x:v>0.9955164090089647</x:v>
      </x:c>
      <x:c r="I208" s="34" t="n">
        <x:f>G208/F208</x:f>
        <x:v>0.17824590707388724</x:v>
      </x:c>
      <x:c r="J208" s="33" t="n">
        <x:f>E208/F208</x:f>
        <x:v>0.17904868815907396</x:v>
      </x:c>
      <x:c r="K208" s="25" t="b">
        <x:f>I208&gt;='Selection Rules'!$B$5</x:f>
        <x:v>0</x:v>
      </x:c>
      <x:c r="L208" s="25" t="n">
        <x:f>IF(AND(K208,J208&gt;='Selection Rules'!$B$6),1,0)</x:f>
        <x:v>0</x:v>
      </x:c>
      <x:c r="M208" s="25" t="n">
        <x:f>IF(AND(K208,J208&gt;='Selection Rules'!$B$7,J208&lt;'Selection Rules'!$B$6),1,0)</x:f>
        <x:v>0</x:v>
      </x:c>
    </x:row>
    <x:row r="209" ht="18" customHeight="1">
      <x:c r="A209" s="25" t="str">
        <x:v>EEZ_740</x:v>
      </x:c>
      <x:c r="B209" s="25" t="str">
        <x:v>Suriname</x:v>
      </x:c>
      <x:c r="C209" s="25" t="str">
        <x:v>LME_017</x:v>
      </x:c>
      <x:c r="D209" s="25" t="str">
        <x:v>North Brazil Shelf</x:v>
      </x:c>
      <x:c r="E209" s="32" t="n">
        <x:v>132271.09117608043</x:v>
      </x:c>
      <x:c r="F209" s="32" t="n">
        <x:v>1054826.778598855</x:v>
      </x:c>
      <x:c r="G209" s="32" t="n">
        <x:v>132185.354954109</x:v>
      </x:c>
      <x:c r="H209" s="34" t="n">
        <x:f>G209/E209</x:f>
        <x:v>0.9993518143593653</x:v>
      </x:c>
      <x:c r="I209" s="34" t="n">
        <x:f>G209/F209</x:f>
        <x:v>0.12531475085387303</x:v>
      </x:c>
      <x:c r="J209" s="33" t="n">
        <x:f>E209/F209</x:f>
        <x:v>0.1253960307604045</x:v>
      </x:c>
      <x:c r="K209" s="25" t="b">
        <x:f>I209&gt;='Selection Rules'!$B$5</x:f>
        <x:v>0</x:v>
      </x:c>
      <x:c r="L209" s="25" t="n">
        <x:f>IF(AND(K209,J209&gt;='Selection Rules'!$B$6),1,0)</x:f>
        <x:v>0</x:v>
      </x:c>
      <x:c r="M209" s="25" t="n">
        <x:f>IF(AND(K209,J209&gt;='Selection Rules'!$B$7,J209&lt;'Selection Rules'!$B$6),1,0)</x:f>
        <x:v>0</x:v>
      </x:c>
    </x:row>
    <x:row r="210" ht="18" customHeight="1">
      <x:c r="A210" s="25" t="str">
        <x:v>EEZ_744</x:v>
      </x:c>
      <x:c r="B210" s="25" t="str">
        <x:v>Svalbard Isl. (Norway)</x:v>
      </x:c>
      <x:c r="C210" s="25" t="str">
        <x:v>LME_019</x:v>
      </x:c>
      <x:c r="D210" s="25" t="str">
        <x:v>Greenland Sea</x:v>
      </x:c>
      <x:c r="E210" s="32" t="n">
        <x:v>796172.247227691</x:v>
      </x:c>
      <x:c r="F210" s="32" t="n">
        <x:v>1208537.6311131367</x:v>
      </x:c>
      <x:c r="G210" s="32" t="n">
        <x:v>122396.1980226226</x:v>
      </x:c>
      <x:c r="H210" s="34" t="n">
        <x:f>G210/E210</x:f>
        <x:v>0.15373080190726554</x:v>
      </x:c>
      <x:c r="I210" s="34" t="n">
        <x:f>G210/F210</x:f>
        <x:v>0.10127628207148855</x:v>
      </x:c>
      <x:c r="J210" s="33" t="n">
        <x:f>E210/F210</x:f>
        <x:v>0.6587897858789618</x:v>
      </x:c>
      <x:c r="K210" s="25" t="b">
        <x:f>I210&gt;='Selection Rules'!$B$5</x:f>
        <x:v>0</x:v>
      </x:c>
      <x:c r="L210" s="25" t="n">
        <x:f>IF(AND(K210,J210&gt;='Selection Rules'!$B$6),1,0)</x:f>
        <x:v>0</x:v>
      </x:c>
      <x:c r="M210" s="25" t="n">
        <x:f>IF(AND(K210,J210&gt;='Selection Rules'!$B$7,J210&lt;'Selection Rules'!$B$6),1,0)</x:f>
        <x:v>0</x:v>
      </x:c>
    </x:row>
    <x:row r="211" ht="18" customHeight="1">
      <x:c r="A211" s="25" t="str">
        <x:v>EEZ_744</x:v>
      </x:c>
      <x:c r="B211" s="25" t="str">
        <x:v>Svalbard Isl. (Norway)</x:v>
      </x:c>
      <x:c r="C211" s="25" t="str">
        <x:v>LME_020</x:v>
      </x:c>
      <x:c r="D211" s="25" t="str">
        <x:v>Barents Sea</x:v>
      </x:c>
      <x:c r="E211" s="32" t="n">
        <x:v>796172.247227691</x:v>
      </x:c>
      <x:c r="F211" s="32" t="n">
        <x:v>2001350.9660391603</x:v>
      </x:c>
      <x:c r="G211" s="32" t="n">
        <x:v>540573.9845256736</x:v>
      </x:c>
      <x:c r="H211" s="34" t="n">
        <x:f>G211/E211</x:f>
        <x:v>0.6789661237351308</x:v>
      </x:c>
      <x:c r="I211" s="34" t="n">
        <x:f>G211/F211</x:f>
        <x:v>0.2701045412317233</x:v>
      </x:c>
      <x:c r="J211" s="33" t="n">
        <x:f>E211/F211</x:f>
        <x:v>0.39781740471206906</x:v>
      </x:c>
      <x:c r="K211" s="25" t="b">
        <x:f>I211&gt;='Selection Rules'!$B$5</x:f>
        <x:v>0</x:v>
      </x:c>
      <x:c r="L211" s="25" t="n">
        <x:f>IF(AND(K211,J211&gt;='Selection Rules'!$B$6),1,0)</x:f>
        <x:v>0</x:v>
      </x:c>
      <x:c r="M211" s="25" t="n">
        <x:f>IF(AND(K211,J211&gt;='Selection Rules'!$B$7,J211&lt;'Selection Rules'!$B$6),1,0)</x:f>
        <x:v>0</x:v>
      </x:c>
    </x:row>
    <x:row r="212" ht="18" customHeight="1">
      <x:c r="A212" s="25" t="str">
        <x:v>EEZ_744</x:v>
      </x:c>
      <x:c r="B212" s="25" t="str">
        <x:v>Svalbard Isl. (Norway)</x:v>
      </x:c>
      <x:c r="C212" s="25" t="str">
        <x:v>LME_021</x:v>
      </x:c>
      <x:c r="D212" s="25" t="str">
        <x:v>Norwegian Sea</x:v>
      </x:c>
      <x:c r="E212" s="32" t="n">
        <x:v>796172.247227691</x:v>
      </x:c>
      <x:c r="F212" s="32" t="n">
        <x:v>1060118.1873210357</x:v>
      </x:c>
      <x:c r="G212" s="32" t="n">
        <x:v>86855.87393420583</x:v>
      </x:c>
      <x:c r="H212" s="34" t="n">
        <x:f>G212/E212</x:f>
        <x:v>0.10909181302995934</x:v>
      </x:c>
      <x:c r="I212" s="34" t="n">
        <x:f>G212/F212</x:f>
        <x:v>0.08193036868247149</x:v>
      </x:c>
      <x:c r="J212" s="33" t="n">
        <x:f>E212/F212</x:f>
        <x:v>0.7510221565386521</x:v>
      </x:c>
      <x:c r="K212" s="25" t="b">
        <x:f>I212&gt;='Selection Rules'!$B$5</x:f>
        <x:v>0</x:v>
      </x:c>
      <x:c r="L212" s="25" t="n">
        <x:f>IF(AND(K212,J212&gt;='Selection Rules'!$B$6),1,0)</x:f>
        <x:v>0</x:v>
      </x:c>
      <x:c r="M212" s="25" t="n">
        <x:f>IF(AND(K212,J212&gt;='Selection Rules'!$B$7,J212&lt;'Selection Rules'!$B$6),1,0)</x:f>
        <x:v>0</x:v>
      </x:c>
    </x:row>
    <x:row r="213" ht="18" customHeight="1">
      <x:c r="A213" s="25" t="str">
        <x:v>EEZ_744</x:v>
      </x:c>
      <x:c r="B213" s="25" t="str">
        <x:v>Svalbard Isl. (Norway)</x:v>
      </x:c>
      <x:c r="C213" s="25" t="str">
        <x:v>LME_064</x:v>
      </x:c>
      <x:c r="D213" s="25" t="str">
        <x:v>Central Arctic Ocean</x:v>
      </x:c>
      <x:c r="E213" s="32" t="n">
        <x:v>796172.247227691</x:v>
      </x:c>
      <x:c r="F213" s="32" t="n">
        <x:v>3337137.3298031692</x:v>
      </x:c>
      <x:c r="G213" s="32" t="n">
        <x:v>43533.66996337229</x:v>
      </x:c>
      <x:c r="H213" s="34" t="n">
        <x:f>G213/E213</x:f>
        <x:v>0.05467870817522033</x:v>
      </x:c>
      <x:c r="I213" s="34" t="n">
        <x:f>G213/F213</x:f>
        <x:v>0.013045213804833134</x:v>
      </x:c>
      <x:c r="J213" s="33" t="n">
        <x:f>E213/F213</x:f>
        <x:v>0.23857940760102037</x:v>
      </x:c>
      <x:c r="K213" s="25" t="b">
        <x:f>I213&gt;='Selection Rules'!$B$5</x:f>
        <x:v>0</x:v>
      </x:c>
      <x:c r="L213" s="25" t="n">
        <x:f>IF(AND(K213,J213&gt;='Selection Rules'!$B$6),1,0)</x:f>
        <x:v>0</x:v>
      </x:c>
      <x:c r="M213" s="25" t="n">
        <x:f>IF(AND(K213,J213&gt;='Selection Rules'!$B$7,J213&lt;'Selection Rules'!$B$6),1,0)</x:f>
        <x:v>0</x:v>
      </x:c>
    </x:row>
    <x:row r="214" ht="18" customHeight="1">
      <x:c r="A214" s="25" t="str">
        <x:v>EEZ_760</x:v>
      </x:c>
      <x:c r="B214" s="25" t="str">
        <x:v>Syria</x:v>
      </x:c>
      <x:c r="C214" s="25" t="str">
        <x:v>LME_026</x:v>
      </x:c>
      <x:c r="D214" s="25" t="str">
        <x:v>Mediterranean Sea</x:v>
      </x:c>
      <x:c r="E214" s="32" t="n">
        <x:v>10199.927667190606</x:v>
      </x:c>
      <x:c r="F214" s="32" t="n">
        <x:v>2527801.206996367</x:v>
      </x:c>
      <x:c r="G214" s="32" t="n">
        <x:v>10178.199242432818</x:v>
      </x:c>
      <x:c r="H214" s="34" t="n">
        <x:f>G214/E214</x:f>
        <x:v>0.9978697471720628</x:v>
      </x:c>
      <x:c r="I214" s="34" t="n">
        <x:f>G214/F214</x:f>
        <x:v>0.004026503039187546</x:v>
      </x:c>
      <x:c r="J214" s="33" t="n">
        <x:f>E214/F214</x:f>
        <x:v>0.004035098819859558</x:v>
      </x:c>
      <x:c r="K214" s="25" t="b">
        <x:f>I214&gt;='Selection Rules'!$B$5</x:f>
        <x:v>0</x:v>
      </x:c>
      <x:c r="L214" s="25" t="n">
        <x:f>IF(AND(K214,J214&gt;='Selection Rules'!$B$6),1,0)</x:f>
        <x:v>0</x:v>
      </x:c>
      <x:c r="M214" s="25" t="n">
        <x:f>IF(AND(K214,J214&gt;='Selection Rules'!$B$7,J214&lt;'Selection Rules'!$B$6),1,0)</x:f>
        <x:v>0</x:v>
      </x:c>
    </x:row>
    <x:row r="215" ht="18" customHeight="1">
      <x:c r="A215" s="25" t="str">
        <x:v>EEZ_768</x:v>
      </x:c>
      <x:c r="B215" s="25" t="str">
        <x:v>Togo</x:v>
      </x:c>
      <x:c r="C215" s="25" t="str">
        <x:v>LME_028</x:v>
      </x:c>
      <x:c r="D215" s="25" t="str">
        <x:v>Guinea Current</x:v>
      </x:c>
      <x:c r="E215" s="32" t="n">
        <x:v>15382.732008285593</x:v>
      </x:c>
      <x:c r="F215" s="32" t="n">
        <x:v>1918690.5432233866</x:v>
      </x:c>
      <x:c r="G215" s="32" t="n">
        <x:v>15330.053025460255</x:v>
      </x:c>
      <x:c r="H215" s="34" t="n">
        <x:f>G215/E215</x:f>
        <x:v>0.9965754468844049</x:v>
      </x:c>
      <x:c r="I215" s="34" t="n">
        <x:f>G215/F215</x:f>
        <x:v>0.00798985176614561</x:v>
      </x:c>
      <x:c r="J215" s="33" t="n">
        <x:f>E215/F215</x:f>
        <x:v>0.0080173074613912</x:v>
      </x:c>
      <x:c r="K215" s="25" t="b">
        <x:f>I215&gt;='Selection Rules'!$B$5</x:f>
        <x:v>0</x:v>
      </x:c>
      <x:c r="L215" s="25" t="n">
        <x:f>IF(AND(K215,J215&gt;='Selection Rules'!$B$6),1,0)</x:f>
        <x:v>0</x:v>
      </x:c>
      <x:c r="M215" s="25" t="n">
        <x:f>IF(AND(K215,J215&gt;='Selection Rules'!$B$7,J215&lt;'Selection Rules'!$B$6),1,0)</x:f>
        <x:v>0</x:v>
      </x:c>
    </x:row>
    <x:row r="216" ht="18" customHeight="1">
      <x:c r="A216" s="25" t="str">
        <x:v>EEZ_780</x:v>
      </x:c>
      <x:c r="B216" s="25" t="str">
        <x:v>Trinidad &amp; Tobago</x:v>
      </x:c>
      <x:c r="C216" s="25" t="str">
        <x:v>LME_012</x:v>
      </x:c>
      <x:c r="D216" s="25" t="str">
        <x:v>Caribbean Sea</x:v>
      </x:c>
      <x:c r="E216" s="32" t="n">
        <x:v>80157.81000611359</x:v>
      </x:c>
      <x:c r="F216" s="32" t="n">
        <x:v>3262576.84767364</x:v>
      </x:c>
      <x:c r="G216" s="32" t="n">
        <x:v>30013.1320619093</x:v>
      </x:c>
      <x:c r="H216" s="34" t="n">
        <x:f>G216/E216</x:f>
        <x:v>0.3744255495455803</x:v>
      </x:c>
      <x:c r="I216" s="34" t="n">
        <x:f>G216/F216</x:f>
        <x:v>0.00919921076596555</x:v>
      </x:c>
      <x:c r="J216" s="33" t="n">
        <x:f>E216/F216</x:f>
        <x:v>0.0245688649642903</x:v>
      </x:c>
      <x:c r="K216" s="25" t="b">
        <x:f>I216&gt;='Selection Rules'!$B$5</x:f>
        <x:v>0</x:v>
      </x:c>
      <x:c r="L216" s="25" t="n">
        <x:f>IF(AND(K216,J216&gt;='Selection Rules'!$B$6),1,0)</x:f>
        <x:v>0</x:v>
      </x:c>
      <x:c r="M216" s="25" t="n">
        <x:f>IF(AND(K216,J216&gt;='Selection Rules'!$B$7,J216&lt;'Selection Rules'!$B$6),1,0)</x:f>
        <x:v>0</x:v>
      </x:c>
    </x:row>
    <x:row r="217" ht="18" customHeight="1">
      <x:c r="A217" s="25" t="str">
        <x:v>EEZ_780</x:v>
      </x:c>
      <x:c r="B217" s="25" t="str">
        <x:v>Trinidad &amp; Tobago</x:v>
      </x:c>
      <x:c r="C217" s="25" t="str">
        <x:v>LME_017</x:v>
      </x:c>
      <x:c r="D217" s="25" t="str">
        <x:v>North Brazil Shelf</x:v>
      </x:c>
      <x:c r="E217" s="32" t="n">
        <x:v>80157.81000611359</x:v>
      </x:c>
      <x:c r="F217" s="32" t="n">
        <x:v>1054826.778598855</x:v>
      </x:c>
      <x:c r="G217" s="32" t="n">
        <x:v>49992.513611446746</x:v>
      </x:c>
      <x:c r="H217" s="34" t="n">
        <x:f>G217/E217</x:f>
        <x:v>0.6236761409478857</x:v>
      </x:c>
      <x:c r="I217" s="34" t="n">
        <x:f>G217/F217</x:f>
        <x:v>0.04739405049789567</x:v>
      </x:c>
      <x:c r="J217" s="33" t="n">
        <x:f>E217/F217</x:f>
        <x:v>0.07599144393412975</x:v>
      </x:c>
      <x:c r="K217" s="25" t="b">
        <x:f>I217&gt;='Selection Rules'!$B$5</x:f>
        <x:v>0</x:v>
      </x:c>
      <x:c r="L217" s="25" t="n">
        <x:f>IF(AND(K217,J217&gt;='Selection Rules'!$B$6),1,0)</x:f>
        <x:v>0</x:v>
      </x:c>
      <x:c r="M217" s="25" t="n">
        <x:f>IF(AND(K217,J217&gt;='Selection Rules'!$B$7,J217&lt;'Selection Rules'!$B$6),1,0)</x:f>
        <x:v>0</x:v>
      </x:c>
    </x:row>
    <x:row r="218" ht="18" customHeight="1">
      <x:c r="A218" s="25" t="str">
        <x:v>EEZ_784</x:v>
      </x:c>
      <x:c r="B218" s="25" t="str">
        <x:v>United Arab Emirates</x:v>
      </x:c>
      <x:c r="C218" s="25" t="str">
        <x:v>LME_032</x:v>
      </x:c>
      <x:c r="D218" s="25" t="str">
        <x:v>Arabian Sea</x:v>
      </x:c>
      <x:c r="E218" s="32" t="n">
        <x:v>54527.02628499514</x:v>
      </x:c>
      <x:c r="F218" s="32" t="n">
        <x:v>3931902.1047515674</x:v>
      </x:c>
      <x:c r="G218" s="32" t="n">
        <x:v>54307.742396964386</x:v>
      </x:c>
      <x:c r="H218" s="34" t="n">
        <x:f>G218/E218</x:f>
        <x:v>0.9959784366951422</x:v>
      </x:c>
      <x:c r="I218" s="34" t="n">
        <x:f>G218/F218</x:f>
        <x:v>0.013812078976059796</x:v>
      </x:c>
      <x:c r="J218" s="33" t="n">
        <x:f>E218/F218</x:f>
        <x:v>0.013867849410365818</x:v>
      </x:c>
      <x:c r="K218" s="25" t="b">
        <x:f>I218&gt;='Selection Rules'!$B$5</x:f>
        <x:v>0</x:v>
      </x:c>
      <x:c r="L218" s="25" t="n">
        <x:f>IF(AND(K218,J218&gt;='Selection Rules'!$B$6),1,0)</x:f>
        <x:v>0</x:v>
      </x:c>
      <x:c r="M218" s="25" t="n">
        <x:f>IF(AND(K218,J218&gt;='Selection Rules'!$B$7,J218&lt;'Selection Rules'!$B$6),1,0)</x:f>
        <x:v>0</x:v>
      </x:c>
    </x:row>
    <x:row r="219" ht="18" customHeight="1">
      <x:c r="A219" s="25" t="str">
        <x:v>EEZ_788</x:v>
      </x:c>
      <x:c r="B219" s="25" t="str">
        <x:v>Tunisia</x:v>
      </x:c>
      <x:c r="C219" s="25" t="str">
        <x:v>LME_026</x:v>
      </x:c>
      <x:c r="D219" s="25" t="str">
        <x:v>Mediterranean Sea</x:v>
      </x:c>
      <x:c r="E219" s="32" t="n">
        <x:v>99812.4684066199</x:v>
      </x:c>
      <x:c r="F219" s="32" t="n">
        <x:v>2527801.206996367</x:v>
      </x:c>
      <x:c r="G219" s="32" t="n">
        <x:v>99298.69939485042</x:v>
      </x:c>
      <x:c r="H219" s="34" t="n">
        <x:f>G219/E219</x:f>
        <x:v>0.994852656987938</x:v>
      </x:c>
      <x:c r="I219" s="34" t="n">
        <x:f>G219/F219</x:f>
        <x:v>0.03928263785934379</x:v>
      </x:c>
      <x:c r="J219" s="33" t="n">
        <x:f>E219/F219</x:f>
        <x:v>0.03948588525488561</x:v>
      </x:c>
      <x:c r="K219" s="25" t="b">
        <x:f>I219&gt;='Selection Rules'!$B$5</x:f>
        <x:v>0</x:v>
      </x:c>
      <x:c r="L219" s="25" t="n">
        <x:f>IF(AND(K219,J219&gt;='Selection Rules'!$B$6),1,0)</x:f>
        <x:v>0</x:v>
      </x:c>
      <x:c r="M219" s="25" t="n">
        <x:f>IF(AND(K219,J219&gt;='Selection Rules'!$B$7,J219&lt;'Selection Rules'!$B$6),1,0)</x:f>
        <x:v>0</x:v>
      </x:c>
    </x:row>
    <x:row r="220" ht="18" customHeight="1">
      <x:c r="A220" s="25" t="str">
        <x:v>EEZ_793</x:v>
      </x:c>
      <x:c r="B220" s="25" t="str">
        <x:v>Turkey (Mediterranean Sea)</x:v>
      </x:c>
      <x:c r="C220" s="25" t="str">
        <x:v>LME_026</x:v>
      </x:c>
      <x:c r="D220" s="25" t="str">
        <x:v>Mediterranean Sea</x:v>
      </x:c>
      <x:c r="E220" s="32" t="n">
        <x:v>78227.87379330207</x:v>
      </x:c>
      <x:c r="F220" s="32" t="n">
        <x:v>2527801.206996367</x:v>
      </x:c>
      <x:c r="G220" s="32" t="n">
        <x:v>76997.89342536991</x:v>
      </x:c>
      <x:c r="H220" s="34" t="n">
        <x:f>G220/E220</x:f>
        <x:v>0.9842769551530688</x:v>
      </x:c>
      <x:c r="I220" s="34" t="n">
        <x:f>G220/F220</x:f>
        <x:v>0.03046042276277803</x:v>
      </x:c>
      <x:c r="J220" s="33" t="n">
        <x:f>E220/F220</x:f>
        <x:v>0.03094700389286368</x:v>
      </x:c>
      <x:c r="K220" s="25" t="b">
        <x:f>I220&gt;='Selection Rules'!$B$5</x:f>
        <x:v>0</x:v>
      </x:c>
      <x:c r="L220" s="25" t="n">
        <x:f>IF(AND(K220,J220&gt;='Selection Rules'!$B$6),1,0)</x:f>
        <x:v>0</x:v>
      </x:c>
      <x:c r="M220" s="25" t="n">
        <x:f>IF(AND(K220,J220&gt;='Selection Rules'!$B$7,J220&lt;'Selection Rules'!$B$6),1,0)</x:f>
        <x:v>0</x:v>
      </x:c>
    </x:row>
    <x:row r="221" ht="18" customHeight="1">
      <x:c r="A221" s="25" t="str">
        <x:v>EEZ_794</x:v>
      </x:c>
      <x:c r="B221" s="25" t="str">
        <x:v>Turkey (Black Sea)</x:v>
      </x:c>
      <x:c r="C221" s="25" t="str">
        <x:v>LME_062</x:v>
      </x:c>
      <x:c r="D221" s="25" t="str">
        <x:v>Black Sea</x:v>
      </x:c>
      <x:c r="E221" s="32" t="n">
        <x:v>172202.93727420244</x:v>
      </x:c>
      <x:c r="F221" s="32" t="n">
        <x:v>462205.2642152028</x:v>
      </x:c>
      <x:c r="G221" s="32" t="n">
        <x:v>171678.45144792434</x:v>
      </x:c>
      <x:c r="H221" s="34" t="n">
        <x:f>G221/E221</x:f>
        <x:v>0.9969542573745827</x:v>
      </x:c>
      <x:c r="I221" s="34" t="n">
        <x:f>G221/F221</x:f>
        <x:v>0.37143335383560416</x:v>
      </x:c>
      <x:c r="J221" s="33" t="n">
        <x:f>E221/F221</x:f>
        <x:v>0.3725681003798017</x:v>
      </x:c>
      <x:c r="K221" s="25" t="b">
        <x:f>I221&gt;='Selection Rules'!$B$5</x:f>
        <x:v>0</x:v>
      </x:c>
      <x:c r="L221" s="25" t="n">
        <x:f>IF(AND(K221,J221&gt;='Selection Rules'!$B$6),1,0)</x:f>
        <x:v>0</x:v>
      </x:c>
      <x:c r="M221" s="25" t="n">
        <x:f>IF(AND(K221,J221&gt;='Selection Rules'!$B$7,J221&lt;'Selection Rules'!$B$6),1,0)</x:f>
        <x:v>0</x:v>
      </x:c>
    </x:row>
    <x:row r="222" ht="18" customHeight="1">
      <x:c r="A222" s="25" t="str">
        <x:v>EEZ_796</x:v>
      </x:c>
      <x:c r="B222" s="25" t="str">
        <x:v>Turks &amp; Caicos Isl. (UK)</x:v>
      </x:c>
      <x:c r="C222" s="25" t="str">
        <x:v>LME_012</x:v>
      </x:c>
      <x:c r="D222" s="25" t="str">
        <x:v>Caribbean Sea</x:v>
      </x:c>
      <x:c r="E222" s="32" t="n">
        <x:v>90662.8174518732</x:v>
      </x:c>
      <x:c r="F222" s="32" t="n">
        <x:v>3262576.84767364</x:v>
      </x:c>
      <x:c r="G222" s="32" t="n">
        <x:v>26333.622356713513</x:v>
      </x:c>
      <x:c r="H222" s="34" t="n">
        <x:f>G222/E222</x:f>
        <x:v>0.29045669544399794</x:v>
      </x:c>
      <x:c r="I222" s="34" t="n">
        <x:f>G222/F222</x:f>
        <x:v>0.008071418264213618</x:v>
      </x:c>
      <x:c r="J222" s="33" t="n">
        <x:f>E222/F222</x:f>
        <x:v>0.027788714775107824</x:v>
      </x:c>
      <x:c r="K222" s="25" t="b">
        <x:f>I222&gt;='Selection Rules'!$B$5</x:f>
        <x:v>0</x:v>
      </x:c>
      <x:c r="L222" s="25" t="n">
        <x:f>IF(AND(K222,J222&gt;='Selection Rules'!$B$6),1,0)</x:f>
        <x:v>0</x:v>
      </x:c>
      <x:c r="M222" s="25" t="n">
        <x:f>IF(AND(K222,J222&gt;='Selection Rules'!$B$7,J222&lt;'Selection Rules'!$B$6),1,0)</x:f>
        <x:v>0</x:v>
      </x:c>
    </x:row>
    <x:row r="223" ht="18" customHeight="1">
      <x:c r="A223" s="25" t="str">
        <x:v>EEZ_804</x:v>
      </x:c>
      <x:c r="B223" s="25" t="str">
        <x:v>Ukraine</x:v>
      </x:c>
      <x:c r="C223" s="25" t="str">
        <x:v>LME_062</x:v>
      </x:c>
      <x:c r="D223" s="25" t="str">
        <x:v>Black Sea</x:v>
      </x:c>
      <x:c r="E223" s="32" t="n">
        <x:v>133259.1941257995</x:v>
      </x:c>
      <x:c r="F223" s="32" t="n">
        <x:v>462205.2642152028</x:v>
      </x:c>
      <x:c r="G223" s="32" t="n">
        <x:v>132191.11642212712</x:v>
      </x:c>
      <x:c r="H223" s="34" t="n">
        <x:f>G223/E223</x:f>
        <x:v>0.9919849605073847</x:v>
      </x:c>
      <x:c r="I223" s="34" t="n">
        <x:f>G223/F223</x:f>
        <x:v>0.28600088890501885</x:v>
      </x:c>
      <x:c r="J223" s="33" t="n">
        <x:f>E223/F223</x:f>
        <x:v>0.2883117187167172</x:v>
      </x:c>
      <x:c r="K223" s="25" t="b">
        <x:f>I223&gt;='Selection Rules'!$B$5</x:f>
        <x:v>0</x:v>
      </x:c>
      <x:c r="L223" s="25" t="n">
        <x:f>IF(AND(K223,J223&gt;='Selection Rules'!$B$6),1,0)</x:f>
        <x:v>0</x:v>
      </x:c>
      <x:c r="M223" s="25" t="n">
        <x:f>IF(AND(K223,J223&gt;='Selection Rules'!$B$7,J223&lt;'Selection Rules'!$B$6),1,0)</x:f>
        <x:v>0</x:v>
      </x:c>
    </x:row>
    <x:row r="224" ht="18" customHeight="1">
      <x:c r="A224" s="25" t="str">
        <x:v>EEZ_826</x:v>
      </x:c>
      <x:c r="B224" s="25" t="str">
        <x:v>United Kingdom (UK)</x:v>
      </x:c>
      <x:c r="C224" s="25" t="str">
        <x:v>LME_021</x:v>
      </x:c>
      <x:c r="D224" s="25" t="str">
        <x:v>Norwegian Sea</x:v>
      </x:c>
      <x:c r="E224" s="32" t="n">
        <x:v>733380.363732427</x:v>
      </x:c>
      <x:c r="F224" s="32" t="n">
        <x:v>1060118.1873210357</x:v>
      </x:c>
      <x:c r="G224" s="32" t="n">
        <x:v>24483.822610909225</x:v>
      </x:c>
      <x:c r="H224" s="34" t="n">
        <x:f>G224/E224</x:f>
        <x:v>0.033384889781207884</x:v>
      </x:c>
      <x:c r="I224" s="34" t="n">
        <x:f>G224/F224</x:f>
        <x:v>0.023095370783875427</x:v>
      </x:c>
      <x:c r="J224" s="33" t="n">
        <x:f>E224/F224</x:f>
        <x:v>0.6917911347089618</x:v>
      </x:c>
      <x:c r="K224" s="25" t="b">
        <x:f>I224&gt;='Selection Rules'!$B$5</x:f>
        <x:v>0</x:v>
      </x:c>
      <x:c r="L224" s="25" t="n">
        <x:f>IF(AND(K224,J224&gt;='Selection Rules'!$B$6),1,0)</x:f>
        <x:v>0</x:v>
      </x:c>
      <x:c r="M224" s="25" t="n">
        <x:f>IF(AND(K224,J224&gt;='Selection Rules'!$B$7,J224&lt;'Selection Rules'!$B$6),1,0)</x:f>
        <x:v>0</x:v>
      </x:c>
    </x:row>
    <x:row r="225" ht="18" customHeight="1">
      <x:c r="A225" s="25" t="str">
        <x:v>EEZ_826</x:v>
      </x:c>
      <x:c r="B225" s="25" t="str">
        <x:v>United Kingdom (UK)</x:v>
      </x:c>
      <x:c r="C225" s="25" t="str">
        <x:v>LME_022</x:v>
      </x:c>
      <x:c r="D225" s="25" t="str">
        <x:v>North Sea</x:v>
      </x:c>
      <x:c r="E225" s="32" t="n">
        <x:v>733380.363732427</x:v>
      </x:c>
      <x:c r="F225" s="32" t="n">
        <x:v>696532.8905595425</x:v>
      </x:c>
      <x:c r="G225" s="32" t="n">
        <x:v>322065.0678567949</x:v>
      </x:c>
      <x:c r="H225" s="34" t="n">
        <x:f>G225/E225</x:f>
        <x:v>0.4391514741650487</x:v>
      </x:c>
      <x:c r="I225" s="34" t="n">
        <x:f>G225/F225</x:f>
        <x:v>0.46238314402938235</x:v>
      </x:c>
      <x:c r="J225" s="33" t="n">
        <x:f>E225/F225</x:f>
        <x:v>1.0529012680841017</x:v>
      </x:c>
      <x:c r="K225" s="25" t="b">
        <x:f>I225&gt;='Selection Rules'!$B$5</x:f>
        <x:v>0</x:v>
      </x:c>
      <x:c r="L225" s="25" t="n">
        <x:f>IF(AND(K225,J225&gt;='Selection Rules'!$B$6),1,0)</x:f>
        <x:v>0</x:v>
      </x:c>
      <x:c r="M225" s="25" t="n">
        <x:f>IF(AND(K225,J225&gt;='Selection Rules'!$B$7,J225&lt;'Selection Rules'!$B$6),1,0)</x:f>
        <x:v>0</x:v>
      </x:c>
    </x:row>
    <x:row r="226" ht="18" customHeight="1">
      <x:c r="A226" s="25" t="str">
        <x:v>EEZ_826</x:v>
      </x:c>
      <x:c r="B226" s="25" t="str">
        <x:v>United Kingdom (UK)</x:v>
      </x:c>
      <x:c r="C226" s="25" t="str">
        <x:v>LME_024</x:v>
      </x:c>
      <x:c r="D226" s="25" t="str">
        <x:v>Celtic-Biscay Shelf</x:v>
      </x:c>
      <x:c r="E226" s="32" t="n">
        <x:v>733380.363732427</x:v>
      </x:c>
      <x:c r="F226" s="32" t="n">
        <x:v>762660.9802682624</x:v>
      </x:c>
      <x:c r="G226" s="32" t="n">
        <x:v>241009.2655119023</x:v>
      </x:c>
      <x:c r="H226" s="34" t="n">
        <x:f>G226/E226</x:f>
        <x:v>0.32862792274028524</x:v>
      </x:c>
      <x:c r="I226" s="34" t="n">
        <x:f>G226/F226</x:f>
        <x:v>0.31601100849177893</x:v>
      </x:c>
      <x:c r="J226" s="33" t="n">
        <x:f>E226/F226</x:f>
        <x:v>0.9616072969597368</x:v>
      </x:c>
      <x:c r="K226" s="25" t="b">
        <x:f>I226&gt;='Selection Rules'!$B$5</x:f>
        <x:v>0</x:v>
      </x:c>
      <x:c r="L226" s="25" t="n">
        <x:f>IF(AND(K226,J226&gt;='Selection Rules'!$B$6),1,0)</x:f>
        <x:v>0</x:v>
      </x:c>
      <x:c r="M226" s="25" t="n">
        <x:f>IF(AND(K226,J226&gt;='Selection Rules'!$B$7,J226&lt;'Selection Rules'!$B$6),1,0)</x:f>
        <x:v>0</x:v>
      </x:c>
    </x:row>
    <x:row r="227" ht="18" customHeight="1">
      <x:c r="A227" s="25" t="str">
        <x:v>EEZ_826</x:v>
      </x:c>
      <x:c r="B227" s="25" t="str">
        <x:v>United Kingdom (UK)</x:v>
      </x:c>
      <x:c r="C227" s="25" t="str">
        <x:v>LME_060</x:v>
      </x:c>
      <x:c r="D227" s="25" t="str">
        <x:v>Faroe Plateau</x:v>
      </x:c>
      <x:c r="E227" s="32" t="n">
        <x:v>733380.363732427</x:v>
      </x:c>
      <x:c r="F227" s="32" t="n">
        <x:v>104186.75713574768</x:v>
      </x:c>
      <x:c r="G227" s="32" t="n">
        <x:v>2178.63535896948</x:v>
      </x:c>
      <x:c r="H227" s="34" t="n">
        <x:f>G227/E227</x:f>
        <x:v>0.002970675882132498</x:v>
      </x:c>
      <x:c r="I227" s="34" t="n">
        <x:f>G227/F227</x:f>
        <x:v>0.02091086639860456</x:v>
      </x:c>
      <x:c r="J227" s="33" t="n">
        <x:f>E227/F227</x:f>
        <x:v>7.039093872332415</x:v>
      </x:c>
      <x:c r="K227" s="25" t="b">
        <x:f>I227&gt;='Selection Rules'!$B$5</x:f>
        <x:v>0</x:v>
      </x:c>
      <x:c r="L227" s="25" t="n">
        <x:f>IF(AND(K227,J227&gt;='Selection Rules'!$B$6),1,0)</x:f>
        <x:v>0</x:v>
      </x:c>
      <x:c r="M227" s="25" t="n">
        <x:f>IF(AND(K227,J227&gt;='Selection Rules'!$B$7,J227&lt;'Selection Rules'!$B$6),1,0)</x:f>
        <x:v>0</x:v>
      </x:c>
    </x:row>
    <x:row r="228" ht="18" customHeight="1">
      <x:c r="A228" s="25" t="str">
        <x:v>EEZ_830</x:v>
      </x:c>
      <x:c r="B228" s="25" t="str">
        <x:v>Channel Isl. (UK)</x:v>
      </x:c>
      <x:c r="C228" s="25" t="str">
        <x:v>LME_024</x:v>
      </x:c>
      <x:c r="D228" s="25" t="str">
        <x:v>Celtic-Biscay Shelf</x:v>
      </x:c>
      <x:c r="E228" s="32" t="n">
        <x:v>8838.21532351992</x:v>
      </x:c>
      <x:c r="F228" s="32" t="n">
        <x:v>762660.9802682624</x:v>
      </x:c>
      <x:c r="G228" s="32" t="n">
        <x:v>8824.635813722593</x:v>
      </x:c>
      <x:c r="H228" s="34" t="n">
        <x:f>G228/E228</x:f>
        <x:v>0.9984635461685132</x:v>
      </x:c>
      <x:c r="I228" s="34" t="n">
        <x:f>G228/F228</x:f>
        <x:v>0.011570850013355302</x:v>
      </x:c>
      <x:c r="J228" s="33" t="n">
        <x:f>E228/F228</x:f>
        <x:v>0.01158865544741927</x:v>
      </x:c>
      <x:c r="K228" s="25" t="b">
        <x:f>I228&gt;='Selection Rules'!$B$5</x:f>
        <x:v>0</x:v>
      </x:c>
      <x:c r="L228" s="25" t="n">
        <x:f>IF(AND(K228,J228&gt;='Selection Rules'!$B$6),1,0)</x:f>
        <x:v>0</x:v>
      </x:c>
      <x:c r="M228" s="25" t="n">
        <x:f>IF(AND(K228,J228&gt;='Selection Rules'!$B$7,J228&lt;'Selection Rules'!$B$6),1,0)</x:f>
        <x:v>0</x:v>
      </x:c>
    </x:row>
    <x:row r="229" ht="18" customHeight="1">
      <x:c r="A229" s="25" t="str">
        <x:v>EEZ_834</x:v>
      </x:c>
      <x:c r="B229" s="25" t="str">
        <x:v>Tanzania</x:v>
      </x:c>
      <x:c r="C229" s="25" t="str">
        <x:v>LME_030</x:v>
      </x:c>
      <x:c r="D229" s="25" t="str">
        <x:v>Agulhas Current</x:v>
      </x:c>
      <x:c r="E229" s="32" t="n">
        <x:v>241354.63178333925</x:v>
      </x:c>
      <x:c r="F229" s="32" t="n">
        <x:v>2626846.36963807</x:v>
      </x:c>
      <x:c r="G229" s="32" t="n">
        <x:v>11881.466372702484</x:v>
      </x:c>
      <x:c r="H229" s="34" t="n">
        <x:f>G229/E229</x:f>
        <x:v>0.04922825091406704</x:v>
      </x:c>
      <x:c r="I229" s="34" t="n">
        <x:f>G229/F229</x:f>
        <x:v>0.004523091456749153</x:v>
      </x:c>
      <x:c r="J229" s="33" t="n">
        <x:f>E229/F229</x:f>
        <x:v>0.09187999518091093</x:v>
      </x:c>
      <x:c r="K229" s="25" t="b">
        <x:f>I229&gt;='Selection Rules'!$B$5</x:f>
        <x:v>0</x:v>
      </x:c>
      <x:c r="L229" s="25" t="n">
        <x:f>IF(AND(K229,J229&gt;='Selection Rules'!$B$6),1,0)</x:f>
        <x:v>0</x:v>
      </x:c>
      <x:c r="M229" s="25" t="n">
        <x:f>IF(AND(K229,J229&gt;='Selection Rules'!$B$7,J229&lt;'Selection Rules'!$B$6),1,0)</x:f>
        <x:v>0</x:v>
      </x:c>
    </x:row>
    <x:row r="230" ht="18" customHeight="1">
      <x:c r="A230" s="25" t="str">
        <x:v>EEZ_834</x:v>
      </x:c>
      <x:c r="B230" s="25" t="str">
        <x:v>Tanzania</x:v>
      </x:c>
      <x:c r="C230" s="25" t="str">
        <x:v>LME_031</x:v>
      </x:c>
      <x:c r="D230" s="25" t="str">
        <x:v>Somali Coastal Current</x:v>
      </x:c>
      <x:c r="E230" s="32" t="n">
        <x:v>241354.63178333925</x:v>
      </x:c>
      <x:c r="F230" s="32" t="n">
        <x:v>840641.0911217374</x:v>
      </x:c>
      <x:c r="G230" s="32" t="n">
        <x:v>228968.77756204281</x:v>
      </x:c>
      <x:c r="H230" s="34" t="n">
        <x:f>G230/E230</x:f>
        <x:v>0.9486819286218835</x:v>
      </x:c>
      <x:c r="I230" s="34" t="n">
        <x:f>G230/F230</x:f>
        <x:v>0.27237400120009686</x:v>
      </x:c>
      <x:c r="J230" s="33" t="n">
        <x:f>E230/F230</x:f>
        <x:v>0.28710782084335146</x:v>
      </x:c>
      <x:c r="K230" s="25" t="b">
        <x:f>I230&gt;='Selection Rules'!$B$5</x:f>
        <x:v>0</x:v>
      </x:c>
      <x:c r="L230" s="25" t="n">
        <x:f>IF(AND(K230,J230&gt;='Selection Rules'!$B$6),1,0)</x:f>
        <x:v>0</x:v>
      </x:c>
      <x:c r="M230" s="25" t="n">
        <x:f>IF(AND(K230,J230&gt;='Selection Rules'!$B$7,J230&lt;'Selection Rules'!$B$6),1,0)</x:f>
        <x:v>0</x:v>
      </x:c>
    </x:row>
    <x:row r="231" ht="18" customHeight="1">
      <x:c r="A231" s="25" t="str">
        <x:v>EEZ_842</x:v>
      </x:c>
      <x:c r="B231" s="25" t="str">
        <x:v>Hawaii Main Islands (USA)</x:v>
      </x:c>
      <x:c r="C231" s="25" t="str">
        <x:v>LME_010</x:v>
      </x:c>
      <x:c r="D231" s="25" t="str">
        <x:v>Insular Pacific-Hawaiian</x:v>
      </x:c>
      <x:c r="E231" s="32" t="n">
        <x:v>894144.120530003</x:v>
      </x:c>
      <x:c r="F231" s="32" t="n">
        <x:v>980512.2770259965</x:v>
      </x:c>
      <x:c r="G231" s="32" t="n">
        <x:v>324925.196543367</x:v>
      </x:c>
      <x:c r="H231" s="34" t="n">
        <x:f>G231/E231</x:f>
        <x:v>0.3633924208446038</x:v>
      </x:c>
      <x:c r="I231" s="34" t="n">
        <x:f>G231/F231</x:f>
        <x:v>0.33138309856649784</x:v>
      </x:c>
      <x:c r="J231" s="33" t="n">
        <x:f>E231/F231</x:f>
        <x:v>0.9119152727409413</x:v>
      </x:c>
      <x:c r="K231" s="25" t="b">
        <x:f>I231&gt;='Selection Rules'!$B$5</x:f>
        <x:v>0</x:v>
      </x:c>
      <x:c r="L231" s="25" t="n">
        <x:f>IF(AND(K231,J231&gt;='Selection Rules'!$B$6),1,0)</x:f>
        <x:v>0</x:v>
      </x:c>
      <x:c r="M231" s="25" t="n">
        <x:f>IF(AND(K231,J231&gt;='Selection Rules'!$B$7,J231&lt;'Selection Rules'!$B$6),1,0)</x:f>
        <x:v>0</x:v>
      </x:c>
    </x:row>
    <x:row r="232" ht="18" customHeight="1">
      <x:c r="A232" s="25" t="str">
        <x:v>EEZ_848</x:v>
      </x:c>
      <x:c r="B232" s="25" t="str">
        <x:v>USA (West Coast)</x:v>
      </x:c>
      <x:c r="C232" s="25" t="str">
        <x:v>LME_002</x:v>
      </x:c>
      <x:c r="D232" s="25" t="str">
        <x:v>Gulf of Alaska</x:v>
      </x:c>
      <x:c r="E232" s="32" t="n">
        <x:v>821802.5274343761</x:v>
      </x:c>
      <x:c r="F232" s="32" t="n">
        <x:v>1483052.121169453</x:v>
      </x:c>
      <x:c r="G232" s="32" t="n">
        <x:v>52702.14246811601</x:v>
      </x:c>
      <x:c r="H232" s="34" t="n">
        <x:f>G232/E232</x:f>
        <x:v>0.06412993475774442</x:v>
      </x:c>
      <x:c r="I232" s="34" t="n">
        <x:f>G232/F232</x:f>
        <x:v>0.035536271258327735</x:v>
      </x:c>
      <x:c r="J232" s="33" t="n">
        <x:f>E232/F232</x:f>
        <x:v>0.5541292283013951</x:v>
      </x:c>
      <x:c r="K232" s="25" t="b">
        <x:f>I232&gt;='Selection Rules'!$B$5</x:f>
        <x:v>0</x:v>
      </x:c>
      <x:c r="L232" s="25" t="n">
        <x:f>IF(AND(K232,J232&gt;='Selection Rules'!$B$6),1,0)</x:f>
        <x:v>0</x:v>
      </x:c>
      <x:c r="M232" s="25" t="n">
        <x:f>IF(AND(K232,J232&gt;='Selection Rules'!$B$7,J232&lt;'Selection Rules'!$B$6),1,0)</x:f>
        <x:v>0</x:v>
      </x:c>
    </x:row>
    <x:row r="233" ht="18" customHeight="1">
      <x:c r="A233" s="25" t="str">
        <x:v>EEZ_848</x:v>
      </x:c>
      <x:c r="B233" s="25" t="str">
        <x:v>USA (West Coast)</x:v>
      </x:c>
      <x:c r="C233" s="25" t="str">
        <x:v>LME_003</x:v>
      </x:c>
      <x:c r="D233" s="25" t="str">
        <x:v>California Current</x:v>
      </x:c>
      <x:c r="E233" s="32" t="n">
        <x:v>821802.5274343761</x:v>
      </x:c>
      <x:c r="F233" s="32" t="n">
        <x:v>2215007.371490185</x:v>
      </x:c>
      <x:c r="G233" s="32" t="n">
        <x:v>767197.177509624</x:v>
      </x:c>
      <x:c r="H233" s="34" t="n">
        <x:f>G233/E233</x:f>
        <x:v>0.9335541713467017</x:v>
      </x:c>
      <x:c r="I233" s="34" t="n">
        <x:f>G233/F233</x:f>
        <x:v>0.3463632615332917</x:v>
      </x:c>
      <x:c r="J233" s="33" t="n">
        <x:f>E233/F233</x:f>
        <x:v>0.3710157076730151</x:v>
      </x:c>
      <x:c r="K233" s="25" t="b">
        <x:f>I233&gt;='Selection Rules'!$B$5</x:f>
        <x:v>0</x:v>
      </x:c>
      <x:c r="L233" s="25" t="n">
        <x:f>IF(AND(K233,J233&gt;='Selection Rules'!$B$6),1,0)</x:f>
        <x:v>0</x:v>
      </x:c>
      <x:c r="M233" s="25" t="n">
        <x:f>IF(AND(K233,J233&gt;='Selection Rules'!$B$7,J233&lt;'Selection Rules'!$B$6),1,0)</x:f>
        <x:v>0</x:v>
      </x:c>
    </x:row>
    <x:row r="234" ht="18" customHeight="1">
      <x:c r="A234" s="25" t="str">
        <x:v>EEZ_850</x:v>
      </x:c>
      <x:c r="B234" s="25" t="str">
        <x:v>US Virgin Isl.</x:v>
      </x:c>
      <x:c r="C234" s="25" t="str">
        <x:v>LME_012</x:v>
      </x:c>
      <x:c r="D234" s="25" t="str">
        <x:v>Caribbean Sea</x:v>
      </x:c>
      <x:c r="E234" s="32" t="n">
        <x:v>38244.58997768487</x:v>
      </x:c>
      <x:c r="F234" s="32" t="n">
        <x:v>3262576.84767364</x:v>
      </x:c>
      <x:c r="G234" s="32" t="n">
        <x:v>34674.31397534621</x:v>
      </x:c>
      <x:c r="H234" s="34" t="n">
        <x:f>G234/E234</x:f>
        <x:v>0.9066462471052282</x:v>
      </x:c>
      <x:c r="I234" s="34" t="n">
        <x:f>G234/F234</x:f>
        <x:v>0.010627891876346303</x:v>
      </x:c>
      <x:c r="J234" s="33" t="n">
        <x:f>E234/F234</x:f>
        <x:v>0.011722203571987869</x:v>
      </x:c>
      <x:c r="K234" s="25" t="b">
        <x:f>I234&gt;='Selection Rules'!$B$5</x:f>
        <x:v>0</x:v>
      </x:c>
      <x:c r="L234" s="25" t="n">
        <x:f>IF(AND(K234,J234&gt;='Selection Rules'!$B$6),1,0)</x:f>
        <x:v>0</x:v>
      </x:c>
      <x:c r="M234" s="25" t="n">
        <x:f>IF(AND(K234,J234&gt;='Selection Rules'!$B$7,J234&lt;'Selection Rules'!$B$6),1,0)</x:f>
        <x:v>0</x:v>
      </x:c>
    </x:row>
    <x:row r="235" ht="18" customHeight="1">
      <x:c r="A235" s="25" t="str">
        <x:v>EEZ_851</x:v>
      </x:c>
      <x:c r="B235" s="25" t="str">
        <x:v>USA (East Coast)</x:v>
      </x:c>
      <x:c r="C235" s="25" t="str">
        <x:v>LME_005</x:v>
      </x:c>
      <x:c r="D235" s="25" t="str">
        <x:v>Gulf of Mexico</x:v>
      </x:c>
      <x:c r="E235" s="32" t="n">
        <x:v>926567.5169091584</x:v>
      </x:c>
      <x:c r="F235" s="32" t="n">
        <x:v>1532439.5578843302</x:v>
      </x:c>
      <x:c r="G235" s="32" t="n">
        <x:v>6783.226735869954</x:v>
      </x:c>
      <x:c r="H235" s="34" t="n">
        <x:f>G235/E235</x:f>
        <x:v>0.007320812150308727</x:v>
      </x:c>
      <x:c r="I235" s="34" t="n">
        <x:f>G235/F235</x:f>
        <x:v>0.0044264236726144065</x:v>
      </x:c>
      <x:c r="J235" s="33" t="n">
        <x:f>E235/F235</x:f>
        <x:v>0.6046356035003219</x:v>
      </x:c>
      <x:c r="K235" s="25" t="b">
        <x:f>I235&gt;='Selection Rules'!$B$5</x:f>
        <x:v>0</x:v>
      </x:c>
      <x:c r="L235" s="25" t="n">
        <x:f>IF(AND(K235,J235&gt;='Selection Rules'!$B$6),1,0)</x:f>
        <x:v>0</x:v>
      </x:c>
      <x:c r="M235" s="25" t="n">
        <x:f>IF(AND(K235,J235&gt;='Selection Rules'!$B$7,J235&lt;'Selection Rules'!$B$6),1,0)</x:f>
        <x:v>0</x:v>
      </x:c>
    </x:row>
    <x:row r="236" ht="18" customHeight="1">
      <x:c r="A236" s="25" t="str">
        <x:v>EEZ_851</x:v>
      </x:c>
      <x:c r="B236" s="25" t="str">
        <x:v>USA (East Coast)</x:v>
      </x:c>
      <x:c r="C236" s="25" t="str">
        <x:v>LME_006</x:v>
      </x:c>
      <x:c r="D236" s="25" t="str">
        <x:v>Southeast U.S. Continental Shelf</x:v>
      </x:c>
      <x:c r="E236" s="32" t="n">
        <x:v>926567.5169091584</x:v>
      </x:c>
      <x:c r="F236" s="32" t="n">
        <x:v>301674.42192889133</x:v>
      </x:c>
      <x:c r="G236" s="32" t="n">
        <x:v>254358.52486438802</x:v>
      </x:c>
      <x:c r="H236" s="34" t="n">
        <x:f>G236/E236</x:f>
        <x:v>0.2745169890186487</x:v>
      </x:c>
      <x:c r="I236" s="34" t="n">
        <x:f>G236/F236</x:f>
        <x:v>0.8431557545980604</x:v>
      </x:c>
      <x:c r="J236" s="33" t="n">
        <x:f>E236/F236</x:f>
        <x:v>3.0714155710806756</x:v>
      </x:c>
      <x:c r="K236" s="25" t="b">
        <x:f>I236&gt;='Selection Rules'!$B$5</x:f>
        <x:v>0</x:v>
      </x:c>
      <x:c r="L236" s="25" t="n">
        <x:f>IF(AND(K236,J236&gt;='Selection Rules'!$B$6),1,0)</x:f>
        <x:v>0</x:v>
      </x:c>
      <x:c r="M236" s="25" t="n">
        <x:f>IF(AND(K236,J236&gt;='Selection Rules'!$B$7,J236&lt;'Selection Rules'!$B$6),1,0)</x:f>
        <x:v>0</x:v>
      </x:c>
    </x:row>
    <x:row r="237" ht="18" customHeight="1">
      <x:c r="A237" s="25" t="str">
        <x:v>EEZ_851</x:v>
      </x:c>
      <x:c r="B237" s="25" t="str">
        <x:v>USA (East Coast)</x:v>
      </x:c>
      <x:c r="C237" s="25" t="str">
        <x:v>LME_007</x:v>
      </x:c>
      <x:c r="D237" s="25" t="str">
        <x:v>Northeast U.S. Continental Shelf</x:v>
      </x:c>
      <x:c r="E237" s="32" t="n">
        <x:v>926567.5169091584</x:v>
      </x:c>
      <x:c r="F237" s="32" t="n">
        <x:v>321935.25791646435</x:v>
      </x:c>
      <x:c r="G237" s="32" t="n">
        <x:v>262786.87623917876</x:v>
      </x:c>
      <x:c r="H237" s="34" t="n">
        <x:f>G237/E237</x:f>
        <x:v>0.28361330549961705</x:v>
      </x:c>
      <x:c r="I237" s="34" t="n">
        <x:f>G237/F237</x:f>
        <x:v>0.8162724329727395</x:v>
      </x:c>
      <x:c r="J237" s="33" t="n">
        <x:f>E237/F237</x:f>
        <x:v>2.8781175535286785</x:v>
      </x:c>
      <x:c r="K237" s="25" t="b">
        <x:f>I237&gt;='Selection Rules'!$B$5</x:f>
        <x:v>0</x:v>
      </x:c>
      <x:c r="L237" s="25" t="n">
        <x:f>IF(AND(K237,J237&gt;='Selection Rules'!$B$6),1,0)</x:f>
        <x:v>0</x:v>
      </x:c>
      <x:c r="M237" s="25" t="n">
        <x:f>IF(AND(K237,J237&gt;='Selection Rules'!$B$7,J237&lt;'Selection Rules'!$B$6),1,0)</x:f>
        <x:v>0</x:v>
      </x:c>
    </x:row>
    <x:row r="238" ht="18" customHeight="1">
      <x:c r="A238" s="25" t="str">
        <x:v>EEZ_851</x:v>
      </x:c>
      <x:c r="B238" s="25" t="str">
        <x:v>USA (East Coast)</x:v>
      </x:c>
      <x:c r="C238" s="25" t="str">
        <x:v>LME_012</x:v>
      </x:c>
      <x:c r="D238" s="25" t="str">
        <x:v>Caribbean Sea</x:v>
      </x:c>
      <x:c r="E238" s="32" t="n">
        <x:v>926567.5169091584</x:v>
      </x:c>
      <x:c r="F238" s="32" t="n">
        <x:v>3262576.84767364</x:v>
      </x:c>
      <x:c r="G238" s="32" t="n">
        <x:v>14551.817436876569</x:v>
      </x:c>
      <x:c r="H238" s="34" t="n">
        <x:f>G238/E238</x:f>
        <x:v>0.015705080494747413</x:v>
      </x:c>
      <x:c r="I238" s="34" t="n">
        <x:f>G238/F238</x:f>
        <x:v>0.004460222123887335</x:v>
      </x:c>
      <x:c r="J238" s="33" t="n">
        <x:f>E238/F238</x:f>
        <x:v>0.2839986796233908</x:v>
      </x:c>
      <x:c r="K238" s="25" t="b">
        <x:f>I238&gt;='Selection Rules'!$B$5</x:f>
        <x:v>0</x:v>
      </x:c>
      <x:c r="L238" s="25" t="n">
        <x:f>IF(AND(K238,J238&gt;='Selection Rules'!$B$6),1,0)</x:f>
        <x:v>0</x:v>
      </x:c>
      <x:c r="M238" s="25" t="n">
        <x:f>IF(AND(K238,J238&gt;='Selection Rules'!$B$7,J238&lt;'Selection Rules'!$B$6),1,0)</x:f>
        <x:v>0</x:v>
      </x:c>
    </x:row>
    <x:row r="239" ht="18" customHeight="1">
      <x:c r="A239" s="25" t="str">
        <x:v>EEZ_852</x:v>
      </x:c>
      <x:c r="B239" s="25" t="str">
        <x:v>USA (Gulf of Mexico)</x:v>
      </x:c>
      <x:c r="C239" s="25" t="str">
        <x:v>LME_005</x:v>
      </x:c>
      <x:c r="D239" s="25" t="str">
        <x:v>Gulf of Mexico</x:v>
      </x:c>
      <x:c r="E239" s="32" t="n">
        <x:v>695687.7909773169</x:v>
      </x:c>
      <x:c r="F239" s="32" t="n">
        <x:v>1532439.5578843302</x:v>
      </x:c>
      <x:c r="G239" s="32" t="n">
        <x:v>692146.8455944255</x:v>
      </x:c>
      <x:c r="H239" s="34" t="n">
        <x:f>G239/E239</x:f>
        <x:v>0.9949101516099383</x:v>
      </x:c>
      <x:c r="I239" s="34" t="n">
        <x:f>G239/F239</x:f>
        <x:v>0.4516633899414578</x:v>
      </x:c>
      <x:c r="J239" s="33" t="n">
        <x:f>E239/F239</x:f>
        <x:v>0.4539740490240125</x:v>
      </x:c>
      <x:c r="K239" s="25" t="b">
        <x:f>I239&gt;='Selection Rules'!$B$5</x:f>
        <x:v>0</x:v>
      </x:c>
      <x:c r="L239" s="25" t="n">
        <x:f>IF(AND(K239,J239&gt;='Selection Rules'!$B$6),1,0)</x:f>
        <x:v>0</x:v>
      </x:c>
      <x:c r="M239" s="25" t="n">
        <x:f>IF(AND(K239,J239&gt;='Selection Rules'!$B$7,J239&lt;'Selection Rules'!$B$6),1,0)</x:f>
        <x:v>0</x:v>
      </x:c>
    </x:row>
    <x:row r="240" ht="18" customHeight="1">
      <x:c r="A240" s="25" t="str">
        <x:v>EEZ_858</x:v>
      </x:c>
      <x:c r="B240" s="25" t="str">
        <x:v>Uruguay</x:v>
      </x:c>
      <x:c r="C240" s="25" t="str">
        <x:v>LME_014</x:v>
      </x:c>
      <x:c r="D240" s="25" t="str">
        <x:v>Patagonian Shelf</x:v>
      </x:c>
      <x:c r="E240" s="32" t="n">
        <x:v>162906.46029506036</x:v>
      </x:c>
      <x:c r="F240" s="32" t="n">
        <x:v>1170311.112854071</x:v>
      </x:c>
      <x:c r="G240" s="32" t="n">
        <x:v>110704.62386119505</x:v>
      </x:c>
      <x:c r="H240" s="34" t="n">
        <x:f>G240/E240</x:f>
        <x:v>0.6795594457131043</x:v>
      </x:c>
      <x:c r="I240" s="34" t="n">
        <x:f>G240/F240</x:f>
        <x:v>0.09459418324347664</x:v>
      </x:c>
      <x:c r="J240" s="33" t="n">
        <x:f>E240/F240</x:f>
        <x:v>0.13919927659045786</x:v>
      </x:c>
      <x:c r="K240" s="25" t="b">
        <x:f>I240&gt;='Selection Rules'!$B$5</x:f>
        <x:v>0</x:v>
      </x:c>
      <x:c r="L240" s="25" t="n">
        <x:f>IF(AND(K240,J240&gt;='Selection Rules'!$B$6),1,0)</x:f>
        <x:v>0</x:v>
      </x:c>
      <x:c r="M240" s="25" t="n">
        <x:f>IF(AND(K240,J240&gt;='Selection Rules'!$B$7,J240&lt;'Selection Rules'!$B$6),1,0)</x:f>
        <x:v>0</x:v>
      </x:c>
    </x:row>
    <x:row r="241" ht="18" customHeight="1">
      <x:c r="A241" s="25" t="str">
        <x:v>EEZ_858</x:v>
      </x:c>
      <x:c r="B241" s="25" t="str">
        <x:v>Uruguay</x:v>
      </x:c>
      <x:c r="C241" s="25" t="str">
        <x:v>LME_015</x:v>
      </x:c>
      <x:c r="D241" s="25" t="str">
        <x:v>South Brazil Shelf</x:v>
      </x:c>
      <x:c r="E241" s="32" t="n">
        <x:v>162906.46029506036</x:v>
      </x:c>
      <x:c r="F241" s="32" t="n">
        <x:v>566579.6220120125</x:v>
      </x:c>
      <x:c r="G241" s="32" t="n">
        <x:v>6437.579927791745</x:v>
      </x:c>
      <x:c r="H241" s="34" t="n">
        <x:f>G241/E241</x:f>
        <x:v>0.03951703275690746</x:v>
      </x:c>
      <x:c r="I241" s="34" t="n">
        <x:f>G241/F241</x:f>
        <x:v>0.01136218049094476</x:v>
      </x:c>
      <x:c r="J241" s="33" t="n">
        <x:f>E241/F241</x:f>
        <x:v>0.2875261551351849</x:v>
      </x:c>
      <x:c r="K241" s="25" t="b">
        <x:f>I241&gt;='Selection Rules'!$B$5</x:f>
        <x:v>0</x:v>
      </x:c>
      <x:c r="L241" s="25" t="n">
        <x:f>IF(AND(K241,J241&gt;='Selection Rules'!$B$6),1,0)</x:f>
        <x:v>0</x:v>
      </x:c>
      <x:c r="M241" s="25" t="n">
        <x:f>IF(AND(K241,J241&gt;='Selection Rules'!$B$7,J241&lt;'Selection Rules'!$B$6),1,0)</x:f>
        <x:v>0</x:v>
      </x:c>
    </x:row>
    <x:row r="242" ht="18" customHeight="1">
      <x:c r="A242" s="25" t="str">
        <x:v>EEZ_862</x:v>
      </x:c>
      <x:c r="B242" s="25" t="str">
        <x:v>Venezuela</x:v>
      </x:c>
      <x:c r="C242" s="25" t="str">
        <x:v>LME_012</x:v>
      </x:c>
      <x:c r="D242" s="25" t="str">
        <x:v>Caribbean Sea</x:v>
      </x:c>
      <x:c r="E242" s="32" t="n">
        <x:v>472358.9397672915</x:v>
      </x:c>
      <x:c r="F242" s="32" t="n">
        <x:v>3262576.84767364</x:v>
      </x:c>
      <x:c r="G242" s="32" t="n">
        <x:v>445473.0884909223</x:v>
      </x:c>
      <x:c r="H242" s="34" t="n">
        <x:f>G242/E242</x:f>
        <x:v>0.9430817350686439</x:v>
      </x:c>
      <x:c r="I242" s="34" t="n">
        <x:f>G242/F242</x:f>
        <x:v>0.13654025921521637</x:v>
      </x:c>
      <x:c r="J242" s="33" t="n">
        <x:f>E242/F242</x:f>
        <x:v>0.1447809390617432</x:v>
      </x:c>
      <x:c r="K242" s="25" t="b">
        <x:f>I242&gt;='Selection Rules'!$B$5</x:f>
        <x:v>0</x:v>
      </x:c>
      <x:c r="L242" s="25" t="n">
        <x:f>IF(AND(K242,J242&gt;='Selection Rules'!$B$6),1,0)</x:f>
        <x:v>0</x:v>
      </x:c>
      <x:c r="M242" s="25" t="n">
        <x:f>IF(AND(K242,J242&gt;='Selection Rules'!$B$7,J242&lt;'Selection Rules'!$B$6),1,0)</x:f>
        <x:v>0</x:v>
      </x:c>
    </x:row>
    <x:row r="243" ht="18" customHeight="1">
      <x:c r="A243" s="25" t="str">
        <x:v>EEZ_862</x:v>
      </x:c>
      <x:c r="B243" s="25" t="str">
        <x:v>Venezuela</x:v>
      </x:c>
      <x:c r="C243" s="25" t="str">
        <x:v>LME_017</x:v>
      </x:c>
      <x:c r="D243" s="25" t="str">
        <x:v>North Brazil Shelf</x:v>
      </x:c>
      <x:c r="E243" s="32" t="n">
        <x:v>472358.9397672915</x:v>
      </x:c>
      <x:c r="F243" s="32" t="n">
        <x:v>1054826.778598855</x:v>
      </x:c>
      <x:c r="G243" s="32" t="n">
        <x:v>25355.437166801545</x:v>
      </x:c>
      <x:c r="H243" s="34" t="n">
        <x:f>G243/E243</x:f>
        <x:v>0.053678326018965467</x:v>
      </x:c>
      <x:c r="I243" s="34" t="n">
        <x:f>G243/F243</x:f>
        <x:v>0.02403753647635076</x:v>
      </x:c>
      <x:c r="J243" s="33" t="n">
        <x:f>E243/F243</x:f>
        <x:v>0.4478071180509222</x:v>
      </x:c>
      <x:c r="K243" s="25" t="b">
        <x:f>I243&gt;='Selection Rules'!$B$5</x:f>
        <x:v>0</x:v>
      </x:c>
      <x:c r="L243" s="25" t="n">
        <x:f>IF(AND(K243,J243&gt;='Selection Rules'!$B$6),1,0)</x:f>
        <x:v>0</x:v>
      </x:c>
      <x:c r="M243" s="25" t="n">
        <x:f>IF(AND(K243,J243&gt;='Selection Rules'!$B$7,J243&lt;'Selection Rules'!$B$6),1,0)</x:f>
        <x:v>0</x:v>
      </x:c>
    </x:row>
    <x:row r="244" ht="18" customHeight="1">
      <x:c r="A244" s="25" t="str">
        <x:v>EEZ_891</x:v>
      </x:c>
      <x:c r="B244" s="25" t="str">
        <x:v>Montenegro</x:v>
      </x:c>
      <x:c r="C244" s="25" t="str">
        <x:v>LME_026</x:v>
      </x:c>
      <x:c r="D244" s="25" t="str">
        <x:v>Mediterranean Sea</x:v>
      </x:c>
      <x:c r="E244" s="32" t="n">
        <x:v>6368.253708233463</x:v>
      </x:c>
      <x:c r="F244" s="32" t="n">
        <x:v>2527801.206996367</x:v>
      </x:c>
      <x:c r="G244" s="32" t="n">
        <x:v>6314.349680093711</x:v>
      </x:c>
      <x:c r="H244" s="34" t="n">
        <x:f>G244/E244</x:f>
        <x:v>0.9915355086952551</x:v>
      </x:c>
      <x:c r="I244" s="34" t="n">
        <x:f>G244/F244</x:f>
        <x:v>0.002497961335969402</x:v>
      </x:c>
      <x:c r="J244" s="33" t="n">
        <x:f>E244/F244</x:f>
        <x:v>0.0025192858087920897</x:v>
      </x:c>
      <x:c r="K244" s="25" t="b">
        <x:f>I244&gt;='Selection Rules'!$B$5</x:f>
        <x:v>0</x:v>
      </x:c>
      <x:c r="L244" s="25" t="n">
        <x:f>IF(AND(K244,J244&gt;='Selection Rules'!$B$6),1,0)</x:f>
        <x:v>0</x:v>
      </x:c>
      <x:c r="M244" s="25" t="n">
        <x:f>IF(AND(K244,J244&gt;='Selection Rules'!$B$7,J244&lt;'Selection Rules'!$B$6),1,0)</x:f>
        <x:v>0</x:v>
      </x:c>
    </x:row>
    <x:row r="245" ht="18" customHeight="1">
      <x:c r="A245" s="25" t="str">
        <x:v>EEZ_899</x:v>
      </x:c>
      <x:c r="B245" s="25" t="str">
        <x:v>Corsica (France)</x:v>
      </x:c>
      <x:c r="C245" s="25" t="str">
        <x:v>LME_026</x:v>
      </x:c>
      <x:c r="D245" s="25" t="str">
        <x:v>Mediterranean Sea</x:v>
      </x:c>
      <x:c r="E245" s="32" t="n">
        <x:v>23555.600809500604</x:v>
      </x:c>
      <x:c r="F245" s="32" t="n">
        <x:v>2527801.206996367</x:v>
      </x:c>
      <x:c r="G245" s="32" t="n">
        <x:v>23479.13902554532</x:v>
      </x:c>
      <x:c r="H245" s="34" t="n">
        <x:f>G245/E245</x:f>
        <x:v>0.9967539871059266</x:v>
      </x:c>
      <x:c r="I245" s="34" t="n">
        <x:f>G245/F245</x:f>
        <x:v>0.009288364512431006</x:v>
      </x:c>
      <x:c r="J245" s="33" t="n">
        <x:f>E245/F245</x:f>
        <x:v>0.00931861284989665</x:v>
      </x:c>
      <x:c r="K245" s="25" t="b">
        <x:f>I245&gt;='Selection Rules'!$B$5</x:f>
        <x:v>0</x:v>
      </x:c>
      <x:c r="L245" s="25" t="n">
        <x:f>IF(AND(K245,J245&gt;='Selection Rules'!$B$6),1,0)</x:f>
        <x:v>0</x:v>
      </x:c>
      <x:c r="M245" s="25" t="n">
        <x:f>IF(AND(K245,J245&gt;='Selection Rules'!$B$7,J245&lt;'Selection Rules'!$B$6),1,0)</x:f>
        <x:v>0</x:v>
      </x:c>
    </x:row>
    <x:row r="246" ht="18" customHeight="1">
      <x:c r="A246" s="25" t="str">
        <x:v>EEZ_900</x:v>
      </x:c>
      <x:c r="B246" s="25" t="str">
        <x:v>Crete (Greece)</x:v>
      </x:c>
      <x:c r="C246" s="25" t="str">
        <x:v>LME_026</x:v>
      </x:c>
      <x:c r="D246" s="25" t="str">
        <x:v>Mediterranean Sea</x:v>
      </x:c>
      <x:c r="E246" s="32" t="n">
        <x:v>96166.5270389064</x:v>
      </x:c>
      <x:c r="F246" s="32" t="n">
        <x:v>2527801.206996367</x:v>
      </x:c>
      <x:c r="G246" s="32" t="n">
        <x:v>96004.42828923119</x:v>
      </x:c>
      <x:c r="H246" s="34" t="n">
        <x:f>G246/E246</x:f>
        <x:v>0.9983143953029558</x:v>
      </x:c>
      <x:c r="I246" s="34" t="n">
        <x:f>G246/F246</x:f>
        <x:v>0.03797942180876931</x:v>
      </x:c>
      <x:c r="J246" s="33" t="n">
        <x:f>E246/F246</x:f>
        <x:v>0.03804354819229446</x:v>
      </x:c>
      <x:c r="K246" s="25" t="b">
        <x:f>I246&gt;='Selection Rules'!$B$5</x:f>
        <x:v>0</x:v>
      </x:c>
      <x:c r="L246" s="25" t="n">
        <x:f>IF(AND(K246,J246&gt;='Selection Rules'!$B$6),1,0)</x:f>
        <x:v>0</x:v>
      </x:c>
      <x:c r="M246" s="25" t="n">
        <x:f>IF(AND(K246,J246&gt;='Selection Rules'!$B$7,J246&lt;'Selection Rules'!$B$6),1,0)</x:f>
        <x:v>0</x:v>
      </x:c>
    </x:row>
    <x:row r="247" ht="18" customHeight="1">
      <x:c r="A247" s="25" t="str">
        <x:v>EEZ_901</x:v>
      </x:c>
      <x:c r="B247" s="25" t="str">
        <x:v>Sicily (Italy)</x:v>
      </x:c>
      <x:c r="C247" s="25" t="str">
        <x:v>LME_026</x:v>
      </x:c>
      <x:c r="D247" s="25" t="str">
        <x:v>Mediterranean Sea</x:v>
      </x:c>
      <x:c r="E247" s="32" t="n">
        <x:v>105100.70862118475</x:v>
      </x:c>
      <x:c r="F247" s="32" t="n">
        <x:v>2527801.206996367</x:v>
      </x:c>
      <x:c r="G247" s="32" t="n">
        <x:v>104876.02604190727</x:v>
      </x:c>
      <x:c r="H247" s="34" t="n">
        <x:f>G247/E247</x:f>
        <x:v>0.997862216323514</x:v>
      </x:c>
      <x:c r="I247" s="34" t="n">
        <x:f>G247/F247</x:f>
        <x:v>0.041489032346228326</x:v>
      </x:c>
      <x:c r="J247" s="33" t="n">
        <x:f>E247/F247</x:f>
        <x:v>0.041577916938361444</x:v>
      </x:c>
      <x:c r="K247" s="25" t="b">
        <x:f>I247&gt;='Selection Rules'!$B$5</x:f>
        <x:v>0</x:v>
      </x:c>
      <x:c r="L247" s="25" t="n">
        <x:f>IF(AND(K247,J247&gt;='Selection Rules'!$B$6),1,0)</x:f>
        <x:v>0</x:v>
      </x:c>
      <x:c r="M247" s="25" t="n">
        <x:f>IF(AND(K247,J247&gt;='Selection Rules'!$B$7,J247&lt;'Selection Rules'!$B$6),1,0)</x:f>
        <x:v>0</x:v>
      </x:c>
    </x:row>
    <x:row r="248" ht="18" customHeight="1">
      <x:c r="A248" s="25" t="str">
        <x:v>EEZ_902</x:v>
      </x:c>
      <x:c r="B248" s="25" t="str">
        <x:v>Sardinia (Italy)</x:v>
      </x:c>
      <x:c r="C248" s="25" t="str">
        <x:v>LME_026</x:v>
      </x:c>
      <x:c r="D248" s="25" t="str">
        <x:v>Mediterranean Sea</x:v>
      </x:c>
      <x:c r="E248" s="32" t="n">
        <x:v>116511.70328288968</x:v>
      </x:c>
      <x:c r="F248" s="32" t="n">
        <x:v>2527801.206996367</x:v>
      </x:c>
      <x:c r="G248" s="32" t="n">
        <x:v>116234.23641222388</x:v>
      </x:c>
      <x:c r="H248" s="34" t="n">
        <x:f>G248/E248</x:f>
        <x:v>0.9976185493572941</x:v>
      </x:c>
      <x:c r="I248" s="34" t="n">
        <x:f>G248/F248</x:f>
        <x:v>0.045982348647715846</x:v>
      </x:c>
      <x:c r="J248" s="33" t="n">
        <x:f>E248/F248</x:f>
        <x:v>0.04609211474399661</x:v>
      </x:c>
      <x:c r="K248" s="25" t="b">
        <x:f>I248&gt;='Selection Rules'!$B$5</x:f>
        <x:v>0</x:v>
      </x:c>
      <x:c r="L248" s="25" t="n">
        <x:f>IF(AND(K248,J248&gt;='Selection Rules'!$B$6),1,0)</x:f>
        <x:v>0</x:v>
      </x:c>
      <x:c r="M248" s="25" t="n">
        <x:f>IF(AND(K248,J248&gt;='Selection Rules'!$B$7,J248&lt;'Selection Rules'!$B$6),1,0)</x:f>
        <x:v>0</x:v>
      </x:c>
    </x:row>
    <x:row r="249" ht="18" customHeight="1">
      <x:c r="A249" s="25" t="str">
        <x:v>EEZ_903</x:v>
      </x:c>
      <x:c r="B249" s="25" t="str">
        <x:v>Balearic Islands (Spain)</x:v>
      </x:c>
      <x:c r="C249" s="25" t="str">
        <x:v>LME_026</x:v>
      </x:c>
      <x:c r="D249" s="25" t="str">
        <x:v>Mediterranean Sea</x:v>
      </x:c>
      <x:c r="E249" s="32" t="n">
        <x:v>128840.09608986475</x:v>
      </x:c>
      <x:c r="F249" s="32" t="n">
        <x:v>2527801.206996367</x:v>
      </x:c>
      <x:c r="G249" s="32" t="n">
        <x:v>128674.9194577952</x:v>
      </x:c>
      <x:c r="H249" s="34" t="n">
        <x:f>G249/E249</x:f>
        <x:v>0.9987179718342158</x:v>
      </x:c>
      <x:c r="I249" s="34" t="n">
        <x:f>G249/F249</x:f>
        <x:v>0.050903891928547586</x:v>
      </x:c>
      <x:c r="J249" s="33" t="n">
        <x:f>E249/F249</x:f>
        <x:v>0.05096923592459141</x:v>
      </x:c>
      <x:c r="K249" s="25" t="b">
        <x:f>I249&gt;='Selection Rules'!$B$5</x:f>
        <x:v>0</x:v>
      </x:c>
      <x:c r="L249" s="25" t="n">
        <x:f>IF(AND(K249,J249&gt;='Selection Rules'!$B$6),1,0)</x:f>
        <x:v>0</x:v>
      </x:c>
      <x:c r="M249" s="25" t="n">
        <x:f>IF(AND(K249,J249&gt;='Selection Rules'!$B$7,J249&lt;'Selection Rules'!$B$6),1,0)</x:f>
        <x:v>0</x:v>
      </x:c>
    </x:row>
    <x:row r="250" ht="18" customHeight="1">
      <x:c r="A250" s="25" t="str">
        <x:v>EEZ_904</x:v>
      </x:c>
      <x:c r="B250" s="25" t="str">
        <x:v>St Barthelemy (France)</x:v>
      </x:c>
      <x:c r="C250" s="25" t="str">
        <x:v>LME_012</x:v>
      </x:c>
      <x:c r="D250" s="25" t="str">
        <x:v>Caribbean Sea</x:v>
      </x:c>
      <x:c r="E250" s="32" t="n">
        <x:v>4200.286487737598</x:v>
      </x:c>
      <x:c r="F250" s="32" t="n">
        <x:v>3262576.84767364</x:v>
      </x:c>
      <x:c r="G250" s="32" t="n">
        <x:v>254.69345259313366</x:v>
      </x:c>
      <x:c r="H250" s="34" t="n">
        <x:f>G250/E250</x:f>
        <x:v>0.06063716209279794</x:v>
      </x:c>
      <x:c r="I250" s="34" t="n">
        <x:f>G250/F250</x:f>
        <x:v>0.00007806511983763423</x:v>
      </x:c>
      <x:c r="J250" s="33" t="n">
        <x:f>E250/F250</x:f>
        <x:v>0.0012874138093429386</x:v>
      </x:c>
      <x:c r="K250" s="25" t="b">
        <x:f>I250&gt;='Selection Rules'!$B$5</x:f>
        <x:v>0</x:v>
      </x:c>
      <x:c r="L250" s="25" t="n">
        <x:f>IF(AND(K250,J250&gt;='Selection Rules'!$B$6),1,0)</x:f>
        <x:v>0</x:v>
      </x:c>
      <x:c r="M250" s="25" t="n">
        <x:f>IF(AND(K250,J250&gt;='Selection Rules'!$B$7,J250&lt;'Selection Rules'!$B$6),1,0)</x:f>
        <x:v>0</x:v>
      </x:c>
    </x:row>
    <x:row r="251" ht="18" customHeight="1">
      <x:c r="A251" s="25" t="str">
        <x:v>EEZ_905</x:v>
      </x:c>
      <x:c r="B251" s="25" t="str">
        <x:v>St Martin (France)</x:v>
      </x:c>
      <x:c r="C251" s="25" t="str">
        <x:v>LME_012</x:v>
      </x:c>
      <x:c r="D251" s="25" t="str">
        <x:v>Caribbean Sea</x:v>
      </x:c>
      <x:c r="E251" s="32" t="n">
        <x:v>1070.241283917514</x:v>
      </x:c>
      <x:c r="F251" s="32" t="n">
        <x:v>3262576.84767364</x:v>
      </x:c>
      <x:c r="G251" s="32" t="n">
        <x:v>408.62172743609034</x:v>
      </x:c>
      <x:c r="H251" s="34" t="n">
        <x:f>G251/E251</x:f>
        <x:v>0.3818033686201772</x:v>
      </x:c>
      <x:c r="I251" s="34" t="n">
        <x:f>G251/F251</x:f>
        <x:v>0.0001252450889325275</x:v>
      </x:c>
      <x:c r="J251" s="33" t="n">
        <x:f>E251/F251</x:f>
        <x:v>0.00032803557858894353</x:v>
      </x:c>
      <x:c r="K251" s="25" t="b">
        <x:f>I251&gt;='Selection Rules'!$B$5</x:f>
        <x:v>0</x:v>
      </x:c>
      <x:c r="L251" s="25" t="n">
        <x:f>IF(AND(K251,J251&gt;='Selection Rules'!$B$6),1,0)</x:f>
        <x:v>0</x:v>
      </x:c>
      <x:c r="M251" s="25" t="n">
        <x:f>IF(AND(K251,J251&gt;='Selection Rules'!$B$7,J251&lt;'Selection Rules'!$B$6),1,0)</x:f>
        <x:v>0</x:v>
      </x:c>
    </x:row>
    <x:row r="252" ht="18" customHeight="1">
      <x:c r="A252" s="25" t="str">
        <x:v>EEZ_906</x:v>
      </x:c>
      <x:c r="B252" s="25" t="str">
        <x:v>Curaçao (Netherlands)</x:v>
      </x:c>
      <x:c r="C252" s="25" t="str">
        <x:v>LME_012</x:v>
      </x:c>
      <x:c r="D252" s="25" t="str">
        <x:v>Caribbean Sea</x:v>
      </x:c>
      <x:c r="E252" s="32" t="n">
        <x:v>25452.931939698534</x:v>
      </x:c>
      <x:c r="F252" s="32" t="n">
        <x:v>3262576.84767364</x:v>
      </x:c>
      <x:c r="G252" s="32" t="n">
        <x:v>25388.954651382344</x:v>
      </x:c>
      <x:c r="H252" s="34" t="n">
        <x:f>G252/E252</x:f>
        <x:v>0.9974864472011413</x:v>
      </x:c>
      <x:c r="I252" s="34" t="n">
        <x:f>G252/F252</x:f>
        <x:v>0.00778187176479407</x:v>
      </x:c>
      <x:c r="J252" s="33" t="n">
        <x:f>E252/F252</x:f>
        <x:v>0.007801481199698816</x:v>
      </x:c>
      <x:c r="K252" s="25" t="b">
        <x:f>I252&gt;='Selection Rules'!$B$5</x:f>
        <x:v>0</x:v>
      </x:c>
      <x:c r="L252" s="25" t="n">
        <x:f>IF(AND(K252,J252&gt;='Selection Rules'!$B$6),1,0)</x:f>
        <x:v>0</x:v>
      </x:c>
      <x:c r="M252" s="25" t="n">
        <x:f>IF(AND(K252,J252&gt;='Selection Rules'!$B$7,J252&lt;'Selection Rules'!$B$6),1,0)</x:f>
        <x:v>0</x:v>
      </x:c>
    </x:row>
    <x:row r="253" ht="18" customHeight="1">
      <x:c r="A253" s="25" t="str">
        <x:v>EEZ_907</x:v>
      </x:c>
      <x:c r="B253" s="25" t="str">
        <x:v>Bonaire (Netherlands)</x:v>
      </x:c>
      <x:c r="C253" s="25" t="str">
        <x:v>LME_012</x:v>
      </x:c>
      <x:c r="D253" s="25" t="str">
        <x:v>Caribbean Sea</x:v>
      </x:c>
      <x:c r="E253" s="32" t="n">
        <x:v>12812.589318453804</x:v>
      </x:c>
      <x:c r="F253" s="32" t="n">
        <x:v>3262576.84767364</x:v>
      </x:c>
      <x:c r="G253" s="32" t="n">
        <x:v>12769.170219424419</x:v>
      </x:c>
      <x:c r="H253" s="34" t="n">
        <x:f>G253/E253</x:f>
        <x:v>0.9966112158947569</x:v>
      </x:c>
      <x:c r="I253" s="34" t="n">
        <x:f>G253/F253</x:f>
        <x:v>0.003913829716694458</x:v>
      </x:c>
      <x:c r="J253" s="33" t="n">
        <x:f>E253/F253</x:f>
        <x:v>0.003927137939322331</x:v>
      </x:c>
      <x:c r="K253" s="25" t="b">
        <x:f>I253&gt;='Selection Rules'!$B$5</x:f>
        <x:v>0</x:v>
      </x:c>
      <x:c r="L253" s="25" t="n">
        <x:f>IF(AND(K253,J253&gt;='Selection Rules'!$B$6),1,0)</x:f>
        <x:v>0</x:v>
      </x:c>
      <x:c r="M253" s="25" t="n">
        <x:f>IF(AND(K253,J253&gt;='Selection Rules'!$B$7,J253&lt;'Selection Rules'!$B$6),1,0)</x:f>
        <x:v>0</x:v>
      </x:c>
    </x:row>
    <x:row r="254" ht="18" customHeight="1">
      <x:c r="A254" s="25" t="str">
        <x:v>EEZ_908</x:v>
      </x:c>
      <x:c r="B254" s="25" t="str">
        <x:v>Saba and Sint Eustatius (Netherlands)</x:v>
      </x:c>
      <x:c r="C254" s="25" t="str">
        <x:v>LME_012</x:v>
      </x:c>
      <x:c r="D254" s="25" t="str">
        <x:v>Caribbean Sea</x:v>
      </x:c>
      <x:c r="E254" s="32" t="n">
        <x:v>11653.822436703756</x:v>
      </x:c>
      <x:c r="F254" s="32" t="n">
        <x:v>3262576.84767364</x:v>
      </x:c>
      <x:c r="G254" s="32" t="n">
        <x:v>11653.822436703762</x:v>
      </x:c>
      <x:c r="H254" s="34" t="n">
        <x:f>G254/E254</x:f>
        <x:v>1.0000000000000004</x:v>
      </x:c>
      <x:c r="I254" s="34" t="n">
        <x:f>G254/F254</x:f>
        <x:v>0.0035719687170015463</x:v>
      </x:c>
      <x:c r="J254" s="33" t="n">
        <x:f>E254/F254</x:f>
        <x:v>0.0035719687170015445</x:v>
      </x:c>
      <x:c r="K254" s="25" t="b">
        <x:f>I254&gt;='Selection Rules'!$B$5</x:f>
        <x:v>0</x:v>
      </x:c>
      <x:c r="L254" s="25" t="n">
        <x:f>IF(AND(K254,J254&gt;='Selection Rules'!$B$6),1,0)</x:f>
        <x:v>0</x:v>
      </x:c>
      <x:c r="M254" s="25" t="n">
        <x:f>IF(AND(K254,J254&gt;='Selection Rules'!$B$7,J254&lt;'Selection Rules'!$B$6),1,0)</x:f>
        <x:v>0</x:v>
      </x:c>
    </x:row>
    <x:row r="255" ht="18" customHeight="1">
      <x:c r="A255" s="25" t="str">
        <x:v>EEZ_909</x:v>
      </x:c>
      <x:c r="B255" s="25" t="str">
        <x:v>Sint Maarten (Netherlands)</x:v>
      </x:c>
      <x:c r="C255" s="25" t="str">
        <x:v>LME_012</x:v>
      </x:c>
      <x:c r="D255" s="25" t="str">
        <x:v>Caribbean Sea</x:v>
      </x:c>
      <x:c r="E255" s="32" t="n">
        <x:v>479.0622999095295</x:v>
      </x:c>
      <x:c r="F255" s="32" t="n">
        <x:v>3262576.84767364</x:v>
      </x:c>
      <x:c r="G255" s="32" t="n">
        <x:v>170.93804540610572</x:v>
      </x:c>
      <x:c r="H255" s="34" t="n">
        <x:f>G255/E255</x:f>
        <x:v>0.35681798680127247</x:v>
      </x:c>
      <x:c r="I255" s="34" t="n">
        <x:f>G255/F255</x:f>
        <x:v>0.00005239356906734381</x:v>
      </x:c>
      <x:c r="J255" s="33" t="n">
        <x:f>E255/F255</x:f>
        <x:v>0.00014683556044085884</x:v>
      </x:c>
      <x:c r="K255" s="25" t="b">
        <x:f>I255&gt;='Selection Rules'!$B$5</x:f>
        <x:v>0</x:v>
      </x:c>
      <x:c r="L255" s="25" t="n">
        <x:f>IF(AND(K255,J255&gt;='Selection Rules'!$B$6),1,0)</x:f>
        <x:v>0</x:v>
      </x:c>
      <x:c r="M255" s="25" t="n">
        <x:f>IF(AND(K255,J255&gt;='Selection Rules'!$B$7,J255&lt;'Selection Rules'!$B$6),1,0)</x:f>
        <x:v>0</x:v>
      </x:c>
    </x:row>
    <x:row r="256" ht="18" customHeight="1">
      <x:c r="A256" s="25" t="str">
        <x:v>EEZ_910</x:v>
      </x:c>
      <x:c r="B256" s="25" t="str">
        <x:v>South Orkney Islands (UK)</x:v>
      </x:c>
      <x:c r="C256" s="25" t="str">
        <x:v>LME_061</x:v>
      </x:c>
      <x:c r="D256" s="25" t="str">
        <x:v>Antarctic</x:v>
      </x:c>
      <x:c r="E256" s="32" t="n">
        <x:v>496680.50276762893</x:v>
      </x:c>
      <x:c r="F256" s="32" t="n">
        <x:v>4376383.972115592</x:v>
      </x:c>
      <x:c r="G256" s="32" t="n">
        <x:v>3316.0341828388177</x:v>
      </x:c>
      <x:c r="H256" s="34" t="n">
        <x:f>G256/E256</x:f>
        <x:v>0.0066763929011931</x:v>
      </x:c>
      <x:c r="I256" s="34" t="n">
        <x:f>G256/F256</x:f>
        <x:v>0.0007577109787365871</x:v>
      </x:c>
      <x:c r="J256" s="33" t="n">
        <x:f>E256/F256</x:f>
        <x:v>0.11349107069495279</x:v>
      </x:c>
      <x:c r="K256" s="25" t="b">
        <x:f>I256&gt;='Selection Rules'!$B$5</x:f>
        <x:v>0</x:v>
      </x:c>
      <x:c r="L256" s="25" t="n">
        <x:f>IF(AND(K256,J256&gt;='Selection Rules'!$B$6),1,0)</x:f>
        <x:v>0</x:v>
      </x:c>
      <x:c r="M256" s="25" t="n">
        <x:f>IF(AND(K256,J256&gt;='Selection Rules'!$B$7,J256&lt;'Selection Rules'!$B$6),1,0)</x:f>
        <x:v>0</x:v>
      </x:c>
    </x:row>
    <x:row r="257" ht="18" customHeight="1">
      <x:c r="A257" s="25" t="str">
        <x:v>EEZ_911</x:v>
      </x:c>
      <x:c r="B257" s="25" t="str">
        <x:v>Musandam (Oman)</x:v>
      </x:c>
      <x:c r="C257" s="25" t="str">
        <x:v>LME_032</x:v>
      </x:c>
      <x:c r="D257" s="25" t="str">
        <x:v>Arabian Sea</x:v>
      </x:c>
      <x:c r="E257" s="32" t="n">
        <x:v>6979.21688785804</x:v>
      </x:c>
      <x:c r="F257" s="32" t="n">
        <x:v>3931902.1047515674</x:v>
      </x:c>
      <x:c r="G257" s="32" t="n">
        <x:v>6848.269726102399</x:v>
      </x:c>
      <x:c r="H257" s="34" t="n">
        <x:f>G257/E257</x:f>
        <x:v>0.9812375566113365</x:v>
      </x:c>
      <x:c r="I257" s="34" t="n">
        <x:f>G257/F257</x:f>
        <x:v>0.0017417192858963865</x:v>
      </x:c>
      <x:c r="J257" s="33" t="n">
        <x:f>E257/F257</x:f>
        <x:v>0.001775023055488563</x:v>
      </x:c>
      <x:c r="K257" s="25" t="b">
        <x:f>I257&gt;='Selection Rules'!$B$5</x:f>
        <x:v>0</x:v>
      </x:c>
      <x:c r="L257" s="25" t="n">
        <x:f>IF(AND(K257,J257&gt;='Selection Rules'!$B$6),1,0)</x:f>
        <x:v>0</x:v>
      </x:c>
      <x:c r="M257" s="25" t="n">
        <x:f>IF(AND(K257,J257&gt;='Selection Rules'!$B$7,J257&lt;'Selection Rules'!$B$6),1,0)</x:f>
        <x:v>0</x:v>
      </x:c>
    </x:row>
    <x:row r="258" ht="18" customHeight="1">
      <x:c r="A258" s="25" t="str">
        <x:v>EEZ_912</x:v>
      </x:c>
      <x:c r="B258" s="25" t="str">
        <x:v>Russia (Kara Sea)</x:v>
      </x:c>
      <x:c r="C258" s="25" t="str">
        <x:v>LME_020</x:v>
      </x:c>
      <x:c r="D258" s="25" t="str">
        <x:v>Barents Sea</x:v>
      </x:c>
      <x:c r="E258" s="32" t="n">
        <x:v>1058500.2676426906</x:v>
      </x:c>
      <x:c r="F258" s="32" t="n">
        <x:v>2001350.9660391603</x:v>
      </x:c>
      <x:c r="G258" s="32" t="n">
        <x:v>60.452394233351384</x:v>
      </x:c>
      <x:c r="H258" s="34" t="n">
        <x:f>G258/E258</x:f>
        <x:v>0.00005711136414540597</x:v>
      </x:c>
      <x:c r="I258" s="34" t="n">
        <x:f>G258/F258</x:f>
        <x:v>0.000030205793615995145</x:v>
      </x:c>
      <x:c r="J258" s="33" t="n">
        <x:f>E258/F258</x:f>
        <x:v>0.5288928756646569</x:v>
      </x:c>
      <x:c r="K258" s="25" t="b">
        <x:f>I258&gt;='Selection Rules'!$B$5</x:f>
        <x:v>0</x:v>
      </x:c>
      <x:c r="L258" s="25" t="n">
        <x:f>IF(AND(K258,J258&gt;='Selection Rules'!$B$6),1,0)</x:f>
        <x:v>0</x:v>
      </x:c>
      <x:c r="M258" s="25" t="n">
        <x:f>IF(AND(K258,J258&gt;='Selection Rules'!$B$7,J258&lt;'Selection Rules'!$B$6),1,0)</x:f>
        <x:v>0</x:v>
      </x:c>
    </x:row>
    <x:row r="259" ht="18" customHeight="1">
      <x:c r="A259" s="25" t="str">
        <x:v>EEZ_912</x:v>
      </x:c>
      <x:c r="B259" s="25" t="str">
        <x:v>Russia (Kara Sea)</x:v>
      </x:c>
      <x:c r="C259" s="25" t="str">
        <x:v>LME_057</x:v>
      </x:c>
      <x:c r="D259" s="25" t="str">
        <x:v>Laptev Sea</x:v>
      </x:c>
      <x:c r="E259" s="32" t="n">
        <x:v>1058500.2676426906</x:v>
      </x:c>
      <x:c r="F259" s="32" t="n">
        <x:v>898998.1635058462</x:v>
      </x:c>
      <x:c r="G259" s="32" t="n">
        <x:v>6.595423137900897</x:v>
      </x:c>
      <x:c r="H259" s="34" t="n">
        <x:f>G259/E259</x:f>
        <x:v>0.000006230913056440776</x:v>
      </x:c>
      <x:c r="I259" s="34" t="n">
        <x:f>G259/F259</x:f>
        <x:v>0.000007336414472951264</x:v>
      </x:c>
      <x:c r="J259" s="33" t="n">
        <x:f>E259/F259</x:f>
        <x:v>1.1774220578102517</x:v>
      </x:c>
      <x:c r="K259" s="25" t="b">
        <x:f>I259&gt;='Selection Rules'!$B$5</x:f>
        <x:v>0</x:v>
      </x:c>
      <x:c r="L259" s="25" t="n">
        <x:f>IF(AND(K259,J259&gt;='Selection Rules'!$B$6),1,0)</x:f>
        <x:v>0</x:v>
      </x:c>
      <x:c r="M259" s="25" t="n">
        <x:f>IF(AND(K259,J259&gt;='Selection Rules'!$B$7,J259&lt;'Selection Rules'!$B$6),1,0)</x:f>
        <x:v>0</x:v>
      </x:c>
    </x:row>
    <x:row r="260" ht="18" customHeight="1">
      <x:c r="A260" s="25" t="str">
        <x:v>EEZ_912</x:v>
      </x:c>
      <x:c r="B260" s="25" t="str">
        <x:v>Russia (Kara Sea)</x:v>
      </x:c>
      <x:c r="C260" s="25" t="str">
        <x:v>LME_058</x:v>
      </x:c>
      <x:c r="D260" s="25" t="str">
        <x:v>Kara Sea</x:v>
      </x:c>
      <x:c r="E260" s="32" t="n">
        <x:v>1058500.2676426906</x:v>
      </x:c>
      <x:c r="F260" s="32" t="n">
        <x:v>993288.5596090119</x:v>
      </x:c>
      <x:c r="G260" s="32" t="n">
        <x:v>950765.7138347345</x:v>
      </x:c>
      <x:c r="H260" s="34" t="n">
        <x:f>G260/E260</x:f>
        <x:v>0.898219625349851</x:v>
      </x:c>
      <x:c r="I260" s="34" t="n">
        <x:f>G260/F260</x:f>
        <x:v>0.9571898363643536</x:v>
      </x:c>
      <x:c r="J260" s="33" t="n">
        <x:f>E260/F260</x:f>
        <x:v>1.065652329731199</x:v>
      </x:c>
      <x:c r="K260" s="25" t="b">
        <x:f>I260&gt;='Selection Rules'!$B$5</x:f>
        <x:v>1</x:v>
      </x:c>
      <x:c r="L260" s="25" t="n">
        <x:f>IF(AND(K260,J260&gt;='Selection Rules'!$B$6),1,0)</x:f>
        <x:v>0</x:v>
      </x:c>
      <x:c r="M260" s="25" t="n">
        <x:f>IF(AND(K260,J260&gt;='Selection Rules'!$B$7,J260&lt;'Selection Rules'!$B$6),1,0)</x:f>
        <x:v>0</x:v>
      </x:c>
    </x:row>
    <x:row r="261" ht="18" customHeight="1">
      <x:c r="A261" s="25" t="str">
        <x:v>EEZ_912</x:v>
      </x:c>
      <x:c r="B261" s="25" t="str">
        <x:v>Russia (Kara Sea)</x:v>
      </x:c>
      <x:c r="C261" s="25" t="str">
        <x:v>LME_064</x:v>
      </x:c>
      <x:c r="D261" s="25" t="str">
        <x:v>Central Arctic Ocean</x:v>
      </x:c>
      <x:c r="E261" s="32" t="n">
        <x:v>1058500.2676426906</x:v>
      </x:c>
      <x:c r="F261" s="32" t="n">
        <x:v>3337137.3298031692</x:v>
      </x:c>
      <x:c r="G261" s="32" t="n">
        <x:v>93919.75027324178</x:v>
      </x:c>
      <x:c r="H261" s="34" t="n">
        <x:f>G261/E261</x:f>
        <x:v>0.08872907560279003</x:v>
      </x:c>
      <x:c r="I261" s="34" t="n">
        <x:f>G261/F261</x:f>
        <x:v>0.02814380739877473</x:v>
      </x:c>
      <x:c r="J261" s="33" t="n">
        <x:f>E261/F261</x:f>
        <x:v>0.31718810556265686</x:v>
      </x:c>
      <x:c r="K261" s="25" t="b">
        <x:f>I261&gt;='Selection Rules'!$B$5</x:f>
        <x:v>0</x:v>
      </x:c>
      <x:c r="L261" s="25" t="n">
        <x:f>IF(AND(K261,J261&gt;='Selection Rules'!$B$6),1,0)</x:f>
        <x:v>0</x:v>
      </x:c>
      <x:c r="M261" s="25" t="n">
        <x:f>IF(AND(K261,J261&gt;='Selection Rules'!$B$7,J261&lt;'Selection Rules'!$B$6),1,0)</x:f>
        <x:v>0</x:v>
      </x:c>
    </x:row>
    <x:row r="262" ht="18" customHeight="1">
      <x:c r="A262" s="25" t="str">
        <x:v>EEZ_913</x:v>
      </x:c>
      <x:c r="B262" s="25" t="str">
        <x:v>Russia (Laptev to Chukchi Sea)</x:v>
      </x:c>
      <x:c r="C262" s="25" t="str">
        <x:v>LME_054</x:v>
      </x:c>
      <x:c r="D262" s="25" t="str">
        <x:v>Northern Bering - Chukchi Seas</x:v>
      </x:c>
      <x:c r="E262" s="32" t="n">
        <x:v>2088748.5542544199</x:v>
      </x:c>
      <x:c r="F262" s="32" t="n">
        <x:v>1332042.5311335474</x:v>
      </x:c>
      <x:c r="G262" s="32" t="n">
        <x:v>413073.86063974816</x:v>
      </x:c>
      <x:c r="H262" s="34" t="n">
        <x:f>G262/E262</x:f>
        <x:v>0.19776141067740685</x:v>
      </x:c>
      <x:c r="I262" s="34" t="n">
        <x:f>G262/F262</x:f>
        <x:v>0.3101056092317328</x:v>
      </x:c>
      <x:c r="J262" s="33" t="n">
        <x:f>E262/F262</x:f>
        <x:v>1.5680794760186278</x:v>
      </x:c>
      <x:c r="K262" s="25" t="b">
        <x:f>I262&gt;='Selection Rules'!$B$5</x:f>
        <x:v>0</x:v>
      </x:c>
      <x:c r="L262" s="25" t="n">
        <x:f>IF(AND(K262,J262&gt;='Selection Rules'!$B$6),1,0)</x:f>
        <x:v>0</x:v>
      </x:c>
      <x:c r="M262" s="25" t="n">
        <x:f>IF(AND(K262,J262&gt;='Selection Rules'!$B$7,J262&lt;'Selection Rules'!$B$6),1,0)</x:f>
        <x:v>0</x:v>
      </x:c>
    </x:row>
    <x:row r="263" ht="18" customHeight="1">
      <x:c r="A263" s="25" t="str">
        <x:v>EEZ_913</x:v>
      </x:c>
      <x:c r="B263" s="25" t="str">
        <x:v>Russia (Laptev to Chukchi Sea)</x:v>
      </x:c>
      <x:c r="C263" s="25" t="str">
        <x:v>LME_056</x:v>
      </x:c>
      <x:c r="D263" s="25" t="str">
        <x:v>East Siberian Sea</x:v>
      </x:c>
      <x:c r="E263" s="32" t="n">
        <x:v>2088748.5542544199</x:v>
      </x:c>
      <x:c r="F263" s="32" t="n">
        <x:v>629972.9022024922</x:v>
      </x:c>
      <x:c r="G263" s="32" t="n">
        <x:v>584276.070294642</x:v>
      </x:c>
      <x:c r="H263" s="34" t="n">
        <x:f>G263/E263</x:f>
        <x:v>0.27972542176250587</x:v>
      </x:c>
      <x:c r="I263" s="34" t="n">
        <x:f>G263/F263</x:f>
        <x:v>0.9274622261559404</x:v>
      </x:c>
      <x:c r="J263" s="33" t="n">
        <x:f>E263/F263</x:f>
        <x:v>3.315616508189162</x:v>
      </x:c>
      <x:c r="K263" s="25" t="b">
        <x:f>I263&gt;='Selection Rules'!$B$5</x:f>
        <x:v>1</x:v>
      </x:c>
      <x:c r="L263" s="25" t="n">
        <x:f>IF(AND(K263,J263&gt;='Selection Rules'!$B$6),1,0)</x:f>
        <x:v>1</x:v>
      </x:c>
      <x:c r="M263" s="25" t="n">
        <x:f>IF(AND(K263,J263&gt;='Selection Rules'!$B$7,J263&lt;'Selection Rules'!$B$6),1,0)</x:f>
        <x:v>0</x:v>
      </x:c>
    </x:row>
    <x:row r="264" ht="18" customHeight="1">
      <x:c r="A264" s="25" t="str">
        <x:v>EEZ_913</x:v>
      </x:c>
      <x:c r="B264" s="25" t="str">
        <x:v>Russia (Laptev to Chukchi Sea)</x:v>
      </x:c>
      <x:c r="C264" s="25" t="str">
        <x:v>LME_057</x:v>
      </x:c>
      <x:c r="D264" s="25" t="str">
        <x:v>Laptev Sea</x:v>
      </x:c>
      <x:c r="E264" s="32" t="n">
        <x:v>2088748.5542544199</x:v>
      </x:c>
      <x:c r="F264" s="32" t="n">
        <x:v>898998.1635058462</x:v>
      </x:c>
      <x:c r="G264" s="32" t="n">
        <x:v>884714.2383105294</x:v>
      </x:c>
      <x:c r="H264" s="34" t="n">
        <x:f>G264/E264</x:f>
        <x:v>0.42356186746773294</x:v>
      </x:c>
      <x:c r="I264" s="34" t="n">
        <x:f>G264/F264</x:f>
        <x:v>0.9841112854562312</x:v>
      </x:c>
      <x:c r="J264" s="33" t="n">
        <x:f>E264/F264</x:f>
        <x:v>2.323418043601862</x:v>
      </x:c>
      <x:c r="K264" s="25" t="b">
        <x:f>I264&gt;='Selection Rules'!$B$5</x:f>
        <x:v>1</x:v>
      </x:c>
      <x:c r="L264" s="25" t="n">
        <x:f>IF(AND(K264,J264&gt;='Selection Rules'!$B$6),1,0)</x:f>
        <x:v>1</x:v>
      </x:c>
      <x:c r="M264" s="25" t="n">
        <x:f>IF(AND(K264,J264&gt;='Selection Rules'!$B$7,J264&lt;'Selection Rules'!$B$6),1,0)</x:f>
        <x:v>0</x:v>
      </x:c>
    </x:row>
    <x:row r="265" ht="18" customHeight="1">
      <x:c r="A265" s="25" t="str">
        <x:v>EEZ_913</x:v>
      </x:c>
      <x:c r="B265" s="25" t="str">
        <x:v>Russia (Laptev to Chukchi Sea)</x:v>
      </x:c>
      <x:c r="C265" s="25" t="str">
        <x:v>LME_058</x:v>
      </x:c>
      <x:c r="D265" s="25" t="str">
        <x:v>Kara Sea</x:v>
      </x:c>
      <x:c r="E265" s="32" t="n">
        <x:v>2088748.5542544199</x:v>
      </x:c>
      <x:c r="F265" s="32" t="n">
        <x:v>993288.5596090119</x:v>
      </x:c>
      <x:c r="G265" s="32" t="n">
        <x:v>1.2687034437975346</x:v>
      </x:c>
      <x:c r="H265" s="34" t="n">
        <x:f>G265/E265</x:f>
        <x:v>6.073988375543839e-7</x:v>
      </x:c>
      <x:c r="I265" s="34" t="n">
        <x:f>G265/F265</x:f>
        <x:v>0.0000012772758042204115</x:v>
      </x:c>
      <x:c r="J265" s="33" t="n">
        <x:f>E265/F265</x:f>
        <x:v>2.10286178578017</x:v>
      </x:c>
      <x:c r="K265" s="25" t="b">
        <x:f>I265&gt;='Selection Rules'!$B$5</x:f>
        <x:v>0</x:v>
      </x:c>
      <x:c r="L265" s="25" t="n">
        <x:f>IF(AND(K265,J265&gt;='Selection Rules'!$B$6),1,0)</x:f>
        <x:v>0</x:v>
      </x:c>
      <x:c r="M265" s="25" t="n">
        <x:f>IF(AND(K265,J265&gt;='Selection Rules'!$B$7,J265&lt;'Selection Rules'!$B$6),1,0)</x:f>
        <x:v>0</x:v>
      </x:c>
    </x:row>
    <x:row r="266" ht="18" customHeight="1">
      <x:c r="A266" s="25" t="str">
        <x:v>EEZ_913</x:v>
      </x:c>
      <x:c r="B266" s="25" t="str">
        <x:v>Russia (Laptev to Chukchi Sea)</x:v>
      </x:c>
      <x:c r="C266" s="25" t="str">
        <x:v>LME_064</x:v>
      </x:c>
      <x:c r="D266" s="25" t="str">
        <x:v>Central Arctic Ocean</x:v>
      </x:c>
      <x:c r="E266" s="32" t="n">
        <x:v>2088748.5542544199</x:v>
      </x:c>
      <x:c r="F266" s="32" t="n">
        <x:v>3337137.3298031692</x:v>
      </x:c>
      <x:c r="G266" s="32" t="n">
        <x:v>196706.6525133078</x:v>
      </x:c>
      <x:c r="H266" s="34" t="n">
        <x:f>G266/E266</x:f>
        <x:v>0.09417440510618205</x:v>
      </x:c>
      <x:c r="I266" s="34" t="n">
        <x:f>G266/F266</x:f>
        <x:v>0.0589447280927183</x:v>
      </x:c>
      <x:c r="J266" s="33" t="n">
        <x:f>E266/F266</x:f>
        <x:v>0.625910278129794</x:v>
      </x:c>
      <x:c r="K266" s="25" t="b">
        <x:f>I266&gt;='Selection Rules'!$B$5</x:f>
        <x:v>0</x:v>
      </x:c>
      <x:c r="L266" s="25" t="n">
        <x:f>IF(AND(K266,J266&gt;='Selection Rules'!$B$6),1,0)</x:f>
        <x:v>0</x:v>
      </x:c>
      <x:c r="M266" s="25" t="n">
        <x:f>IF(AND(K266,J266&gt;='Selection Rules'!$B$7,J266&lt;'Selection Rules'!$B$6),1,0)</x:f>
        <x:v>0</x:v>
      </x:c>
    </x:row>
    <x:row r="267" ht="18" customHeight="1">
      <x:c r="A267" s="25" t="str">
        <x:v>EEZ_914</x:v>
      </x:c>
      <x:c r="B267" s="25" t="str">
        <x:v>Sweden (Baltic)</x:v>
      </x:c>
      <x:c r="C267" s="25" t="str">
        <x:v>LME_023</x:v>
      </x:c>
      <x:c r="D267" s="25" t="str">
        <x:v>Baltic Sea</x:v>
      </x:c>
      <x:c r="E267" s="32" t="n">
        <x:v>142721.04902865956</x:v>
      </x:c>
      <x:c r="F267" s="32" t="n">
        <x:v>396444.90371621336</x:v>
      </x:c>
      <x:c r="G267" s="32" t="n">
        <x:v>141327.20054491752</x:v>
      </x:c>
      <x:c r="H267" s="34" t="n">
        <x:f>G267/E267</x:f>
        <x:v>0.9902337567357556</x:v>
      </x:c>
      <x:c r="I267" s="34" t="n">
        <x:f>G267/F267</x:f>
        <x:v>0.3564863596937132</x:v>
      </x:c>
      <x:c r="J267" s="33" t="n">
        <x:f>E267/F267</x:f>
        <x:v>0.36000222903817014</x:v>
      </x:c>
      <x:c r="K267" s="25" t="b">
        <x:f>I267&gt;='Selection Rules'!$B$5</x:f>
        <x:v>0</x:v>
      </x:c>
      <x:c r="L267" s="25" t="n">
        <x:f>IF(AND(K267,J267&gt;='Selection Rules'!$B$6),1,0)</x:f>
        <x:v>0</x:v>
      </x:c>
      <x:c r="M267" s="25" t="n">
        <x:f>IF(AND(K267,J267&gt;='Selection Rules'!$B$7,J267&lt;'Selection Rules'!$B$6),1,0)</x:f>
        <x:v>0</x:v>
      </x:c>
    </x:row>
    <x:row r="268" ht="18" customHeight="1">
      <x:c r="A268" s="25" t="str">
        <x:v>EEZ_915</x:v>
      </x:c>
      <x:c r="B268" s="25" t="str">
        <x:v>Sweden (West Coast)</x:v>
      </x:c>
      <x:c r="C268" s="25" t="str">
        <x:v>LME_022</x:v>
      </x:c>
      <x:c r="D268" s="25" t="str">
        <x:v>North Sea</x:v>
      </x:c>
      <x:c r="E268" s="32" t="n">
        <x:v>14788.37171716304</x:v>
      </x:c>
      <x:c r="F268" s="32" t="n">
        <x:v>696532.8905595425</x:v>
      </x:c>
      <x:c r="G268" s="32" t="n">
        <x:v>13654.55231466185</x:v>
      </x:c>
      <x:c r="H268" s="34" t="n">
        <x:f>G268/E268</x:f>
        <x:v>0.923330341961495</x:v>
      </x:c>
      <x:c r="I268" s="34" t="n">
        <x:f>G268/F268</x:f>
        <x:v>0.019603600202845847</x:v>
      </x:c>
      <x:c r="J268" s="33" t="n">
        <x:f>E268/F268</x:f>
        <x:v>0.021231404744265797</x:v>
      </x:c>
      <x:c r="K268" s="25" t="b">
        <x:f>I268&gt;='Selection Rules'!$B$5</x:f>
        <x:v>0</x:v>
      </x:c>
      <x:c r="L268" s="25" t="n">
        <x:f>IF(AND(K268,J268&gt;='Selection Rules'!$B$6),1,0)</x:f>
        <x:v>0</x:v>
      </x:c>
      <x:c r="M268" s="25" t="n">
        <x:f>IF(AND(K268,J268&gt;='Selection Rules'!$B$7,J268&lt;'Selection Rules'!$B$6),1,0)</x:f>
        <x:v>0</x:v>
      </x:c>
    </x:row>
    <x:row r="269" ht="18" customHeight="1">
      <x:c r="A269" s="25" t="str">
        <x:v>EEZ_915</x:v>
      </x:c>
      <x:c r="B269" s="25" t="str">
        <x:v>Sweden (West Coast)</x:v>
      </x:c>
      <x:c r="C269" s="25" t="str">
        <x:v>LME_023</x:v>
      </x:c>
      <x:c r="D269" s="25" t="str">
        <x:v>Baltic Sea</x:v>
      </x:c>
      <x:c r="E269" s="32" t="n">
        <x:v>14788.37171716304</x:v>
      </x:c>
      <x:c r="F269" s="32" t="n">
        <x:v>396444.90371621336</x:v>
      </x:c>
      <x:c r="G269" s="32" t="n">
        <x:v>710.8022485762871</x:v>
      </x:c>
      <x:c r="H269" s="34" t="n">
        <x:f>G269/E269</x:f>
        <x:v>0.048064943333237055</x:v>
      </x:c>
      <x:c r="I269" s="34" t="n">
        <x:f>G269/F269</x:f>
        <x:v>0.00179294081450748</x:v>
      </x:c>
      <x:c r="J269" s="33" t="n">
        <x:f>E269/F269</x:f>
        <x:v>0.037302463920053264</x:v>
      </x:c>
      <x:c r="K269" s="25" t="b">
        <x:f>I269&gt;='Selection Rules'!$B$5</x:f>
        <x:v>0</x:v>
      </x:c>
      <x:c r="L269" s="25" t="n">
        <x:f>IF(AND(K269,J269&gt;='Selection Rules'!$B$6),1,0)</x:f>
        <x:v>0</x:v>
      </x:c>
      <x:c r="M269" s="25" t="n">
        <x:f>IF(AND(K269,J269&gt;='Selection Rules'!$B$7,J269&lt;'Selection Rules'!$B$6),1,0)</x:f>
        <x:v>0</x:v>
      </x:c>
    </x:row>
    <x:row r="270" ht="18" customHeight="1">
      <x:c r="A270" s="25" t="str">
        <x:v>EEZ_916</x:v>
      </x:c>
      <x:c r="B270" s="25" t="str">
        <x:v>Yemen (Red Sea)</x:v>
      </x:c>
      <x:c r="C270" s="25" t="str">
        <x:v>LME_033</x:v>
      </x:c>
      <x:c r="D270" s="25" t="str">
        <x:v>Red Sea</x:v>
      </x:c>
      <x:c r="E270" s="32" t="n">
        <x:v>35691.69926754711</x:v>
      </x:c>
      <x:c r="F270" s="32" t="n">
        <x:v>460970.08083065716</x:v>
      </x:c>
      <x:c r="G270" s="32" t="n">
        <x:v>35485.25427679159</x:v>
      </x:c>
      <x:c r="H270" s="34" t="n">
        <x:f>G270/E270</x:f>
        <x:v>0.9942158822641646</x:v>
      </x:c>
      <x:c r="I270" s="34" t="n">
        <x:f>G270/F270</x:f>
        <x:v>0.07697951722343455</x:v>
      </x:c>
      <x:c r="J270" s="33" t="n">
        <x:f>E270/F270</x:f>
        <x:v>0.0774273662256594</x:v>
      </x:c>
      <x:c r="K270" s="25" t="b">
        <x:f>I270&gt;='Selection Rules'!$B$5</x:f>
        <x:v>0</x:v>
      </x:c>
      <x:c r="L270" s="25" t="n">
        <x:f>IF(AND(K270,J270&gt;='Selection Rules'!$B$6),1,0)</x:f>
        <x:v>0</x:v>
      </x:c>
      <x:c r="M270" s="25" t="n">
        <x:f>IF(AND(K270,J270&gt;='Selection Rules'!$B$7,J270&lt;'Selection Rules'!$B$6),1,0)</x:f>
        <x:v>0</x:v>
      </x:c>
    </x:row>
    <x:row r="271" ht="18" customHeight="1">
      <x:c r="A271" s="25" t="str">
        <x:v>EEZ_917</x:v>
      </x:c>
      <x:c r="B271" s="25" t="str">
        <x:v>Yemen (Arabian Sea)</x:v>
      </x:c>
      <x:c r="C271" s="25" t="str">
        <x:v>LME_032</x:v>
      </x:c>
      <x:c r="D271" s="25" t="str">
        <x:v>Arabian Sea</x:v>
      </x:c>
      <x:c r="E271" s="32" t="n">
        <x:v>178726.29094026066</x:v>
      </x:c>
      <x:c r="F271" s="32" t="n">
        <x:v>3931902.1047515674</x:v>
      </x:c>
      <x:c r="G271" s="32" t="n">
        <x:v>177721.5319417958</x:v>
      </x:c>
      <x:c r="H271" s="34" t="n">
        <x:f>G271/E271</x:f>
        <x:v>0.9943782249764211</x:v>
      </x:c>
      <x:c r="I271" s="34" t="n">
        <x:f>G271/F271</x:f>
        <x:v>0.045199887282805315</x:v>
      </x:c>
      <x:c r="J271" s="33" t="n">
        <x:f>E271/F271</x:f>
        <x:v>0.045455427469640236</x:v>
      </x:c>
      <x:c r="K271" s="25" t="b">
        <x:f>I271&gt;='Selection Rules'!$B$5</x:f>
        <x:v>0</x:v>
      </x:c>
      <x:c r="L271" s="25" t="n">
        <x:f>IF(AND(K271,J271&gt;='Selection Rules'!$B$6),1,0)</x:f>
        <x:v>0</x:v>
      </x:c>
      <x:c r="M271" s="25" t="n">
        <x:f>IF(AND(K271,J271&gt;='Selection Rules'!$B$7,J271&lt;'Selection Rules'!$B$6),1,0)</x:f>
        <x:v>0</x:v>
      </x:c>
    </x:row>
    <x:row r="272" ht="18" customHeight="1">
      <x:c r="A272" s="25" t="str">
        <x:v>EEZ_917</x:v>
      </x:c>
      <x:c r="B272" s="25" t="str">
        <x:v>Yemen (Arabian Sea)</x:v>
      </x:c>
      <x:c r="C272" s="25" t="str">
        <x:v>LME_033</x:v>
      </x:c>
      <x:c r="D272" s="25" t="str">
        <x:v>Red Sea</x:v>
      </x:c>
      <x:c r="E272" s="32" t="n">
        <x:v>178726.29094026066</x:v>
      </x:c>
      <x:c r="F272" s="32" t="n">
        <x:v>460970.08083065716</x:v>
      </x:c>
      <x:c r="G272" s="32" t="n">
        <x:v>144.1338020367384</x:v>
      </x:c>
      <x:c r="H272" s="34" t="n">
        <x:f>G272/E272</x:f>
        <x:v>0.0008064499144388061</x:v>
      </x:c>
      <x:c r="I272" s="34" t="n">
        <x:f>G272/F272</x:f>
        <x:v>0.00031267496098014147</x:v>
      </x:c>
      <x:c r="J272" s="33" t="n">
        <x:f>E272/F272</x:f>
        <x:v>0.38771776818616976</x:v>
      </x:c>
      <x:c r="K272" s="25" t="b">
        <x:f>I272&gt;='Selection Rules'!$B$5</x:f>
        <x:v>0</x:v>
      </x:c>
      <x:c r="L272" s="25" t="n">
        <x:f>IF(AND(K272,J272&gt;='Selection Rules'!$B$6),1,0)</x:f>
        <x:v>0</x:v>
      </x:c>
      <x:c r="M272" s="25" t="n">
        <x:f>IF(AND(K272,J272&gt;='Selection Rules'!$B$7,J272&lt;'Selection Rules'!$B$6),1,0)</x:f>
        <x:v>0</x:v>
      </x:c>
    </x:row>
    <x:row r="273" ht="18" customHeight="1">
      <x:c r="A273" s="25" t="str">
        <x:v>EEZ_918</x:v>
      </x:c>
      <x:c r="B273" s="25" t="str">
        <x:v>France (Mediterranean)</x:v>
      </x:c>
      <x:c r="C273" s="25" t="str">
        <x:v>LME_026</x:v>
      </x:c>
      <x:c r="D273" s="25" t="str">
        <x:v>Mediterranean Sea</x:v>
      </x:c>
      <x:c r="E273" s="32" t="n">
        <x:v>64062.05699945809</x:v>
      </x:c>
      <x:c r="F273" s="32" t="n">
        <x:v>2527801.206996367</x:v>
      </x:c>
      <x:c r="G273" s="32" t="n">
        <x:v>63877.605722337954</x:v>
      </x:c>
      <x:c r="H273" s="34" t="n">
        <x:f>G273/E273</x:f>
        <x:v>0.9971207406418171</x:v>
      </x:c>
      <x:c r="I273" s="34" t="n">
        <x:f>G273/F273</x:f>
        <x:v>0.025270027384091585</x:v>
      </x:c>
      <x:c r="J273" s="33" t="n">
        <x:f>E273/F273</x:f>
        <x:v>0.025342996443766697</x:v>
      </x:c>
      <x:c r="K273" s="25" t="b">
        <x:f>I273&gt;='Selection Rules'!$B$5</x:f>
        <x:v>0</x:v>
      </x:c>
      <x:c r="L273" s="25" t="n">
        <x:f>IF(AND(K273,J273&gt;='Selection Rules'!$B$6),1,0)</x:f>
        <x:v>0</x:v>
      </x:c>
      <x:c r="M273" s="25" t="n">
        <x:f>IF(AND(K273,J273&gt;='Selection Rules'!$B$7,J273&lt;'Selection Rules'!$B$6),1,0)</x:f>
        <x:v>0</x:v>
      </x:c>
    </x:row>
    <x:row r="274" ht="18" customHeight="1">
      <x:c r="A274" s="25" t="str">
        <x:v>EEZ_919</x:v>
      </x:c>
      <x:c r="B274" s="25" t="str">
        <x:v>France (Atlantic Coast)</x:v>
      </x:c>
      <x:c r="C274" s="25" t="str">
        <x:v>LME_022</x:v>
      </x:c>
      <x:c r="D274" s="25" t="str">
        <x:v>North Sea</x:v>
      </x:c>
      <x:c r="E274" s="32" t="n">
        <x:v>258212.79481860966</x:v>
      </x:c>
      <x:c r="F274" s="32" t="n">
        <x:v>696532.8905595425</x:v>
      </x:c>
      <x:c r="G274" s="32" t="n">
        <x:v>1809.2234276575307</x:v>
      </x:c>
      <x:c r="H274" s="34" t="n">
        <x:f>G274/E274</x:f>
        <x:v>0.007006714864491828</x:v>
      </x:c>
      <x:c r="I274" s="34" t="n">
        <x:f>G274/F274</x:f>
        <x:v>0.002597470201592542</x:v>
      </x:c>
      <x:c r="J274" s="33" t="n">
        <x:f>E274/F274</x:f>
        <x:v>0.3707115605282915</x:v>
      </x:c>
      <x:c r="K274" s="25" t="b">
        <x:f>I274&gt;='Selection Rules'!$B$5</x:f>
        <x:v>0</x:v>
      </x:c>
      <x:c r="L274" s="25" t="n">
        <x:f>IF(AND(K274,J274&gt;='Selection Rules'!$B$6),1,0)</x:f>
        <x:v>0</x:v>
      </x:c>
      <x:c r="M274" s="25" t="n">
        <x:f>IF(AND(K274,J274&gt;='Selection Rules'!$B$7,J274&lt;'Selection Rules'!$B$6),1,0)</x:f>
        <x:v>0</x:v>
      </x:c>
    </x:row>
    <x:row r="275" ht="18" customHeight="1">
      <x:c r="A275" s="25" t="str">
        <x:v>EEZ_919</x:v>
      </x:c>
      <x:c r="B275" s="25" t="str">
        <x:v>France (Atlantic Coast)</x:v>
      </x:c>
      <x:c r="C275" s="25" t="str">
        <x:v>LME_024</x:v>
      </x:c>
      <x:c r="D275" s="25" t="str">
        <x:v>Celtic-Biscay Shelf</x:v>
      </x:c>
      <x:c r="E275" s="32" t="n">
        <x:v>258212.79481860966</x:v>
      </x:c>
      <x:c r="F275" s="32" t="n">
        <x:v>762660.9802682624</x:v>
      </x:c>
      <x:c r="G275" s="32" t="n">
        <x:v>191713.37750887693</x:v>
      </x:c>
      <x:c r="H275" s="34" t="n">
        <x:f>G275/E275</x:f>
        <x:v>0.7424627336672163</x:v>
      </x:c>
      <x:c r="I275" s="34" t="n">
        <x:f>G275/F275</x:f>
        <x:v>0.25137430977712094</x:v>
      </x:c>
      <x:c r="J275" s="33" t="n">
        <x:f>E275/F275</x:f>
        <x:v>0.33856825181718947</x:v>
      </x:c>
      <x:c r="K275" s="25" t="b">
        <x:f>I275&gt;='Selection Rules'!$B$5</x:f>
        <x:v>0</x:v>
      </x:c>
      <x:c r="L275" s="25" t="n">
        <x:f>IF(AND(K275,J275&gt;='Selection Rules'!$B$6),1,0)</x:f>
        <x:v>0</x:v>
      </x:c>
      <x:c r="M275" s="25" t="n">
        <x:f>IF(AND(K275,J275&gt;='Selection Rules'!$B$7,J275&lt;'Selection Rules'!$B$6),1,0)</x:f>
        <x:v>0</x:v>
      </x:c>
    </x:row>
    <x:row r="276" ht="18" customHeight="1">
      <x:c r="A276" s="25" t="str">
        <x:v>EEZ_919</x:v>
      </x:c>
      <x:c r="B276" s="25" t="str">
        <x:v>France (Atlantic Coast)</x:v>
      </x:c>
      <x:c r="C276" s="25" t="str">
        <x:v>LME_025</x:v>
      </x:c>
      <x:c r="D276" s="25" t="str">
        <x:v>Iberian Coastal</x:v>
      </x:c>
      <x:c r="E276" s="32" t="n">
        <x:v>258212.79481860966</x:v>
      </x:c>
      <x:c r="F276" s="32" t="n">
        <x:v>303943.39540209086</x:v>
      </x:c>
      <x:c r="G276" s="32" t="n">
        <x:v>2574.104740836622</x:v>
      </x:c>
      <x:c r="H276" s="34" t="n">
        <x:f>G276/E276</x:f>
        <x:v>0.00996892792491127</x:v>
      </x:c>
      <x:c r="I276" s="34" t="n">
        <x:f>G276/F276</x:f>
        <x:v>0.008469026732531247</x:v>
      </x:c>
      <x:c r="J276" s="33" t="n">
        <x:f>E276/F276</x:f>
        <x:v>0.8495423777082455</x:v>
      </x:c>
      <x:c r="K276" s="25" t="b">
        <x:f>I276&gt;='Selection Rules'!$B$5</x:f>
        <x:v>0</x:v>
      </x:c>
      <x:c r="L276" s="25" t="n">
        <x:f>IF(AND(K276,J276&gt;='Selection Rules'!$B$6),1,0)</x:f>
        <x:v>0</x:v>
      </x:c>
      <x:c r="M276" s="25" t="n">
        <x:f>IF(AND(K276,J276&gt;='Selection Rules'!$B$7,J276&lt;'Selection Rules'!$B$6),1,0)</x:f>
        <x:v>0</x:v>
      </x:c>
    </x:row>
    <x:row r="277" ht="18" customHeight="1">
      <x:c r="A277" s="25" t="str">
        <x:v>EEZ_920</x:v>
      </x:c>
      <x:c r="B277" s="25" t="str">
        <x:v>Honduras (Pacific)</x:v>
      </x:c>
      <x:c r="C277" s="25" t="str">
        <x:v>LME_011</x:v>
      </x:c>
      <x:c r="D277" s="25" t="str">
        <x:v>Pacific Central-American Coastal</x:v>
      </x:c>
      <x:c r="E277" s="32" t="n">
        <x:v>839.7593797322228</x:v>
      </x:c>
      <x:c r="F277" s="32" t="n">
        <x:v>1981662.465291764</x:v>
      </x:c>
      <x:c r="G277" s="32" t="n">
        <x:v>728.4991117512957</x:v>
      </x:c>
      <x:c r="H277" s="34" t="n">
        <x:f>G277/E277</x:f>
        <x:v>0.86750934771767</x:v>
      </x:c>
      <x:c r="I277" s="34" t="n">
        <x:f>G277/F277</x:f>
        <x:v>0.000367620179778718</x:v>
      </x:c>
      <x:c r="J277" s="33" t="n">
        <x:f>E277/F277</x:f>
        <x:v>0.0004237650934204799</x:v>
      </x:c>
      <x:c r="K277" s="25" t="b">
        <x:f>I277&gt;='Selection Rules'!$B$5</x:f>
        <x:v>0</x:v>
      </x:c>
      <x:c r="L277" s="25" t="n">
        <x:f>IF(AND(K277,J277&gt;='Selection Rules'!$B$6),1,0)</x:f>
        <x:v>0</x:v>
      </x:c>
      <x:c r="M277" s="25" t="n">
        <x:f>IF(AND(K277,J277&gt;='Selection Rules'!$B$7,J277&lt;'Selection Rules'!$B$6),1,0)</x:f>
        <x:v>0</x:v>
      </x:c>
    </x:row>
    <x:row r="278" ht="18" customHeight="1">
      <x:c r="A278" s="25" t="str">
        <x:v>EEZ_921</x:v>
      </x:c>
      <x:c r="B278" s="25" t="str">
        <x:v>Honduras (Caribbean)</x:v>
      </x:c>
      <x:c r="C278" s="25" t="str">
        <x:v>LME_012</x:v>
      </x:c>
      <x:c r="D278" s="25" t="str">
        <x:v>Caribbean Sea</x:v>
      </x:c>
      <x:c r="E278" s="32" t="n">
        <x:v>209441.63839622078</x:v>
      </x:c>
      <x:c r="F278" s="32" t="n">
        <x:v>3262576.84767364</x:v>
      </x:c>
      <x:c r="G278" s="32" t="n">
        <x:v>208472.41408352728</x:v>
      </x:c>
      <x:c r="H278" s="34" t="n">
        <x:f>G278/E278</x:f>
        <x:v>0.9953723418126632</x:v>
      </x:c>
      <x:c r="I278" s="34" t="n">
        <x:f>G278/F278</x:f>
        <x:v>0.06389808541434885</x:v>
      </x:c>
      <x:c r="J278" s="33" t="n">
        <x:f>E278/F278</x:f>
        <x:v>0.06419515866593666</x:v>
      </x:c>
      <x:c r="K278" s="25" t="b">
        <x:f>I278&gt;='Selection Rules'!$B$5</x:f>
        <x:v>0</x:v>
      </x:c>
      <x:c r="L278" s="25" t="n">
        <x:f>IF(AND(K278,J278&gt;='Selection Rules'!$B$6),1,0)</x:f>
        <x:v>0</x:v>
      </x:c>
      <x:c r="M278" s="25" t="n">
        <x:f>IF(AND(K278,J278&gt;='Selection Rules'!$B$7,J278&lt;'Selection Rules'!$B$6),1,0)</x:f>
        <x:v>0</x:v>
      </x:c>
    </x:row>
    <x:row r="279" ht="18" customHeight="1">
      <x:c r="A279" s="25" t="str">
        <x:v>EEZ_922</x:v>
      </x:c>
      <x:c r="B279" s="25" t="str">
        <x:v>Iran (Persian Gulf)</x:v>
      </x:c>
      <x:c r="C279" s="25" t="str">
        <x:v>LME_032</x:v>
      </x:c>
      <x:c r="D279" s="25" t="str">
        <x:v>Arabian Sea</x:v>
      </x:c>
      <x:c r="E279" s="32" t="n">
        <x:v>99185.07709838034</x:v>
      </x:c>
      <x:c r="F279" s="32" t="n">
        <x:v>3931902.1047515674</x:v>
      </x:c>
      <x:c r="G279" s="32" t="n">
        <x:v>98525.65084164112</x:v>
      </x:c>
      <x:c r="H279" s="34" t="n">
        <x:f>G279/E279</x:f>
        <x:v>0.9933515577541454</x:v>
      </x:c>
      <x:c r="I279" s="34" t="n">
        <x:f>G279/F279</x:f>
        <x:v>0.02505801218259638</x:v>
      </x:c>
      <x:c r="J279" s="33" t="n">
        <x:f>E279/F279</x:f>
        <x:v>0.025225723951397116</x:v>
      </x:c>
      <x:c r="K279" s="25" t="b">
        <x:f>I279&gt;='Selection Rules'!$B$5</x:f>
        <x:v>0</x:v>
      </x:c>
      <x:c r="L279" s="25" t="n">
        <x:f>IF(AND(K279,J279&gt;='Selection Rules'!$B$6),1,0)</x:f>
        <x:v>0</x:v>
      </x:c>
      <x:c r="M279" s="25" t="n">
        <x:f>IF(AND(K279,J279&gt;='Selection Rules'!$B$7,J279&lt;'Selection Rules'!$B$6),1,0)</x:f>
        <x:v>0</x:v>
      </x:c>
    </x:row>
    <x:row r="280" ht="18" customHeight="1">
      <x:c r="A280" s="25" t="str">
        <x:v>EEZ_923</x:v>
      </x:c>
      <x:c r="B280" s="25" t="str">
        <x:v>Iran (Sea of Oman)</x:v>
      </x:c>
      <x:c r="C280" s="25" t="str">
        <x:v>LME_032</x:v>
      </x:c>
      <x:c r="D280" s="25" t="str">
        <x:v>Arabian Sea</x:v>
      </x:c>
      <x:c r="E280" s="32" t="n">
        <x:v>64437.181000905555</x:v>
      </x:c>
      <x:c r="F280" s="32" t="n">
        <x:v>3931902.1047515674</x:v>
      </x:c>
      <x:c r="G280" s="32" t="n">
        <x:v>63988.37924366474</x:v>
      </x:c>
      <x:c r="H280" s="34" t="n">
        <x:f>G280/E280</x:f>
        <x:v>0.9930350497916024</x:v>
      </x:c>
      <x:c r="I280" s="34" t="n">
        <x:f>G280/F280</x:f>
        <x:v>0.016274153714645388</x:v>
      </x:c>
      <x:c r="J280" s="33" t="n">
        <x:f>E280/F280</x:f>
        <x:v>0.016388297389966923</x:v>
      </x:c>
      <x:c r="K280" s="25" t="b">
        <x:f>I280&gt;='Selection Rules'!$B$5</x:f>
        <x:v>0</x:v>
      </x:c>
      <x:c r="L280" s="25" t="n">
        <x:f>IF(AND(K280,J280&gt;='Selection Rules'!$B$6),1,0)</x:f>
        <x:v>0</x:v>
      </x:c>
      <x:c r="M280" s="25" t="n">
        <x:f>IF(AND(K280,J280&gt;='Selection Rules'!$B$7,J280&lt;'Selection Rules'!$B$6),1,0)</x:f>
        <x:v>0</x:v>
      </x:c>
    </x:row>
    <x:row r="281" ht="18" customHeight="1">
      <x:c r="A281" s="25" t="str">
        <x:v>EEZ_924</x:v>
      </x:c>
      <x:c r="B281" s="25" t="str">
        <x:v>Canada (Arctic)</x:v>
      </x:c>
      <x:c r="C281" s="25" t="str">
        <x:v>LME_009</x:v>
      </x:c>
      <x:c r="D281" s="25" t="str">
        <x:v>Newfoundland-Labrador Shelf</x:v>
      </x:c>
      <x:c r="E281" s="32" t="n">
        <x:v>3057562.0950405607</x:v>
      </x:c>
      <x:c r="F281" s="32" t="n">
        <x:v>909411.1731080089</x:v>
      </x:c>
      <x:c r="G281" s="32" t="n">
        <x:v>12.43321236670753</x:v>
      </x:c>
      <x:c r="H281" s="34" t="n">
        <x:f>G281/E281</x:f>
        <x:v>0.000004066380985973923</x:v>
      </x:c>
      <x:c r="I281" s="34" t="n">
        <x:f>G281/F281</x:f>
        <x:v>0.00001367171718840413</x:v>
      </x:c>
      <x:c r="J281" s="33" t="n">
        <x:f>E281/F281</x:f>
        <x:v>3.3621338570000394</x:v>
      </x:c>
      <x:c r="K281" s="25" t="b">
        <x:f>I281&gt;='Selection Rules'!$B$5</x:f>
        <x:v>0</x:v>
      </x:c>
      <x:c r="L281" s="25" t="n">
        <x:f>IF(AND(K281,J281&gt;='Selection Rules'!$B$6),1,0)</x:f>
        <x:v>0</x:v>
      </x:c>
      <x:c r="M281" s="25" t="n">
        <x:f>IF(AND(K281,J281&gt;='Selection Rules'!$B$7,J281&lt;'Selection Rules'!$B$6),1,0)</x:f>
        <x:v>0</x:v>
      </x:c>
    </x:row>
    <x:row r="282" ht="18" customHeight="1">
      <x:c r="A282" s="25" t="str">
        <x:v>EEZ_924</x:v>
      </x:c>
      <x:c r="B282" s="25" t="str">
        <x:v>Canada (Arctic)</x:v>
      </x:c>
      <x:c r="C282" s="25" t="str">
        <x:v>LME_018</x:v>
      </x:c>
      <x:c r="D282" s="25" t="str">
        <x:v>Canadian Eastern Arctic -West Greenland</x:v>
      </x:c>
      <x:c r="E282" s="32" t="n">
        <x:v>3057562.0950405607</x:v>
      </x:c>
      <x:c r="F282" s="32" t="n">
        <x:v>1384957.584081398</x:v>
      </x:c>
      <x:c r="G282" s="32" t="n">
        <x:v>227170.16957425541</x:v>
      </x:c>
      <x:c r="H282" s="34" t="n">
        <x:f>G282/E282</x:f>
        <x:v>0.07429781064552406</x:v>
      </x:c>
      <x:c r="I282" s="34" t="n">
        <x:f>G282/F282</x:f>
        <x:v>0.16402680644182382</x:v>
      </x:c>
      <x:c r="J282" s="33" t="n">
        <x:f>E282/F282</x:f>
        <x:v>2.207693672487849</x:v>
      </x:c>
      <x:c r="K282" s="25" t="b">
        <x:f>I282&gt;='Selection Rules'!$B$5</x:f>
        <x:v>0</x:v>
      </x:c>
      <x:c r="L282" s="25" t="n">
        <x:f>IF(AND(K282,J282&gt;='Selection Rules'!$B$6),1,0)</x:f>
        <x:v>0</x:v>
      </x:c>
      <x:c r="M282" s="25" t="n">
        <x:f>IF(AND(K282,J282&gt;='Selection Rules'!$B$7,J282&lt;'Selection Rules'!$B$6),1,0)</x:f>
        <x:v>0</x:v>
      </x:c>
    </x:row>
    <x:row r="283" ht="18" customHeight="1">
      <x:c r="A283" s="25" t="str">
        <x:v>EEZ_924</x:v>
      </x:c>
      <x:c r="B283" s="25" t="str">
        <x:v>Canada (Arctic)</x:v>
      </x:c>
      <x:c r="C283" s="25" t="str">
        <x:v>LME_055</x:v>
      </x:c>
      <x:c r="D283" s="25" t="str">
        <x:v>Beaufort Sea</x:v>
      </x:c>
      <x:c r="E283" s="32" t="n">
        <x:v>3057562.0950405607</x:v>
      </x:c>
      <x:c r="F283" s="32" t="n">
        <x:v>1093765.6340757054</x:v>
      </x:c>
      <x:c r="G283" s="32" t="n">
        <x:v>735381.1077917168</x:v>
      </x:c>
      <x:c r="H283" s="34" t="n">
        <x:f>G283/E283</x:f>
        <x:v>0.24051223979539865</x:v>
      </x:c>
      <x:c r="I283" s="34" t="n">
        <x:f>G283/F283</x:f>
        <x:v>0.672338830990202</x:v>
      </x:c>
      <x:c r="J283" s="33" t="n">
        <x:f>E283/F283</x:f>
        <x:v>2.795445385906987</x:v>
      </x:c>
      <x:c r="K283" s="25" t="b">
        <x:f>I283&gt;='Selection Rules'!$B$5</x:f>
        <x:v>0</x:v>
      </x:c>
      <x:c r="L283" s="25" t="n">
        <x:f>IF(AND(K283,J283&gt;='Selection Rules'!$B$6),1,0)</x:f>
        <x:v>0</x:v>
      </x:c>
      <x:c r="M283" s="25" t="n">
        <x:f>IF(AND(K283,J283&gt;='Selection Rules'!$B$7,J283&lt;'Selection Rules'!$B$6),1,0)</x:f>
        <x:v>0</x:v>
      </x:c>
    </x:row>
    <x:row r="284" ht="18" customHeight="1">
      <x:c r="A284" s="25" t="str">
        <x:v>EEZ_924</x:v>
      </x:c>
      <x:c r="B284" s="25" t="str">
        <x:v>Canada (Arctic)</x:v>
      </x:c>
      <x:c r="C284" s="25" t="str">
        <x:v>LME_063</x:v>
      </x:c>
      <x:c r="D284" s="25" t="str">
        <x:v>Hudson Bay Complex</x:v>
      </x:c>
      <x:c r="E284" s="32" t="n">
        <x:v>3057562.0950405607</x:v>
      </x:c>
      <x:c r="F284" s="32" t="n">
        <x:v>1251978.6371497132</x:v>
      </x:c>
      <x:c r="G284" s="32" t="n">
        <x:v>1234623.4297916023</x:v>
      </x:c>
      <x:c r="H284" s="34" t="n">
        <x:f>G284/E284</x:f>
        <x:v>0.40379341168383504</x:v>
      </x:c>
      <x:c r="I284" s="34" t="n">
        <x:f>G284/F284</x:f>
        <x:v>0.9861377767614132</x:v>
      </x:c>
      <x:c r="J284" s="33" t="n">
        <x:f>E284/F284</x:f>
        <x:v>2.442183919369012</x:v>
      </x:c>
      <x:c r="K284" s="25" t="b">
        <x:f>I284&gt;='Selection Rules'!$B$5</x:f>
        <x:v>1</x:v>
      </x:c>
      <x:c r="L284" s="25" t="n">
        <x:f>IF(AND(K284,J284&gt;='Selection Rules'!$B$6),1,0)</x:f>
        <x:v>1</x:v>
      </x:c>
      <x:c r="M284" s="25" t="n">
        <x:f>IF(AND(K284,J284&gt;='Selection Rules'!$B$7,J284&lt;'Selection Rules'!$B$6),1,0)</x:f>
        <x:v>0</x:v>
      </x:c>
    </x:row>
    <x:row r="285" ht="18" customHeight="1">
      <x:c r="A285" s="25" t="str">
        <x:v>EEZ_924</x:v>
      </x:c>
      <x:c r="B285" s="25" t="str">
        <x:v>Canada (Arctic)</x:v>
      </x:c>
      <x:c r="C285" s="25" t="str">
        <x:v>LME_064</x:v>
      </x:c>
      <x:c r="D285" s="25" t="str">
        <x:v>Central Arctic Ocean</x:v>
      </x:c>
      <x:c r="E285" s="32" t="n">
        <x:v>3057562.0950405607</x:v>
      </x:c>
      <x:c r="F285" s="32" t="n">
        <x:v>3337137.3298031692</x:v>
      </x:c>
      <x:c r="G285" s="32" t="n">
        <x:v>375693.8582306798</x:v>
      </x:c>
      <x:c r="H285" s="34" t="n">
        <x:f>G285/E285</x:f>
        <x:v>0.12287366423074916</x:v>
      </x:c>
      <x:c r="I285" s="34" t="n">
        <x:f>G285/F285</x:f>
        <x:v>0.11257968165572586</x:v>
      </x:c>
      <x:c r="J285" s="33" t="n">
        <x:f>E285/F285</x:f>
        <x:v>0.9162230357540909</x:v>
      </x:c>
      <x:c r="K285" s="25" t="b">
        <x:f>I285&gt;='Selection Rules'!$B$5</x:f>
        <x:v>0</x:v>
      </x:c>
      <x:c r="L285" s="25" t="n">
        <x:f>IF(AND(K285,J285&gt;='Selection Rules'!$B$6),1,0)</x:f>
        <x:v>0</x:v>
      </x:c>
      <x:c r="M285" s="25" t="n">
        <x:f>IF(AND(K285,J285&gt;='Selection Rules'!$B$7,J285&lt;'Selection Rules'!$B$6),1,0)</x:f>
        <x:v>0</x:v>
      </x:c>
    </x:row>
    <x:row r="286" ht="18" customHeight="1">
      <x:c r="A286" s="25" t="str">
        <x:v>EEZ_924</x:v>
      </x:c>
      <x:c r="B286" s="25" t="str">
        <x:v>Canada (Arctic)</x:v>
      </x:c>
      <x:c r="C286" s="25" t="str">
        <x:v>LME_066</x:v>
      </x:c>
      <x:c r="D286" s="25" t="str">
        <x:v>Canadian High Arctic - North Greenland</x:v>
      </x:c>
      <x:c r="E286" s="32" t="n">
        <x:v>3057562.0950405607</x:v>
      </x:c>
      <x:c r="F286" s="32" t="n">
        <x:v>599987.2092506643</x:v>
      </x:c>
      <x:c r="G286" s="32" t="n">
        <x:v>457363.41777759854</x:v>
      </x:c>
      <x:c r="H286" s="34" t="n">
        <x:f>G286/E286</x:f>
        <x:v>0.14958434319926095</x:v>
      </x:c>
      <x:c r="I286" s="34" t="n">
        <x:f>G286/F286</x:f>
        <x:v>0.762288613366956</x:v>
      </x:c>
      <x:c r="J286" s="33" t="n">
        <x:f>E286/F286</x:f>
        <x:v>5.09604546213445</x:v>
      </x:c>
      <x:c r="K286" s="25" t="b">
        <x:f>I286&gt;='Selection Rules'!$B$5</x:f>
        <x:v>0</x:v>
      </x:c>
      <x:c r="L286" s="25" t="n">
        <x:f>IF(AND(K286,J286&gt;='Selection Rules'!$B$6),1,0)</x:f>
        <x:v>0</x:v>
      </x:c>
      <x:c r="M286" s="25" t="n">
        <x:f>IF(AND(K286,J286&gt;='Selection Rules'!$B$7,J286&lt;'Selection Rules'!$B$6),1,0)</x:f>
        <x:v>0</x:v>
      </x:c>
    </x:row>
    <x:row r="287" ht="18" customHeight="1">
      <x:c r="A287" s="25" t="str">
        <x:v>EEZ_925</x:v>
      </x:c>
      <x:c r="B287" s="25" t="str">
        <x:v>Canada (Pacific)</x:v>
      </x:c>
      <x:c r="C287" s="25" t="str">
        <x:v>LME_002</x:v>
      </x:c>
      <x:c r="D287" s="25" t="str">
        <x:v>Gulf of Alaska</x:v>
      </x:c>
      <x:c r="E287" s="32" t="n">
        <x:v>453251.06745459774</x:v>
      </x:c>
      <x:c r="F287" s="32" t="n">
        <x:v>1483052.121169453</x:v>
      </x:c>
      <x:c r="G287" s="32" t="n">
        <x:v>449023.36395849125</x:v>
      </x:c>
      <x:c r="H287" s="34" t="n">
        <x:f>G287/E287</x:f>
        <x:v>0.9906724908121038</x:v>
      </x:c>
      <x:c r="I287" s="34" t="n">
        <x:f>G287/F287</x:f>
        <x:v>0.3027697796652057</x:v>
      </x:c>
      <x:c r="J287" s="33" t="n">
        <x:f>E287/F287</x:f>
        <x:v>0.3056204572885739</x:v>
      </x:c>
      <x:c r="K287" s="25" t="b">
        <x:f>I287&gt;='Selection Rules'!$B$5</x:f>
        <x:v>0</x:v>
      </x:c>
      <x:c r="L287" s="25" t="n">
        <x:f>IF(AND(K287,J287&gt;='Selection Rules'!$B$6),1,0)</x:f>
        <x:v>0</x:v>
      </x:c>
      <x:c r="M287" s="25" t="n">
        <x:f>IF(AND(K287,J287&gt;='Selection Rules'!$B$7,J287&lt;'Selection Rules'!$B$6),1,0)</x:f>
        <x:v>0</x:v>
      </x:c>
    </x:row>
    <x:row r="288" ht="18" customHeight="1">
      <x:c r="A288" s="25" t="str">
        <x:v>EEZ_926</x:v>
      </x:c>
      <x:c r="B288" s="25" t="str">
        <x:v>Canada (East Coast)</x:v>
      </x:c>
      <x:c r="C288" s="25" t="str">
        <x:v>LME_007</x:v>
      </x:c>
      <x:c r="D288" s="25" t="str">
        <x:v>Northeast U.S. Continental Shelf</x:v>
      </x:c>
      <x:c r="E288" s="32" t="n">
        <x:v>2279390.657784744</x:v>
      </x:c>
      <x:c r="F288" s="32" t="n">
        <x:v>321935.25791646435</x:v>
      </x:c>
      <x:c r="G288" s="32" t="n">
        <x:v>53735.180054807104</x:v>
      </x:c>
      <x:c r="H288" s="34" t="n">
        <x:f>G288/E288</x:f>
        <x:v>0.023574361802039825</x:v>
      </x:c>
      <x:c r="I288" s="34" t="n">
        <x:f>G288/F288</x:f>
        <x:v>0.16691300108778484</x:v>
      </x:c>
      <x:c r="J288" s="33" t="n">
        <x:f>E288/F288</x:f>
        <x:v>7.080276551679219</x:v>
      </x:c>
      <x:c r="K288" s="25" t="b">
        <x:f>I288&gt;='Selection Rules'!$B$5</x:f>
        <x:v>0</x:v>
      </x:c>
      <x:c r="L288" s="25" t="n">
        <x:f>IF(AND(K288,J288&gt;='Selection Rules'!$B$6),1,0)</x:f>
        <x:v>0</x:v>
      </x:c>
      <x:c r="M288" s="25" t="n">
        <x:f>IF(AND(K288,J288&gt;='Selection Rules'!$B$7,J288&lt;'Selection Rules'!$B$6),1,0)</x:f>
        <x:v>0</x:v>
      </x:c>
    </x:row>
    <x:row r="289" ht="18" customHeight="1">
      <x:c r="A289" s="25" t="str">
        <x:v>EEZ_926</x:v>
      </x:c>
      <x:c r="B289" s="25" t="str">
        <x:v>Canada (East Coast)</x:v>
      </x:c>
      <x:c r="C289" s="25" t="str">
        <x:v>LME_008</x:v>
      </x:c>
      <x:c r="D289" s="25" t="str">
        <x:v>Scotian Shelf</x:v>
      </x:c>
      <x:c r="E289" s="32" t="n">
        <x:v>2279390.657784744</x:v>
      </x:c>
      <x:c r="F289" s="32" t="n">
        <x:v>284630.68453900755</x:v>
      </x:c>
      <x:c r="G289" s="32" t="n">
        <x:v>281429.94308870623</x:v>
      </x:c>
      <x:c r="H289" s="34" t="n">
        <x:f>G289/E289</x:f>
        <x:v>0.12346718283131758</x:v>
      </x:c>
      <x:c r="I289" s="34" t="n">
        <x:f>G289/F289</x:f>
        <x:v>0.9887547561659232</x:v>
      </x:c>
      <x:c r="J289" s="33" t="n">
        <x:f>E289/F289</x:f>
        <x:v>8.008239383875573</x:v>
      </x:c>
      <x:c r="K289" s="25" t="b">
        <x:f>I289&gt;='Selection Rules'!$B$5</x:f>
        <x:v>1</x:v>
      </x:c>
      <x:c r="L289" s="25" t="n">
        <x:f>IF(AND(K289,J289&gt;='Selection Rules'!$B$6),1,0)</x:f>
        <x:v>1</x:v>
      </x:c>
      <x:c r="M289" s="25" t="n">
        <x:f>IF(AND(K289,J289&gt;='Selection Rules'!$B$7,J289&lt;'Selection Rules'!$B$6),1,0)</x:f>
        <x:v>0</x:v>
      </x:c>
    </x:row>
    <x:row r="290" ht="18" customHeight="1">
      <x:c r="A290" s="25" t="str">
        <x:v>EEZ_926</x:v>
      </x:c>
      <x:c r="B290" s="25" t="str">
        <x:v>Canada (East Coast)</x:v>
      </x:c>
      <x:c r="C290" s="25" t="str">
        <x:v>LME_009</x:v>
      </x:c>
      <x:c r="D290" s="25" t="str">
        <x:v>Newfoundland-Labrador Shelf</x:v>
      </x:c>
      <x:c r="E290" s="32" t="n">
        <x:v>2279390.657784744</x:v>
      </x:c>
      <x:c r="F290" s="32" t="n">
        <x:v>909411.1731080089</x:v>
      </x:c>
      <x:c r="G290" s="32" t="n">
        <x:v>789375.9072883951</x:v>
      </x:c>
      <x:c r="H290" s="34" t="n">
        <x:f>G290/E290</x:f>
        <x:v>0.34631005641462115</x:v>
      </x:c>
      <x:c r="I290" s="34" t="n">
        <x:f>G290/F290</x:f>
        <x:v>0.8680077072185285</x:v>
      </x:c>
      <x:c r="J290" s="33" t="n">
        <x:f>E290/F290</x:f>
        <x:v>2.506446726396252</x:v>
      </x:c>
      <x:c r="K290" s="25" t="b">
        <x:f>I290&gt;='Selection Rules'!$B$5</x:f>
        <x:v>0</x:v>
      </x:c>
      <x:c r="L290" s="25" t="n">
        <x:f>IF(AND(K290,J290&gt;='Selection Rules'!$B$6),1,0)</x:f>
        <x:v>0</x:v>
      </x:c>
      <x:c r="M290" s="25" t="n">
        <x:f>IF(AND(K290,J290&gt;='Selection Rules'!$B$7,J290&lt;'Selection Rules'!$B$6),1,0)</x:f>
        <x:v>0</x:v>
      </x:c>
    </x:row>
    <x:row r="291" ht="18" customHeight="1">
      <x:c r="A291" s="25" t="str">
        <x:v>EEZ_926</x:v>
      </x:c>
      <x:c r="B291" s="25" t="str">
        <x:v>Canada (East Coast)</x:v>
      </x:c>
      <x:c r="C291" s="25" t="str">
        <x:v>LME_018</x:v>
      </x:c>
      <x:c r="D291" s="25" t="str">
        <x:v>Canadian Eastern Arctic -West Greenland</x:v>
      </x:c>
      <x:c r="E291" s="32" t="n">
        <x:v>2279390.657784744</x:v>
      </x:c>
      <x:c r="F291" s="32" t="n">
        <x:v>1384957.584081398</x:v>
      </x:c>
      <x:c r="G291" s="32" t="n">
        <x:v>559703.4301801181</x:v>
      </x:c>
      <x:c r="H291" s="34" t="n">
        <x:f>G291/E291</x:f>
        <x:v>0.24554958504746757</x:v>
      </x:c>
      <x:c r="I291" s="34" t="n">
        <x:f>G291/F291</x:f>
        <x:v>0.4041303767085062</x:v>
      </x:c>
      <x:c r="J291" s="33" t="n">
        <x:f>E291/F291</x:f>
        <x:v>1.64581983158466</x:v>
      </x:c>
      <x:c r="K291" s="25" t="b">
        <x:f>I291&gt;='Selection Rules'!$B$5</x:f>
        <x:v>0</x:v>
      </x:c>
      <x:c r="L291" s="25" t="n">
        <x:f>IF(AND(K291,J291&gt;='Selection Rules'!$B$6),1,0)</x:f>
        <x:v>0</x:v>
      </x:c>
      <x:c r="M291" s="25" t="n">
        <x:f>IF(AND(K291,J291&gt;='Selection Rules'!$B$7,J291&lt;'Selection Rules'!$B$6),1,0)</x:f>
        <x:v>0</x:v>
      </x:c>
    </x:row>
    <x:row r="292" ht="18" customHeight="1">
      <x:c r="A292" s="25" t="str">
        <x:v>EEZ_926</x:v>
      </x:c>
      <x:c r="B292" s="25" t="str">
        <x:v>Canada (East Coast)</x:v>
      </x:c>
      <x:c r="C292" s="25" t="str">
        <x:v>LME_063</x:v>
      </x:c>
      <x:c r="D292" s="25" t="str">
        <x:v>Hudson Bay Complex</x:v>
      </x:c>
      <x:c r="E292" s="32" t="n">
        <x:v>2279390.657784744</x:v>
      </x:c>
      <x:c r="F292" s="32" t="n">
        <x:v>1251978.6371497132</x:v>
      </x:c>
      <x:c r="G292" s="32" t="n">
        <x:v>2126.9507547409594</x:v>
      </x:c>
      <x:c r="H292" s="34" t="n">
        <x:f>G292/E292</x:f>
        <x:v>0.000933122520037028</x:v>
      </x:c>
      <x:c r="I292" s="34" t="n">
        <x:f>G292/F292</x:f>
        <x:v>0.0016988714436719384</x:v>
      </x:c>
      <x:c r="J292" s="33" t="n">
        <x:f>E292/F292</x:f>
        <x:v>1.8206306323038095</x:v>
      </x:c>
      <x:c r="K292" s="25" t="b">
        <x:f>I292&gt;='Selection Rules'!$B$5</x:f>
        <x:v>0</x:v>
      </x:c>
      <x:c r="L292" s="25" t="n">
        <x:f>IF(AND(K292,J292&gt;='Selection Rules'!$B$6),1,0)</x:f>
        <x:v>0</x:v>
      </x:c>
      <x:c r="M292" s="25" t="n">
        <x:f>IF(AND(K292,J292&gt;='Selection Rules'!$B$7,J292&lt;'Selection Rules'!$B$6),1,0)</x:f>
        <x:v>0</x:v>
      </x:c>
    </x:row>
    <x:row r="293" ht="18" customHeight="1">
      <x:c r="A293" s="25" t="str">
        <x:v>EEZ_926</x:v>
      </x:c>
      <x:c r="B293" s="25" t="str">
        <x:v>Canada (East Coast)</x:v>
      </x:c>
      <x:c r="C293" s="25" t="str">
        <x:v>LME_066</x:v>
      </x:c>
      <x:c r="D293" s="25" t="str">
        <x:v>Canadian High Arctic - North Greenland</x:v>
      </x:c>
      <x:c r="E293" s="32" t="n">
        <x:v>2279390.657784744</x:v>
      </x:c>
      <x:c r="F293" s="32" t="n">
        <x:v>599987.2092506643</x:v>
      </x:c>
      <x:c r="G293" s="32" t="n">
        <x:v>489.7808488706127</x:v>
      </x:c>
      <x:c r="H293" s="34" t="n">
        <x:f>G293/E293</x:f>
        <x:v>0.00021487358790292345</x:v>
      </x:c>
      <x:c r="I293" s="34" t="n">
        <x:f>G293/F293</x:f>
        <x:v>0.0008163188169999649</x:v>
      </x:c>
      <x:c r="J293" s="33" t="n">
        <x:f>E293/F293</x:f>
        <x:v>3.7990654177970216</x:v>
      </x:c>
      <x:c r="K293" s="25" t="b">
        <x:f>I293&gt;='Selection Rules'!$B$5</x:f>
        <x:v>0</x:v>
      </x:c>
      <x:c r="L293" s="25" t="n">
        <x:f>IF(AND(K293,J293&gt;='Selection Rules'!$B$6),1,0)</x:f>
        <x:v>0</x:v>
      </x:c>
      <x:c r="M293" s="25" t="n">
        <x:f>IF(AND(K293,J293&gt;='Selection Rules'!$B$7,J293&lt;'Selection Rules'!$B$6),1,0)</x:f>
        <x:v>0</x:v>
      </x:c>
    </x:row>
    <x:row r="294" ht="18" customHeight="1">
      <x:c r="A294" s="25" t="str">
        <x:v>EEZ_927</x:v>
      </x:c>
      <x:c r="B294" s="25" t="str">
        <x:v>Colombia (Caribbean)</x:v>
      </x:c>
      <x:c r="C294" s="25" t="str">
        <x:v>LME_012</x:v>
      </x:c>
      <x:c r="D294" s="25" t="str">
        <x:v>Caribbean Sea</x:v>
      </x:c>
      <x:c r="E294" s="32" t="n">
        <x:v>422709.8048492865</x:v>
      </x:c>
      <x:c r="F294" s="32" t="n">
        <x:v>3262576.84767364</x:v>
      </x:c>
      <x:c r="G294" s="32" t="n">
        <x:v>421375.4295384533</x:v>
      </x:c>
      <x:c r="H294" s="34" t="n">
        <x:f>G294/E294</x:f>
        <x:v>0.9968432828017582</x:v>
      </x:c>
      <x:c r="I294" s="34" t="n">
        <x:f>G294/F294</x:f>
        <x:v>0.12915417757559103</x:v>
      </x:c>
      <x:c r="J294" s="33" t="n">
        <x:f>E294/F294</x:f>
        <x:v>0.12956317186848704</x:v>
      </x:c>
      <x:c r="K294" s="25" t="b">
        <x:f>I294&gt;='Selection Rules'!$B$5</x:f>
        <x:v>0</x:v>
      </x:c>
      <x:c r="L294" s="25" t="n">
        <x:f>IF(AND(K294,J294&gt;='Selection Rules'!$B$6),1,0)</x:f>
        <x:v>0</x:v>
      </x:c>
      <x:c r="M294" s="25" t="n">
        <x:f>IF(AND(K294,J294&gt;='Selection Rules'!$B$7,J294&lt;'Selection Rules'!$B$6),1,0)</x:f>
        <x:v>0</x:v>
      </x:c>
    </x:row>
    <x:row r="295" ht="18" customHeight="1">
      <x:c r="A295" s="25" t="str">
        <x:v>EEZ_928</x:v>
      </x:c>
      <x:c r="B295" s="25" t="str">
        <x:v>Colombia (Pacific)</x:v>
      </x:c>
      <x:c r="C295" s="25" t="str">
        <x:v>LME_011</x:v>
      </x:c>
      <x:c r="D295" s="25" t="str">
        <x:v>Pacific Central-American Coastal</x:v>
      </x:c>
      <x:c r="E295" s="32" t="n">
        <x:v>326633.66322499764</x:v>
      </x:c>
      <x:c r="F295" s="32" t="n">
        <x:v>1981662.465291764</x:v>
      </x:c>
      <x:c r="G295" s="32" t="n">
        <x:v>280087.6728939199</x:v>
      </x:c>
      <x:c r="H295" s="34" t="n">
        <x:f>G295/E295</x:f>
        <x:v>0.8574978773727463</x:v>
      </x:c>
      <x:c r="I295" s="34" t="n">
        <x:f>G295/F295</x:f>
        <x:v>0.14133974771161753</x:v>
      </x:c>
      <x:c r="J295" s="33" t="n">
        <x:f>E295/F295</x:f>
        <x:v>0.16482810213438984</x:v>
      </x:c>
      <x:c r="K295" s="25" t="b">
        <x:f>I295&gt;='Selection Rules'!$B$5</x:f>
        <x:v>0</x:v>
      </x:c>
      <x:c r="L295" s="25" t="n">
        <x:f>IF(AND(K295,J295&gt;='Selection Rules'!$B$6),1,0)</x:f>
        <x:v>0</x:v>
      </x:c>
      <x:c r="M295" s="25" t="n">
        <x:f>IF(AND(K295,J295&gt;='Selection Rules'!$B$7,J295&lt;'Selection Rules'!$B$6),1,0)</x:f>
        <x:v>0</x:v>
      </x:c>
    </x:row>
    <x:row r="296" ht="18" customHeight="1">
      <x:c r="A296" s="25" t="str">
        <x:v>EEZ_929</x:v>
      </x:c>
      <x:c r="B296" s="25" t="str">
        <x:v>Costa Rica (Caribbean)</x:v>
      </x:c>
      <x:c r="C296" s="25" t="str">
        <x:v>LME_012</x:v>
      </x:c>
      <x:c r="D296" s="25" t="str">
        <x:v>Caribbean Sea</x:v>
      </x:c>
      <x:c r="E296" s="32" t="n">
        <x:v>20435.40239038998</x:v>
      </x:c>
      <x:c r="F296" s="32" t="n">
        <x:v>3262576.84767364</x:v>
      </x:c>
      <x:c r="G296" s="32" t="n">
        <x:v>20196.21806962015</x:v>
      </x:c>
      <x:c r="H296" s="34" t="n">
        <x:f>G296/E296</x:f>
        <x:v>0.9882955903583133</x:v>
      </x:c>
      <x:c r="I296" s="34" t="n">
        <x:f>G296/F296</x:f>
        <x:v>0.006190265858111798</x:v>
      </x:c>
      <x:c r="J296" s="33" t="n">
        <x:f>E296/F296</x:f>
        <x:v>0.006263577333040083</x:v>
      </x:c>
      <x:c r="K296" s="25" t="b">
        <x:f>I296&gt;='Selection Rules'!$B$5</x:f>
        <x:v>0</x:v>
      </x:c>
      <x:c r="L296" s="25" t="n">
        <x:f>IF(AND(K296,J296&gt;='Selection Rules'!$B$6),1,0)</x:f>
        <x:v>0</x:v>
      </x:c>
      <x:c r="M296" s="25" t="n">
        <x:f>IF(AND(K296,J296&gt;='Selection Rules'!$B$7,J296&lt;'Selection Rules'!$B$6),1,0)</x:f>
        <x:v>0</x:v>
      </x:c>
    </x:row>
    <x:row r="297" ht="18" customHeight="1">
      <x:c r="A297" s="25" t="str">
        <x:v>EEZ_930</x:v>
      </x:c>
      <x:c r="B297" s="25" t="str">
        <x:v>Costa Rica (Pacific)</x:v>
      </x:c>
      <x:c r="C297" s="25" t="str">
        <x:v>LME_011</x:v>
      </x:c>
      <x:c r="D297" s="25" t="str">
        <x:v>Pacific Central-American Coastal</x:v>
      </x:c>
      <x:c r="E297" s="32" t="n">
        <x:v>544937.9862180641</x:v>
      </x:c>
      <x:c r="F297" s="32" t="n">
        <x:v>1981662.465291764</x:v>
      </x:c>
      <x:c r="G297" s="32" t="n">
        <x:v>193992.26428120516</x:v>
      </x:c>
      <x:c r="H297" s="34" t="n">
        <x:f>G297/E297</x:f>
        <x:v>0.3559896156763361</x:v>
      </x:c>
      <x:c r="I297" s="34" t="n">
        <x:f>G297/F297</x:f>
        <x:v>0.09789369667081185</x:v>
      </x:c>
      <x:c r="J297" s="33" t="n">
        <x:f>E297/F297</x:f>
        <x:v>0.274990315334974</x:v>
      </x:c>
      <x:c r="K297" s="25" t="b">
        <x:f>I297&gt;='Selection Rules'!$B$5</x:f>
        <x:v>0</x:v>
      </x:c>
      <x:c r="L297" s="25" t="n">
        <x:f>IF(AND(K297,J297&gt;='Selection Rules'!$B$6),1,0)</x:f>
        <x:v>0</x:v>
      </x:c>
      <x:c r="M297" s="25" t="n">
        <x:f>IF(AND(K297,J297&gt;='Selection Rules'!$B$7,J297&lt;'Selection Rules'!$B$6),1,0)</x:f>
        <x:v>0</x:v>
      </x:c>
    </x:row>
    <x:row r="298" ht="18" customHeight="1">
      <x:c r="A298" s="25" t="str">
        <x:v>EEZ_931</x:v>
      </x:c>
      <x:c r="B298" s="25" t="str">
        <x:v>Denmark (Baltic Sea)</x:v>
      </x:c>
      <x:c r="C298" s="25" t="str">
        <x:v>LME_022</x:v>
      </x:c>
      <x:c r="D298" s="25" t="str">
        <x:v>North Sea</x:v>
      </x:c>
      <x:c r="E298" s="32" t="n">
        <x:v>29280.96258056275</x:v>
      </x:c>
      <x:c r="F298" s="32" t="n">
        <x:v>696532.8905595425</x:v>
      </x:c>
      <x:c r="G298" s="32" t="n">
        <x:v>5204.087154942829</x:v>
      </x:c>
      <x:c r="H298" s="34" t="n">
        <x:f>G298/E298</x:f>
        <x:v>0.177729374183805</x:v>
      </x:c>
      <x:c r="I298" s="34" t="n">
        <x:f>G298/F298</x:f>
        <x:v>0.0074714162467794665</x:v>
      </x:c>
      <x:c r="J298" s="33" t="n">
        <x:f>E298/F298</x:f>
        <x:v>0.0420381621276213</x:v>
      </x:c>
      <x:c r="K298" s="25" t="b">
        <x:f>I298&gt;='Selection Rules'!$B$5</x:f>
        <x:v>0</x:v>
      </x:c>
      <x:c r="L298" s="25" t="n">
        <x:f>IF(AND(K298,J298&gt;='Selection Rules'!$B$6),1,0)</x:f>
        <x:v>0</x:v>
      </x:c>
      <x:c r="M298" s="25" t="n">
        <x:f>IF(AND(K298,J298&gt;='Selection Rules'!$B$7,J298&lt;'Selection Rules'!$B$6),1,0)</x:f>
        <x:v>0</x:v>
      </x:c>
    </x:row>
    <x:row r="299" ht="18" customHeight="1">
      <x:c r="A299" s="25" t="str">
        <x:v>EEZ_931</x:v>
      </x:c>
      <x:c r="B299" s="25" t="str">
        <x:v>Denmark (Baltic Sea)</x:v>
      </x:c>
      <x:c r="C299" s="25" t="str">
        <x:v>LME_023</x:v>
      </x:c>
      <x:c r="D299" s="25" t="str">
        <x:v>Baltic Sea</x:v>
      </x:c>
      <x:c r="E299" s="32" t="n">
        <x:v>29280.96258056275</x:v>
      </x:c>
      <x:c r="F299" s="32" t="n">
        <x:v>396444.90371621336</x:v>
      </x:c>
      <x:c r="G299" s="32" t="n">
        <x:v>23529.855092743834</x:v>
      </x:c>
      <x:c r="H299" s="34" t="n">
        <x:f>G299/E299</x:f>
        <x:v>0.8035888515619835</x:v>
      </x:c>
      <x:c r="I299" s="34" t="n">
        <x:f>G299/F299</x:f>
        <x:v>0.059352144200060596</x:v>
      </x:c>
      <x:c r="J299" s="33" t="n">
        <x:f>E299/F299</x:f>
        <x:v>0.07385884471231065</x:v>
      </x:c>
      <x:c r="K299" s="25" t="b">
        <x:f>I299&gt;='Selection Rules'!$B$5</x:f>
        <x:v>0</x:v>
      </x:c>
      <x:c r="L299" s="25" t="n">
        <x:f>IF(AND(K299,J299&gt;='Selection Rules'!$B$6),1,0)</x:f>
        <x:v>0</x:v>
      </x:c>
      <x:c r="M299" s="25" t="n">
        <x:f>IF(AND(K299,J299&gt;='Selection Rules'!$B$7,J299&lt;'Selection Rules'!$B$6),1,0)</x:f>
        <x:v>0</x:v>
      </x:c>
    </x:row>
    <x:row r="300" ht="18" customHeight="1">
      <x:c r="A300" s="25" t="str">
        <x:v>EEZ_932</x:v>
      </x:c>
      <x:c r="B300" s="25" t="str">
        <x:v>Denmark (North Sea)</x:v>
      </x:c>
      <x:c r="C300" s="25" t="str">
        <x:v>LME_022</x:v>
      </x:c>
      <x:c r="D300" s="25" t="str">
        <x:v>North Sea</x:v>
      </x:c>
      <x:c r="E300" s="32" t="n">
        <x:v>75579.89229695995</x:v>
      </x:c>
      <x:c r="F300" s="32" t="n">
        <x:v>696532.8905595425</x:v>
      </x:c>
      <x:c r="G300" s="32" t="n">
        <x:v>75179.38327360684</x:v>
      </x:c>
      <x:c r="H300" s="34" t="n">
        <x:f>G300/E300</x:f>
        <x:v>0.9947008521554983</x:v>
      </x:c>
      <x:c r="I300" s="34" t="n">
        <x:f>G300/F300</x:f>
        <x:v>0.10793371611384116</x:v>
      </x:c>
      <x:c r="J300" s="33" t="n">
        <x:f>E300/F300</x:f>
        <x:v>0.10850871986281181</x:v>
      </x:c>
      <x:c r="K300" s="25" t="b">
        <x:f>I300&gt;='Selection Rules'!$B$5</x:f>
        <x:v>0</x:v>
      </x:c>
      <x:c r="L300" s="25" t="n">
        <x:f>IF(AND(K300,J300&gt;='Selection Rules'!$B$6),1,0)</x:f>
        <x:v>0</x:v>
      </x:c>
      <x:c r="M300" s="25" t="n">
        <x:f>IF(AND(K300,J300&gt;='Selection Rules'!$B$7,J300&lt;'Selection Rules'!$B$6),1,0)</x:f>
        <x:v>0</x:v>
      </x:c>
    </x:row>
    <x:row r="301" ht="18" customHeight="1">
      <x:c r="A301" s="25" t="str">
        <x:v>EEZ_933</x:v>
      </x:c>
      <x:c r="B301" s="25" t="str">
        <x:v>Egypt (Mediterranean)</x:v>
      </x:c>
      <x:c r="C301" s="25" t="str">
        <x:v>LME_026</x:v>
      </x:c>
      <x:c r="D301" s="25" t="str">
        <x:v>Mediterranean Sea</x:v>
      </x:c>
      <x:c r="E301" s="32" t="n">
        <x:v>170151.27303405973</x:v>
      </x:c>
      <x:c r="F301" s="32" t="n">
        <x:v>2527801.206996367</x:v>
      </x:c>
      <x:c r="G301" s="32" t="n">
        <x:v>169811.6086628786</x:v>
      </x:c>
      <x:c r="H301" s="34" t="n">
        <x:f>G301/E301</x:f>
        <x:v>0.9980037506324555</x:v>
      </x:c>
      <x:c r="I301" s="34" t="n">
        <x:f>G301/F301</x:f>
        <x:v>0.06717759616257778</x:v>
      </x:c>
      <x:c r="J301" s="33" t="n">
        <x:f>E301/F301</x:f>
        <x:v>0.06731196763539811</x:v>
      </x:c>
      <x:c r="K301" s="25" t="b">
        <x:f>I301&gt;='Selection Rules'!$B$5</x:f>
        <x:v>0</x:v>
      </x:c>
      <x:c r="L301" s="25" t="n">
        <x:f>IF(AND(K301,J301&gt;='Selection Rules'!$B$6),1,0)</x:f>
        <x:v>0</x:v>
      </x:c>
      <x:c r="M301" s="25" t="n">
        <x:f>IF(AND(K301,J301&gt;='Selection Rules'!$B$7,J301&lt;'Selection Rules'!$B$6),1,0)</x:f>
        <x:v>0</x:v>
      </x:c>
    </x:row>
    <x:row r="302" ht="18" customHeight="1">
      <x:c r="A302" s="25" t="str">
        <x:v>EEZ_934</x:v>
      </x:c>
      <x:c r="B302" s="25" t="str">
        <x:v>Egypt (Red Sea)</x:v>
      </x:c>
      <x:c r="C302" s="25" t="str">
        <x:v>LME_033</x:v>
      </x:c>
      <x:c r="D302" s="25" t="str">
        <x:v>Red Sea</x:v>
      </x:c>
      <x:c r="E302" s="32" t="n">
        <x:v>91305.76270309587</x:v>
      </x:c>
      <x:c r="F302" s="32" t="n">
        <x:v>460970.08083065716</x:v>
      </x:c>
      <x:c r="G302" s="32" t="n">
        <x:v>90823.13155240436</x:v>
      </x:c>
      <x:c r="H302" s="34" t="n">
        <x:f>G302/E302</x:f>
        <x:v>0.9947141216895486</x:v>
      </x:c>
      <x:c r="I302" s="34" t="n">
        <x:f>G302/F302</x:f>
        <x:v>0.19702608765571777</x:v>
      </x:c>
      <x:c r="J302" s="33" t="n">
        <x:f>E302/F302</x:f>
        <x:v>0.1980730778417659</x:v>
      </x:c>
      <x:c r="K302" s="25" t="b">
        <x:f>I302&gt;='Selection Rules'!$B$5</x:f>
        <x:v>0</x:v>
      </x:c>
      <x:c r="L302" s="25" t="n">
        <x:f>IF(AND(K302,J302&gt;='Selection Rules'!$B$6),1,0)</x:f>
        <x:v>0</x:v>
      </x:c>
      <x:c r="M302" s="25" t="n">
        <x:f>IF(AND(K302,J302&gt;='Selection Rules'!$B$7,J302&lt;'Selection Rules'!$B$6),1,0)</x:f>
        <x:v>0</x:v>
      </x:c>
    </x:row>
    <x:row r="303" ht="18" customHeight="1">
      <x:c r="A303" s="25" t="str">
        <x:v>EEZ_935</x:v>
      </x:c>
      <x:c r="B303" s="25" t="str">
        <x:v>Guatemala (Caribbean)</x:v>
      </x:c>
      <x:c r="C303" s="25" t="str">
        <x:v>LME_012</x:v>
      </x:c>
      <x:c r="D303" s="25" t="str">
        <x:v>Caribbean Sea</x:v>
      </x:c>
      <x:c r="E303" s="32" t="n">
        <x:v>1518.0183316064174</x:v>
      </x:c>
      <x:c r="F303" s="32" t="n">
        <x:v>3262576.84767364</x:v>
      </x:c>
      <x:c r="G303" s="32" t="n">
        <x:v>1447.6849522597347</x:v>
      </x:c>
      <x:c r="H303" s="34" t="n">
        <x:f>G303/E303</x:f>
        <x:v>0.9536676350461106</x:v>
      </x:c>
      <x:c r="I303" s="34" t="n">
        <x:f>G303/F303</x:f>
        <x:v>0.0004437243994090123</x:v>
      </x:c>
      <x:c r="J303" s="33" t="n">
        <x:f>E303/F303</x:f>
        <x:v>0.00046528201556043984</x:v>
      </x:c>
      <x:c r="K303" s="25" t="b">
        <x:f>I303&gt;='Selection Rules'!$B$5</x:f>
        <x:v>0</x:v>
      </x:c>
      <x:c r="L303" s="25" t="n">
        <x:f>IF(AND(K303,J303&gt;='Selection Rules'!$B$6),1,0)</x:f>
        <x:v>0</x:v>
      </x:c>
      <x:c r="M303" s="25" t="n">
        <x:f>IF(AND(K303,J303&gt;='Selection Rules'!$B$7,J303&lt;'Selection Rules'!$B$6),1,0)</x:f>
        <x:v>0</x:v>
      </x:c>
    </x:row>
    <x:row r="304" ht="18" customHeight="1">
      <x:c r="A304" s="25" t="str">
        <x:v>EEZ_936</x:v>
      </x:c>
      <x:c r="B304" s="25" t="str">
        <x:v>Guatemala (Pacific)</x:v>
      </x:c>
      <x:c r="C304" s="25" t="str">
        <x:v>LME_011</x:v>
      </x:c>
      <x:c r="D304" s="25" t="str">
        <x:v>Pacific Central-American Coastal</x:v>
      </x:c>
      <x:c r="E304" s="32" t="n">
        <x:v>107503.59461192679</x:v>
      </x:c>
      <x:c r="F304" s="32" t="n">
        <x:v>1981662.465291764</x:v>
      </x:c>
      <x:c r="G304" s="32" t="n">
        <x:v>97427.02509176734</x:v>
      </x:c>
      <x:c r="H304" s="34" t="n">
        <x:f>G304/E304</x:f>
        <x:v>0.9062676038272536</x:v>
      </x:c>
      <x:c r="I304" s="34" t="n">
        <x:f>G304/F304</x:f>
        <x:v>0.04916428846898656</x:v>
      </x:c>
      <x:c r="J304" s="33" t="n">
        <x:f>E304/F304</x:f>
        <x:v>0.0542491955591937</x:v>
      </x:c>
      <x:c r="K304" s="25" t="b">
        <x:f>I304&gt;='Selection Rules'!$B$5</x:f>
        <x:v>0</x:v>
      </x:c>
      <x:c r="L304" s="25" t="n">
        <x:f>IF(AND(K304,J304&gt;='Selection Rules'!$B$6),1,0)</x:f>
        <x:v>0</x:v>
      </x:c>
      <x:c r="M304" s="25" t="n">
        <x:f>IF(AND(K304,J304&gt;='Selection Rules'!$B$7,J304&lt;'Selection Rules'!$B$6),1,0)</x:f>
        <x:v>0</x:v>
      </x:c>
    </x:row>
    <x:row r="305" ht="18" customHeight="1">
      <x:c r="A305" s="25" t="str">
        <x:v>EEZ_937</x:v>
      </x:c>
      <x:c r="B305" s="25" t="str">
        <x:v>Indonesia (Central)</x:v>
      </x:c>
      <x:c r="C305" s="25" t="str">
        <x:v>LME_034</x:v>
      </x:c>
      <x:c r="D305" s="25" t="str">
        <x:v>Bay of Bengal</x:v>
      </x:c>
      <x:c r="E305" s="32" t="n">
        <x:v>1003591.2537890506</x:v>
      </x:c>
      <x:c r="F305" s="32" t="n">
        <x:v>3664559.241537097</x:v>
      </x:c>
      <x:c r="G305" s="32" t="n">
        <x:v>797.7934848650597</x:v>
      </x:c>
      <x:c r="H305" s="34" t="n">
        <x:f>G305/E305</x:f>
        <x:v>0.0007949386583960321</x:v>
      </x:c>
      <x:c r="I305" s="34" t="n">
        <x:f>G305/F305</x:f>
        <x:v>0.00021770516787454793</x:v>
      </x:c>
      <x:c r="J305" s="33" t="n">
        <x:f>E305/F305</x:f>
        <x:v>0.2738641096079252</x:v>
      </x:c>
      <x:c r="K305" s="25" t="b">
        <x:f>I305&gt;='Selection Rules'!$B$5</x:f>
        <x:v>0</x:v>
      </x:c>
      <x:c r="L305" s="25" t="n">
        <x:f>IF(AND(K305,J305&gt;='Selection Rules'!$B$6),1,0)</x:f>
        <x:v>0</x:v>
      </x:c>
      <x:c r="M305" s="25" t="n">
        <x:f>IF(AND(K305,J305&gt;='Selection Rules'!$B$7,J305&lt;'Selection Rules'!$B$6),1,0)</x:f>
        <x:v>0</x:v>
      </x:c>
    </x:row>
    <x:row r="306" ht="18" customHeight="1">
      <x:c r="A306" s="25" t="str">
        <x:v>EEZ_937</x:v>
      </x:c>
      <x:c r="B306" s="25" t="str">
        <x:v>Indonesia (Central)</x:v>
      </x:c>
      <x:c r="C306" s="25" t="str">
        <x:v>LME_036</x:v>
      </x:c>
      <x:c r="D306" s="25" t="str">
        <x:v>South China Sea</x:v>
      </x:c>
      <x:c r="E306" s="32" t="n">
        <x:v>1003591.2537890506</x:v>
      </x:c>
      <x:c r="F306" s="32" t="n">
        <x:v>3164824.0447257855</x:v>
      </x:c>
      <x:c r="G306" s="32" t="n">
        <x:v>525641.9562846001</x:v>
      </x:c>
      <x:c r="H306" s="34" t="n">
        <x:f>G306/E306</x:f>
        <x:v>0.5237609976173498</x:v>
      </x:c>
      <x:c r="I306" s="34" t="n">
        <x:f>G306/F306</x:f>
        <x:v>0.1660888405978172</x:v>
      </x:c>
      <x:c r="J306" s="33" t="n">
        <x:f>E306/F306</x:f>
        <x:v>0.3171080728679203</x:v>
      </x:c>
      <x:c r="K306" s="25" t="b">
        <x:f>I306&gt;='Selection Rules'!$B$5</x:f>
        <x:v>0</x:v>
      </x:c>
      <x:c r="L306" s="25" t="n">
        <x:f>IF(AND(K306,J306&gt;='Selection Rules'!$B$6),1,0)</x:f>
        <x:v>0</x:v>
      </x:c>
      <x:c r="M306" s="25" t="n">
        <x:f>IF(AND(K306,J306&gt;='Selection Rules'!$B$7,J306&lt;'Selection Rules'!$B$6),1,0)</x:f>
        <x:v>0</x:v>
      </x:c>
    </x:row>
    <x:row r="307" ht="18" customHeight="1">
      <x:c r="A307" s="25" t="str">
        <x:v>EEZ_937</x:v>
      </x:c>
      <x:c r="B307" s="25" t="str">
        <x:v>Indonesia (Central)</x:v>
      </x:c>
      <x:c r="C307" s="25" t="str">
        <x:v>LME_038</x:v>
      </x:c>
      <x:c r="D307" s="25" t="str">
        <x:v>Indonesian Sea</x:v>
      </x:c>
      <x:c r="E307" s="32" t="n">
        <x:v>1003591.2537890506</x:v>
      </x:c>
      <x:c r="F307" s="32" t="n">
        <x:v>2267460.478990507</x:v>
      </x:c>
      <x:c r="G307" s="32" t="n">
        <x:v>466148.9083901029</x:v>
      </x:c>
      <x:c r="H307" s="34" t="n">
        <x:f>G307/E307</x:f>
        <x:v>0.4644808398141788</x:v>
      </x:c>
      <x:c r="I307" s="34" t="n">
        <x:f>G307/F307</x:f>
        <x:v>0.20558193305209732</x:v>
      </x:c>
      <x:c r="J307" s="33" t="n">
        <x:f>E307/F307</x:f>
        <x:v>0.44260584168411093</x:v>
      </x:c>
      <x:c r="K307" s="25" t="b">
        <x:f>I307&gt;='Selection Rules'!$B$5</x:f>
        <x:v>0</x:v>
      </x:c>
      <x:c r="L307" s="25" t="n">
        <x:f>IF(AND(K307,J307&gt;='Selection Rules'!$B$6),1,0)</x:f>
        <x:v>0</x:v>
      </x:c>
      <x:c r="M307" s="25" t="n">
        <x:f>IF(AND(K307,J307&gt;='Selection Rules'!$B$7,J307&lt;'Selection Rules'!$B$6),1,0)</x:f>
        <x:v>0</x:v>
      </x:c>
    </x:row>
    <x:row r="308" ht="18" customHeight="1">
      <x:c r="A308" s="25" t="str">
        <x:v>EEZ_938</x:v>
      </x:c>
      <x:c r="B308" s="25" t="str">
        <x:v>Indonesia (Indian Ocean)</x:v>
      </x:c>
      <x:c r="C308" s="25" t="str">
        <x:v>LME_034</x:v>
      </x:c>
      <x:c r="D308" s="25" t="str">
        <x:v>Bay of Bengal</x:v>
      </x:c>
      <x:c r="E308" s="32" t="n">
        <x:v>1410011.8441569735</x:v>
      </x:c>
      <x:c r="F308" s="32" t="n">
        <x:v>3664559.241537097</x:v>
      </x:c>
      <x:c r="G308" s="32" t="n">
        <x:v>287523.68488710356</x:v>
      </x:c>
      <x:c r="H308" s="34" t="n">
        <x:f>G308/E308</x:f>
        <x:v>0.20391579409675809</x:v>
      </x:c>
      <x:c r="I308" s="34" t="n">
        <x:f>G308/F308</x:f>
        <x:v>0.07846064586105639</x:v>
      </x:c>
      <x:c r="J308" s="33" t="n">
        <x:f>E308/F308</x:f>
        <x:v>0.38476983211916777</x:v>
      </x:c>
      <x:c r="K308" s="25" t="b">
        <x:f>I308&gt;='Selection Rules'!$B$5</x:f>
        <x:v>0</x:v>
      </x:c>
      <x:c r="L308" s="25" t="n">
        <x:f>IF(AND(K308,J308&gt;='Selection Rules'!$B$6),1,0)</x:f>
        <x:v>0</x:v>
      </x:c>
      <x:c r="M308" s="25" t="n">
        <x:f>IF(AND(K308,J308&gt;='Selection Rules'!$B$7,J308&lt;'Selection Rules'!$B$6),1,0)</x:f>
        <x:v>0</x:v>
      </x:c>
    </x:row>
    <x:row r="309" ht="18" customHeight="1">
      <x:c r="A309" s="25" t="str">
        <x:v>EEZ_938</x:v>
      </x:c>
      <x:c r="B309" s="25" t="str">
        <x:v>Indonesia (Indian Ocean)</x:v>
      </x:c>
      <x:c r="C309" s="25" t="str">
        <x:v>LME_036</x:v>
      </x:c>
      <x:c r="D309" s="25" t="str">
        <x:v>South China Sea</x:v>
      </x:c>
      <x:c r="E309" s="32" t="n">
        <x:v>1410011.8441569735</x:v>
      </x:c>
      <x:c r="F309" s="32" t="n">
        <x:v>3164824.0447257855</x:v>
      </x:c>
      <x:c r="G309" s="32" t="n">
        <x:v>754.0144960835637</x:v>
      </x:c>
      <x:c r="H309" s="34" t="n">
        <x:f>G309/E309</x:f>
        <x:v>0.0005347575619369201</x:v>
      </x:c>
      <x:c r="I309" s="34" t="n">
        <x:f>G309/F309</x:f>
        <x:v>0.00023824847303600881</x:v>
      </x:c>
      <x:c r="J309" s="33" t="n">
        <x:f>E309/F309</x:f>
        <x:v>0.4455261411789303</x:v>
      </x:c>
      <x:c r="K309" s="25" t="b">
        <x:f>I309&gt;='Selection Rules'!$B$5</x:f>
        <x:v>0</x:v>
      </x:c>
      <x:c r="L309" s="25" t="n">
        <x:f>IF(AND(K309,J309&gt;='Selection Rules'!$B$6),1,0)</x:f>
        <x:v>0</x:v>
      </x:c>
      <x:c r="M309" s="25" t="n">
        <x:f>IF(AND(K309,J309&gt;='Selection Rules'!$B$7,J309&lt;'Selection Rules'!$B$6),1,0)</x:f>
        <x:v>0</x:v>
      </x:c>
    </x:row>
    <x:row r="310" ht="18" customHeight="1">
      <x:c r="A310" s="25" t="str">
        <x:v>EEZ_938</x:v>
      </x:c>
      <x:c r="B310" s="25" t="str">
        <x:v>Indonesia (Indian Ocean)</x:v>
      </x:c>
      <x:c r="C310" s="25" t="str">
        <x:v>LME_038</x:v>
      </x:c>
      <x:c r="D310" s="25" t="str">
        <x:v>Indonesian Sea</x:v>
      </x:c>
      <x:c r="E310" s="32" t="n">
        <x:v>1410011.8441569735</x:v>
      </x:c>
      <x:c r="F310" s="32" t="n">
        <x:v>2267460.478990507</x:v>
      </x:c>
      <x:c r="G310" s="32" t="n">
        <x:v>500.91728457460687</x:v>
      </x:c>
      <x:c r="H310" s="34" t="n">
        <x:f>G310/E310</x:f>
        <x:v>0.0003552575013113442</x:v>
      </x:c>
      <x:c r="I310" s="34" t="n">
        <x:f>G310/F310</x:f>
        <x:v>0.00022091555253815035</x:v>
      </x:c>
      <x:c r="J310" s="33" t="n">
        <x:f>E310/F310</x:f>
        <x:v>0.6218462712896866</x:v>
      </x:c>
      <x:c r="K310" s="25" t="b">
        <x:f>I310&gt;='Selection Rules'!$B$5</x:f>
        <x:v>0</x:v>
      </x:c>
      <x:c r="L310" s="25" t="n">
        <x:f>IF(AND(K310,J310&gt;='Selection Rules'!$B$6),1,0)</x:f>
        <x:v>0</x:v>
      </x:c>
      <x:c r="M310" s="25" t="n">
        <x:f>IF(AND(K310,J310&gt;='Selection Rules'!$B$7,J310&lt;'Selection Rules'!$B$6),1,0)</x:f>
        <x:v>0</x:v>
      </x:c>
    </x:row>
    <x:row r="311" ht="18" customHeight="1">
      <x:c r="A311" s="25" t="str">
        <x:v>EEZ_939</x:v>
      </x:c>
      <x:c r="B311" s="25" t="str">
        <x:v>Israel (Mediterranean)</x:v>
      </x:c>
      <x:c r="C311" s="25" t="str">
        <x:v>LME_026</x:v>
      </x:c>
      <x:c r="D311" s="25" t="str">
        <x:v>Mediterranean Sea</x:v>
      </x:c>
      <x:c r="E311" s="32" t="n">
        <x:v>25732.799828694675</x:v>
      </x:c>
      <x:c r="F311" s="32" t="n">
        <x:v>2527801.206996367</x:v>
      </x:c>
      <x:c r="G311" s="32" t="n">
        <x:v>25651.194925455264</x:v>
      </x:c>
      <x:c r="H311" s="34" t="n">
        <x:f>G311/E311</x:f>
        <x:v>0.9968287592573423</x:v>
      </x:c>
      <x:c r="I311" s="34" t="n">
        <x:f>G311/F311</x:f>
        <x:v>0.010147631409645154</x:v>
      </x:c>
      <x:c r="J311" s="33" t="n">
        <x:f>E311/F311</x:f>
        <x:v>0.010179914368848412</x:v>
      </x:c>
      <x:c r="K311" s="25" t="b">
        <x:f>I311&gt;='Selection Rules'!$B$5</x:f>
        <x:v>0</x:v>
      </x:c>
      <x:c r="L311" s="25" t="n">
        <x:f>IF(AND(K311,J311&gt;='Selection Rules'!$B$6),1,0)</x:f>
        <x:v>0</x:v>
      </x:c>
      <x:c r="M311" s="25" t="n">
        <x:f>IF(AND(K311,J311&gt;='Selection Rules'!$B$7,J311&lt;'Selection Rules'!$B$6),1,0)</x:f>
        <x:v>0</x:v>
      </x:c>
    </x:row>
    <x:row r="312" ht="18" customHeight="1">
      <x:c r="A312" s="25" t="str">
        <x:v>EEZ_940</x:v>
      </x:c>
      <x:c r="B312" s="25" t="str">
        <x:v>Israel (Red Sea)</x:v>
      </x:c>
      <x:c r="C312" s="25" t="str">
        <x:v>LME_033</x:v>
      </x:c>
      <x:c r="D312" s="25" t="str">
        <x:v>Red Sea</x:v>
      </x:c>
      <x:c r="E312" s="32" t="n">
        <x:v>20.72896002280011</x:v>
      </x:c>
      <x:c r="F312" s="32" t="n">
        <x:v>460970.08083065716</x:v>
      </x:c>
      <x:c r="G312" s="32" t="n">
        <x:v>20.72896002280011</x:v>
      </x:c>
      <x:c r="H312" s="34" t="n">
        <x:f>G312/E312</x:f>
        <x:v>1</x:v>
      </x:c>
      <x:c r="I312" s="34" t="n">
        <x:f>G312/F312</x:f>
        <x:v>0.00004496812458076892</x:v>
      </x:c>
      <x:c r="J312" s="33" t="n">
        <x:f>E312/F312</x:f>
        <x:v>0.00004496812458076892</x:v>
      </x:c>
      <x:c r="K312" s="25" t="b">
        <x:f>I312&gt;='Selection Rules'!$B$5</x:f>
        <x:v>0</x:v>
      </x:c>
      <x:c r="L312" s="25" t="n">
        <x:f>IF(AND(K312,J312&gt;='Selection Rules'!$B$6),1,0)</x:f>
        <x:v>0</x:v>
      </x:c>
      <x:c r="M312" s="25" t="n">
        <x:f>IF(AND(K312,J312&gt;='Selection Rules'!$B$7,J312&lt;'Selection Rules'!$B$6),1,0)</x:f>
        <x:v>0</x:v>
      </x:c>
    </x:row>
    <x:row r="313" ht="18" customHeight="1">
      <x:c r="A313" s="25" t="str">
        <x:v>EEZ_944</x:v>
      </x:c>
      <x:c r="B313" s="25" t="str">
        <x:v>Mexico (Atlantic)</x:v>
      </x:c>
      <x:c r="C313" s="25" t="str">
        <x:v>LME_005</x:v>
      </x:c>
      <x:c r="D313" s="25" t="str">
        <x:v>Gulf of Mexico</x:v>
      </x:c>
      <x:c r="E313" s="32" t="n">
        <x:v>831478.5958908207</x:v>
      </x:c>
      <x:c r="F313" s="32" t="n">
        <x:v>1532439.5578843302</x:v>
      </x:c>
      <x:c r="G313" s="32" t="n">
        <x:v>734911.2901033574</x:v>
      </x:c>
      <x:c r="H313" s="34" t="n">
        <x:f>G313/E313</x:f>
        <x:v>0.8838607436623139</x:v>
      </x:c>
      <x:c r="I313" s="34" t="n">
        <x:f>G313/F313</x:f>
        <x:v>0.47956951145138027</x:v>
      </x:c>
      <x:c r="J313" s="33" t="n">
        <x:f>E313/F313</x:f>
        <x:v>0.5425849206338365</x:v>
      </x:c>
      <x:c r="K313" s="25" t="b">
        <x:f>I313&gt;='Selection Rules'!$B$5</x:f>
        <x:v>0</x:v>
      </x:c>
      <x:c r="L313" s="25" t="n">
        <x:f>IF(AND(K313,J313&gt;='Selection Rules'!$B$6),1,0)</x:f>
        <x:v>0</x:v>
      </x:c>
      <x:c r="M313" s="25" t="n">
        <x:f>IF(AND(K313,J313&gt;='Selection Rules'!$B$7,J313&lt;'Selection Rules'!$B$6),1,0)</x:f>
        <x:v>0</x:v>
      </x:c>
    </x:row>
    <x:row r="314" ht="18" customHeight="1">
      <x:c r="A314" s="25" t="str">
        <x:v>EEZ_944</x:v>
      </x:c>
      <x:c r="B314" s="25" t="str">
        <x:v>Mexico (Atlantic)</x:v>
      </x:c>
      <x:c r="C314" s="25" t="str">
        <x:v>LME_012</x:v>
      </x:c>
      <x:c r="D314" s="25" t="str">
        <x:v>Caribbean Sea</x:v>
      </x:c>
      <x:c r="E314" s="32" t="n">
        <x:v>831478.5958908207</x:v>
      </x:c>
      <x:c r="F314" s="32" t="n">
        <x:v>3262576.84767364</x:v>
      </x:c>
      <x:c r="G314" s="32" t="n">
        <x:v>91032.51811453482</x:v>
      </x:c>
      <x:c r="H314" s="34" t="n">
        <x:f>G314/E314</x:f>
        <x:v>0.10948269572352054</x:v>
      </x:c>
      <x:c r="I314" s="34" t="n">
        <x:f>G314/F314</x:f>
        <x:v>0.0279020303167556</x:v>
      </x:c>
      <x:c r="J314" s="33" t="n">
        <x:f>E314/F314</x:f>
        <x:v>0.25485333670644456</x:v>
      </x:c>
      <x:c r="K314" s="25" t="b">
        <x:f>I314&gt;='Selection Rules'!$B$5</x:f>
        <x:v>0</x:v>
      </x:c>
      <x:c r="L314" s="25" t="n">
        <x:f>IF(AND(K314,J314&gt;='Selection Rules'!$B$6),1,0)</x:f>
        <x:v>0</x:v>
      </x:c>
      <x:c r="M314" s="25" t="n">
        <x:f>IF(AND(K314,J314&gt;='Selection Rules'!$B$7,J314&lt;'Selection Rules'!$B$6),1,0)</x:f>
        <x:v>0</x:v>
      </x:c>
    </x:row>
    <x:row r="315" ht="18" customHeight="1">
      <x:c r="A315" s="25" t="str">
        <x:v>EEZ_945</x:v>
      </x:c>
      <x:c r="B315" s="25" t="str">
        <x:v>Mexico (Pacific)</x:v>
      </x:c>
      <x:c r="C315" s="25" t="str">
        <x:v>LME_003</x:v>
      </x:c>
      <x:c r="D315" s="25" t="str">
        <x:v>California Current</x:v>
      </x:c>
      <x:c r="E315" s="32" t="n">
        <x:v>2349313.1133840904</x:v>
      </x:c>
      <x:c r="F315" s="32" t="n">
        <x:v>2215007.371490185</x:v>
      </x:c>
      <x:c r="G315" s="32" t="n">
        <x:v>659389.1519660627</x:v>
      </x:c>
      <x:c r="H315" s="34" t="n">
        <x:f>G315/E315</x:f>
        <x:v>0.2806731670672196</x:v>
      </x:c>
      <x:c r="I315" s="34" t="n">
        <x:f>G315/F315</x:f>
        <x:v>0.29769162868403776</x:v>
      </x:c>
      <x:c r="J315" s="33" t="n">
        <x:f>E315/F315</x:f>
        <x:v>1.0606344446626146</x:v>
      </x:c>
      <x:c r="K315" s="25" t="b">
        <x:f>I315&gt;='Selection Rules'!$B$5</x:f>
        <x:v>0</x:v>
      </x:c>
      <x:c r="L315" s="25" t="n">
        <x:f>IF(AND(K315,J315&gt;='Selection Rules'!$B$6),1,0)</x:f>
        <x:v>0</x:v>
      </x:c>
      <x:c r="M315" s="25" t="n">
        <x:f>IF(AND(K315,J315&gt;='Selection Rules'!$B$7,J315&lt;'Selection Rules'!$B$6),1,0)</x:f>
        <x:v>0</x:v>
      </x:c>
    </x:row>
    <x:row r="316" ht="18" customHeight="1">
      <x:c r="A316" s="25" t="str">
        <x:v>EEZ_945</x:v>
      </x:c>
      <x:c r="B316" s="25" t="str">
        <x:v>Mexico (Pacific)</x:v>
      </x:c>
      <x:c r="C316" s="25" t="str">
        <x:v>LME_004</x:v>
      </x:c>
      <x:c r="D316" s="25" t="str">
        <x:v>Gulf of California</x:v>
      </x:c>
      <x:c r="E316" s="32" t="n">
        <x:v>2349313.1133840904</x:v>
      </x:c>
      <x:c r="F316" s="32" t="n">
        <x:v>222399.7685962258</x:v>
      </x:c>
      <x:c r="G316" s="32" t="n">
        <x:v>219827.43254956178</x:v>
      </x:c>
      <x:c r="H316" s="34" t="n">
        <x:f>G316/E316</x:f>
        <x:v>0.0935709383722416</x:v>
      </x:c>
      <x:c r="I316" s="34" t="n">
        <x:f>G316/F316</x:f>
        <x:v>0.988433728762847</x:v>
      </x:c>
      <x:c r="J316" s="33" t="n">
        <x:f>E316/F316</x:f>
        <x:v>10.563469234760522</x:v>
      </x:c>
      <x:c r="K316" s="25" t="b">
        <x:f>I316&gt;='Selection Rules'!$B$5</x:f>
        <x:v>1</x:v>
      </x:c>
      <x:c r="L316" s="25" t="n">
        <x:f>IF(AND(K316,J316&gt;='Selection Rules'!$B$6),1,0)</x:f>
        <x:v>1</x:v>
      </x:c>
      <x:c r="M316" s="25" t="n">
        <x:f>IF(AND(K316,J316&gt;='Selection Rules'!$B$7,J316&lt;'Selection Rules'!$B$6),1,0)</x:f>
        <x:v>0</x:v>
      </x:c>
    </x:row>
    <x:row r="317" ht="18" customHeight="1">
      <x:c r="A317" s="25" t="str">
        <x:v>EEZ_945</x:v>
      </x:c>
      <x:c r="B317" s="25" t="str">
        <x:v>Mexico (Pacific)</x:v>
      </x:c>
      <x:c r="C317" s="25" t="str">
        <x:v>LME_011</x:v>
      </x:c>
      <x:c r="D317" s="25" t="str">
        <x:v>Pacific Central-American Coastal</x:v>
      </x:c>
      <x:c r="E317" s="32" t="n">
        <x:v>2349313.1133840904</x:v>
      </x:c>
      <x:c r="F317" s="32" t="n">
        <x:v>1981662.465291764</x:v>
      </x:c>
      <x:c r="G317" s="32" t="n">
        <x:v>898782.229137508</x:v>
      </x:c>
      <x:c r="H317" s="34" t="n">
        <x:f>G317/E317</x:f>
        <x:v>0.38257234594108597</x:v>
      </x:c>
      <x:c r="I317" s="34" t="n">
        <x:f>G317/F317</x:f>
        <x:v>0.4535496053840726</x:v>
      </x:c>
      <x:c r="J317" s="33" t="n">
        <x:f>E317/F317</x:f>
        <x:v>1.1855263721908345</x:v>
      </x:c>
      <x:c r="K317" s="25" t="b">
        <x:f>I317&gt;='Selection Rules'!$B$5</x:f>
        <x:v>0</x:v>
      </x:c>
      <x:c r="L317" s="25" t="n">
        <x:f>IF(AND(K317,J317&gt;='Selection Rules'!$B$6),1,0)</x:f>
        <x:v>0</x:v>
      </x:c>
      <x:c r="M317" s="25" t="n">
        <x:f>IF(AND(K317,J317&gt;='Selection Rules'!$B$7,J317&lt;'Selection Rules'!$B$6),1,0)</x:f>
        <x:v>0</x:v>
      </x:c>
    </x:row>
    <x:row r="318" ht="18" customHeight="1">
      <x:c r="A318" s="25" t="str">
        <x:v>EEZ_946</x:v>
      </x:c>
      <x:c r="B318" s="25" t="str">
        <x:v>Morocco (Central)</x:v>
      </x:c>
      <x:c r="C318" s="25" t="str">
        <x:v>LME_027</x:v>
      </x:c>
      <x:c r="D318" s="25" t="str">
        <x:v>Canary Current</x:v>
      </x:c>
      <x:c r="E318" s="32" t="n">
        <x:v>261992.41119371905</x:v>
      </x:c>
      <x:c r="F318" s="32" t="n">
        <x:v>1123299.8683993171</x:v>
      </x:c>
      <x:c r="G318" s="32" t="n">
        <x:v>252505.25249500904</x:v>
      </x:c>
      <x:c r="H318" s="34" t="n">
        <x:f>G318/E318</x:f>
        <x:v>0.9637884217505249</x:v>
      </x:c>
      <x:c r="I318" s="34" t="n">
        <x:f>G318/F318</x:f>
        <x:v>0.22478882050865426</x:v>
      </x:c>
      <x:c r="J318" s="33" t="n">
        <x:f>E318/F318</x:f>
        <x:v>0.23323461398340026</x:v>
      </x:c>
      <x:c r="K318" s="25" t="b">
        <x:f>I318&gt;='Selection Rules'!$B$5</x:f>
        <x:v>0</x:v>
      </x:c>
      <x:c r="L318" s="25" t="n">
        <x:f>IF(AND(K318,J318&gt;='Selection Rules'!$B$6),1,0)</x:f>
        <x:v>0</x:v>
      </x:c>
      <x:c r="M318" s="25" t="n">
        <x:f>IF(AND(K318,J318&gt;='Selection Rules'!$B$7,J318&lt;'Selection Rules'!$B$6),1,0)</x:f>
        <x:v>0</x:v>
      </x:c>
    </x:row>
    <x:row r="319" ht="18" customHeight="1">
      <x:c r="A319" s="25" t="str">
        <x:v>EEZ_947</x:v>
      </x:c>
      <x:c r="B319" s="25" t="str">
        <x:v>Morocco (Mediterranean)</x:v>
      </x:c>
      <x:c r="C319" s="25" t="str">
        <x:v>LME_026</x:v>
      </x:c>
      <x:c r="D319" s="25" t="str">
        <x:v>Mediterranean Sea</x:v>
      </x:c>
      <x:c r="E319" s="32" t="n">
        <x:v>18395.30800685769</x:v>
      </x:c>
      <x:c r="F319" s="32" t="n">
        <x:v>2527801.206996367</x:v>
      </x:c>
      <x:c r="G319" s="32" t="n">
        <x:v>18105.109300178156</x:v>
      </x:c>
      <x:c r="H319" s="34" t="n">
        <x:f>G319/E319</x:f>
        <x:v>0.9842243083632333</x:v>
      </x:c>
      <x:c r="I319" s="34" t="n">
        <x:f>G319/F319</x:f>
        <x:v>0.007162394435949875</x:v>
      </x:c>
      <x:c r="J319" s="33" t="n">
        <x:f>E319/F319</x:f>
        <x:v>0.007277197255837899</x:v>
      </x:c>
      <x:c r="K319" s="25" t="b">
        <x:f>I319&gt;='Selection Rules'!$B$5</x:f>
        <x:v>0</x:v>
      </x:c>
      <x:c r="L319" s="25" t="n">
        <x:f>IF(AND(K319,J319&gt;='Selection Rules'!$B$6),1,0)</x:f>
        <x:v>0</x:v>
      </x:c>
      <x:c r="M319" s="25" t="n">
        <x:f>IF(AND(K319,J319&gt;='Selection Rules'!$B$7,J319&lt;'Selection Rules'!$B$6),1,0)</x:f>
        <x:v>0</x:v>
      </x:c>
    </x:row>
    <x:row r="320" ht="18" customHeight="1">
      <x:c r="A320" s="25" t="str">
        <x:v>EEZ_947</x:v>
      </x:c>
      <x:c r="B320" s="25" t="str">
        <x:v>Morocco (Mediterranean)</x:v>
      </x:c>
      <x:c r="C320" s="25" t="str">
        <x:v>LME_027</x:v>
      </x:c>
      <x:c r="D320" s="25" t="str">
        <x:v>Canary Current</x:v>
      </x:c>
      <x:c r="E320" s="32" t="n">
        <x:v>18395.30800685769</x:v>
      </x:c>
      <x:c r="F320" s="32" t="n">
        <x:v>1123299.8683993171</x:v>
      </x:c>
      <x:c r="G320" s="32" t="n">
        <x:v>115.31230503169272</x:v>
      </x:c>
      <x:c r="H320" s="34" t="n">
        <x:f>G320/E320</x:f>
        <x:v>0.006268571582965874</x:v>
      </x:c>
      <x:c r="I320" s="34" t="n">
        <x:f>G320/F320</x:f>
        <x:v>0.00010265496175657062</x:v>
      </x:c>
      <x:c r="J320" s="33" t="n">
        <x:f>E320/F320</x:f>
        <x:v>0.016376132967121846</x:v>
      </x:c>
      <x:c r="K320" s="25" t="b">
        <x:f>I320&gt;='Selection Rules'!$B$5</x:f>
        <x:v>0</x:v>
      </x:c>
      <x:c r="L320" s="25" t="n">
        <x:f>IF(AND(K320,J320&gt;='Selection Rules'!$B$6),1,0)</x:f>
        <x:v>0</x:v>
      </x:c>
      <x:c r="M320" s="25" t="n">
        <x:f>IF(AND(K320,J320&gt;='Selection Rules'!$B$7,J320&lt;'Selection Rules'!$B$6),1,0)</x:f>
        <x:v>0</x:v>
      </x:c>
    </x:row>
    <x:row r="321" ht="18" customHeight="1">
      <x:c r="A321" s="25" t="str">
        <x:v>EEZ_948</x:v>
      </x:c>
      <x:c r="B321" s="25" t="str">
        <x:v>Morocco (South)</x:v>
      </x:c>
      <x:c r="C321" s="25" t="str">
        <x:v>LME_027</x:v>
      </x:c>
      <x:c r="D321" s="25" t="str">
        <x:v>Canary Current</x:v>
      </x:c>
      <x:c r="E321" s="32" t="n">
        <x:v>283895.8715712907</x:v>
      </x:c>
      <x:c r="F321" s="32" t="n">
        <x:v>1123299.8683993171</x:v>
      </x:c>
      <x:c r="G321" s="32" t="n">
        <x:v>252632.66635898515</x:v>
      </x:c>
      <x:c r="H321" s="34" t="n">
        <x:f>G321/E321</x:f>
        <x:v>0.8898779153100334</x:v>
      </x:c>
      <x:c r="I321" s="34" t="n">
        <x:f>G321/F321</x:f>
        <x:v>0.22490224869249056</x:v>
      </x:c>
      <x:c r="J321" s="33" t="n">
        <x:f>E321/F321</x:f>
        <x:v>0.2527338242955885</x:v>
      </x:c>
      <x:c r="K321" s="25" t="b">
        <x:f>I321&gt;='Selection Rules'!$B$5</x:f>
        <x:v>0</x:v>
      </x:c>
      <x:c r="L321" s="25" t="n">
        <x:f>IF(AND(K321,J321&gt;='Selection Rules'!$B$6),1,0)</x:f>
        <x:v>0</x:v>
      </x:c>
      <x:c r="M321" s="25" t="n">
        <x:f>IF(AND(K321,J321&gt;='Selection Rules'!$B$7,J321&lt;'Selection Rules'!$B$6),1,0)</x:f>
        <x:v>0</x:v>
      </x:c>
    </x:row>
    <x:row r="322" ht="18" customHeight="1">
      <x:c r="A322" s="25" t="str">
        <x:v>EEZ_949</x:v>
      </x:c>
      <x:c r="B322" s="25" t="str">
        <x:v>Nicaragua (Caribbean)</x:v>
      </x:c>
      <x:c r="C322" s="25" t="str">
        <x:v>LME_012</x:v>
      </x:c>
      <x:c r="D322" s="25" t="str">
        <x:v>Caribbean Sea</x:v>
      </x:c>
      <x:c r="E322" s="32" t="n">
        <x:v>167022.0152175708</x:v>
      </x:c>
      <x:c r="F322" s="32" t="n">
        <x:v>3262576.84767364</x:v>
      </x:c>
      <x:c r="G322" s="32" t="n">
        <x:v>166448.0235682969</x:v>
      </x:c>
      <x:c r="H322" s="34" t="n">
        <x:f>G322/E322</x:f>
        <x:v>0.9965633772977401</x:v>
      </x:c>
      <x:c r="I322" s="34" t="n">
        <x:f>G322/F322</x:f>
        <x:v>0.051017349579667866</x:v>
      </x:c>
      <x:c r="J322" s="33" t="n">
        <x:f>E322/F322</x:f>
        <x:v>0.05119328157332594</x:v>
      </x:c>
      <x:c r="K322" s="25" t="b">
        <x:f>I322&gt;='Selection Rules'!$B$5</x:f>
        <x:v>0</x:v>
      </x:c>
      <x:c r="L322" s="25" t="n">
        <x:f>IF(AND(K322,J322&gt;='Selection Rules'!$B$6),1,0)</x:f>
        <x:v>0</x:v>
      </x:c>
      <x:c r="M322" s="25" t="n">
        <x:f>IF(AND(K322,J322&gt;='Selection Rules'!$B$7,J322&lt;'Selection Rules'!$B$6),1,0)</x:f>
        <x:v>0</x:v>
      </x:c>
    </x:row>
    <x:row r="323" ht="18" customHeight="1">
      <x:c r="A323" s="25" t="str">
        <x:v>EEZ_950</x:v>
      </x:c>
      <x:c r="B323" s="25" t="str">
        <x:v>Nicaragua (Pacific)</x:v>
      </x:c>
      <x:c r="C323" s="25" t="str">
        <x:v>LME_011</x:v>
      </x:c>
      <x:c r="D323" s="25" t="str">
        <x:v>Pacific Central-American Coastal</x:v>
      </x:c>
      <x:c r="E323" s="32" t="n">
        <x:v>61562.29726162187</x:v>
      </x:c>
      <x:c r="F323" s="32" t="n">
        <x:v>1981662.465291764</x:v>
      </x:c>
      <x:c r="G323" s="32" t="n">
        <x:v>61174.635319844565</x:v>
      </x:c>
      <x:c r="H323" s="34" t="n">
        <x:f>G323/E323</x:f>
        <x:v>0.9937029324924336</x:v>
      </x:c>
      <x:c r="I323" s="34" t="n">
        <x:f>G323/F323</x:f>
        <x:v>0.030870360816385403</x:v>
      </x:c>
      <x:c r="J323" s="33" t="n">
        <x:f>E323/F323</x:f>
        <x:v>0.031065985423788068</x:v>
      </x:c>
      <x:c r="K323" s="25" t="b">
        <x:f>I323&gt;='Selection Rules'!$B$5</x:f>
        <x:v>0</x:v>
      </x:c>
      <x:c r="L323" s="25" t="n">
        <x:f>IF(AND(K323,J323&gt;='Selection Rules'!$B$6),1,0)</x:f>
        <x:v>0</x:v>
      </x:c>
      <x:c r="M323" s="25" t="n">
        <x:f>IF(AND(K323,J323&gt;='Selection Rules'!$B$7,J323&lt;'Selection Rules'!$B$6),1,0)</x:f>
        <x:v>0</x:v>
      </x:c>
    </x:row>
    <x:row r="324" ht="18" customHeight="1">
      <x:c r="A324" s="25" t="str">
        <x:v>EEZ_951</x:v>
      </x:c>
      <x:c r="B324" s="25" t="str">
        <x:v>Panama (Caribbean)</x:v>
      </x:c>
      <x:c r="C324" s="25" t="str">
        <x:v>LME_012</x:v>
      </x:c>
      <x:c r="D324" s="25" t="str">
        <x:v>Caribbean Sea</x:v>
      </x:c>
      <x:c r="E324" s="32" t="n">
        <x:v>142265.37708276403</x:v>
      </x:c>
      <x:c r="F324" s="32" t="n">
        <x:v>3262576.84767364</x:v>
      </x:c>
      <x:c r="G324" s="32" t="n">
        <x:v>142079.9429414528</x:v>
      </x:c>
      <x:c r="H324" s="34" t="n">
        <x:f>G324/E324</x:f>
        <x:v>0.9986965616995952</x:v>
      </x:c>
      <x:c r="I324" s="34" t="n">
        <x:f>G324/F324</x:f>
        <x:v>0.04354838202286699</x:v>
      </x:c>
      <x:c r="J324" s="33" t="n">
        <x:f>E324/F324</x:f>
        <x:v>0.0436052187350638</x:v>
      </x:c>
      <x:c r="K324" s="25" t="b">
        <x:f>I324&gt;='Selection Rules'!$B$5</x:f>
        <x:v>0</x:v>
      </x:c>
      <x:c r="L324" s="25" t="n">
        <x:f>IF(AND(K324,J324&gt;='Selection Rules'!$B$6),1,0)</x:f>
        <x:v>0</x:v>
      </x:c>
      <x:c r="M324" s="25" t="n">
        <x:f>IF(AND(K324,J324&gt;='Selection Rules'!$B$7,J324&lt;'Selection Rules'!$B$6),1,0)</x:f>
        <x:v>0</x:v>
      </x:c>
    </x:row>
    <x:row r="325" ht="18" customHeight="1">
      <x:c r="A325" s="25" t="str">
        <x:v>EEZ_952</x:v>
      </x:c>
      <x:c r="B325" s="25" t="str">
        <x:v>Panama (Pacific)</x:v>
      </x:c>
      <x:c r="C325" s="25" t="str">
        <x:v>LME_011</x:v>
      </x:c>
      <x:c r="D325" s="25" t="str">
        <x:v>Pacific Central-American Coastal</x:v>
      </x:c>
      <x:c r="E325" s="32" t="n">
        <x:v>189016.8902661049</x:v>
      </x:c>
      <x:c r="F325" s="32" t="n">
        <x:v>1981662.465291764</x:v>
      </x:c>
      <x:c r="G325" s="32" t="n">
        <x:v>187822.20436219696</x:v>
      </x:c>
      <x:c r="H325" s="34" t="n">
        <x:f>G325/E325</x:f>
        <x:v>0.9936794754044149</x:v>
      </x:c>
      <x:c r="I325" s="34" t="n">
        <x:f>G325/F325</x:f>
        <x:v>0.0947801190423938</x:v>
      </x:c>
      <x:c r="J325" s="33" t="n">
        <x:f>E325/F325</x:f>
        <x:v>0.09538298957399668</x:v>
      </x:c>
      <x:c r="K325" s="25" t="b">
        <x:f>I325&gt;='Selection Rules'!$B$5</x:f>
        <x:v>0</x:v>
      </x:c>
      <x:c r="L325" s="25" t="n">
        <x:f>IF(AND(K325,J325&gt;='Selection Rules'!$B$6),1,0)</x:f>
        <x:v>0</x:v>
      </x:c>
      <x:c r="M325" s="25" t="n">
        <x:f>IF(AND(K325,J325&gt;='Selection Rules'!$B$7,J325&lt;'Selection Rules'!$B$6),1,0)</x:f>
        <x:v>0</x:v>
      </x:c>
    </x:row>
    <x:row r="326" ht="18" customHeight="1">
      <x:c r="A326" s="25" t="str">
        <x:v>EEZ_953</x:v>
      </x:c>
      <x:c r="B326" s="25" t="str">
        <x:v>South Africa (Atlantic and Cape)</x:v>
      </x:c>
      <x:c r="C326" s="25" t="str">
        <x:v>LME_029</x:v>
      </x:c>
      <x:c r="D326" s="25" t="str">
        <x:v>Benguela Current</x:v>
      </x:c>
      <x:c r="E326" s="32" t="n">
        <x:v>747474.4185659183</x:v>
      </x:c>
      <x:c r="F326" s="32" t="n">
        <x:v>1458156.5656590832</x:v>
      </x:c>
      <x:c r="G326" s="32" t="n">
        <x:v>276094.7350836916</x:v>
      </x:c>
      <x:c r="H326" s="34" t="n">
        <x:f>G326/E326</x:f>
        <x:v>0.36937014595549444</x:v>
      </x:c>
      <x:c r="I326" s="34" t="n">
        <x:f>G326/F326</x:f>
        <x:v>0.18934505497281595</x:v>
      </x:c>
      <x:c r="J326" s="33" t="n">
        <x:f>E326/F326</x:f>
        <x:v>0.512616022291174</x:v>
      </x:c>
      <x:c r="K326" s="25" t="b">
        <x:f>I326&gt;='Selection Rules'!$B$5</x:f>
        <x:v>0</x:v>
      </x:c>
      <x:c r="L326" s="25" t="n">
        <x:f>IF(AND(K326,J326&gt;='Selection Rules'!$B$6),1,0)</x:f>
        <x:v>0</x:v>
      </x:c>
      <x:c r="M326" s="25" t="n">
        <x:f>IF(AND(K326,J326&gt;='Selection Rules'!$B$7,J326&lt;'Selection Rules'!$B$6),1,0)</x:f>
        <x:v>0</x:v>
      </x:c>
    </x:row>
    <x:row r="327" ht="18" customHeight="1">
      <x:c r="A327" s="25" t="str">
        <x:v>EEZ_953</x:v>
      </x:c>
      <x:c r="B327" s="25" t="str">
        <x:v>South Africa (Atlantic and Cape)</x:v>
      </x:c>
      <x:c r="C327" s="25" t="str">
        <x:v>LME_030</x:v>
      </x:c>
      <x:c r="D327" s="25" t="str">
        <x:v>Agulhas Current</x:v>
      </x:c>
      <x:c r="E327" s="32" t="n">
        <x:v>747474.4185659183</x:v>
      </x:c>
      <x:c r="F327" s="32" t="n">
        <x:v>2626846.36963807</x:v>
      </x:c>
      <x:c r="G327" s="32" t="n">
        <x:v>262075.09229616955</x:v>
      </x:c>
      <x:c r="H327" s="34" t="n">
        <x:f>G327/E327</x:f>
        <x:v>0.3506141291082293</x:v>
      </x:c>
      <x:c r="I327" s="34" t="n">
        <x:f>G327/F327</x:f>
        <x:v>0.09976795572261753</x:v>
      </x:c>
      <x:c r="J327" s="33" t="n">
        <x:f>E327/F327</x:f>
        <x:v>0.28455201157002047</x:v>
      </x:c>
      <x:c r="K327" s="25" t="b">
        <x:f>I327&gt;='Selection Rules'!$B$5</x:f>
        <x:v>0</x:v>
      </x:c>
      <x:c r="L327" s="25" t="n">
        <x:f>IF(AND(K327,J327&gt;='Selection Rules'!$B$6),1,0)</x:f>
        <x:v>0</x:v>
      </x:c>
      <x:c r="M327" s="25" t="n">
        <x:f>IF(AND(K327,J327&gt;='Selection Rules'!$B$7,J327&lt;'Selection Rules'!$B$6),1,0)</x:f>
        <x:v>0</x:v>
      </x:c>
    </x:row>
    <x:row r="328" ht="18" customHeight="1">
      <x:c r="A328" s="25" t="str">
        <x:v>EEZ_954</x:v>
      </x:c>
      <x:c r="B328" s="25" t="str">
        <x:v>South Africa (Indian Ocean Coast)</x:v>
      </x:c>
      <x:c r="C328" s="25" t="str">
        <x:v>LME_030</x:v>
      </x:c>
      <x:c r="D328" s="25" t="str">
        <x:v>Agulhas Current</x:v>
      </x:c>
      <x:c r="E328" s="32" t="n">
        <x:v>321499.4565529416</x:v>
      </x:c>
      <x:c r="F328" s="32" t="n">
        <x:v>2626846.36963807</x:v>
      </x:c>
      <x:c r="G328" s="32" t="n">
        <x:v>239073.07609800794</x:v>
      </x:c>
      <x:c r="H328" s="34" t="n">
        <x:f>G328/E328</x:f>
        <x:v>0.7436189120233849</x:v>
      </x:c>
      <x:c r="I328" s="34" t="n">
        <x:f>G328/F328</x:f>
        <x:v>0.09101144203227526</x:v>
      </x:c>
      <x:c r="J328" s="33" t="n">
        <x:f>E328/F328</x:f>
        <x:v>0.12238989697644105</x:v>
      </x:c>
      <x:c r="K328" s="25" t="b">
        <x:f>I328&gt;='Selection Rules'!$B$5</x:f>
        <x:v>0</x:v>
      </x:c>
      <x:c r="L328" s="25" t="n">
        <x:f>IF(AND(K328,J328&gt;='Selection Rules'!$B$6),1,0)</x:f>
        <x:v>0</x:v>
      </x:c>
      <x:c r="M328" s="25" t="n">
        <x:f>IF(AND(K328,J328&gt;='Selection Rules'!$B$7,J328&lt;'Selection Rules'!$B$6),1,0)</x:f>
        <x:v>0</x:v>
      </x:c>
    </x:row>
    <x:row r="329" ht="18" customHeight="1">
      <x:c r="A329" s="25" t="str">
        <x:v>EEZ_956</x:v>
      </x:c>
      <x:c r="B329" s="25" t="str">
        <x:v>Thailand (Andaman Sea)</x:v>
      </x:c>
      <x:c r="C329" s="25" t="str">
        <x:v>LME_034</x:v>
      </x:c>
      <x:c r="D329" s="25" t="str">
        <x:v>Bay of Bengal</x:v>
      </x:c>
      <x:c r="E329" s="32" t="n">
        <x:v>119385.57890397492</x:v>
      </x:c>
      <x:c r="F329" s="32" t="n">
        <x:v>3664559.241537097</x:v>
      </x:c>
      <x:c r="G329" s="32" t="n">
        <x:v>118503.30509676215</x:v>
      </x:c>
      <x:c r="H329" s="34" t="n">
        <x:f>G329/E329</x:f>
        <x:v>0.992609879557376</x:v>
      </x:c>
      <x:c r="I329" s="34" t="n">
        <x:f>G329/F329</x:f>
        <x:v>0.03233766935830897</x:v>
      </x:c>
      <x:c r="J329" s="33" t="n">
        <x:f>E329/F329</x:f>
        <x:v>0.03257842786405568</x:v>
      </x:c>
      <x:c r="K329" s="25" t="b">
        <x:f>I329&gt;='Selection Rules'!$B$5</x:f>
        <x:v>0</x:v>
      </x:c>
      <x:c r="L329" s="25" t="n">
        <x:f>IF(AND(K329,J329&gt;='Selection Rules'!$B$6),1,0)</x:f>
        <x:v>0</x:v>
      </x:c>
      <x:c r="M329" s="25" t="n">
        <x:f>IF(AND(K329,J329&gt;='Selection Rules'!$B$7,J329&lt;'Selection Rules'!$B$6),1,0)</x:f>
        <x:v>0</x:v>
      </x:c>
    </x:row>
    <x:row r="330" ht="18" customHeight="1">
      <x:c r="A330" s="25" t="str">
        <x:v>EEZ_957</x:v>
      </x:c>
      <x:c r="B330" s="25" t="str">
        <x:v>Thailand (Gulf of Thailand)</x:v>
      </x:c>
      <x:c r="C330" s="25" t="str">
        <x:v>LME_035</x:v>
      </x:c>
      <x:c r="D330" s="25" t="str">
        <x:v>Gulf of Thailand</x:v>
      </x:c>
      <x:c r="E330" s="32" t="n">
        <x:v>178890.67254913584</x:v>
      </x:c>
      <x:c r="F330" s="32" t="n">
        <x:v>387309.2560812747</x:v>
      </x:c>
      <x:c r="G330" s="32" t="n">
        <x:v>178091.27294480996</x:v>
      </x:c>
      <x:c r="H330" s="34" t="n">
        <x:f>G330/E330</x:f>
        <x:v>0.9955313511155462</x:v>
      </x:c>
      <x:c r="I330" s="34" t="n">
        <x:f>G330/F330</x:f>
        <x:v>0.4598167230670017</x:v>
      </x:c>
      <x:c r="J330" s="33" t="n">
        <x:f>E330/F330</x:f>
        <x:v>0.4618807057675808</x:v>
      </x:c>
      <x:c r="K330" s="25" t="b">
        <x:f>I330&gt;='Selection Rules'!$B$5</x:f>
        <x:v>0</x:v>
      </x:c>
      <x:c r="L330" s="25" t="n">
        <x:f>IF(AND(K330,J330&gt;='Selection Rules'!$B$6),1,0)</x:f>
        <x:v>0</x:v>
      </x:c>
      <x:c r="M330" s="25" t="n">
        <x:f>IF(AND(K330,J330&gt;='Selection Rules'!$B$7,J330&lt;'Selection Rules'!$B$6),1,0)</x:f>
        <x:v>0</x:v>
      </x:c>
    </x:row>
    <x:row r="331" ht="18" customHeight="1">
      <x:c r="A331" s="25" t="str">
        <x:v>EEZ_958</x:v>
      </x:c>
      <x:c r="B331" s="25" t="str">
        <x:v>USA (Alaska, Arctic)</x:v>
      </x:c>
      <x:c r="C331" s="25" t="str">
        <x:v>LME_054</x:v>
      </x:c>
      <x:c r="D331" s="25" t="str">
        <x:v>Northern Bering - Chukchi Seas</x:v>
      </x:c>
      <x:c r="E331" s="32" t="n">
        <x:v>507368.5723446214</x:v>
      </x:c>
      <x:c r="F331" s="32" t="n">
        <x:v>1332042.5311335474</x:v>
      </x:c>
      <x:c r="G331" s="32" t="n">
        <x:v>265522.7720707547</x:v>
      </x:c>
      <x:c r="H331" s="34" t="n">
        <x:f>G331/E331</x:f>
        <x:v>0.5233331084023134</x:v>
      </x:c>
      <x:c r="I331" s="34" t="n">
        <x:f>G331/F331</x:f>
        <x:v>0.19933505564931098</x:v>
      </x:c>
      <x:c r="J331" s="33" t="n">
        <x:f>E331/F331</x:f>
        <x:v>0.3808951745053205</x:v>
      </x:c>
      <x:c r="K331" s="25" t="b">
        <x:f>I331&gt;='Selection Rules'!$B$5</x:f>
        <x:v>0</x:v>
      </x:c>
      <x:c r="L331" s="25" t="n">
        <x:f>IF(AND(K331,J331&gt;='Selection Rules'!$B$6),1,0)</x:f>
        <x:v>0</x:v>
      </x:c>
      <x:c r="M331" s="25" t="n">
        <x:f>IF(AND(K331,J331&gt;='Selection Rules'!$B$7,J331&lt;'Selection Rules'!$B$6),1,0)</x:f>
        <x:v>0</x:v>
      </x:c>
    </x:row>
    <x:row r="332" ht="18" customHeight="1">
      <x:c r="A332" s="25" t="str">
        <x:v>EEZ_958</x:v>
      </x:c>
      <x:c r="B332" s="25" t="str">
        <x:v>USA (Alaska, Arctic)</x:v>
      </x:c>
      <x:c r="C332" s="25" t="str">
        <x:v>LME_055</x:v>
      </x:c>
      <x:c r="D332" s="25" t="str">
        <x:v>Beaufort Sea</x:v>
      </x:c>
      <x:c r="E332" s="32" t="n">
        <x:v>507368.5723446214</x:v>
      </x:c>
      <x:c r="F332" s="32" t="n">
        <x:v>1093765.6340757054</x:v>
      </x:c>
      <x:c r="G332" s="32" t="n">
        <x:v>240787.5337862593</x:v>
      </x:c>
      <x:c r="H332" s="34" t="n">
        <x:f>G332/E332</x:f>
        <x:v>0.47458109727519443</x:v>
      </x:c>
      <x:c r="I332" s="34" t="n">
        <x:f>G332/F332</x:f>
        <x:v>0.22014545555706597</x:v>
      </x:c>
      <x:c r="J332" s="33" t="n">
        <x:f>E332/F332</x:f>
        <x:v>0.4638732069630044</x:v>
      </x:c>
      <x:c r="K332" s="25" t="b">
        <x:f>I332&gt;='Selection Rules'!$B$5</x:f>
        <x:v>0</x:v>
      </x:c>
      <x:c r="L332" s="25" t="n">
        <x:f>IF(AND(K332,J332&gt;='Selection Rules'!$B$6),1,0)</x:f>
        <x:v>0</x:v>
      </x:c>
      <x:c r="M332" s="25" t="n">
        <x:f>IF(AND(K332,J332&gt;='Selection Rules'!$B$7,J332&lt;'Selection Rules'!$B$6),1,0)</x:f>
        <x:v>0</x:v>
      </x:c>
    </x:row>
    <x:row r="333" ht="18" customHeight="1">
      <x:c r="A333" s="25" t="str">
        <x:v>EEZ_959</x:v>
      </x:c>
      <x:c r="B333" s="25" t="str">
        <x:v>USA (Alaska, Subarctic)</x:v>
      </x:c>
      <x:c r="C333" s="25" t="str">
        <x:v>LME_001</x:v>
      </x:c>
      <x:c r="D333" s="25" t="str">
        <x:v>East Bering Sea</x:v>
      </x:c>
      <x:c r="E333" s="32" t="n">
        <x:v>3196948.718097772</x:v>
      </x:c>
      <x:c r="F333" s="32" t="n">
        <x:v>1286076.9881305452</x:v>
      </x:c>
      <x:c r="G333" s="32" t="n">
        <x:v>1090064.7162596623</x:v>
      </x:c>
      <x:c r="H333" s="34" t="n">
        <x:f>G333/E333</x:f>
        <x:v>0.3409703477847044</x:v>
      </x:c>
      <x:c r="I333" s="34" t="n">
        <x:f>G333/F333</x:f>
        <x:v>0.8475890061948714</x:v>
      </x:c>
      <x:c r="J333" s="33" t="n">
        <x:f>E333/F333</x:f>
        <x:v>2.4858144167130223</x:v>
      </x:c>
      <x:c r="K333" s="25" t="b">
        <x:f>I333&gt;='Selection Rules'!$B$5</x:f>
        <x:v>0</x:v>
      </x:c>
      <x:c r="L333" s="25" t="n">
        <x:f>IF(AND(K333,J333&gt;='Selection Rules'!$B$6),1,0)</x:f>
        <x:v>0</x:v>
      </x:c>
      <x:c r="M333" s="25" t="n">
        <x:f>IF(AND(K333,J333&gt;='Selection Rules'!$B$7,J333&lt;'Selection Rules'!$B$6),1,0)</x:f>
        <x:v>0</x:v>
      </x:c>
    </x:row>
    <x:row r="334" ht="18" customHeight="1">
      <x:c r="A334" s="25" t="str">
        <x:v>EEZ_959</x:v>
      </x:c>
      <x:c r="B334" s="25" t="str">
        <x:v>USA (Alaska, Subarctic)</x:v>
      </x:c>
      <x:c r="C334" s="25" t="str">
        <x:v>LME_002</x:v>
      </x:c>
      <x:c r="D334" s="25" t="str">
        <x:v>Gulf of Alaska</x:v>
      </x:c>
      <x:c r="E334" s="32" t="n">
        <x:v>3196948.718097772</x:v>
      </x:c>
      <x:c r="F334" s="32" t="n">
        <x:v>1483052.121169453</x:v>
      </x:c>
      <x:c r="G334" s="32" t="n">
        <x:v>729388.6299604967</x:v>
      </x:c>
      <x:c r="H334" s="34" t="n">
        <x:f>G334/E334</x:f>
        <x:v>0.22815149515269448</x:v>
      </x:c>
      <x:c r="I334" s="34" t="n">
        <x:f>G334/F334</x:f>
        <x:v>0.4918159109508175</x:v>
      </x:c>
      <x:c r="J334" s="33" t="n">
        <x:f>E334/F334</x:f>
        <x:v>2.155654998542354</x:v>
      </x:c>
      <x:c r="K334" s="25" t="b">
        <x:f>I334&gt;='Selection Rules'!$B$5</x:f>
        <x:v>0</x:v>
      </x:c>
      <x:c r="L334" s="25" t="n">
        <x:f>IF(AND(K334,J334&gt;='Selection Rules'!$B$6),1,0)</x:f>
        <x:v>0</x:v>
      </x:c>
      <x:c r="M334" s="25" t="n">
        <x:f>IF(AND(K334,J334&gt;='Selection Rules'!$B$7,J334&lt;'Selection Rules'!$B$6),1,0)</x:f>
        <x:v>0</x:v>
      </x:c>
    </x:row>
    <x:row r="335" ht="18" customHeight="1">
      <x:c r="A335" s="25" t="str">
        <x:v>EEZ_959</x:v>
      </x:c>
      <x:c r="B335" s="25" t="str">
        <x:v>USA (Alaska, Subarctic)</x:v>
      </x:c>
      <x:c r="C335" s="25" t="str">
        <x:v>LME_053</x:v>
      </x:c>
      <x:c r="D335" s="25" t="str">
        <x:v>West Bering Sea</x:v>
      </x:c>
      <x:c r="E335" s="32" t="n">
        <x:v>3196948.718097772</x:v>
      </x:c>
      <x:c r="F335" s="32" t="n">
        <x:v>750343.1420938191</x:v>
      </x:c>
      <x:c r="G335" s="32" t="n">
        <x:v>57688.62622689429</x:v>
      </x:c>
      <x:c r="H335" s="34" t="n">
        <x:f>G335/E335</x:f>
        <x:v>0.018044901971783836</x:v>
      </x:c>
      <x:c r="I335" s="34" t="n">
        <x:f>G335/F335</x:f>
        <x:v>0.07688299258112123</x:v>
      </x:c>
      <x:c r="J335" s="33" t="n">
        <x:f>E335/F335</x:f>
        <x:v>4.260648946796187</x:v>
      </x:c>
      <x:c r="K335" s="25" t="b">
        <x:f>I335&gt;='Selection Rules'!$B$5</x:f>
        <x:v>0</x:v>
      </x:c>
      <x:c r="L335" s="25" t="n">
        <x:f>IF(AND(K335,J335&gt;='Selection Rules'!$B$6),1,0)</x:f>
        <x:v>0</x:v>
      </x:c>
      <x:c r="M335" s="25" t="n">
        <x:f>IF(AND(K335,J335&gt;='Selection Rules'!$B$7,J335&lt;'Selection Rules'!$B$6),1,0)</x:f>
        <x:v>0</x:v>
      </x:c>
    </x:row>
    <x:row r="336" ht="18" customHeight="1">
      <x:c r="A336" s="25" t="str">
        <x:v>EEZ_959</x:v>
      </x:c>
      <x:c r="B336" s="25" t="str">
        <x:v>USA (Alaska, Subarctic)</x:v>
      </x:c>
      <x:c r="C336" s="25" t="str">
        <x:v>LME_054</x:v>
      </x:c>
      <x:c r="D336" s="25" t="str">
        <x:v>Northern Bering - Chukchi Seas</x:v>
      </x:c>
      <x:c r="E336" s="32" t="n">
        <x:v>3196948.718097772</x:v>
      </x:c>
      <x:c r="F336" s="32" t="n">
        <x:v>1332042.5311335474</x:v>
      </x:c>
      <x:c r="G336" s="32" t="n">
        <x:v>200683.9840484535</x:v>
      </x:c>
      <x:c r="H336" s="34" t="n">
        <x:f>G336/E336</x:f>
        <x:v>0.06277360125058973</x:v>
      </x:c>
      <x:c r="I336" s="34" t="n">
        <x:f>G336/F336</x:f>
        <x:v>0.15065884110898065</x:v>
      </x:c>
      <x:c r="J336" s="33" t="n">
        <x:f>E336/F336</x:f>
        <x:v>2.4000350164324096</x:v>
      </x:c>
      <x:c r="K336" s="25" t="b">
        <x:f>I336&gt;='Selection Rules'!$B$5</x:f>
        <x:v>0</x:v>
      </x:c>
      <x:c r="L336" s="25" t="n">
        <x:f>IF(AND(K336,J336&gt;='Selection Rules'!$B$6),1,0)</x:f>
        <x:v>0</x:v>
      </x:c>
      <x:c r="M336" s="25" t="n">
        <x:f>IF(AND(K336,J336&gt;='Selection Rules'!$B$7,J336&lt;'Selection Rules'!$B$6),1,0)</x:f>
        <x:v>0</x:v>
      </x:c>
    </x:row>
    <x:row r="337" ht="18" customHeight="1">
      <x:c r="A337" s="25" t="str">
        <x:v>EEZ_959</x:v>
      </x:c>
      <x:c r="B337" s="25" t="str">
        <x:v>USA (Alaska, Subarctic)</x:v>
      </x:c>
      <x:c r="C337" s="25" t="str">
        <x:v>LME_065</x:v>
      </x:c>
      <x:c r="D337" s="25" t="str">
        <x:v>Aleutian Islands</x:v>
      </x:c>
      <x:c r="E337" s="32" t="n">
        <x:v>3196948.718097772</x:v>
      </x:c>
      <x:c r="F337" s="32" t="n">
        <x:v>218410.46518548104</x:v>
      </x:c>
      <x:c r="G337" s="32" t="n">
        <x:v>217101.6398817448</x:v>
      </x:c>
      <x:c r="H337" s="34" t="n">
        <x:f>G337/E337</x:f>
        <x:v>0.06790901544736797</x:v>
      </x:c>
      <x:c r="I337" s="34" t="n">
        <x:f>G337/F337</x:f>
        <x:v>0.9940074972935719</x:v>
      </x:c>
      <x:c r="J337" s="33" t="n">
        <x:f>E337/F337</x:f>
        <x:v>14.637342195955778</x:v>
      </x:c>
      <x:c r="K337" s="25" t="b">
        <x:f>I337&gt;='Selection Rules'!$B$5</x:f>
        <x:v>1</x:v>
      </x:c>
      <x:c r="L337" s="25" t="n">
        <x:f>IF(AND(K337,J337&gt;='Selection Rules'!$B$6),1,0)</x:f>
        <x:v>1</x:v>
      </x:c>
      <x:c r="M337" s="25" t="n">
        <x:f>IF(AND(K337,J337&gt;='Selection Rules'!$B$7,J337&lt;'Selection Rules'!$B$6),1,0)</x:f>
        <x:v>0</x:v>
      </x:c>
    </x:row>
    <x:row r="338" ht="18" customHeight="1">
      <x:c r="A338" s="25" t="str">
        <x:v>EEZ_962</x:v>
      </x:c>
      <x:c r="B338" s="25" t="str">
        <x:v>Spain (mainland, Med and Gulf of Cadiz)</x:v>
      </x:c>
      <x:c r="C338" s="25" t="str">
        <x:v>LME_025</x:v>
      </x:c>
      <x:c r="D338" s="25" t="str">
        <x:v>Iberian Coastal</x:v>
      </x:c>
      <x:c r="E338" s="32" t="n">
        <x:v>145807.37826406103</x:v>
      </x:c>
      <x:c r="F338" s="32" t="n">
        <x:v>303943.39540209086</x:v>
      </x:c>
      <x:c r="G338" s="32" t="n">
        <x:v>10469.8007298307</x:v>
      </x:c>
      <x:c r="H338" s="34" t="n">
        <x:f>G338/E338</x:f>
        <x:v>0.07180569909754234</x:v>
      </x:c>
      <x:c r="I338" s="34" t="n">
        <x:f>G338/F338</x:f>
        <x:v>0.03444654790402686</x:v>
      </x:c>
      <x:c r="J338" s="33" t="n">
        <x:f>E338/F338</x:f>
        <x:v>0.47971885709564593</x:v>
      </x:c>
      <x:c r="K338" s="25" t="b">
        <x:f>I338&gt;='Selection Rules'!$B$5</x:f>
        <x:v>0</x:v>
      </x:c>
      <x:c r="L338" s="25" t="n">
        <x:f>IF(AND(K338,J338&gt;='Selection Rules'!$B$6),1,0)</x:f>
        <x:v>0</x:v>
      </x:c>
      <x:c r="M338" s="25" t="n">
        <x:f>IF(AND(K338,J338&gt;='Selection Rules'!$B$7,J338&lt;'Selection Rules'!$B$6),1,0)</x:f>
        <x:v>0</x:v>
      </x:c>
    </x:row>
    <x:row r="339" ht="18" customHeight="1">
      <x:c r="A339" s="25" t="str">
        <x:v>EEZ_962</x:v>
      </x:c>
      <x:c r="B339" s="25" t="str">
        <x:v>Spain (mainland, Med and Gulf of Cadiz)</x:v>
      </x:c>
      <x:c r="C339" s="25" t="str">
        <x:v>LME_026</x:v>
      </x:c>
      <x:c r="D339" s="25" t="str">
        <x:v>Mediterranean Sea</x:v>
      </x:c>
      <x:c r="E339" s="32" t="n">
        <x:v>145807.37826406103</x:v>
      </x:c>
      <x:c r="F339" s="32" t="n">
        <x:v>2527801.206996367</x:v>
      </x:c>
      <x:c r="G339" s="32" t="n">
        <x:v>130851.05890198052</x:v>
      </x:c>
      <x:c r="H339" s="34" t="n">
        <x:f>G339/E339</x:f>
        <x:v>0.8974241253073337</x:v>
      </x:c>
      <x:c r="I339" s="34" t="n">
        <x:f>G339/F339</x:f>
        <x:v>0.051764774278853565</x:v>
      </x:c>
      <x:c r="J339" s="33" t="n">
        <x:f>E339/F339</x:f>
        <x:v>0.05768150512014159</x:v>
      </x:c>
      <x:c r="K339" s="25" t="b">
        <x:f>I339&gt;='Selection Rules'!$B$5</x:f>
        <x:v>0</x:v>
      </x:c>
      <x:c r="L339" s="25" t="n">
        <x:f>IF(AND(K339,J339&gt;='Selection Rules'!$B$6),1,0)</x:f>
        <x:v>0</x:v>
      </x:c>
      <x:c r="M339" s="25" t="n">
        <x:f>IF(AND(K339,J339&gt;='Selection Rules'!$B$7,J339&lt;'Selection Rules'!$B$6),1,0)</x:f>
        <x:v>0</x:v>
      </x:c>
    </x:row>
    <x:row r="340" ht="18" customHeight="1">
      <x:c r="A340" s="25" t="str">
        <x:v>EEZ_962</x:v>
      </x:c>
      <x:c r="B340" s="25" t="str">
        <x:v>Spain (mainland, Med and Gulf of Cadiz)</x:v>
      </x:c>
      <x:c r="C340" s="25" t="str">
        <x:v>LME_027</x:v>
      </x:c>
      <x:c r="D340" s="25" t="str">
        <x:v>Canary Current</x:v>
      </x:c>
      <x:c r="E340" s="32" t="n">
        <x:v>145807.37826406103</x:v>
      </x:c>
      <x:c r="F340" s="32" t="n">
        <x:v>1123299.8683993171</x:v>
      </x:c>
      <x:c r="G340" s="32" t="n">
        <x:v>3973.1078712044214</x:v>
      </x:c>
      <x:c r="H340" s="34" t="n">
        <x:f>G340/E340</x:f>
        <x:v>0.027249017974995873</x:v>
      </x:c>
      <x:c r="I340" s="34" t="n">
        <x:f>G340/F340</x:f>
        <x:v>0.0035369966497601673</x:v>
      </x:c>
      <x:c r="J340" s="33" t="n">
        <x:f>E340/F340</x:f>
        <x:v>0.12980271997346</x:v>
      </x:c>
      <x:c r="K340" s="25" t="b">
        <x:f>I340&gt;='Selection Rules'!$B$5</x:f>
        <x:v>0</x:v>
      </x:c>
      <x:c r="L340" s="25" t="n">
        <x:f>IF(AND(K340,J340&gt;='Selection Rules'!$B$6),1,0)</x:f>
        <x:v>0</x:v>
      </x:c>
      <x:c r="M340" s="25" t="n">
        <x:f>IF(AND(K340,J340&gt;='Selection Rules'!$B$7,J340&lt;'Selection Rules'!$B$6),1,0)</x:f>
        <x:v>0</x:v>
      </x:c>
    </x:row>
    <x:row r="341" ht="18" customHeight="1">
      <x:c r="A341" s="25" t="str">
        <x:v>EEZ_963</x:v>
      </x:c>
      <x:c r="B341" s="25" t="str">
        <x:v>Spain (Northwest)</x:v>
      </x:c>
      <x:c r="C341" s="25" t="str">
        <x:v>LME_024</x:v>
      </x:c>
      <x:c r="D341" s="25" t="str">
        <x:v>Celtic-Biscay Shelf</x:v>
      </x:c>
      <x:c r="E341" s="32" t="n">
        <x:v>288215.5247353311</x:v>
      </x:c>
      <x:c r="F341" s="32" t="n">
        <x:v>762660.9802682624</x:v>
      </x:c>
      <x:c r="G341" s="32" t="n">
        <x:v>1521.5184835841628</x:v>
      </x:c>
      <x:c r="H341" s="34" t="n">
        <x:f>G341/E341</x:f>
        <x:v>0.005279099677164775</x:v>
      </x:c>
      <x:c r="I341" s="34" t="n">
        <x:f>G341/F341</x:f>
        <x:v>0.0019950128863928185</x:v>
      </x:c>
      <x:c r="J341" s="33" t="n">
        <x:f>E341/F341</x:f>
        <x:v>0.3779077889024199</x:v>
      </x:c>
      <x:c r="K341" s="25" t="b">
        <x:f>I341&gt;='Selection Rules'!$B$5</x:f>
        <x:v>0</x:v>
      </x:c>
      <x:c r="L341" s="25" t="n">
        <x:f>IF(AND(K341,J341&gt;='Selection Rules'!$B$6),1,0)</x:f>
        <x:v>0</x:v>
      </x:c>
      <x:c r="M341" s="25" t="n">
        <x:f>IF(AND(K341,J341&gt;='Selection Rules'!$B$7,J341&lt;'Selection Rules'!$B$6),1,0)</x:f>
        <x:v>0</x:v>
      </x:c>
    </x:row>
    <x:row r="342" ht="18" customHeight="1">
      <x:c r="A342" s="25" t="str">
        <x:v>EEZ_963</x:v>
      </x:c>
      <x:c r="B342" s="25" t="str">
        <x:v>Spain (Northwest)</x:v>
      </x:c>
      <x:c r="C342" s="25" t="str">
        <x:v>LME_025</x:v>
      </x:c>
      <x:c r="D342" s="25" t="str">
        <x:v>Iberian Coastal</x:v>
      </x:c>
      <x:c r="E342" s="32" t="n">
        <x:v>288215.5247353311</x:v>
      </x:c>
      <x:c r="F342" s="32" t="n">
        <x:v>303943.39540209086</x:v>
      </x:c>
      <x:c r="G342" s="32" t="n">
        <x:v>130792.70122658968</x:v>
      </x:c>
      <x:c r="H342" s="34" t="n">
        <x:f>G342/E342</x:f>
        <x:v>0.45380172128720986</x:v>
      </x:c>
      <x:c r="I342" s="34" t="n">
        <x:f>G342/F342</x:f>
        <x:v>0.4303192739344187</x:v>
      </x:c>
      <x:c r="J342" s="33" t="n">
        <x:f>E342/F342</x:f>
        <x:v>0.9482539482525912</x:v>
      </x:c>
      <x:c r="K342" s="25" t="b">
        <x:f>I342&gt;='Selection Rules'!$B$5</x:f>
        <x:v>0</x:v>
      </x:c>
      <x:c r="L342" s="25" t="n">
        <x:f>IF(AND(K342,J342&gt;='Selection Rules'!$B$6),1,0)</x:f>
        <x:v>0</x:v>
      </x:c>
      <x:c r="M342" s="25" t="n">
        <x:f>IF(AND(K342,J342&gt;='Selection Rules'!$B$7,J342&lt;'Selection Rules'!$B$6),1,0)</x:f>
        <x:v>0</x:v>
      </x:c>
    </x:row>
    <x:row r="343" ht="18" customHeight="1">
      <x:c r="A343" s="25" t="str">
        <x:v>EEZ_966</x:v>
      </x:c>
      <x:c r="B343" s="25" t="str">
        <x:v>Turkey (Marmara Sea)</x:v>
      </x:c>
      <x:c r="C343" s="25" t="str">
        <x:v>LME_026</x:v>
      </x:c>
      <x:c r="D343" s="25" t="str">
        <x:v>Mediterranean Sea</x:v>
      </x:c>
      <x:c r="E343" s="32" t="n">
        <x:v>11625.021298974418</x:v>
      </x:c>
      <x:c r="F343" s="32" t="n">
        <x:v>2527801.206996367</x:v>
      </x:c>
      <x:c r="G343" s="32" t="n">
        <x:v>11392.841385609267</x:v>
      </x:c>
      <x:c r="H343" s="34" t="n">
        <x:f>G343/E343</x:f>
        <x:v>0.9800275709270627</x:v>
      </x:c>
      <x:c r="I343" s="34" t="n">
        <x:f>G343/F343</x:f>
        <x:v>0.004507016356379816</x:v>
      </x:c>
      <x:c r="J343" s="33" t="n">
        <x:f>E343/F343</x:f>
        <x:v>0.004598866899342819</x:v>
      </x:c>
      <x:c r="K343" s="25" t="b">
        <x:f>I343&gt;='Selection Rules'!$B$5</x:f>
        <x:v>0</x:v>
      </x:c>
      <x:c r="L343" s="25" t="n">
        <x:f>IF(AND(K343,J343&gt;='Selection Rules'!$B$6),1,0)</x:f>
        <x:v>0</x:v>
      </x:c>
      <x:c r="M343" s="25" t="n">
        <x:f>IF(AND(K343,J343&gt;='Selection Rules'!$B$7,J343&lt;'Selection Rules'!$B$6),1,0)</x:f>
        <x:v>0</x:v>
      </x:c>
    </x:row>
    <x:row r="344" ht="18" customHeight="1">
      <x:c r="A344" s="25" t="str">
        <x:v>EEZ_966</x:v>
      </x:c>
      <x:c r="B344" s="25" t="str">
        <x:v>Turkey (Marmara Sea)</x:v>
      </x:c>
      <x:c r="C344" s="25" t="str">
        <x:v>LME_062</x:v>
      </x:c>
      <x:c r="D344" s="25" t="str">
        <x:v>Black Sea</x:v>
      </x:c>
      <x:c r="E344" s="32" t="n">
        <x:v>11625.021298974418</x:v>
      </x:c>
      <x:c r="F344" s="32" t="n">
        <x:v>462205.2642152028</x:v>
      </x:c>
      <x:c r="G344" s="32" t="n">
        <x:v>34.34134095362607</x:v>
      </x:c>
      <x:c r="H344" s="34" t="n">
        <x:f>G344/E344</x:f>
        <x:v>0.002954088433081472</x:v>
      </x:c>
      <x:c r="I344" s="34" t="n">
        <x:f>G344/F344</x:f>
        <x:v>0.00007429889620996774</x:v>
      </x:c>
      <x:c r="J344" s="33" t="n">
        <x:f>E344/F344</x:f>
        <x:v>0.025151209211589174</x:v>
      </x:c>
      <x:c r="K344" s="25" t="b">
        <x:f>I344&gt;='Selection Rules'!$B$5</x:f>
        <x:v>0</x:v>
      </x:c>
      <x:c r="L344" s="25" t="n">
        <x:f>IF(AND(K344,J344&gt;='Selection Rules'!$B$6),1,0)</x:f>
        <x:v>0</x:v>
      </x:c>
      <x:c r="M344" s="25" t="n">
        <x:f>IF(AND(K344,J344&gt;='Selection Rules'!$B$7,J344&lt;'Selection Rules'!$B$6),1,0)</x:f>
        <x:v>0</x:v>
      </x:c>
    </x:row>
    <x:row r="345" ht="18" customHeight="1">
      <x:c r="A345" s="25" t="str">
        <x:v>EEZ_967</x:v>
      </x:c>
      <x:c r="B345" s="25" t="str">
        <x:v>Aruba (Netherlands)</x:v>
      </x:c>
      <x:c r="C345" s="25" t="str">
        <x:v>LME_012</x:v>
      </x:c>
      <x:c r="D345" s="25" t="str">
        <x:v>Caribbean Sea</x:v>
      </x:c>
      <x:c r="E345" s="32" t="n">
        <x:v>31180.342544028197</x:v>
      </x:c>
      <x:c r="F345" s="32" t="n">
        <x:v>3262576.84767364</x:v>
      </x:c>
      <x:c r="G345" s="32" t="n">
        <x:v>31143.78493351651</x:v>
      </x:c>
      <x:c r="H345" s="34" t="n">
        <x:f>G345/E345</x:f>
        <x:v>0.9988275430117528</x:v>
      </x:c>
      <x:c r="I345" s="34" t="n">
        <x:f>G345/F345</x:f>
        <x:v>0.009545762870144619</x:v>
      </x:c>
      <x:c r="J345" s="33" t="n">
        <x:f>E345/F345</x:f>
        <x:v>0.009556968004067443</x:v>
      </x:c>
      <x:c r="K345" s="25" t="b">
        <x:f>I345&gt;='Selection Rules'!$B$5</x:f>
        <x:v>0</x:v>
      </x:c>
      <x:c r="L345" s="25" t="n">
        <x:f>IF(AND(K345,J345&gt;='Selection Rules'!$B$6),1,0)</x:f>
        <x:v>0</x:v>
      </x:c>
      <x:c r="M345" s="25" t="n">
        <x:f>IF(AND(K345,J345&gt;='Selection Rules'!$B$7,J345&lt;'Selection Rules'!$B$6),1,0)</x:f>
        <x:v>0</x:v>
      </x:c>
    </x:row>
    <x:row r="346" ht="18" customHeight="1">
      <x:c r="A346" s="25" t="str">
        <x:v>EEZ_968</x:v>
      </x:c>
      <x:c r="B346" s="25" t="str">
        <x:v>United Arab Emirates (Fujairah)</x:v>
      </x:c>
      <x:c r="C346" s="25" t="str">
        <x:v>LME_032</x:v>
      </x:c>
      <x:c r="D346" s="25" t="str">
        <x:v>Arabian Sea</x:v>
      </x:c>
      <x:c r="E346" s="32" t="n">
        <x:v>4318.796932743214</x:v>
      </x:c>
      <x:c r="F346" s="32" t="n">
        <x:v>3931902.1047515674</x:v>
      </x:c>
      <x:c r="G346" s="32" t="n">
        <x:v>4268.244206276785</x:v>
      </x:c>
      <x:c r="H346" s="34" t="n">
        <x:f>G346/E346</x:f>
        <x:v>0.9882947202071113</x:v>
      </x:c>
      <x:c r="I346" s="34" t="n">
        <x:f>G346/F346</x:f>
        <x:v>0.001085541830026429</x:v>
      </x:c>
      <x:c r="J346" s="33" t="n">
        <x:f>E346/F346</x:f>
        <x:v>0.0010983988964333822</x:v>
      </x:c>
      <x:c r="K346" s="25" t="b">
        <x:f>I346&gt;='Selection Rules'!$B$5</x:f>
        <x:v>0</x:v>
      </x:c>
      <x:c r="L346" s="25" t="n">
        <x:f>IF(AND(K346,J346&gt;='Selection Rules'!$B$6),1,0)</x:f>
        <x:v>0</x:v>
      </x:c>
      <x:c r="M346" s="25" t="n">
        <x:f>IF(AND(K346,J346&gt;='Selection Rules'!$B$7,J346&lt;'Selection Rules'!$B$6),1,0)</x:f>
        <x:v>0</x:v>
      </x:c>
    </x:row>
    <x:row r="347" ht="18" customHeight="1">
      <x:c r="A347" s="25" t="str">
        <x:v>EEZ_969</x:v>
      </x:c>
      <x:c r="B347" s="25" t="str">
        <x:v>Fernando de Noronha (Brazil)</x:v>
      </x:c>
      <x:c r="C347" s="25" t="str">
        <x:v>LME_016</x:v>
      </x:c>
      <x:c r="D347" s="25" t="str">
        <x:v>East Brazil Shelf</x:v>
      </x:c>
      <x:c r="E347" s="32" t="n">
        <x:v>363228.6093656739</x:v>
      </x:c>
      <x:c r="F347" s="32" t="n">
        <x:v>1075217.8820703696</x:v>
      </x:c>
      <x:c r="G347" s="32" t="n">
        <x:v>124424.12899224037</x:v>
      </x:c>
      <x:c r="H347" s="34" t="n">
        <x:f>G347/E347</x:f>
        <x:v>0.34255046486984897</x:v>
      </x:c>
      <x:c r="I347" s="34" t="n">
        <x:f>G347/F347</x:f>
        <x:v>0.11571992157780836</x:v>
      </x:c>
      <x:c r="J347" s="33" t="n">
        <x:f>E347/F347</x:f>
        <x:v>0.3378186090676473</x:v>
      </x:c>
      <x:c r="K347" s="25" t="b">
        <x:f>I347&gt;='Selection Rules'!$B$5</x:f>
        <x:v>0</x:v>
      </x:c>
      <x:c r="L347" s="25" t="n">
        <x:f>IF(AND(K347,J347&gt;='Selection Rules'!$B$6),1,0)</x:f>
        <x:v>0</x:v>
      </x:c>
      <x:c r="M347" s="25" t="n">
        <x:f>IF(AND(K347,J347&gt;='Selection Rules'!$B$7,J347&lt;'Selection Rules'!$B$6),1,0)</x:f>
        <x:v>0</x:v>
      </x:c>
    </x:row>
    <x:row r="348" ht="18" customHeight="1">
      <x:c r="A348" s="25" t="str">
        <x:v>EEZ_972</x:v>
      </x:c>
      <x:c r="B348" s="25" t="str">
        <x:v>Glorieuse Islands (France)</x:v>
      </x:c>
      <x:c r="C348" s="25" t="str">
        <x:v>LME_030</x:v>
      </x:c>
      <x:c r="D348" s="25" t="str">
        <x:v>Agulhas Current</x:v>
      </x:c>
      <x:c r="E348" s="32" t="n">
        <x:v>43150.88824823767</x:v>
      </x:c>
      <x:c r="F348" s="32" t="n">
        <x:v>2626846.36963807</x:v>
      </x:c>
      <x:c r="G348" s="32" t="n">
        <x:v>41300.52950444082</x:v>
      </x:c>
      <x:c r="H348" s="34" t="n">
        <x:f>G348/E348</x:f>
        <x:v>0.9571188724284854</x:v>
      </x:c>
      <x:c r="I348" s="34" t="n">
        <x:f>G348/F348</x:f>
        <x:v>0.01572247619114903</x:v>
      </x:c>
      <x:c r="J348" s="33" t="n">
        <x:f>E348/F348</x:f>
        <x:v>0.016426879297925235</x:v>
      </x:c>
      <x:c r="K348" s="25" t="b">
        <x:f>I348&gt;='Selection Rules'!$B$5</x:f>
        <x:v>0</x:v>
      </x:c>
      <x:c r="L348" s="25" t="n">
        <x:f>IF(AND(K348,J348&gt;='Selection Rules'!$B$6),1,0)</x:f>
        <x:v>0</x:v>
      </x:c>
      <x:c r="M348" s="25" t="n">
        <x:f>IF(AND(K348,J348&gt;='Selection Rules'!$B$7,J348&lt;'Selection Rules'!$B$6),1,0)</x:f>
        <x:v>0</x:v>
      </x:c>
    </x:row>
    <x:row r="349" ht="18" customHeight="1">
      <x:c r="A349" s="25" t="str">
        <x:v>EEZ_973</x:v>
      </x:c>
      <x:c r="B349" s="25" t="str">
        <x:v>Korea (North, Yellow Sea)</x:v>
      </x:c>
      <x:c r="C349" s="25" t="str">
        <x:v>LME_048</x:v>
      </x:c>
      <x:c r="D349" s="25" t="str">
        <x:v>Yellow Sea</x:v>
      </x:c>
      <x:c r="E349" s="32" t="n">
        <x:v>24786.694525909683</x:v>
      </x:c>
      <x:c r="F349" s="32" t="n">
        <x:v>440467.2676753383</x:v>
      </x:c>
      <x:c r="G349" s="32" t="n">
        <x:v>24535.220644160712</x:v>
      </x:c>
      <x:c r="H349" s="34" t="n">
        <x:f>G349/E349</x:f>
        <x:v>0.9898544809399211</x:v>
      </x:c>
      <x:c r="I349" s="34" t="n">
        <x:f>G349/F349</x:f>
        <x:v>0.0557027103822054</x:v>
      </x:c>
      <x:c r="J349" s="33" t="n">
        <x:f>E349/F349</x:f>
        <x:v>0.05627363562501896</x:v>
      </x:c>
      <x:c r="K349" s="25" t="b">
        <x:f>I349&gt;='Selection Rules'!$B$5</x:f>
        <x:v>0</x:v>
      </x:c>
      <x:c r="L349" s="25" t="n">
        <x:f>IF(AND(K349,J349&gt;='Selection Rules'!$B$6),1,0)</x:f>
        <x:v>0</x:v>
      </x:c>
      <x:c r="M349" s="25" t="n">
        <x:f>IF(AND(K349,J349&gt;='Selection Rules'!$B$7,J349&lt;'Selection Rules'!$B$6),1,0)</x:f>
        <x:v>0</x:v>
      </x:c>
    </x:row>
    <x:row r="350" ht="18" customHeight="1">
      <x:c r="A350" s="25" t="str">
        <x:v>EEZ_974</x:v>
      </x:c>
      <x:c r="B350" s="25" t="str">
        <x:v>Korea (North, Sea of Japan)</x:v>
      </x:c>
      <x:c r="C350" s="25" t="str">
        <x:v>LME_050</x:v>
      </x:c>
      <x:c r="D350" s="25" t="str">
        <x:v>Sea of Japan / East Sea</x:v>
      </x:c>
      <x:c r="E350" s="32" t="n">
        <x:v>89031.41368178965</x:v>
      </x:c>
      <x:c r="F350" s="32" t="n">
        <x:v>988300.3380015396</x:v>
      </x:c>
      <x:c r="G350" s="32" t="n">
        <x:v>88513.44845135177</x:v>
      </x:c>
      <x:c r="H350" s="34" t="n">
        <x:f>G350/E350</x:f>
        <x:v>0.9941822194097787</x:v>
      </x:c>
      <x:c r="I350" s="34" t="n">
        <x:f>G350/F350</x:f>
        <x:v>0.08956128521653291</x:v>
      </x:c>
      <x:c r="J350" s="33" t="n">
        <x:f>E350/F350</x:f>
        <x:v>0.09008538220458542</x:v>
      </x:c>
      <x:c r="K350" s="25" t="b">
        <x:f>I350&gt;='Selection Rules'!$B$5</x:f>
        <x:v>0</x:v>
      </x:c>
      <x:c r="L350" s="25" t="n">
        <x:f>IF(AND(K350,J350&gt;='Selection Rules'!$B$6),1,0)</x:f>
        <x:v>0</x:v>
      </x:c>
      <x:c r="M350" s="25" t="n">
        <x:f>IF(AND(K350,J350&gt;='Selection Rules'!$B$7,J350&lt;'Selection Rules'!$B$6),1,0)</x:f>
        <x:v>0</x:v>
      </x:c>
    </x:row>
    <x:row r="351" ht="18" customHeight="1">
      <x:c r="A351" s="25" t="str">
        <x:v>EEZ_977</x:v>
      </x:c>
      <x:c r="B351" s="25" t="str">
        <x:v>Yemen (Socotra)</x:v>
      </x:c>
      <x:c r="C351" s="25" t="str">
        <x:v>LME_032</x:v>
      </x:c>
      <x:c r="D351" s="25" t="str">
        <x:v>Arabian Sea</x:v>
      </x:c>
      <x:c r="E351" s="32" t="n">
        <x:v>312558.8466419083</x:v>
      </x:c>
      <x:c r="F351" s="32" t="n">
        <x:v>3931902.1047515674</x:v>
      </x:c>
      <x:c r="G351" s="32" t="n">
        <x:v>232311.09604314898</x:v>
      </x:c>
      <x:c r="H351" s="34" t="n">
        <x:f>G351/E351</x:f>
        <x:v>0.7432555454407043</x:v>
      </x:c>
      <x:c r="I351" s="34" t="n">
        <x:f>G351/F351</x:f>
        <x:v>0.05908364192547141</x:v>
      </x:c>
      <x:c r="J351" s="33" t="n">
        <x:f>E351/F351</x:f>
        <x:v>0.07949303881808038</x:v>
      </x:c>
      <x:c r="K351" s="25" t="b">
        <x:f>I351&gt;='Selection Rules'!$B$5</x:f>
        <x:v>0</x:v>
      </x:c>
      <x:c r="L351" s="25" t="n">
        <x:f>IF(AND(K351,J351&gt;='Selection Rules'!$B$6),1,0)</x:f>
        <x:v>0</x:v>
      </x:c>
      <x:c r="M351" s="25" t="n">
        <x:f>IF(AND(K351,J351&gt;='Selection Rules'!$B$7,J351&lt;'Selection Rules'!$B$6),1,0)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563bcc15df4a5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8" hidden="0" customWidth="1"/>
    <x:col min="16" max="16" width="16" hidden="0" customWidth="1"/>
  </x:cols>
  <x:sheetData>
    <x:row r="1" ht="32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year</x:v>
      </x:c>
      <x:c r="E1" s="30" t="str">
        <x:v>total_catch_tonnes</x:v>
      </x:c>
      <x:c r="F1" s="30" t="str">
        <x:v>matched_catch_tonnes</x:v>
      </x:c>
      <x:c r="G1" s="30" t="str">
        <x:v>missing_tl_catch_tonnes</x:v>
      </x:c>
      <x:c r="H1" s="30" t="str">
        <x:v>catch_tl_coverage_fraction</x:v>
      </x:c>
      <x:c r="I1" s="30" t="str">
        <x:v>taxa_count</x:v>
      </x:c>
      <x:c r="J1" s="30" t="str">
        <x:v>matched_taxa_count</x:v>
      </x:c>
      <x:c r="K1" s="30" t="str">
        <x:v>ppr_species</x:v>
      </x:c>
      <x:c r="L1" s="30" t="str">
        <x:v>ppr_commercial</x:v>
      </x:c>
      <x:c r="M1" s="30" t="str">
        <x:v>ppr_functional</x:v>
      </x:c>
      <x:c r="N1" s="30" t="str">
        <x:v>fraction_type_ppr</x:v>
      </x:c>
      <x:c r="O1" s="30" t="str">
        <x:v>rank_type_ppr</x:v>
      </x:c>
      <x:c r="P1" s="30" t="str">
        <x:v>accumulated_fraction_type</x:v>
      </x:c>
    </x:row>
    <x:row r="2" ht="18" customHeight="1">
      <x:c r="A2" s="25" t="str">
        <x:v>EEZ_156</x:v>
      </x:c>
      <x:c r="B2" s="25" t="str">
        <x:v>China</x:v>
      </x:c>
      <x:c r="C2" s="25" t="str">
        <x:v>EEZ</x:v>
      </x:c>
      <x:c r="D2" s="31" t="n">
        <x:v>2019</x:v>
      </x:c>
      <x:c r="E2" s="32" t="n">
        <x:v>9568140.59773029</x:v>
      </x:c>
      <x:c r="F2" s="32" t="n">
        <x:v>9568140.59773029</x:v>
      </x:c>
      <x:c r="G2" s="33" t="n">
        <x:v>0</x:v>
      </x:c>
      <x:c r="H2" s="34" t="n">
        <x:v>1</x:v>
      </x:c>
      <x:c r="I2" s="35" t="n">
        <x:v>180</x:v>
      </x:c>
      <x:c r="J2" s="35" t="n">
        <x:v>180</x:v>
      </x:c>
      <x:c r="K2" s="32" t="n">
        <x:v>6165828606.948386</x:v>
      </x:c>
      <x:c r="L2" s="32" t="n">
        <x:v>3630393758.877296</x:v>
      </x:c>
      <x:c r="M2" s="32" t="n">
        <x:v>5114923632.251522</x:v>
      </x:c>
      <x:c r="N2" s="34" t="n">
        <x:v>0.09279992039588646</x:v>
      </x:c>
      <x:c r="O2" s="35" t="n">
        <x:v>1</x:v>
      </x:c>
      <x:c r="P2" s="34" t="n">
        <x:v>0.09279992039588646</x:v>
      </x:c>
    </x:row>
    <x:row r="3" ht="18" customHeight="1">
      <x:c r="A3" s="25" t="str">
        <x:v>EEZ_649</x:v>
      </x:c>
      <x:c r="B3" s="25" t="str">
        <x:v>Russia (Far East)</x:v>
      </x:c>
      <x:c r="C3" s="25" t="str">
        <x:v>EEZ</x:v>
      </x:c>
      <x:c r="D3" s="31" t="n">
        <x:v>2019</x:v>
      </x:c>
      <x:c r="E3" s="32" t="n">
        <x:v>7341976.862507814</x:v>
      </x:c>
      <x:c r="F3" s="32" t="n">
        <x:v>7341976.862507814</x:v>
      </x:c>
      <x:c r="G3" s="33" t="n">
        <x:v>0</x:v>
      </x:c>
      <x:c r="H3" s="34" t="n">
        <x:v>1</x:v>
      </x:c>
      <x:c r="I3" s="35" t="n">
        <x:v>86</x:v>
      </x:c>
      <x:c r="J3" s="35" t="n">
        <x:v>86</x:v>
      </x:c>
      <x:c r="K3" s="32" t="n">
        <x:v>4411197893.890587</x:v>
      </x:c>
      <x:c r="L3" s="32" t="n">
        <x:v>3483199576.481157</x:v>
      </x:c>
      <x:c r="M3" s="32" t="n">
        <x:v>3296898592.209809</x:v>
      </x:c>
      <x:c r="N3" s="34" t="n">
        <x:v>0.0663915329956195</x:v>
      </x:c>
      <x:c r="O3" s="35" t="n">
        <x:v>2</x:v>
      </x:c>
      <x:c r="P3" s="34" t="n">
        <x:v>0.15919145339150598</x:v>
      </x:c>
    </x:row>
    <x:row r="4" ht="18" customHeight="1">
      <x:c r="A4" s="25" t="str">
        <x:v>EEZ_704</x:v>
      </x:c>
      <x:c r="B4" s="25" t="str">
        <x:v>Viet Nam</x:v>
      </x:c>
      <x:c r="C4" s="25" t="str">
        <x:v>EEZ</x:v>
      </x:c>
      <x:c r="D4" s="31" t="n">
        <x:v>2019</x:v>
      </x:c>
      <x:c r="E4" s="32" t="n">
        <x:v>5148305.1369901</x:v>
      </x:c>
      <x:c r="F4" s="32" t="n">
        <x:v>5148305.1369901</x:v>
      </x:c>
      <x:c r="G4" s="33" t="n">
        <x:v>0</x:v>
      </x:c>
      <x:c r="H4" s="34" t="n">
        <x:v>1</x:v>
      </x:c>
      <x:c r="I4" s="35" t="n">
        <x:v>69</x:v>
      </x:c>
      <x:c r="J4" s="35" t="n">
        <x:v>69</x:v>
      </x:c>
      <x:c r="K4" s="32" t="n">
        <x:v>4395854129.781088</x:v>
      </x:c>
      <x:c r="L4" s="32" t="n">
        <x:v>3315003466.095495</x:v>
      </x:c>
      <x:c r="M4" s="32" t="n">
        <x:v>3620671605.916037</x:v>
      </x:c>
      <x:c r="N4" s="34" t="n">
        <x:v>0.0661605988943488</x:v>
      </x:c>
      <x:c r="O4" s="35" t="n">
        <x:v>3</x:v>
      </x:c>
      <x:c r="P4" s="34" t="n">
        <x:v>0.22535205228585475</x:v>
      </x:c>
    </x:row>
    <x:row r="5" ht="18" customHeight="1">
      <x:c r="A5" s="25" t="str">
        <x:v>EEZ_390</x:v>
      </x:c>
      <x:c r="B5" s="25" t="str">
        <x:v>Japan (main islands)</x:v>
      </x:c>
      <x:c r="C5" s="25" t="str">
        <x:v>EEZ</x:v>
      </x:c>
      <x:c r="D5" s="31" t="n">
        <x:v>2019</x:v>
      </x:c>
      <x:c r="E5" s="32" t="n">
        <x:v>5962290.328495036</x:v>
      </x:c>
      <x:c r="F5" s="32" t="n">
        <x:v>5962290.328495036</x:v>
      </x:c>
      <x:c r="G5" s="33" t="n">
        <x:v>0</x:v>
      </x:c>
      <x:c r="H5" s="34" t="n">
        <x:v>1</x:v>
      </x:c>
      <x:c r="I5" s="35" t="n">
        <x:v>178</x:v>
      </x:c>
      <x:c r="J5" s="35" t="n">
        <x:v>178</x:v>
      </x:c>
      <x:c r="K5" s="32" t="n">
        <x:v>2997127073.3582215</x:v>
      </x:c>
      <x:c r="L5" s="32" t="n">
        <x:v>2201286082.570818</x:v>
      </x:c>
      <x:c r="M5" s="32" t="n">
        <x:v>2558934906.4803843</x:v>
      </x:c>
      <x:c r="N5" s="34" t="n">
        <x:v>0.045108803950626476</x:v>
      </x:c>
      <x:c r="O5" s="35" t="n">
        <x:v>4</x:v>
      </x:c>
      <x:c r="P5" s="34" t="n">
        <x:v>0.27046085623648125</x:v>
      </x:c>
    </x:row>
    <x:row r="6" ht="18" customHeight="1">
      <x:c r="A6" s="25" t="str">
        <x:v>EEZ_604</x:v>
      </x:c>
      <x:c r="B6" s="25" t="str">
        <x:v>Peru</x:v>
      </x:c>
      <x:c r="C6" s="25" t="str">
        <x:v>EEZ</x:v>
      </x:c>
      <x:c r="D6" s="31" t="n">
        <x:v>2019</x:v>
      </x:c>
      <x:c r="E6" s="32" t="n">
        <x:v>6008753.148833272</x:v>
      </x:c>
      <x:c r="F6" s="32" t="n">
        <x:v>6008753.148833272</x:v>
      </x:c>
      <x:c r="G6" s="33" t="n">
        <x:v>0</x:v>
      </x:c>
      <x:c r="H6" s="34" t="n">
        <x:v>1</x:v>
      </x:c>
      <x:c r="I6" s="35" t="n">
        <x:v>113</x:v>
      </x:c>
      <x:c r="J6" s="35" t="n">
        <x:v>113</x:v>
      </x:c>
      <x:c r="K6" s="32" t="n">
        <x:v>2417258362.672758</x:v>
      </x:c>
      <x:c r="L6" s="32" t="n">
        <x:v>1998384823.2690477</x:v>
      </x:c>
      <x:c r="M6" s="32" t="n">
        <x:v>2113505685.2717364</x:v>
      </x:c>
      <x:c r="N6" s="34" t="n">
        <x:v>0.03638138487656482</x:v>
      </x:c>
      <x:c r="O6" s="35" t="n">
        <x:v>5</x:v>
      </x:c>
      <x:c r="P6" s="34" t="n">
        <x:v>0.3068422411130461</x:v>
      </x:c>
    </x:row>
    <x:row r="7" ht="18" customHeight="1">
      <x:c r="A7" s="25" t="str">
        <x:v>EEZ_356</x:v>
      </x:c>
      <x:c r="B7" s="25" t="str">
        <x:v>India (mainland)</x:v>
      </x:c>
      <x:c r="C7" s="25" t="str">
        <x:v>EEZ</x:v>
      </x:c>
      <x:c r="D7" s="31" t="n">
        <x:v>2019</x:v>
      </x:c>
      <x:c r="E7" s="32" t="n">
        <x:v>4344032.198932858</x:v>
      </x:c>
      <x:c r="F7" s="32" t="n">
        <x:v>4344032.198932858</x:v>
      </x:c>
      <x:c r="G7" s="33" t="n">
        <x:v>0</x:v>
      </x:c>
      <x:c r="H7" s="34" t="n">
        <x:v>1</x:v>
      </x:c>
      <x:c r="I7" s="35" t="n">
        <x:v>151</x:v>
      </x:c>
      <x:c r="J7" s="35" t="n">
        <x:v>151</x:v>
      </x:c>
      <x:c r="K7" s="32" t="n">
        <x:v>2254375093.1762247</x:v>
      </x:c>
      <x:c r="L7" s="32" t="n">
        <x:v>1532529614.0560458</x:v>
      </x:c>
      <x:c r="M7" s="32" t="n">
        <x:v>1805078848.6658754</x:v>
      </x:c>
      <x:c r="N7" s="34" t="n">
        <x:v>0.0339298807225139</x:v>
      </x:c>
      <x:c r="O7" s="35" t="n">
        <x:v>6</x:v>
      </x:c>
      <x:c r="P7" s="34" t="n">
        <x:v>0.34077212183555994</x:v>
      </x:c>
    </x:row>
    <x:row r="8" ht="18" customHeight="1">
      <x:c r="A8" s="25" t="str">
        <x:v>EEZ_361</x:v>
      </x:c>
      <x:c r="B8" s="25" t="str">
        <x:v>Indonesia (Eastern)</x:v>
      </x:c>
      <x:c r="C8" s="25" t="str">
        <x:v>EEZ</x:v>
      </x:c>
      <x:c r="D8" s="31" t="n">
        <x:v>2019</x:v>
      </x:c>
      <x:c r="E8" s="32" t="n">
        <x:v>3382553.5340884444</x:v>
      </x:c>
      <x:c r="F8" s="32" t="n">
        <x:v>3382553.5340884444</x:v>
      </x:c>
      <x:c r="G8" s="33" t="n">
        <x:v>0</x:v>
      </x:c>
      <x:c r="H8" s="34" t="n">
        <x:v>1</x:v>
      </x:c>
      <x:c r="I8" s="35" t="n">
        <x:v>146</x:v>
      </x:c>
      <x:c r="J8" s="35" t="n">
        <x:v>146</x:v>
      </x:c>
      <x:c r="K8" s="32" t="n">
        <x:v>2093542875.0827374</x:v>
      </x:c>
      <x:c r="L8" s="32" t="n">
        <x:v>1439043330.8649027</x:v>
      </x:c>
      <x:c r="M8" s="32" t="n">
        <x:v>1548987104.3551705</x:v>
      </x:c>
      <x:c r="N8" s="34" t="n">
        <x:v>0.03150924628915486</x:v>
      </x:c>
      <x:c r="O8" s="35" t="n">
        <x:v>7</x:v>
      </x:c>
      <x:c r="P8" s="34" t="n">
        <x:v>0.3722813681247148</x:v>
      </x:c>
    </x:row>
    <x:row r="9" ht="18" customHeight="1">
      <x:c r="A9" s="25" t="str">
        <x:v>EEZ_959</x:v>
      </x:c>
      <x:c r="B9" s="25" t="str">
        <x:v>USA (Alaska, Subarctic)</x:v>
      </x:c>
      <x:c r="C9" s="25" t="str">
        <x:v>EEZ</x:v>
      </x:c>
      <x:c r="D9" s="31" t="n">
        <x:v>2019</x:v>
      </x:c>
      <x:c r="E9" s="32" t="n">
        <x:v>2640185.1931024343</x:v>
      </x:c>
      <x:c r="F9" s="32" t="n">
        <x:v>2640185.1931024343</x:v>
      </x:c>
      <x:c r="G9" s="33" t="n">
        <x:v>0</x:v>
      </x:c>
      <x:c r="H9" s="34" t="n">
        <x:v>1</x:v>
      </x:c>
      <x:c r="I9" s="35" t="n">
        <x:v>82</x:v>
      </x:c>
      <x:c r="J9" s="35" t="n">
        <x:v>82</x:v>
      </x:c>
      <x:c r="K9" s="32" t="n">
        <x:v>1781327374.0574036</x:v>
      </x:c>
      <x:c r="L9" s="32" t="n">
        <x:v>1391978413.5491133</x:v>
      </x:c>
      <x:c r="M9" s="32" t="n">
        <x:v>1468317274.3697884</x:v>
      </x:c>
      <x:c r="N9" s="34" t="n">
        <x:v>0.02681019033277262</x:v>
      </x:c>
      <x:c r="O9" s="35" t="n">
        <x:v>8</x:v>
      </x:c>
      <x:c r="P9" s="34" t="n">
        <x:v>0.39909155845748745</x:v>
      </x:c>
    </x:row>
    <x:row r="10" ht="18" customHeight="1">
      <x:c r="A10" s="25" t="str">
        <x:v>EEZ_941</x:v>
      </x:c>
      <x:c r="B10" s="25" t="str">
        <x:v>Kiribati (Gilbert Islands)</x:v>
      </x:c>
      <x:c r="C10" s="25" t="str">
        <x:v>EEZ</x:v>
      </x:c>
      <x:c r="D10" s="31" t="n">
        <x:v>2019</x:v>
      </x:c>
      <x:c r="E10" s="32" t="n">
        <x:v>599962.7992743407</x:v>
      </x:c>
      <x:c r="F10" s="32" t="n">
        <x:v>599962.7992743407</x:v>
      </x:c>
      <x:c r="G10" s="33" t="n">
        <x:v>0</x:v>
      </x:c>
      <x:c r="H10" s="34" t="n">
        <x:v>1</x:v>
      </x:c>
      <x:c r="I10" s="35" t="n">
        <x:v>38</x:v>
      </x:c>
      <x:c r="J10" s="35" t="n">
        <x:v>38</x:v>
      </x:c>
      <x:c r="K10" s="32" t="n">
        <x:v>1552445784.5398905</x:v>
      </x:c>
      <x:c r="L10" s="32" t="n">
        <x:v>1544498081.8229556</x:v>
      </x:c>
      <x:c r="M10" s="32" t="n">
        <x:v>1546704412.866342</x:v>
      </x:c>
      <x:c r="N10" s="34" t="n">
        <x:v>0.023365366507573652</x:v>
      </x:c>
      <x:c r="O10" s="35" t="n">
        <x:v>9</x:v>
      </x:c>
      <x:c r="P10" s="34" t="n">
        <x:v>0.4224569249650611</x:v>
      </x:c>
    </x:row>
    <x:row r="11" ht="18" customHeight="1">
      <x:c r="A11" s="25" t="str">
        <x:v>EEZ_938</x:v>
      </x:c>
      <x:c r="B11" s="25" t="str">
        <x:v>Indonesia (Indian Ocean)</x:v>
      </x:c>
      <x:c r="C11" s="25" t="str">
        <x:v>EEZ</x:v>
      </x:c>
      <x:c r="D11" s="31" t="n">
        <x:v>2019</x:v>
      </x:c>
      <x:c r="E11" s="32" t="n">
        <x:v>2112707.572524511</x:v>
      </x:c>
      <x:c r="F11" s="32" t="n">
        <x:v>2112707.572524511</x:v>
      </x:c>
      <x:c r="G11" s="33" t="n">
        <x:v>0</x:v>
      </x:c>
      <x:c r="H11" s="34" t="n">
        <x:v>1</x:v>
      </x:c>
      <x:c r="I11" s="35" t="n">
        <x:v>147</x:v>
      </x:c>
      <x:c r="J11" s="35" t="n">
        <x:v>147</x:v>
      </x:c>
      <x:c r="K11" s="32" t="n">
        <x:v>1549538383.7711182</x:v>
      </x:c>
      <x:c r="L11" s="32" t="n">
        <x:v>1173195631.6727116</x:v>
      </x:c>
      <x:c r="M11" s="32" t="n">
        <x:v>1254364943.6071885</x:v>
      </x:c>
      <x:c r="N11" s="34" t="n">
        <x:v>0.023321608145624218</x:v>
      </x:c>
      <x:c r="O11" s="35" t="n">
        <x:v>10</x:v>
      </x:c>
      <x:c r="P11" s="34" t="n">
        <x:v>0.4457785331106853</x:v>
      </x:c>
    </x:row>
    <x:row r="12" ht="18" customHeight="1">
      <x:c r="A12" s="25" t="str">
        <x:v>EEZ_578</x:v>
      </x:c>
      <x:c r="B12" s="25" t="str">
        <x:v>Norway</x:v>
      </x:c>
      <x:c r="C12" s="25" t="str">
        <x:v>EEZ</x:v>
      </x:c>
      <x:c r="D12" s="31" t="n">
        <x:v>2019</x:v>
      </x:c>
      <x:c r="E12" s="32" t="n">
        <x:v>1710313.5041625751</x:v>
      </x:c>
      <x:c r="F12" s="32" t="n">
        <x:v>1710313.5041625751</x:v>
      </x:c>
      <x:c r="G12" s="33" t="n">
        <x:v>0</x:v>
      </x:c>
      <x:c r="H12" s="34" t="n">
        <x:v>1</x:v>
      </x:c>
      <x:c r="I12" s="35" t="n">
        <x:v>222</x:v>
      </x:c>
      <x:c r="J12" s="35" t="n">
        <x:v>222</x:v>
      </x:c>
      <x:c r="K12" s="32" t="n">
        <x:v>1486385233.701386</x:v>
      </x:c>
      <x:c r="L12" s="32" t="n">
        <x:v>1354784615.3936987</x:v>
      </x:c>
      <x:c r="M12" s="32" t="n">
        <x:v>1424436259.700941</x:v>
      </x:c>
      <x:c r="N12" s="34" t="n">
        <x:v>0.02237111022023327</x:v>
      </x:c>
      <x:c r="O12" s="35" t="n">
        <x:v>11</x:v>
      </x:c>
      <x:c r="P12" s="34" t="n">
        <x:v>0.4681496433309186</x:v>
      </x:c>
    </x:row>
    <x:row r="13" ht="18" customHeight="1">
      <x:c r="A13" s="25" t="str">
        <x:v>EEZ_598</x:v>
      </x:c>
      <x:c r="B13" s="25" t="str">
        <x:v>Papua New Guinea</x:v>
      </x:c>
      <x:c r="C13" s="25" t="str">
        <x:v>EEZ</x:v>
      </x:c>
      <x:c r="D13" s="31" t="n">
        <x:v>2019</x:v>
      </x:c>
      <x:c r="E13" s="32" t="n">
        <x:v>536763.5433324721</x:v>
      </x:c>
      <x:c r="F13" s="32" t="n">
        <x:v>536763.5433324721</x:v>
      </x:c>
      <x:c r="G13" s="33" t="n">
        <x:v>0</x:v>
      </x:c>
      <x:c r="H13" s="34" t="n">
        <x:v>1</x:v>
      </x:c>
      <x:c r="I13" s="35" t="n">
        <x:v>55</x:v>
      </x:c>
      <x:c r="J13" s="35" t="n">
        <x:v>55</x:v>
      </x:c>
      <x:c r="K13" s="32" t="n">
        <x:v>1304961504.0343719</x:v>
      </x:c>
      <x:c r="L13" s="32" t="n">
        <x:v>1282035228.7863865</x:v>
      </x:c>
      <x:c r="M13" s="32" t="n">
        <x:v>1295086077.4864874</x:v>
      </x:c>
      <x:c r="N13" s="34" t="n">
        <x:v>0.019640559511760636</x:v>
      </x:c>
      <x:c r="O13" s="35" t="n">
        <x:v>12</x:v>
      </x:c>
      <x:c r="P13" s="34" t="n">
        <x:v>0.4877902028426792</x:v>
      </x:c>
    </x:row>
    <x:row r="14" ht="18" customHeight="1">
      <x:c r="A14" s="25" t="str">
        <x:v>EEZ_032</x:v>
      </x:c>
      <x:c r="B14" s="25" t="str">
        <x:v>Argentina</x:v>
      </x:c>
      <x:c r="C14" s="25" t="str">
        <x:v>EEZ</x:v>
      </x:c>
      <x:c r="D14" s="31" t="n">
        <x:v>2019</x:v>
      </x:c>
      <x:c r="E14" s="32" t="n">
        <x:v>1455579.158848894</x:v>
      </x:c>
      <x:c r="F14" s="32" t="n">
        <x:v>1455579.158848894</x:v>
      </x:c>
      <x:c r="G14" s="33" t="n">
        <x:v>0</x:v>
      </x:c>
      <x:c r="H14" s="34" t="n">
        <x:v>1</x:v>
      </x:c>
      <x:c r="I14" s="35" t="n">
        <x:v>86</x:v>
      </x:c>
      <x:c r="J14" s="35" t="n">
        <x:v>86</x:v>
      </x:c>
      <x:c r="K14" s="32" t="n">
        <x:v>1272031530.1874146</x:v>
      </x:c>
      <x:c r="L14" s="32" t="n">
        <x:v>1165759568.7681806</x:v>
      </x:c>
      <x:c r="M14" s="32" t="n">
        <x:v>1207458955.0805123</x:v>
      </x:c>
      <x:c r="N14" s="34" t="n">
        <x:v>0.019144940975074017</x:v>
      </x:c>
      <x:c r="O14" s="35" t="n">
        <x:v>13</x:v>
      </x:c>
      <x:c r="P14" s="34" t="n">
        <x:v>0.5069351438177533</x:v>
      </x:c>
    </x:row>
    <x:row r="15" ht="18" customHeight="1">
      <x:c r="A15" s="25" t="str">
        <x:v>EEZ_608</x:v>
      </x:c>
      <x:c r="B15" s="25" t="str">
        <x:v>Philippines</x:v>
      </x:c>
      <x:c r="C15" s="25" t="str">
        <x:v>EEZ</x:v>
      </x:c>
      <x:c r="D15" s="31" t="n">
        <x:v>2019</x:v>
      </x:c>
      <x:c r="E15" s="32" t="n">
        <x:v>2152202.04182738</x:v>
      </x:c>
      <x:c r="F15" s="32" t="n">
        <x:v>2152202.04182738</x:v>
      </x:c>
      <x:c r="G15" s="33" t="n">
        <x:v>0</x:v>
      </x:c>
      <x:c r="H15" s="34" t="n">
        <x:v>1</x:v>
      </x:c>
      <x:c r="I15" s="35" t="n">
        <x:v>172</x:v>
      </x:c>
      <x:c r="J15" s="35" t="n">
        <x:v>172</x:v>
      </x:c>
      <x:c r="K15" s="32" t="n">
        <x:v>1117733410.478486</x:v>
      </x:c>
      <x:c r="L15" s="32" t="n">
        <x:v>863818470.0629802</x:v>
      </x:c>
      <x:c r="M15" s="32" t="n">
        <x:v>865862679.5151173</x:v>
      </x:c>
      <x:c r="N15" s="34" t="n">
        <x:v>0.016822649173111288</x:v>
      </x:c>
      <x:c r="O15" s="35" t="n">
        <x:v>14</x:v>
      </x:c>
      <x:c r="P15" s="34" t="n">
        <x:v>0.5237577929908646</x:v>
      </x:c>
    </x:row>
    <x:row r="16" ht="18" customHeight="1">
      <x:c r="A16" s="25" t="str">
        <x:v>EEZ_478</x:v>
      </x:c>
      <x:c r="B16" s="25" t="str">
        <x:v>Mauritania</x:v>
      </x:c>
      <x:c r="C16" s="25" t="str">
        <x:v>EEZ</x:v>
      </x:c>
      <x:c r="D16" s="31" t="n">
        <x:v>2019</x:v>
      </x:c>
      <x:c r="E16" s="32" t="n">
        <x:v>2210253.937882072</x:v>
      </x:c>
      <x:c r="F16" s="32" t="n">
        <x:v>2210253.937882072</x:v>
      </x:c>
      <x:c r="G16" s="33" t="n">
        <x:v>0</x:v>
      </x:c>
      <x:c r="H16" s="34" t="n">
        <x:v>1</x:v>
      </x:c>
      <x:c r="I16" s="35" t="n">
        <x:v>229</x:v>
      </x:c>
      <x:c r="J16" s="35" t="n">
        <x:v>229</x:v>
      </x:c>
      <x:c r="K16" s="32" t="n">
        <x:v>1032601351.4376887</x:v>
      </x:c>
      <x:c r="L16" s="32" t="n">
        <x:v>881884300.2249317</x:v>
      </x:c>
      <x:c r="M16" s="32" t="n">
        <x:v>887683160.6813964</x:v>
      </x:c>
      <x:c r="N16" s="34" t="n">
        <x:v>0.015541353696746444</x:v>
      </x:c>
      <x:c r="O16" s="35" t="n">
        <x:v>15</x:v>
      </x:c>
      <x:c r="P16" s="34" t="n">
        <x:v>0.5392991466876109</x:v>
      </x:c>
    </x:row>
    <x:row r="17" ht="18" customHeight="1">
      <x:c r="A17" s="25" t="str">
        <x:v>EEZ_937</x:v>
      </x:c>
      <x:c r="B17" s="25" t="str">
        <x:v>Indonesia (Central)</x:v>
      </x:c>
      <x:c r="C17" s="25" t="str">
        <x:v>EEZ</x:v>
      </x:c>
      <x:c r="D17" s="31" t="n">
        <x:v>2019</x:v>
      </x:c>
      <x:c r="E17" s="32" t="n">
        <x:v>1876235.8826732747</x:v>
      </x:c>
      <x:c r="F17" s="32" t="n">
        <x:v>1876235.8826732747</x:v>
      </x:c>
      <x:c r="G17" s="33" t="n">
        <x:v>0</x:v>
      </x:c>
      <x:c r="H17" s="34" t="n">
        <x:v>1</x:v>
      </x:c>
      <x:c r="I17" s="35" t="n">
        <x:v>138</x:v>
      </x:c>
      <x:c r="J17" s="35" t="n">
        <x:v>138</x:v>
      </x:c>
      <x:c r="K17" s="32" t="n">
        <x:v>1028177964.8470863</x:v>
      </x:c>
      <x:c r="L17" s="32" t="n">
        <x:v>659443554.7241148</x:v>
      </x:c>
      <x:c r="M17" s="32" t="n">
        <x:v>816001759.7519019</x:v>
      </x:c>
      <x:c r="N17" s="34" t="n">
        <x:v>0.015474778715562968</x:v>
      </x:c>
      <x:c r="O17" s="35" t="n">
        <x:v>16</x:v>
      </x:c>
      <x:c r="P17" s="34" t="n">
        <x:v>0.5547739254031739</x:v>
      </x:c>
    </x:row>
    <x:row r="18" ht="18" customHeight="1">
      <x:c r="A18" s="25" t="str">
        <x:v>EEZ_410</x:v>
      </x:c>
      <x:c r="B18" s="25" t="str">
        <x:v>Korea (South)</x:v>
      </x:c>
      <x:c r="C18" s="25" t="str">
        <x:v>EEZ</x:v>
      </x:c>
      <x:c r="D18" s="31" t="n">
        <x:v>2019</x:v>
      </x:c>
      <x:c r="E18" s="32" t="n">
        <x:v>1692138.9147849004</x:v>
      </x:c>
      <x:c r="F18" s="32" t="n">
        <x:v>1692138.9147849004</x:v>
      </x:c>
      <x:c r="G18" s="33" t="n">
        <x:v>0</x:v>
      </x:c>
      <x:c r="H18" s="34" t="n">
        <x:v>1</x:v>
      </x:c>
      <x:c r="I18" s="35" t="n">
        <x:v>118</x:v>
      </x:c>
      <x:c r="J18" s="35" t="n">
        <x:v>118</x:v>
      </x:c>
      <x:c r="K18" s="32" t="n">
        <x:v>1001424147.7179294</x:v>
      </x:c>
      <x:c r="L18" s="32" t="n">
        <x:v>553978409.4187069</x:v>
      </x:c>
      <x:c r="M18" s="32" t="n">
        <x:v>820319263.610668</x:v>
      </x:c>
      <x:c r="N18" s="34" t="n">
        <x:v>0.01507211554437556</x:v>
      </x:c>
      <x:c r="O18" s="35" t="n">
        <x:v>17</x:v>
      </x:c>
      <x:c r="P18" s="34" t="n">
        <x:v>0.5698460409475495</x:v>
      </x:c>
    </x:row>
    <x:row r="19" ht="18" customHeight="1">
      <x:c r="A19" s="25" t="str">
        <x:v>EEZ_826</x:v>
      </x:c>
      <x:c r="B19" s="25" t="str">
        <x:v>United Kingdom (UK)</x:v>
      </x:c>
      <x:c r="C19" s="25" t="str">
        <x:v>EEZ</x:v>
      </x:c>
      <x:c r="D19" s="31" t="n">
        <x:v>2019</x:v>
      </x:c>
      <x:c r="E19" s="32" t="n">
        <x:v>1714264.7493178481</x:v>
      </x:c>
      <x:c r="F19" s="32" t="n">
        <x:v>1714264.7493178481</x:v>
      </x:c>
      <x:c r="G19" s="33" t="n">
        <x:v>0</x:v>
      </x:c>
      <x:c r="H19" s="34" t="n">
        <x:v>1</x:v>
      </x:c>
      <x:c r="I19" s="35" t="n">
        <x:v>346</x:v>
      </x:c>
      <x:c r="J19" s="35" t="n">
        <x:v>346</x:v>
      </x:c>
      <x:c r="K19" s="32" t="n">
        <x:v>1000014407.7534399</x:v>
      </x:c>
      <x:c r="L19" s="32" t="n">
        <x:v>832607270.3364908</x:v>
      </x:c>
      <x:c r="M19" s="32" t="n">
        <x:v>860984504.0341389</x:v>
      </x:c>
      <x:c r="N19" s="34" t="n">
        <x:v>0.015050897997663982</x:v>
      </x:c>
      <x:c r="O19" s="35" t="n">
        <x:v>18</x:v>
      </x:c>
      <x:c r="P19" s="34" t="n">
        <x:v>0.5848969389452134</x:v>
      </x:c>
    </x:row>
    <x:row r="20" ht="18" customHeight="1">
      <x:c r="A20" s="25" t="str">
        <x:v>EEZ_945</x:v>
      </x:c>
      <x:c r="B20" s="25" t="str">
        <x:v>Mexico (Pacific)</x:v>
      </x:c>
      <x:c r="C20" s="25" t="str">
        <x:v>EEZ</x:v>
      </x:c>
      <x:c r="D20" s="31" t="n">
        <x:v>2019</x:v>
      </x:c>
      <x:c r="E20" s="32" t="n">
        <x:v>2162472.018004568</x:v>
      </x:c>
      <x:c r="F20" s="32" t="n">
        <x:v>2162472.018004568</x:v>
      </x:c>
      <x:c r="G20" s="33" t="n">
        <x:v>0</x:v>
      </x:c>
      <x:c r="H20" s="34" t="n">
        <x:v>1</x:v>
      </x:c>
      <x:c r="I20" s="35" t="n">
        <x:v>136</x:v>
      </x:c>
      <x:c r="J20" s="35" t="n">
        <x:v>136</x:v>
      </x:c>
      <x:c r="K20" s="32" t="n">
        <x:v>903902972.1574702</x:v>
      </x:c>
      <x:c r="L20" s="32" t="n">
        <x:v>690523636.22767</x:v>
      </x:c>
      <x:c r="M20" s="32" t="n">
        <x:v>724981813.6350174</x:v>
      </x:c>
      <x:c r="N20" s="34" t="n">
        <x:v>0.01360435542552871</x:v>
      </x:c>
      <x:c r="O20" s="35" t="n">
        <x:v>19</x:v>
      </x:c>
      <x:c r="P20" s="34" t="n">
        <x:v>0.5985012943707422</x:v>
      </x:c>
    </x:row>
    <x:row r="21" ht="18" customHeight="1">
      <x:c r="A21" s="25" t="str">
        <x:v>EEZ_848</x:v>
      </x:c>
      <x:c r="B21" s="25" t="str">
        <x:v>USA (West Coast)</x:v>
      </x:c>
      <x:c r="C21" s="25" t="str">
        <x:v>EEZ</x:v>
      </x:c>
      <x:c r="D21" s="31" t="n">
        <x:v>2019</x:v>
      </x:c>
      <x:c r="E21" s="32" t="n">
        <x:v>480242.05511345976</x:v>
      </x:c>
      <x:c r="F21" s="32" t="n">
        <x:v>480242.05511345976</x:v>
      </x:c>
      <x:c r="G21" s="33" t="n">
        <x:v>0</x:v>
      </x:c>
      <x:c r="H21" s="34" t="n">
        <x:v>1</x:v>
      </x:c>
      <x:c r="I21" s="35" t="n">
        <x:v>185</x:v>
      </x:c>
      <x:c r="J21" s="35" t="n">
        <x:v>185</x:v>
      </x:c>
      <x:c r="K21" s="32" t="n">
        <x:v>855756640.2092203</x:v>
      </x:c>
      <x:c r="L21" s="32" t="n">
        <x:v>835178805.1075281</x:v>
      </x:c>
      <x:c r="M21" s="32" t="n">
        <x:v>846041591.1136853</x:v>
      </x:c>
      <x:c r="N21" s="34" t="n">
        <x:v>0.01287972033477765</x:v>
      </x:c>
      <x:c r="O21" s="35" t="n">
        <x:v>20</x:v>
      </x:c>
      <x:c r="P21" s="34" t="n">
        <x:v>0.6113810147055199</x:v>
      </x:c>
    </x:row>
    <x:row r="22" ht="18" customHeight="1">
      <x:c r="A22" s="25" t="str">
        <x:v>EEZ_554</x:v>
      </x:c>
      <x:c r="B22" s="25" t="str">
        <x:v>New Zealand</x:v>
      </x:c>
      <x:c r="C22" s="25" t="str">
        <x:v>EEZ</x:v>
      </x:c>
      <x:c r="D22" s="31" t="n">
        <x:v>2019</x:v>
      </x:c>
      <x:c r="E22" s="32" t="n">
        <x:v>536634.0092869516</x:v>
      </x:c>
      <x:c r="F22" s="32" t="n">
        <x:v>536634.0092869516</x:v>
      </x:c>
      <x:c r="G22" s="33" t="n">
        <x:v>0</x:v>
      </x:c>
      <x:c r="H22" s="34" t="n">
        <x:v>1</x:v>
      </x:c>
      <x:c r="I22" s="35" t="n">
        <x:v>197</x:v>
      </x:c>
      <x:c r="J22" s="35" t="n">
        <x:v>197</x:v>
      </x:c>
      <x:c r="K22" s="32" t="n">
        <x:v>844346453.6499316</x:v>
      </x:c>
      <x:c r="L22" s="32" t="n">
        <x:v>698639252.9198685</x:v>
      </x:c>
      <x:c r="M22" s="32" t="n">
        <x:v>743350086.3792835</x:v>
      </x:c>
      <x:c r="N22" s="34" t="n">
        <x:v>0.012707989254998536</x:v>
      </x:c>
      <x:c r="O22" s="35" t="n">
        <x:v>21</x:v>
      </x:c>
      <x:c r="P22" s="34" t="n">
        <x:v>0.6240890039605184</x:v>
      </x:c>
    </x:row>
    <x:row r="23" ht="18" customHeight="1">
      <x:c r="A23" s="25" t="str">
        <x:v>EEZ_586</x:v>
      </x:c>
      <x:c r="B23" s="25" t="str">
        <x:v>Pakistan</x:v>
      </x:c>
      <x:c r="C23" s="25" t="str">
        <x:v>EEZ</x:v>
      </x:c>
      <x:c r="D23" s="31" t="n">
        <x:v>2019</x:v>
      </x:c>
      <x:c r="E23" s="32" t="n">
        <x:v>930340.2931580818</x:v>
      </x:c>
      <x:c r="F23" s="32" t="n">
        <x:v>930340.2931580818</x:v>
      </x:c>
      <x:c r="G23" s="33" t="n">
        <x:v>0</x:v>
      </x:c>
      <x:c r="H23" s="34" t="n">
        <x:v>1</x:v>
      </x:c>
      <x:c r="I23" s="35" t="n">
        <x:v>126</x:v>
      </x:c>
      <x:c r="J23" s="35" t="n">
        <x:v>126</x:v>
      </x:c>
      <x:c r="K23" s="32" t="n">
        <x:v>790261291.1785368</x:v>
      </x:c>
      <x:c r="L23" s="32" t="n">
        <x:v>523696541.5776824</x:v>
      </x:c>
      <x:c r="M23" s="32" t="n">
        <x:v>623228915.1263041</x:v>
      </x:c>
      <x:c r="N23" s="34" t="n">
        <x:v>0.011893970719632841</x:v>
      </x:c>
      <x:c r="O23" s="35" t="n">
        <x:v>22</x:v>
      </x:c>
      <x:c r="P23" s="34" t="n">
        <x:v>0.6359829746801512</x:v>
      </x:c>
    </x:row>
    <x:row r="24" ht="18" customHeight="1">
      <x:c r="A24" s="25" t="str">
        <x:v>EEZ_352</x:v>
      </x:c>
      <x:c r="B24" s="25" t="str">
        <x:v>Iceland</x:v>
      </x:c>
      <x:c r="C24" s="25" t="str">
        <x:v>EEZ</x:v>
      </x:c>
      <x:c r="D24" s="31" t="n">
        <x:v>2019</x:v>
      </x:c>
      <x:c r="E24" s="32" t="n">
        <x:v>755890.0550702651</x:v>
      </x:c>
      <x:c r="F24" s="32" t="n">
        <x:v>755890.0550702651</x:v>
      </x:c>
      <x:c r="G24" s="33" t="n">
        <x:v>0</x:v>
      </x:c>
      <x:c r="H24" s="34" t="n">
        <x:v>1</x:v>
      </x:c>
      <x:c r="I24" s="35" t="n">
        <x:v>79</x:v>
      </x:c>
      <x:c r="J24" s="35" t="n">
        <x:v>79</x:v>
      </x:c>
      <x:c r="K24" s="32" t="n">
        <x:v>746373735.3016173</x:v>
      </x:c>
      <x:c r="L24" s="32" t="n">
        <x:v>708464397.4967039</x:v>
      </x:c>
      <x:c r="M24" s="32" t="n">
        <x:v>686516663.3818655</x:v>
      </x:c>
      <x:c r="N24" s="34" t="n">
        <x:v>0.01123343310962557</x:v>
      </x:c>
      <x:c r="O24" s="35" t="n">
        <x:v>23</x:v>
      </x:c>
      <x:c r="P24" s="34" t="n">
        <x:v>0.6472164077897767</x:v>
      </x:c>
    </x:row>
    <x:row r="25" ht="18" customHeight="1">
      <x:c r="A25" s="25" t="str">
        <x:v>EEZ_957</x:v>
      </x:c>
      <x:c r="B25" s="25" t="str">
        <x:v>Thailand (Gulf of Thailand)</x:v>
      </x:c>
      <x:c r="C25" s="25" t="str">
        <x:v>EEZ</x:v>
      </x:c>
      <x:c r="D25" s="31" t="n">
        <x:v>2019</x:v>
      </x:c>
      <x:c r="E25" s="32" t="n">
        <x:v>1326966.3114427112</x:v>
      </x:c>
      <x:c r="F25" s="32" t="n">
        <x:v>1326966.3114427112</x:v>
      </x:c>
      <x:c r="G25" s="33" t="n">
        <x:v>0</x:v>
      </x:c>
      <x:c r="H25" s="34" t="n">
        <x:v>1</x:v>
      </x:c>
      <x:c r="I25" s="35" t="n">
        <x:v>59</x:v>
      </x:c>
      <x:c r="J25" s="35" t="n">
        <x:v>59</x:v>
      </x:c>
      <x:c r="K25" s="32" t="n">
        <x:v>739082508.1879923</x:v>
      </x:c>
      <x:c r="L25" s="32" t="n">
        <x:v>525831874.2784343</x:v>
      </x:c>
      <x:c r="M25" s="32" t="n">
        <x:v>608978643.1813896</x:v>
      </x:c>
      <x:c r="N25" s="34" t="n">
        <x:v>0.011123695175137702</x:v>
      </x:c>
      <x:c r="O25" s="35" t="n">
        <x:v>24</x:v>
      </x:c>
      <x:c r="P25" s="34" t="n">
        <x:v>0.6583401029649145</x:v>
      </x:c>
    </x:row>
    <x:row r="26" ht="18" customHeight="1">
      <x:c r="A26" s="25" t="str">
        <x:v>EEZ_104</x:v>
      </x:c>
      <x:c r="B26" s="25" t="str">
        <x:v>Myanmar</x:v>
      </x:c>
      <x:c r="C26" s="25" t="str">
        <x:v>EEZ</x:v>
      </x:c>
      <x:c r="D26" s="31" t="n">
        <x:v>2019</x:v>
      </x:c>
      <x:c r="E26" s="32" t="n">
        <x:v>1333934.8992368777</x:v>
      </x:c>
      <x:c r="F26" s="32" t="n">
        <x:v>1333934.8992368777</x:v>
      </x:c>
      <x:c r="G26" s="33" t="n">
        <x:v>0</x:v>
      </x:c>
      <x:c r="H26" s="34" t="n">
        <x:v>1</x:v>
      </x:c>
      <x:c r="I26" s="35" t="n">
        <x:v>81</x:v>
      </x:c>
      <x:c r="J26" s="35" t="n">
        <x:v>81</x:v>
      </x:c>
      <x:c r="K26" s="32" t="n">
        <x:v>719846370.2034029</x:v>
      </x:c>
      <x:c r="L26" s="32" t="n">
        <x:v>533876617.67672706</x:v>
      </x:c>
      <x:c r="M26" s="32" t="n">
        <x:v>614533774.7229358</x:v>
      </x:c>
      <x:c r="N26" s="34" t="n">
        <x:v>0.010834178195751913</x:v>
      </x:c>
      <x:c r="O26" s="35" t="n">
        <x:v>25</x:v>
      </x:c>
      <x:c r="P26" s="34" t="n">
        <x:v>0.6691742811606664</x:v>
      </x:c>
    </x:row>
    <x:row r="27" ht="18" customHeight="1">
      <x:c r="A27" s="25" t="str">
        <x:v>EEZ_157</x:v>
      </x:c>
      <x:c r="B27" s="25" t="str">
        <x:v>Taiwan</x:v>
      </x:c>
      <x:c r="C27" s="25" t="str">
        <x:v>EEZ</x:v>
      </x:c>
      <x:c r="D27" s="31" t="n">
        <x:v>2019</x:v>
      </x:c>
      <x:c r="E27" s="32" t="n">
        <x:v>974842.5837373973</x:v>
      </x:c>
      <x:c r="F27" s="32" t="n">
        <x:v>974842.5837373973</x:v>
      </x:c>
      <x:c r="G27" s="33" t="n">
        <x:v>0</x:v>
      </x:c>
      <x:c r="H27" s="34" t="n">
        <x:v>1</x:v>
      </x:c>
      <x:c r="I27" s="35" t="n">
        <x:v>149</x:v>
      </x:c>
      <x:c r="J27" s="35" t="n">
        <x:v>149</x:v>
      </x:c>
      <x:c r="K27" s="32" t="n">
        <x:v>651770218.0518247</x:v>
      </x:c>
      <x:c r="L27" s="32" t="n">
        <x:v>393540157.69617546</x:v>
      </x:c>
      <x:c r="M27" s="32" t="n">
        <x:v>564684929.637638</x:v>
      </x:c>
      <x:c r="N27" s="34" t="n">
        <x:v>0.009809585735720596</x:v>
      </x:c>
      <x:c r="O27" s="35" t="n">
        <x:v>26</x:v>
      </x:c>
      <x:c r="P27" s="34" t="n">
        <x:v>0.678983866896387</x:v>
      </x:c>
    </x:row>
    <x:row r="28" ht="18" customHeight="1">
      <x:c r="A28" s="25" t="str">
        <x:v>EEZ_076</x:v>
      </x:c>
      <x:c r="B28" s="25" t="str">
        <x:v>Brazil (mainland)</x:v>
      </x:c>
      <x:c r="C28" s="25" t="str">
        <x:v>EEZ</x:v>
      </x:c>
      <x:c r="D28" s="31" t="n">
        <x:v>2019</x:v>
      </x:c>
      <x:c r="E28" s="32" t="n">
        <x:v>904109.1796290667</x:v>
      </x:c>
      <x:c r="F28" s="32" t="n">
        <x:v>904109.1796290667</x:v>
      </x:c>
      <x:c r="G28" s="33" t="n">
        <x:v>0</x:v>
      </x:c>
      <x:c r="H28" s="34" t="n">
        <x:v>1</x:v>
      </x:c>
      <x:c r="I28" s="35" t="n">
        <x:v>274</x:v>
      </x:c>
      <x:c r="J28" s="35" t="n">
        <x:v>274</x:v>
      </x:c>
      <x:c r="K28" s="32" t="n">
        <x:v>632611601.862448</x:v>
      </x:c>
      <x:c r="L28" s="32" t="n">
        <x:v>441232318.29396504</x:v>
      </x:c>
      <x:c r="M28" s="32" t="n">
        <x:v>503604725.6354581</x:v>
      </x:c>
      <x:c r="N28" s="34" t="n">
        <x:v>0.00952123551215682</x:v>
      </x:c>
      <x:c r="O28" s="35" t="n">
        <x:v>27</x:v>
      </x:c>
      <x:c r="P28" s="34" t="n">
        <x:v>0.6885051024085438</x:v>
      </x:c>
    </x:row>
    <x:row r="29" ht="18" customHeight="1">
      <x:c r="A29" s="25" t="str">
        <x:v>EEZ_851</x:v>
      </x:c>
      <x:c r="B29" s="25" t="str">
        <x:v>USA (East Coast)</x:v>
      </x:c>
      <x:c r="C29" s="25" t="str">
        <x:v>EEZ</x:v>
      </x:c>
      <x:c r="D29" s="31" t="n">
        <x:v>2019</x:v>
      </x:c>
      <x:c r="E29" s="32" t="n">
        <x:v>1002996.0875079746</x:v>
      </x:c>
      <x:c r="F29" s="32" t="n">
        <x:v>1002996.0875079746</x:v>
      </x:c>
      <x:c r="G29" s="33" t="n">
        <x:v>0</x:v>
      </x:c>
      <x:c r="H29" s="34" t="n">
        <x:v>1</x:v>
      </x:c>
      <x:c r="I29" s="35" t="n">
        <x:v>352</x:v>
      </x:c>
      <x:c r="J29" s="35" t="n">
        <x:v>352</x:v>
      </x:c>
      <x:c r="K29" s="32" t="n">
        <x:v>625895294.1062337</x:v>
      </x:c>
      <x:c r="L29" s="32" t="n">
        <x:v>446029289.4659738</x:v>
      </x:c>
      <x:c r="M29" s="32" t="n">
        <x:v>526429552.84873974</x:v>
      </x:c>
      <x:c r="N29" s="34" t="n">
        <x:v>0.00942015050560497</x:v>
      </x:c>
      <x:c r="O29" s="35" t="n">
        <x:v>28</x:v>
      </x:c>
      <x:c r="P29" s="34" t="n">
        <x:v>0.6979252529141488</x:v>
      </x:c>
    </x:row>
    <x:row r="30" ht="18" customHeight="1">
      <x:c r="A30" s="25" t="str">
        <x:v>EEZ_624</x:v>
      </x:c>
      <x:c r="B30" s="25" t="str">
        <x:v>Guinea-Bissau</x:v>
      </x:c>
      <x:c r="C30" s="25" t="str">
        <x:v>EEZ</x:v>
      </x:c>
      <x:c r="D30" s="31" t="n">
        <x:v>2019</x:v>
      </x:c>
      <x:c r="E30" s="32" t="n">
        <x:v>1133937.8605595871</x:v>
      </x:c>
      <x:c r="F30" s="32" t="n">
        <x:v>1133937.8605595871</x:v>
      </x:c>
      <x:c r="G30" s="33" t="n">
        <x:v>0</x:v>
      </x:c>
      <x:c r="H30" s="34" t="n">
        <x:v>1</x:v>
      </x:c>
      <x:c r="I30" s="35" t="n">
        <x:v>229</x:v>
      </x:c>
      <x:c r="J30" s="35" t="n">
        <x:v>229</x:v>
      </x:c>
      <x:c r="K30" s="32" t="n">
        <x:v>583910166.0894275</x:v>
      </x:c>
      <x:c r="L30" s="32" t="n">
        <x:v>433763263.03919053</x:v>
      </x:c>
      <x:c r="M30" s="32" t="n">
        <x:v>516189062.1832388</x:v>
      </x:c>
      <x:c r="N30" s="34" t="n">
        <x:v>0.008788245730733349</x:v>
      </x:c>
      <x:c r="O30" s="35" t="n">
        <x:v>29</x:v>
      </x:c>
      <x:c r="P30" s="34" t="n">
        <x:v>0.7067134986448821</x:v>
      </x:c>
    </x:row>
    <x:row r="31" ht="18" customHeight="1">
      <x:c r="A31" s="25" t="str">
        <x:v>EEZ_583</x:v>
      </x:c>
      <x:c r="B31" s="25" t="str">
        <x:v>Micronesia (Federated States of)</x:v>
      </x:c>
      <x:c r="C31" s="25" t="str">
        <x:v>EEZ</x:v>
      </x:c>
      <x:c r="D31" s="31" t="n">
        <x:v>2019</x:v>
      </x:c>
      <x:c r="E31" s="32" t="n">
        <x:v>227502.48946383104</x:v>
      </x:c>
      <x:c r="F31" s="32" t="n">
        <x:v>227502.48946383104</x:v>
      </x:c>
      <x:c r="G31" s="33" t="n">
        <x:v>0</x:v>
      </x:c>
      <x:c r="H31" s="34" t="n">
        <x:v>1</x:v>
      </x:c>
      <x:c r="I31" s="35" t="n">
        <x:v>164</x:v>
      </x:c>
      <x:c r="J31" s="35" t="n">
        <x:v>164</x:v>
      </x:c>
      <x:c r="K31" s="32" t="n">
        <x:v>577443311.7451106</x:v>
      </x:c>
      <x:c r="L31" s="32" t="n">
        <x:v>567984832.1488785</x:v>
      </x:c>
      <x:c r="M31" s="32" t="n">
        <x:v>573185243.4129187</x:v>
      </x:c>
      <x:c r="N31" s="34" t="n">
        <x:v>0.008690915167946036</x:v>
      </x:c>
      <x:c r="O31" s="35" t="n">
        <x:v>30</x:v>
      </x:c>
      <x:c r="P31" s="34" t="n">
        <x:v>0.7154044138128282</x:v>
      </x:c>
    </x:row>
    <x:row r="32" ht="18" customHeight="1">
      <x:c r="A32" s="25" t="str">
        <x:v>EEZ_234</x:v>
      </x:c>
      <x:c r="B32" s="25" t="str">
        <x:v>Faeroe Isl. (Denmark)</x:v>
      </x:c>
      <x:c r="C32" s="25" t="str">
        <x:v>EEZ</x:v>
      </x:c>
      <x:c r="D32" s="31" t="n">
        <x:v>2019</x:v>
      </x:c>
      <x:c r="E32" s="32" t="n">
        <x:v>573325.9947069994</x:v>
      </x:c>
      <x:c r="F32" s="32" t="n">
        <x:v>573325.9947069994</x:v>
      </x:c>
      <x:c r="G32" s="33" t="n">
        <x:v>0</x:v>
      </x:c>
      <x:c r="H32" s="34" t="n">
        <x:v>1</x:v>
      </x:c>
      <x:c r="I32" s="35" t="n">
        <x:v>104</x:v>
      </x:c>
      <x:c r="J32" s="35" t="n">
        <x:v>104</x:v>
      </x:c>
      <x:c r="K32" s="32" t="n">
        <x:v>566189494.4616262</x:v>
      </x:c>
      <x:c r="L32" s="32" t="n">
        <x:v>553973447.5587559</x:v>
      </x:c>
      <x:c r="M32" s="32" t="n">
        <x:v>555775924.898848</x:v>
      </x:c>
      <x:c r="N32" s="34" t="n">
        <x:v>0.008521537552278888</x:v>
      </x:c>
      <x:c r="O32" s="35" t="n">
        <x:v>31</x:v>
      </x:c>
      <x:c r="P32" s="34" t="n">
        <x:v>0.7239259513651071</x:v>
      </x:c>
    </x:row>
    <x:row r="33" ht="18" customHeight="1">
      <x:c r="A33" s="25" t="str">
        <x:v>EEZ_459</x:v>
      </x:c>
      <x:c r="B33" s="25" t="str">
        <x:v>Malaysia (Peninsula West)</x:v>
      </x:c>
      <x:c r="C33" s="25" t="str">
        <x:v>EEZ</x:v>
      </x:c>
      <x:c r="D33" s="31" t="n">
        <x:v>2019</x:v>
      </x:c>
      <x:c r="E33" s="32" t="n">
        <x:v>1109839.2864373184</x:v>
      </x:c>
      <x:c r="F33" s="32" t="n">
        <x:v>1109839.2864373184</x:v>
      </x:c>
      <x:c r="G33" s="33" t="n">
        <x:v>0</x:v>
      </x:c>
      <x:c r="H33" s="34" t="n">
        <x:v>1</x:v>
      </x:c>
      <x:c r="I33" s="35" t="n">
        <x:v>153</x:v>
      </x:c>
      <x:c r="J33" s="35" t="n">
        <x:v>153</x:v>
      </x:c>
      <x:c r="K33" s="32" t="n">
        <x:v>545876685.8837115</x:v>
      </x:c>
      <x:c r="L33" s="32" t="n">
        <x:v>319692799.8992253</x:v>
      </x:c>
      <x:c r="M33" s="32" t="n">
        <x:v>384466587.7167525</x:v>
      </x:c>
      <x:c r="N33" s="34" t="n">
        <x:v>0.00821581594708813</x:v>
      </x:c>
      <x:c r="O33" s="35" t="n">
        <x:v>32</x:v>
      </x:c>
      <x:c r="P33" s="34" t="n">
        <x:v>0.7321417673121952</x:v>
      </x:c>
    </x:row>
    <x:row r="34" ht="18" customHeight="1">
      <x:c r="A34" s="25" t="str">
        <x:v>EEZ_948</x:v>
      </x:c>
      <x:c r="B34" s="25" t="str">
        <x:v>Morocco (South)</x:v>
      </x:c>
      <x:c r="C34" s="25" t="str">
        <x:v>EEZ</x:v>
      </x:c>
      <x:c r="D34" s="31" t="n">
        <x:v>2019</x:v>
      </x:c>
      <x:c r="E34" s="32" t="n">
        <x:v>1708699.3094834066</x:v>
      </x:c>
      <x:c r="F34" s="32" t="n">
        <x:v>1708699.3094834066</x:v>
      </x:c>
      <x:c r="G34" s="33" t="n">
        <x:v>0</x:v>
      </x:c>
      <x:c r="H34" s="34" t="n">
        <x:v>1</x:v>
      </x:c>
      <x:c r="I34" s="35" t="n">
        <x:v>227</x:v>
      </x:c>
      <x:c r="J34" s="35" t="n">
        <x:v>227</x:v>
      </x:c>
      <x:c r="K34" s="32" t="n">
        <x:v>544607108.7029006</x:v>
      </x:c>
      <x:c r="L34" s="32" t="n">
        <x:v>482639968.63426256</x:v>
      </x:c>
      <x:c r="M34" s="32" t="n">
        <x:v>501100754.66269565</x:v>
      </x:c>
      <x:c r="N34" s="34" t="n">
        <x:v>0.008196707945742955</x:v>
      </x:c>
      <x:c r="O34" s="35" t="n">
        <x:v>33</x:v>
      </x:c>
      <x:c r="P34" s="34" t="n">
        <x:v>0.7403384752579382</x:v>
      </x:c>
    </x:row>
    <x:row r="35" ht="18" customHeight="1">
      <x:c r="A35" s="25" t="str">
        <x:v>EEZ_516</x:v>
      </x:c>
      <x:c r="B35" s="25" t="str">
        <x:v>Namibia</x:v>
      </x:c>
      <x:c r="C35" s="25" t="str">
        <x:v>EEZ</x:v>
      </x:c>
      <x:c r="D35" s="31" t="n">
        <x:v>2019</x:v>
      </x:c>
      <x:c r="E35" s="32" t="n">
        <x:v>687243.3923951921</x:v>
      </x:c>
      <x:c r="F35" s="32" t="n">
        <x:v>687243.3923951921</x:v>
      </x:c>
      <x:c r="G35" s="33" t="n">
        <x:v>0</x:v>
      </x:c>
      <x:c r="H35" s="34" t="n">
        <x:v>1</x:v>
      </x:c>
      <x:c r="I35" s="35" t="n">
        <x:v>57</x:v>
      </x:c>
      <x:c r="J35" s="35" t="n">
        <x:v>57</x:v>
      </x:c>
      <x:c r="K35" s="32" t="n">
        <x:v>508372691.890099</x:v>
      </x:c>
      <x:c r="L35" s="32" t="n">
        <x:v>462452298.54250896</x:v>
      </x:c>
      <x:c r="M35" s="32" t="n">
        <x:v>468456450.4418779</x:v>
      </x:c>
      <x:c r="N35" s="34" t="n">
        <x:v>0.007651355291595216</x:v>
      </x:c>
      <x:c r="O35" s="35" t="n">
        <x:v>34</x:v>
      </x:c>
      <x:c r="P35" s="34" t="n">
        <x:v>0.7479898305495334</x:v>
      </x:c>
    </x:row>
    <x:row r="36" ht="18" customHeight="1">
      <x:c r="A36" s="25" t="str">
        <x:v>EEZ_923</x:v>
      </x:c>
      <x:c r="B36" s="25" t="str">
        <x:v>Iran (Sea of Oman)</x:v>
      </x:c>
      <x:c r="C36" s="25" t="str">
        <x:v>EEZ</x:v>
      </x:c>
      <x:c r="D36" s="31" t="n">
        <x:v>2019</x:v>
      </x:c>
      <x:c r="E36" s="32" t="n">
        <x:v>367466.85709092283</x:v>
      </x:c>
      <x:c r="F36" s="32" t="n">
        <x:v>367466.85709092283</x:v>
      </x:c>
      <x:c r="G36" s="33" t="n">
        <x:v>0</x:v>
      </x:c>
      <x:c r="H36" s="34" t="n">
        <x:v>1</x:v>
      </x:c>
      <x:c r="I36" s="35" t="n">
        <x:v>152</x:v>
      </x:c>
      <x:c r="J36" s="35" t="n">
        <x:v>152</x:v>
      </x:c>
      <x:c r="K36" s="32" t="n">
        <x:v>498970402.0793729</x:v>
      </x:c>
      <x:c r="L36" s="32" t="n">
        <x:v>413435716.0336292</x:v>
      </x:c>
      <x:c r="M36" s="32" t="n">
        <x:v>456002816.85696054</x:v>
      </x:c>
      <x:c r="N36" s="34" t="n">
        <x:v>0.00750984442556317</x:v>
      </x:c>
      <x:c r="O36" s="35" t="n">
        <x:v>35</x:v>
      </x:c>
      <x:c r="P36" s="34" t="n">
        <x:v>0.7554996749750965</x:v>
      </x:c>
    </x:row>
    <x:row r="37" ht="18" customHeight="1">
      <x:c r="A37" s="25" t="str">
        <x:v>EEZ_922</x:v>
      </x:c>
      <x:c r="B37" s="25" t="str">
        <x:v>Iran (Persian Gulf)</x:v>
      </x:c>
      <x:c r="C37" s="25" t="str">
        <x:v>EEZ</x:v>
      </x:c>
      <x:c r="D37" s="31" t="n">
        <x:v>2019</x:v>
      </x:c>
      <x:c r="E37" s="32" t="n">
        <x:v>441683.33469723596</x:v>
      </x:c>
      <x:c r="F37" s="32" t="n">
        <x:v>441683.33469723596</x:v>
      </x:c>
      <x:c r="G37" s="33" t="n">
        <x:v>0</x:v>
      </x:c>
      <x:c r="H37" s="34" t="n">
        <x:v>1</x:v>
      </x:c>
      <x:c r="I37" s="35" t="n">
        <x:v>165</x:v>
      </x:c>
      <x:c r="J37" s="35" t="n">
        <x:v>165</x:v>
      </x:c>
      <x:c r="K37" s="32" t="n">
        <x:v>497624044.3117129</x:v>
      </x:c>
      <x:c r="L37" s="32" t="n">
        <x:v>340296999.4360813</x:v>
      </x:c>
      <x:c r="M37" s="32" t="n">
        <x:v>415369783.1834287</x:v>
      </x:c>
      <x:c r="N37" s="34" t="n">
        <x:v>0.00748958082408673</x:v>
      </x:c>
      <x:c r="O37" s="35" t="n">
        <x:v>36</x:v>
      </x:c>
      <x:c r="P37" s="34" t="n">
        <x:v>0.7629892557991833</x:v>
      </x:c>
    </x:row>
    <x:row r="38" ht="18" customHeight="1">
      <x:c r="A38" s="25" t="str">
        <x:v>EEZ_372</x:v>
      </x:c>
      <x:c r="B38" s="25" t="str">
        <x:v>Ireland</x:v>
      </x:c>
      <x:c r="C38" s="25" t="str">
        <x:v>EEZ</x:v>
      </x:c>
      <x:c r="D38" s="31" t="n">
        <x:v>2019</x:v>
      </x:c>
      <x:c r="E38" s="32" t="n">
        <x:v>408364.4619338022</x:v>
      </x:c>
      <x:c r="F38" s="32" t="n">
        <x:v>408364.4619338022</x:v>
      </x:c>
      <x:c r="G38" s="33" t="n">
        <x:v>0</x:v>
      </x:c>
      <x:c r="H38" s="34" t="n">
        <x:v>1</x:v>
      </x:c>
      <x:c r="I38" s="35" t="n">
        <x:v>287</x:v>
      </x:c>
      <x:c r="J38" s="35" t="n">
        <x:v>287</x:v>
      </x:c>
      <x:c r="K38" s="32" t="n">
        <x:v>466342206.9327241</x:v>
      </x:c>
      <x:c r="L38" s="32" t="n">
        <x:v>432788434.38743633</x:v>
      </x:c>
      <x:c r="M38" s="32" t="n">
        <x:v>451061367.4826854</x:v>
      </x:c>
      <x:c r="N38" s="34" t="n">
        <x:v>0.0070187678638731045</x:v>
      </x:c>
      <x:c r="O38" s="35" t="n">
        <x:v>37</x:v>
      </x:c>
      <x:c r="P38" s="34" t="n">
        <x:v>0.7700080236630563</x:v>
      </x:c>
    </x:row>
    <x:row r="39" ht="18" customHeight="1">
      <x:c r="A39" s="25" t="str">
        <x:v>EEZ_461</x:v>
      </x:c>
      <x:c r="B39" s="25" t="str">
        <x:v>Malaysia (Sabah)</x:v>
      </x:c>
      <x:c r="C39" s="25" t="str">
        <x:v>EEZ</x:v>
      </x:c>
      <x:c r="D39" s="31" t="n">
        <x:v>2019</x:v>
      </x:c>
      <x:c r="E39" s="32" t="n">
        <x:v>490558.95726488077</x:v>
      </x:c>
      <x:c r="F39" s="32" t="n">
        <x:v>490558.95726488077</x:v>
      </x:c>
      <x:c r="G39" s="33" t="n">
        <x:v>0</x:v>
      </x:c>
      <x:c r="H39" s="34" t="n">
        <x:v>1</x:v>
      </x:c>
      <x:c r="I39" s="35" t="n">
        <x:v>114</x:v>
      </x:c>
      <x:c r="J39" s="35" t="n">
        <x:v>114</x:v>
      </x:c>
      <x:c r="K39" s="32" t="n">
        <x:v>463737305.0889255</x:v>
      </x:c>
      <x:c r="L39" s="32" t="n">
        <x:v>285551030.0534761</x:v>
      </x:c>
      <x:c r="M39" s="32" t="n">
        <x:v>356452083.706455</x:v>
      </x:c>
      <x:c r="N39" s="34" t="n">
        <x:v>0.0069795623167920205</x:v>
      </x:c>
      <x:c r="O39" s="35" t="n">
        <x:v>38</x:v>
      </x:c>
      <x:c r="P39" s="34" t="n">
        <x:v>0.7769875859798484</x:v>
      </x:c>
    </x:row>
    <x:row r="40" ht="18" customHeight="1">
      <x:c r="A40" s="25" t="str">
        <x:v>EEZ_953</x:v>
      </x:c>
      <x:c r="B40" s="25" t="str">
        <x:v>South Africa (Atlantic and Cape)</x:v>
      </x:c>
      <x:c r="C40" s="25" t="str">
        <x:v>EEZ</x:v>
      </x:c>
      <x:c r="D40" s="31" t="n">
        <x:v>2019</x:v>
      </x:c>
      <x:c r="E40" s="32" t="n">
        <x:v>649172.6258836817</x:v>
      </x:c>
      <x:c r="F40" s="32" t="n">
        <x:v>649172.6258836817</x:v>
      </x:c>
      <x:c r="G40" s="33" t="n">
        <x:v>0</x:v>
      </x:c>
      <x:c r="H40" s="34" t="n">
        <x:v>1</x:v>
      </x:c>
      <x:c r="I40" s="35" t="n">
        <x:v>100</x:v>
      </x:c>
      <x:c r="J40" s="35" t="n">
        <x:v>100</x:v>
      </x:c>
      <x:c r="K40" s="32" t="n">
        <x:v>448581864.5071265</x:v>
      </x:c>
      <x:c r="L40" s="32" t="n">
        <x:v>411561111.14749527</x:v>
      </x:c>
      <x:c r="M40" s="32" t="n">
        <x:v>418059191.08651906</x:v>
      </x:c>
      <x:c r="N40" s="34" t="n">
        <x:v>0.006751462612890001</x:v>
      </x:c>
      <x:c r="O40" s="35" t="n">
        <x:v>39</x:v>
      </x:c>
      <x:c r="P40" s="34" t="n">
        <x:v>0.7837390485927384</x:v>
      </x:c>
    </x:row>
    <x:row r="41" ht="18" customHeight="1">
      <x:c r="A41" s="25" t="str">
        <x:v>EEZ_798</x:v>
      </x:c>
      <x:c r="B41" s="25" t="str">
        <x:v>Tuvalu</x:v>
      </x:c>
      <x:c r="C41" s="25" t="str">
        <x:v>EEZ</x:v>
      </x:c>
      <x:c r="D41" s="31" t="n">
        <x:v>2019</x:v>
      </x:c>
      <x:c r="E41" s="32" t="n">
        <x:v>145109.2872791087</x:v>
      </x:c>
      <x:c r="F41" s="32" t="n">
        <x:v>145109.2872791087</x:v>
      </x:c>
      <x:c r="G41" s="33" t="n">
        <x:v>0</x:v>
      </x:c>
      <x:c r="H41" s="34" t="n">
        <x:v>1</x:v>
      </x:c>
      <x:c r="I41" s="35" t="n">
        <x:v>46</x:v>
      </x:c>
      <x:c r="J41" s="35" t="n">
        <x:v>46</x:v>
      </x:c>
      <x:c r="K41" s="32" t="n">
        <x:v>371273439.1947608</x:v>
      </x:c>
      <x:c r="L41" s="32" t="n">
        <x:v>368772891.9813164</x:v>
      </x:c>
      <x:c r="M41" s="32" t="n">
        <x:v>368904353.60025245</x:v>
      </x:c>
      <x:c r="N41" s="34" t="n">
        <x:v>0.005587918153215251</x:v>
      </x:c>
      <x:c r="O41" s="35" t="n">
        <x:v>40</x:v>
      </x:c>
      <x:c r="P41" s="34" t="n">
        <x:v>0.7893269667459536</x:v>
      </x:c>
    </x:row>
    <x:row r="42" ht="18" customHeight="1">
      <x:c r="A42" s="25" t="str">
        <x:v>EEZ_050</x:v>
      </x:c>
      <x:c r="B42" s="25" t="str">
        <x:v>Bangladesh</x:v>
      </x:c>
      <x:c r="C42" s="25" t="str">
        <x:v>EEZ</x:v>
      </x:c>
      <x:c r="D42" s="31" t="n">
        <x:v>2019</x:v>
      </x:c>
      <x:c r="E42" s="32" t="n">
        <x:v>1114582.7199230574</x:v>
      </x:c>
      <x:c r="F42" s="32" t="n">
        <x:v>1114582.7199230574</x:v>
      </x:c>
      <x:c r="G42" s="33" t="n">
        <x:v>0</x:v>
      </x:c>
      <x:c r="H42" s="34" t="n">
        <x:v>1</x:v>
      </x:c>
      <x:c r="I42" s="35" t="n">
        <x:v>116</x:v>
      </x:c>
      <x:c r="J42" s="35" t="n">
        <x:v>116</x:v>
      </x:c>
      <x:c r="K42" s="32" t="n">
        <x:v>360072715.7005182</x:v>
      </x:c>
      <x:c r="L42" s="32" t="n">
        <x:v>234022123.55637613</x:v>
      </x:c>
      <x:c r="M42" s="32" t="n">
        <x:v>281557475.2599753</x:v>
      </x:c>
      <x:c r="N42" s="34" t="n">
        <x:v>0.005419339635241089</x:v>
      </x:c>
      <x:c r="O42" s="35" t="n">
        <x:v>41</x:v>
      </x:c>
      <x:c r="P42" s="34" t="n">
        <x:v>0.7947463063811947</x:v>
      </x:c>
    </x:row>
    <x:row r="43" ht="18" customHeight="1">
      <x:c r="A43" s="25" t="str">
        <x:v>EEZ_926</x:v>
      </x:c>
      <x:c r="B43" s="25" t="str">
        <x:v>Canada (East Coast)</x:v>
      </x:c>
      <x:c r="C43" s="25" t="str">
        <x:v>EEZ</x:v>
      </x:c>
      <x:c r="D43" s="31" t="n">
        <x:v>2019</x:v>
      </x:c>
      <x:c r="E43" s="32" t="n">
        <x:v>694924.7188260402</x:v>
      </x:c>
      <x:c r="F43" s="32" t="n">
        <x:v>694924.7188260402</x:v>
      </x:c>
      <x:c r="G43" s="33" t="n">
        <x:v>0</x:v>
      </x:c>
      <x:c r="H43" s="34" t="n">
        <x:v>1</x:v>
      </x:c>
      <x:c r="I43" s="35" t="n">
        <x:v>112</x:v>
      </x:c>
      <x:c r="J43" s="35" t="n">
        <x:v>112</x:v>
      </x:c>
      <x:c r="K43" s="32" t="n">
        <x:v>358887702.9263927</x:v>
      </x:c>
      <x:c r="L43" s="32" t="n">
        <x:v>290071601.88415486</x:v>
      </x:c>
      <x:c r="M43" s="32" t="n">
        <x:v>309167083.59283483</x:v>
      </x:c>
      <x:c r="N43" s="34" t="n">
        <x:v>0.0054015043858176735</x:v>
      </x:c>
      <x:c r="O43" s="35" t="n">
        <x:v>42</x:v>
      </x:c>
      <x:c r="P43" s="34" t="n">
        <x:v>0.8001478107670124</x:v>
      </x:c>
    </x:row>
    <x:row r="44" ht="18" customHeight="1">
      <x:c r="A44" s="25" t="str">
        <x:v>EEZ_152</x:v>
      </x:c>
      <x:c r="B44" s="25" t="str">
        <x:v>Chile (mainland)</x:v>
      </x:c>
      <x:c r="C44" s="25" t="str">
        <x:v>EEZ</x:v>
      </x:c>
      <x:c r="D44" s="31" t="n">
        <x:v>2019</x:v>
      </x:c>
      <x:c r="E44" s="32" t="n">
        <x:v>1654215.540126388</x:v>
      </x:c>
      <x:c r="F44" s="32" t="n">
        <x:v>1654215.540126388</x:v>
      </x:c>
      <x:c r="G44" s="33" t="n">
        <x:v>0</x:v>
      </x:c>
      <x:c r="H44" s="34" t="n">
        <x:v>1</x:v>
      </x:c>
      <x:c r="I44" s="35" t="n">
        <x:v>129</x:v>
      </x:c>
      <x:c r="J44" s="35" t="n">
        <x:v>129</x:v>
      </x:c>
      <x:c r="K44" s="32" t="n">
        <x:v>345575776.78016967</x:v>
      </x:c>
      <x:c r="L44" s="32" t="n">
        <x:v>255387213.71260306</x:v>
      </x:c>
      <x:c r="M44" s="32" t="n">
        <x:v>286243706.13320345</x:v>
      </x:c>
      <x:c r="N44" s="34" t="n">
        <x:v>0.00520115082988307</x:v>
      </x:c>
      <x:c r="O44" s="35" t="n">
        <x:v>43</x:v>
      </x:c>
      <x:c r="P44" s="34" t="n">
        <x:v>0.8053489615968955</x:v>
      </x:c>
    </x:row>
    <x:row r="45" ht="18" customHeight="1">
      <x:c r="A45" s="25" t="str">
        <x:v>EEZ_324</x:v>
      </x:c>
      <x:c r="B45" s="25" t="str">
        <x:v>Guinea</x:v>
      </x:c>
      <x:c r="C45" s="25" t="str">
        <x:v>EEZ</x:v>
      </x:c>
      <x:c r="D45" s="31" t="n">
        <x:v>2019</x:v>
      </x:c>
      <x:c r="E45" s="32" t="n">
        <x:v>1012636.6535959236</x:v>
      </x:c>
      <x:c r="F45" s="32" t="n">
        <x:v>1012636.6535959236</x:v>
      </x:c>
      <x:c r="G45" s="33" t="n">
        <x:v>0</x:v>
      </x:c>
      <x:c r="H45" s="34" t="n">
        <x:v>1</x:v>
      </x:c>
      <x:c r="I45" s="35" t="n">
        <x:v>201</x:v>
      </x:c>
      <x:c r="J45" s="35" t="n">
        <x:v>201</x:v>
      </x:c>
      <x:c r="K45" s="32" t="n">
        <x:v>336296938.66161853</x:v>
      </x:c>
      <x:c r="L45" s="32" t="n">
        <x:v>281411632.6133717</x:v>
      </x:c>
      <x:c r="M45" s="32" t="n">
        <x:v>275820022.72623754</x:v>
      </x:c>
      <x:c r="N45" s="34" t="n">
        <x:v>0.0050614979959075195</x:v>
      </x:c>
      <x:c r="O45" s="35" t="n">
        <x:v>44</x:v>
      </x:c>
      <x:c r="P45" s="34" t="n">
        <x:v>0.810410459592803</x:v>
      </x:c>
    </x:row>
    <x:row r="46" ht="18" customHeight="1">
      <x:c r="A46" s="25" t="str">
        <x:v>EEZ_917</x:v>
      </x:c>
      <x:c r="B46" s="25" t="str">
        <x:v>Yemen (Arabian Sea)</x:v>
      </x:c>
      <x:c r="C46" s="25" t="str">
        <x:v>EEZ</x:v>
      </x:c>
      <x:c r="D46" s="31" t="n">
        <x:v>2019</x:v>
      </x:c>
      <x:c r="E46" s="32" t="n">
        <x:v>324367.1527000878</x:v>
      </x:c>
      <x:c r="F46" s="32" t="n">
        <x:v>324367.1527000878</x:v>
      </x:c>
      <x:c r="G46" s="33" t="n">
        <x:v>0</x:v>
      </x:c>
      <x:c r="H46" s="34" t="n">
        <x:v>1</x:v>
      </x:c>
      <x:c r="I46" s="35" t="n">
        <x:v>49</x:v>
      </x:c>
      <x:c r="J46" s="35" t="n">
        <x:v>49</x:v>
      </x:c>
      <x:c r="K46" s="32" t="n">
        <x:v>331675839.9836948</x:v>
      </x:c>
      <x:c r="L46" s="32" t="n">
        <x:v>309304483.70174855</x:v>
      </x:c>
      <x:c r="M46" s="32" t="n">
        <x:v>320546355.1211275</x:v>
      </x:c>
      <x:c r="N46" s="34" t="n">
        <x:v>0.004991947313138038</x:v>
      </x:c>
      <x:c r="O46" s="35" t="n">
        <x:v>45</x:v>
      </x:c>
      <x:c r="P46" s="34" t="n">
        <x:v>0.815402406905941</x:v>
      </x:c>
    </x:row>
    <x:row r="47" ht="18" customHeight="1">
      <x:c r="A47" s="25" t="str">
        <x:v>EEZ_460</x:v>
      </x:c>
      <x:c r="B47" s="25" t="str">
        <x:v>Malaysia (Peninsula East)</x:v>
      </x:c>
      <x:c r="C47" s="25" t="str">
        <x:v>EEZ</x:v>
      </x:c>
      <x:c r="D47" s="31" t="n">
        <x:v>2019</x:v>
      </x:c>
      <x:c r="E47" s="32" t="n">
        <x:v>493489.5345653823</x:v>
      </x:c>
      <x:c r="F47" s="32" t="n">
        <x:v>493489.5345653823</x:v>
      </x:c>
      <x:c r="G47" s="33" t="n">
        <x:v>0</x:v>
      </x:c>
      <x:c r="H47" s="34" t="n">
        <x:v>1</x:v>
      </x:c>
      <x:c r="I47" s="35" t="n">
        <x:v>157</x:v>
      </x:c>
      <x:c r="J47" s="35" t="n">
        <x:v>157</x:v>
      </x:c>
      <x:c r="K47" s="32" t="n">
        <x:v>326099085.0836484</x:v>
      </x:c>
      <x:c r="L47" s="32" t="n">
        <x:v>222182994.882375</x:v>
      </x:c>
      <x:c r="M47" s="32" t="n">
        <x:v>249715851.01259753</x:v>
      </x:c>
      <x:c r="N47" s="34" t="n">
        <x:v>0.004908013353279266</x:v>
      </x:c>
      <x:c r="O47" s="35" t="n">
        <x:v>46</x:v>
      </x:c>
      <x:c r="P47" s="34" t="n">
        <x:v>0.8203104202592203</x:v>
      </x:c>
    </x:row>
    <x:row r="48" ht="18" customHeight="1">
      <x:c r="A48" s="25" t="str">
        <x:v>EEZ_288</x:v>
      </x:c>
      <x:c r="B48" s="25" t="str">
        <x:v>Ghana</x:v>
      </x:c>
      <x:c r="C48" s="25" t="str">
        <x:v>EEZ</x:v>
      </x:c>
      <x:c r="D48" s="31" t="n">
        <x:v>2019</x:v>
      </x:c>
      <x:c r="E48" s="32" t="n">
        <x:v>476804.00802107295</x:v>
      </x:c>
      <x:c r="F48" s="32" t="n">
        <x:v>476804.00802107295</x:v>
      </x:c>
      <x:c r="G48" s="33" t="n">
        <x:v>0</x:v>
      </x:c>
      <x:c r="H48" s="34" t="n">
        <x:v>1</x:v>
      </x:c>
      <x:c r="I48" s="35" t="n">
        <x:v>103</x:v>
      </x:c>
      <x:c r="J48" s="35" t="n">
        <x:v>103</x:v>
      </x:c>
      <x:c r="K48" s="32" t="n">
        <x:v>324126100.9393173</x:v>
      </x:c>
      <x:c r="L48" s="32" t="n">
        <x:v>238206610.9968188</x:v>
      </x:c>
      <x:c r="M48" s="32" t="n">
        <x:v>274662612.9582115</x:v>
      </x:c>
      <x:c r="N48" s="34" t="n">
        <x:v>0.004878318598006643</x:v>
      </x:c>
      <x:c r="O48" s="35" t="n">
        <x:v>47</x:v>
      </x:c>
      <x:c r="P48" s="34" t="n">
        <x:v>0.825188738857227</x:v>
      </x:c>
    </x:row>
    <x:row r="49" ht="18" customHeight="1">
      <x:c r="A49" s="25" t="str">
        <x:v>EEZ_946</x:v>
      </x:c>
      <x:c r="B49" s="25" t="str">
        <x:v>Morocco (Central)</x:v>
      </x:c>
      <x:c r="C49" s="25" t="str">
        <x:v>EEZ</x:v>
      </x:c>
      <x:c r="D49" s="31" t="n">
        <x:v>2019</x:v>
      </x:c>
      <x:c r="E49" s="32" t="n">
        <x:v>947648.9249708244</x:v>
      </x:c>
      <x:c r="F49" s="32" t="n">
        <x:v>947648.9249708244</x:v>
      </x:c>
      <x:c r="G49" s="33" t="n">
        <x:v>0</x:v>
      </x:c>
      <x:c r="H49" s="34" t="n">
        <x:v>1</x:v>
      </x:c>
      <x:c r="I49" s="35" t="n">
        <x:v>232</x:v>
      </x:c>
      <x:c r="J49" s="35" t="n">
        <x:v>232</x:v>
      </x:c>
      <x:c r="K49" s="32" t="n">
        <x:v>316140800.3054868</x:v>
      </x:c>
      <x:c r="L49" s="32" t="n">
        <x:v>273451584.58033705</x:v>
      </x:c>
      <x:c r="M49" s="32" t="n">
        <x:v>292387446.856549</x:v>
      </x:c>
      <x:c r="N49" s="34" t="n">
        <x:v>0.0047581343842706975</x:v>
      </x:c>
      <x:c r="O49" s="35" t="n">
        <x:v>48</x:v>
      </x:c>
      <x:c r="P49" s="34" t="n">
        <x:v>0.8299468732414976</x:v>
      </x:c>
    </x:row>
    <x:row r="50" ht="18" customHeight="1">
      <x:c r="A50" s="25" t="str">
        <x:v>EEZ_956</x:v>
      </x:c>
      <x:c r="B50" s="25" t="str">
        <x:v>Thailand (Andaman Sea)</x:v>
      </x:c>
      <x:c r="C50" s="25" t="str">
        <x:v>EEZ</x:v>
      </x:c>
      <x:c r="D50" s="31" t="n">
        <x:v>2019</x:v>
      </x:c>
      <x:c r="E50" s="32" t="n">
        <x:v>421454.11553944217</x:v>
      </x:c>
      <x:c r="F50" s="32" t="n">
        <x:v>421454.11553944217</x:v>
      </x:c>
      <x:c r="G50" s="33" t="n">
        <x:v>0</x:v>
      </x:c>
      <x:c r="H50" s="34" t="n">
        <x:v>1</x:v>
      </x:c>
      <x:c r="I50" s="35" t="n">
        <x:v>69</x:v>
      </x:c>
      <x:c r="J50" s="35" t="n">
        <x:v>69</x:v>
      </x:c>
      <x:c r="K50" s="32" t="n">
        <x:v>313495011.23728895</x:v>
      </x:c>
      <x:c r="L50" s="32" t="n">
        <x:v>224493243.41878027</x:v>
      </x:c>
      <x:c r="M50" s="32" t="n">
        <x:v>252670912.2626254</x:v>
      </x:c>
      <x:c r="N50" s="34" t="n">
        <x:v>0.004718313456612024</x:v>
      </x:c>
      <x:c r="O50" s="35" t="n">
        <x:v>49</x:v>
      </x:c>
      <x:c r="P50" s="34" t="n">
        <x:v>0.8346651866981096</x:v>
      </x:c>
    </x:row>
    <x:row r="51" ht="18" customHeight="1">
      <x:c r="A51" s="25" t="str">
        <x:v>EEZ_944</x:v>
      </x:c>
      <x:c r="B51" s="25" t="str">
        <x:v>Mexico (Atlantic)</x:v>
      </x:c>
      <x:c r="C51" s="25" t="str">
        <x:v>EEZ</x:v>
      </x:c>
      <x:c r="D51" s="31" t="n">
        <x:v>2019</x:v>
      </x:c>
      <x:c r="E51" s="32" t="n">
        <x:v>513071.273739008</x:v>
      </x:c>
      <x:c r="F51" s="32" t="n">
        <x:v>513071.273739008</x:v>
      </x:c>
      <x:c r="G51" s="33" t="n">
        <x:v>0</x:v>
      </x:c>
      <x:c r="H51" s="34" t="n">
        <x:v>1</x:v>
      </x:c>
      <x:c r="I51" s="35" t="n">
        <x:v>103</x:v>
      </x:c>
      <x:c r="J51" s="35" t="n">
        <x:v>103</x:v>
      </x:c>
      <x:c r="K51" s="32" t="n">
        <x:v>306325336.4678513</x:v>
      </x:c>
      <x:c r="L51" s="32" t="n">
        <x:v>202344282.69585595</x:v>
      </x:c>
      <x:c r="M51" s="32" t="n">
        <x:v>247367572.20925406</x:v>
      </x:c>
      <x:c r="N51" s="34" t="n">
        <x:v>0.004610404967699696</x:v>
      </x:c>
      <x:c r="O51" s="35" t="n">
        <x:v>50</x:v>
      </x:c>
      <x:c r="P51" s="34" t="n">
        <x:v>0.8392755916658093</x:v>
      </x:c>
    </x:row>
    <x:row r="52" ht="18" customHeight="1">
      <x:c r="A52" s="25" t="str">
        <x:v>EEZ_090</x:v>
      </x:c>
      <x:c r="B52" s="25" t="str">
        <x:v>Solomon Isl.</x:v>
      </x:c>
      <x:c r="C52" s="25" t="str">
        <x:v>EEZ</x:v>
      </x:c>
      <x:c r="D52" s="31" t="n">
        <x:v>2019</x:v>
      </x:c>
      <x:c r="E52" s="32" t="n">
        <x:v>142760.9815038889</x:v>
      </x:c>
      <x:c r="F52" s="32" t="n">
        <x:v>142760.9815038889</x:v>
      </x:c>
      <x:c r="G52" s="33" t="n">
        <x:v>0</x:v>
      </x:c>
      <x:c r="H52" s="34" t="n">
        <x:v>1</x:v>
      </x:c>
      <x:c r="I52" s="35" t="n">
        <x:v>52</x:v>
      </x:c>
      <x:c r="J52" s="35" t="n">
        <x:v>52</x:v>
      </x:c>
      <x:c r="K52" s="32" t="n">
        <x:v>304737248.27830005</x:v>
      </x:c>
      <x:c r="L52" s="32" t="n">
        <x:v>300385320.9573925</x:v>
      </x:c>
      <x:c r="M52" s="32" t="n">
        <x:v>299782267.2557317</x:v>
      </x:c>
      <x:c r="N52" s="34" t="n">
        <x:v>0.004586503158718835</x:v>
      </x:c>
      <x:c r="O52" s="35" t="n">
        <x:v>51</x:v>
      </x:c>
      <x:c r="P52" s="34" t="n">
        <x:v>0.8438620948245282</x:v>
      </x:c>
    </x:row>
    <x:row r="53" ht="18" customHeight="1">
      <x:c r="A53" s="25" t="str">
        <x:v>EEZ_566</x:v>
      </x:c>
      <x:c r="B53" s="25" t="str">
        <x:v>Nigeria</x:v>
      </x:c>
      <x:c r="C53" s="25" t="str">
        <x:v>EEZ</x:v>
      </x:c>
      <x:c r="D53" s="31" t="n">
        <x:v>2019</x:v>
      </x:c>
      <x:c r="E53" s="32" t="n">
        <x:v>532269.8890131604</x:v>
      </x:c>
      <x:c r="F53" s="32" t="n">
        <x:v>532269.8890131604</x:v>
      </x:c>
      <x:c r="G53" s="33" t="n">
        <x:v>0</x:v>
      </x:c>
      <x:c r="H53" s="34" t="n">
        <x:v>1</x:v>
      </x:c>
      <x:c r="I53" s="35" t="n">
        <x:v>77</x:v>
      </x:c>
      <x:c r="J53" s="35" t="n">
        <x:v>77</x:v>
      </x:c>
      <x:c r="K53" s="32" t="n">
        <x:v>304675912.1204597</x:v>
      </x:c>
      <x:c r="L53" s="32" t="n">
        <x:v>229015816.3190449</x:v>
      </x:c>
      <x:c r="M53" s="32" t="n">
        <x:v>277012116.7712002</x:v>
      </x:c>
      <x:c r="N53" s="34" t="n">
        <x:v>0.004585580007764142</x:v>
      </x:c>
      <x:c r="O53" s="35" t="n">
        <x:v>52</x:v>
      </x:c>
      <x:c r="P53" s="34" t="n">
        <x:v>0.8484476748322923</x:v>
      </x:c>
    </x:row>
    <x:row r="54" ht="18" customHeight="1">
      <x:c r="A54" s="25" t="str">
        <x:v>EEZ_852</x:v>
      </x:c>
      <x:c r="B54" s="25" t="str">
        <x:v>USA (Gulf of Mexico)</x:v>
      </x:c>
      <x:c r="C54" s="25" t="str">
        <x:v>EEZ</x:v>
      </x:c>
      <x:c r="D54" s="31" t="n">
        <x:v>2019</x:v>
      </x:c>
      <x:c r="E54" s="32" t="n">
        <x:v>1104194.026503118</x:v>
      </x:c>
      <x:c r="F54" s="32" t="n">
        <x:v>1104194.026503118</x:v>
      </x:c>
      <x:c r="G54" s="33" t="n">
        <x:v>0</x:v>
      </x:c>
      <x:c r="H54" s="34" t="n">
        <x:v>1</x:v>
      </x:c>
      <x:c r="I54" s="35" t="n">
        <x:v>375</x:v>
      </x:c>
      <x:c r="J54" s="35" t="n">
        <x:v>375</x:v>
      </x:c>
      <x:c r="K54" s="32" t="n">
        <x:v>288829700.6693002</x:v>
      </x:c>
      <x:c r="L54" s="32" t="n">
        <x:v>184927147.1340163</x:v>
      </x:c>
      <x:c r="M54" s="32" t="n">
        <x:v>242453427.13459975</x:v>
      </x:c>
      <x:c r="N54" s="34" t="n">
        <x:v>0.004347083731758868</x:v>
      </x:c>
      <x:c r="O54" s="35" t="n">
        <x:v>53</x:v>
      </x:c>
      <x:c r="P54" s="34" t="n">
        <x:v>0.8527947585640512</x:v>
      </x:c>
    </x:row>
    <x:row r="55" ht="18" customHeight="1">
      <x:c r="A55" s="25" t="str">
        <x:v>EEZ_925</x:v>
      </x:c>
      <x:c r="B55" s="25" t="str">
        <x:v>Canada (Pacific)</x:v>
      </x:c>
      <x:c r="C55" s="25" t="str">
        <x:v>EEZ</x:v>
      </x:c>
      <x:c r="D55" s="31" t="n">
        <x:v>2019</x:v>
      </x:c>
      <x:c r="E55" s="32" t="n">
        <x:v>198174.6028298108</x:v>
      </x:c>
      <x:c r="F55" s="32" t="n">
        <x:v>198174.6028298108</x:v>
      </x:c>
      <x:c r="G55" s="33" t="n">
        <x:v>0</x:v>
      </x:c>
      <x:c r="H55" s="34" t="n">
        <x:v>1</x:v>
      </x:c>
      <x:c r="I55" s="35" t="n">
        <x:v>26</x:v>
      </x:c>
      <x:c r="J55" s="35" t="n">
        <x:v>26</x:v>
      </x:c>
      <x:c r="K55" s="32" t="n">
        <x:v>276796938.98617065</x:v>
      </x:c>
      <x:c r="L55" s="32" t="n">
        <x:v>259836362.681948</x:v>
      </x:c>
      <x:c r="M55" s="32" t="n">
        <x:v>260822475.22653812</x:v>
      </x:c>
      <x:c r="N55" s="34" t="n">
        <x:v>0.004165982472298179</x:v>
      </x:c>
      <x:c r="O55" s="35" t="n">
        <x:v>54</x:v>
      </x:c>
      <x:c r="P55" s="34" t="n">
        <x:v>0.8569607410363493</x:v>
      </x:c>
    </x:row>
    <x:row r="56" ht="18" customHeight="1">
      <x:c r="A56" s="25" t="str">
        <x:v>EEZ_942</x:v>
      </x:c>
      <x:c r="B56" s="25" t="str">
        <x:v>Kiribati (Line Islands)</x:v>
      </x:c>
      <x:c r="C56" s="25" t="str">
        <x:v>EEZ</x:v>
      </x:c>
      <x:c r="D56" s="31" t="n">
        <x:v>2019</x:v>
      </x:c>
      <x:c r="E56" s="32" t="n">
        <x:v>110424.34936910501</x:v>
      </x:c>
      <x:c r="F56" s="32" t="n">
        <x:v>110424.34936910501</x:v>
      </x:c>
      <x:c r="G56" s="33" t="n">
        <x:v>0</x:v>
      </x:c>
      <x:c r="H56" s="34" t="n">
        <x:v>1</x:v>
      </x:c>
      <x:c r="I56" s="35" t="n">
        <x:v>40</x:v>
      </x:c>
      <x:c r="J56" s="35" t="n">
        <x:v>40</x:v>
      </x:c>
      <x:c r="K56" s="32" t="n">
        <x:v>275077618.8439184</x:v>
      </x:c>
      <x:c r="L56" s="32" t="n">
        <x:v>272099013.98385066</x:v>
      </x:c>
      <x:c r="M56" s="32" t="n">
        <x:v>271544337.2471547</x:v>
      </x:c>
      <x:c r="N56" s="34" t="n">
        <x:v>0.004140105533040372</x:v>
      </x:c>
      <x:c r="O56" s="35" t="n">
        <x:v>55</x:v>
      </x:c>
      <x:c r="P56" s="34" t="n">
        <x:v>0.8611008465693898</x:v>
      </x:c>
    </x:row>
    <x:row r="57" ht="18" customHeight="1">
      <x:c r="A57" s="25" t="str">
        <x:v>EEZ_686</x:v>
      </x:c>
      <x:c r="B57" s="25" t="str">
        <x:v>Senegal</x:v>
      </x:c>
      <x:c r="C57" s="25" t="str">
        <x:v>EEZ</x:v>
      </x:c>
      <x:c r="D57" s="31" t="n">
        <x:v>2019</x:v>
      </x:c>
      <x:c r="E57" s="32" t="n">
        <x:v>542145.3642563997</x:v>
      </x:c>
      <x:c r="F57" s="32" t="n">
        <x:v>542145.3642563997</x:v>
      </x:c>
      <x:c r="G57" s="33" t="n">
        <x:v>0</x:v>
      </x:c>
      <x:c r="H57" s="34" t="n">
        <x:v>1</x:v>
      </x:c>
      <x:c r="I57" s="35" t="n">
        <x:v>256</x:v>
      </x:c>
      <x:c r="J57" s="35" t="n">
        <x:v>256</x:v>
      </x:c>
      <x:c r="K57" s="32" t="n">
        <x:v>263403378.0497803</x:v>
      </x:c>
      <x:c r="L57" s="32" t="n">
        <x:v>223582525.0829516</x:v>
      </x:c>
      <x:c r="M57" s="32" t="n">
        <x:v>222639224.56650266</x:v>
      </x:c>
      <x:c r="N57" s="34" t="n">
        <x:v>0.003964400257165925</x:v>
      </x:c>
      <x:c r="O57" s="35" t="n">
        <x:v>56</x:v>
      </x:c>
      <x:c r="P57" s="34" t="n">
        <x:v>0.8650652468265557</x:v>
      </x:c>
    </x:row>
    <x:row r="58" ht="18" customHeight="1">
      <x:c r="A58" s="25" t="str">
        <x:v>EEZ_645</x:v>
      </x:c>
      <x:c r="B58" s="25" t="str">
        <x:v>Russia (Barents Sea)</x:v>
      </x:c>
      <x:c r="C58" s="25" t="str">
        <x:v>EEZ</x:v>
      </x:c>
      <x:c r="D58" s="31" t="n">
        <x:v>2019</x:v>
      </x:c>
      <x:c r="E58" s="32" t="n">
        <x:v>257638.50382026174</x:v>
      </x:c>
      <x:c r="F58" s="32" t="n">
        <x:v>257638.50382026174</x:v>
      </x:c>
      <x:c r="G58" s="33" t="n">
        <x:v>0</x:v>
      </x:c>
      <x:c r="H58" s="34" t="n">
        <x:v>1</x:v>
      </x:c>
      <x:c r="I58" s="35" t="n">
        <x:v>86</x:v>
      </x:c>
      <x:c r="J58" s="35" t="n">
        <x:v>86</x:v>
      </x:c>
      <x:c r="K58" s="32" t="n">
        <x:v>256304293.92408934</x:v>
      </x:c>
      <x:c r="L58" s="32" t="n">
        <x:v>248417328.29440054</x:v>
      </x:c>
      <x:c r="M58" s="32" t="n">
        <x:v>236031062.5418131</x:v>
      </x:c>
      <x:c r="N58" s="34" t="n">
        <x:v>0.0038575542055248823</x:v>
      </x:c>
      <x:c r="O58" s="35" t="n">
        <x:v>57</x:v>
      </x:c>
      <x:c r="P58" s="34" t="n">
        <x:v>0.8689228010320805</x:v>
      </x:c>
    </x:row>
    <x:row r="59" ht="18" customHeight="1">
      <x:c r="A59" s="25" t="str">
        <x:v>EEZ_304</x:v>
      </x:c>
      <x:c r="B59" s="25" t="str">
        <x:v>Greenland (Denmark)</x:v>
      </x:c>
      <x:c r="C59" s="25" t="str">
        <x:v>EEZ</x:v>
      </x:c>
      <x:c r="D59" s="31" t="n">
        <x:v>2019</x:v>
      </x:c>
      <x:c r="E59" s="32" t="n">
        <x:v>262286.0841378048</x:v>
      </x:c>
      <x:c r="F59" s="32" t="n">
        <x:v>262286.0841378048</x:v>
      </x:c>
      <x:c r="G59" s="33" t="n">
        <x:v>0</x:v>
      </x:c>
      <x:c r="H59" s="34" t="n">
        <x:v>1</x:v>
      </x:c>
      <x:c r="I59" s="35" t="n">
        <x:v>54</x:v>
      </x:c>
      <x:c r="J59" s="35" t="n">
        <x:v>54</x:v>
      </x:c>
      <x:c r="K59" s="32" t="n">
        <x:v>248197559.24175024</x:v>
      </x:c>
      <x:c r="L59" s="32" t="n">
        <x:v>246954669.5936757</x:v>
      </x:c>
      <x:c r="M59" s="32" t="n">
        <x:v>247859388.53952336</x:v>
      </x:c>
      <x:c r="N59" s="34" t="n">
        <x:v>0.0037355423266439394</x:v>
      </x:c>
      <x:c r="O59" s="35" t="n">
        <x:v>58</x:v>
      </x:c>
      <x:c r="P59" s="34" t="n">
        <x:v>0.8726583433587245</x:v>
      </x:c>
    </x:row>
    <x:row r="60" ht="18" customHeight="1">
      <x:c r="A60" s="25" t="str">
        <x:v>EEZ_238</x:v>
      </x:c>
      <x:c r="B60" s="25" t="str">
        <x:v>Falkland Isl. (UK)</x:v>
      </x:c>
      <x:c r="C60" s="25" t="str">
        <x:v>EEZ</x:v>
      </x:c>
      <x:c r="D60" s="31" t="n">
        <x:v>2019</x:v>
      </x:c>
      <x:c r="E60" s="32" t="n">
        <x:v>278214.9808580502</x:v>
      </x:c>
      <x:c r="F60" s="32" t="n">
        <x:v>278214.9808580502</x:v>
      </x:c>
      <x:c r="G60" s="33" t="n">
        <x:v>0</x:v>
      </x:c>
      <x:c r="H60" s="34" t="n">
        <x:v>1</x:v>
      </x:c>
      <x:c r="I60" s="35" t="n">
        <x:v>33</x:v>
      </x:c>
      <x:c r="J60" s="35" t="n">
        <x:v>33</x:v>
      </x:c>
      <x:c r="K60" s="32" t="n">
        <x:v>240475941.02839914</x:v>
      </x:c>
      <x:c r="L60" s="32" t="n">
        <x:v>218731675.69853857</x:v>
      </x:c>
      <x:c r="M60" s="32" t="n">
        <x:v>218030091.2427321</x:v>
      </x:c>
      <x:c r="N60" s="34" t="n">
        <x:v>0.0036193267129437955</x:v>
      </x:c>
      <x:c r="O60" s="35" t="n">
        <x:v>59</x:v>
      </x:c>
      <x:c r="P60" s="34" t="n">
        <x:v>0.8762776700716683</x:v>
      </x:c>
    </x:row>
    <x:row r="61" ht="18" customHeight="1">
      <x:c r="A61" s="25" t="str">
        <x:v>EEZ_024</x:v>
      </x:c>
      <x:c r="B61" s="25" t="str">
        <x:v>Angola</x:v>
      </x:c>
      <x:c r="C61" s="25" t="str">
        <x:v>EEZ</x:v>
      </x:c>
      <x:c r="D61" s="31" t="n">
        <x:v>2019</x:v>
      </x:c>
      <x:c r="E61" s="32" t="n">
        <x:v>619737.0070171056</x:v>
      </x:c>
      <x:c r="F61" s="32" t="n">
        <x:v>619737.0070171056</x:v>
      </x:c>
      <x:c r="G61" s="33" t="n">
        <x:v>0</x:v>
      </x:c>
      <x:c r="H61" s="34" t="n">
        <x:v>1</x:v>
      </x:c>
      <x:c r="I61" s="35" t="n">
        <x:v>120</x:v>
      </x:c>
      <x:c r="J61" s="35" t="n">
        <x:v>120</x:v>
      </x:c>
      <x:c r="K61" s="32" t="n">
        <x:v>238291043.5932122</x:v>
      </x:c>
      <x:c r="L61" s="32" t="n">
        <x:v>193119589.75474402</x:v>
      </x:c>
      <x:c r="M61" s="32" t="n">
        <x:v>214098235.0059215</x:v>
      </x:c>
      <x:c r="N61" s="34" t="n">
        <x:v>0.0035864425182988075</x:v>
      </x:c>
      <x:c r="O61" s="35" t="n">
        <x:v>60</x:v>
      </x:c>
      <x:c r="P61" s="34" t="n">
        <x:v>0.8798641125899671</x:v>
      </x:c>
    </x:row>
    <x:row r="62" ht="18" customHeight="1">
      <x:c r="A62" s="25" t="str">
        <x:v>EEZ_919</x:v>
      </x:c>
      <x:c r="B62" s="25" t="str">
        <x:v>France (Atlantic Coast)</x:v>
      </x:c>
      <x:c r="C62" s="25" t="str">
        <x:v>EEZ</x:v>
      </x:c>
      <x:c r="D62" s="31" t="n">
        <x:v>2019</x:v>
      </x:c>
      <x:c r="E62" s="32" t="n">
        <x:v>270826.2519812341</x:v>
      </x:c>
      <x:c r="F62" s="32" t="n">
        <x:v>270826.2519812341</x:v>
      </x:c>
      <x:c r="G62" s="33" t="n">
        <x:v>0</x:v>
      </x:c>
      <x:c r="H62" s="34" t="n">
        <x:v>1</x:v>
      </x:c>
      <x:c r="I62" s="35" t="n">
        <x:v>348</x:v>
      </x:c>
      <x:c r="J62" s="35" t="n">
        <x:v>348</x:v>
      </x:c>
      <x:c r="K62" s="32" t="n">
        <x:v>220204619.0813137</x:v>
      </x:c>
      <x:c r="L62" s="32" t="n">
        <x:v>169005621.09511688</x:v>
      </x:c>
      <x:c r="M62" s="32" t="n">
        <x:v>189192339.3498306</x:v>
      </x:c>
      <x:c r="N62" s="34" t="n">
        <x:v>0.0033142295098056835</x:v>
      </x:c>
      <x:c r="O62" s="35" t="n">
        <x:v>61</x:v>
      </x:c>
      <x:c r="P62" s="34" t="n">
        <x:v>0.8831783420997728</x:v>
      </x:c>
    </x:row>
    <x:row r="63" ht="18" customHeight="1">
      <x:c r="A63" s="25" t="str">
        <x:v>EEZ_744</x:v>
      </x:c>
      <x:c r="B63" s="25" t="str">
        <x:v>Svalbard Isl. (Norway)</x:v>
      </x:c>
      <x:c r="C63" s="25" t="str">
        <x:v>EEZ</x:v>
      </x:c>
      <x:c r="D63" s="31" t="n">
        <x:v>2019</x:v>
      </x:c>
      <x:c r="E63" s="32" t="n">
        <x:v>219891.4498277699</x:v>
      </x:c>
      <x:c r="F63" s="32" t="n">
        <x:v>219891.4498277699</x:v>
      </x:c>
      <x:c r="G63" s="33" t="n">
        <x:v>0</x:v>
      </x:c>
      <x:c r="H63" s="34" t="n">
        <x:v>1</x:v>
      </x:c>
      <x:c r="I63" s="35" t="n">
        <x:v>62</x:v>
      </x:c>
      <x:c r="J63" s="35" t="n">
        <x:v>62</x:v>
      </x:c>
      <x:c r="K63" s="32" t="n">
        <x:v>218315950.64442787</x:v>
      </x:c>
      <x:c r="L63" s="32" t="n">
        <x:v>217216675.2255146</x:v>
      </x:c>
      <x:c r="M63" s="32" t="n">
        <x:v>207323146.5444756</x:v>
      </x:c>
      <x:c r="N63" s="34" t="n">
        <x:v>0.0032858037633618532</x:v>
      </x:c>
      <x:c r="O63" s="35" t="n">
        <x:v>62</x:v>
      </x:c>
      <x:c r="P63" s="34" t="n">
        <x:v>0.8864641458631346</x:v>
      </x:c>
    </x:row>
    <x:row r="64" ht="18" customHeight="1">
      <x:c r="A64" s="25" t="str">
        <x:v>EEZ_963</x:v>
      </x:c>
      <x:c r="B64" s="25" t="str">
        <x:v>Spain (Northwest)</x:v>
      </x:c>
      <x:c r="C64" s="25" t="str">
        <x:v>EEZ</x:v>
      </x:c>
      <x:c r="D64" s="31" t="n">
        <x:v>2019</x:v>
      </x:c>
      <x:c r="E64" s="32" t="n">
        <x:v>194491.9853032628</x:v>
      </x:c>
      <x:c r="F64" s="32" t="n">
        <x:v>194491.9853032628</x:v>
      </x:c>
      <x:c r="G64" s="33" t="n">
        <x:v>0</x:v>
      </x:c>
      <x:c r="H64" s="34" t="n">
        <x:v>1</x:v>
      </x:c>
      <x:c r="I64" s="35" t="n">
        <x:v>312</x:v>
      </x:c>
      <x:c r="J64" s="35" t="n">
        <x:v>312</x:v>
      </x:c>
      <x:c r="K64" s="32" t="n">
        <x:v>218230163.06143558</x:v>
      </x:c>
      <x:c r="L64" s="32" t="n">
        <x:v>190512956.20310688</x:v>
      </x:c>
      <x:c r="M64" s="32" t="n">
        <x:v>207412846.6597897</x:v>
      </x:c>
      <x:c r="N64" s="34" t="n">
        <x:v>0.003284512601803508</x:v>
      </x:c>
      <x:c r="O64" s="35" t="n">
        <x:v>63</x:v>
      </x:c>
      <x:c r="P64" s="34" t="n">
        <x:v>0.8897486584649381</x:v>
      </x:c>
    </x:row>
    <x:row r="65" ht="18" customHeight="1">
      <x:c r="A65" s="25" t="str">
        <x:v>EEZ_520</x:v>
      </x:c>
      <x:c r="B65" s="25" t="str">
        <x:v>Nauru</x:v>
      </x:c>
      <x:c r="C65" s="25" t="str">
        <x:v>EEZ</x:v>
      </x:c>
      <x:c r="D65" s="31" t="n">
        <x:v>2019</x:v>
      </x:c>
      <x:c r="E65" s="32" t="n">
        <x:v>81729.3484479404</x:v>
      </x:c>
      <x:c r="F65" s="32" t="n">
        <x:v>81729.3484479404</x:v>
      </x:c>
      <x:c r="G65" s="33" t="n">
        <x:v>0</x:v>
      </x:c>
      <x:c r="H65" s="34" t="n">
        <x:v>1</x:v>
      </x:c>
      <x:c r="I65" s="35" t="n">
        <x:v>28</x:v>
      </x:c>
      <x:c r="J65" s="35" t="n">
        <x:v>28</x:v>
      </x:c>
      <x:c r="K65" s="32" t="n">
        <x:v>211818272.35681504</x:v>
      </x:c>
      <x:c r="L65" s="32" t="n">
        <x:v>211133892.17355394</x:v>
      </x:c>
      <x:c r="M65" s="32" t="n">
        <x:v>210905086.08212376</x:v>
      </x:c>
      <x:c r="N65" s="34" t="n">
        <x:v>0.003188009279232172</x:v>
      </x:c>
      <x:c r="O65" s="35" t="n">
        <x:v>64</x:v>
      </x:c>
      <x:c r="P65" s="34" t="n">
        <x:v>0.8929366677441704</x:v>
      </x:c>
    </x:row>
    <x:row r="66" ht="18" customHeight="1">
      <x:c r="A66" s="25" t="str">
        <x:v>EEZ_943</x:v>
      </x:c>
      <x:c r="B66" s="25" t="str">
        <x:v>Kiribati (Phoenix Islands)</x:v>
      </x:c>
      <x:c r="C66" s="25" t="str">
        <x:v>EEZ</x:v>
      </x:c>
      <x:c r="D66" s="31" t="n">
        <x:v>2019</x:v>
      </x:c>
      <x:c r="E66" s="32" t="n">
        <x:v>77760.627954773</x:v>
      </x:c>
      <x:c r="F66" s="32" t="n">
        <x:v>77760.627954773</x:v>
      </x:c>
      <x:c r="G66" s="33" t="n">
        <x:v>0</x:v>
      </x:c>
      <x:c r="H66" s="34" t="n">
        <x:v>1</x:v>
      </x:c>
      <x:c r="I66" s="35" t="n">
        <x:v>30</x:v>
      </x:c>
      <x:c r="J66" s="35" t="n">
        <x:v>30</x:v>
      </x:c>
      <x:c r="K66" s="32" t="n">
        <x:v>197891389.7807206</x:v>
      </x:c>
      <x:c r="L66" s="32" t="n">
        <x:v>196618738.02517822</x:v>
      </x:c>
      <x:c r="M66" s="32" t="n">
        <x:v>196173329.33670193</x:v>
      </x:c>
      <x:c r="N66" s="34" t="n">
        <x:v>0.0029784002101497166</x:v>
      </x:c>
      <x:c r="O66" s="35" t="n">
        <x:v>65</x:v>
      </x:c>
      <x:c r="P66" s="34" t="n">
        <x:v>0.8959150679543201</x:v>
      </x:c>
    </x:row>
    <x:row r="67" ht="18" customHeight="1">
      <x:c r="A67" s="25" t="str">
        <x:v>EEZ_694</x:v>
      </x:c>
      <x:c r="B67" s="25" t="str">
        <x:v>Sierra Leone</x:v>
      </x:c>
      <x:c r="C67" s="25" t="str">
        <x:v>EEZ</x:v>
      </x:c>
      <x:c r="D67" s="31" t="n">
        <x:v>2019</x:v>
      </x:c>
      <x:c r="E67" s="32" t="n">
        <x:v>442517.00676733244</x:v>
      </x:c>
      <x:c r="F67" s="32" t="n">
        <x:v>442517.00676733244</x:v>
      </x:c>
      <x:c r="G67" s="33" t="n">
        <x:v>0</x:v>
      </x:c>
      <x:c r="H67" s="34" t="n">
        <x:v>1</x:v>
      </x:c>
      <x:c r="I67" s="35" t="n">
        <x:v>214</x:v>
      </x:c>
      <x:c r="J67" s="35" t="n">
        <x:v>214</x:v>
      </x:c>
      <x:c r="K67" s="32" t="n">
        <x:v>188913523.83892518</x:v>
      </x:c>
      <x:c r="L67" s="32" t="n">
        <x:v>146072990.1542673</x:v>
      </x:c>
      <x:c r="M67" s="32" t="n">
        <x:v>143010668.57291692</x:v>
      </x:c>
      <x:c r="N67" s="34" t="n">
        <x:v>0.0028432772124418874</x:v>
      </x:c>
      <x:c r="O67" s="35" t="n">
        <x:v>66</x:v>
      </x:c>
      <x:c r="P67" s="34" t="n">
        <x:v>0.8987583451667619</x:v>
      </x:c>
    </x:row>
    <x:row r="68" ht="18" customHeight="1">
      <x:c r="A68" s="25" t="str">
        <x:v>EEZ_512</x:v>
      </x:c>
      <x:c r="B68" s="25" t="str">
        <x:v>Oman</x:v>
      </x:c>
      <x:c r="C68" s="25" t="str">
        <x:v>EEZ</x:v>
      </x:c>
      <x:c r="D68" s="31" t="n">
        <x:v>2019</x:v>
      </x:c>
      <x:c r="E68" s="32" t="n">
        <x:v>304318.44171610783</x:v>
      </x:c>
      <x:c r="F68" s="32" t="n">
        <x:v>304318.44171610783</x:v>
      </x:c>
      <x:c r="G68" s="33" t="n">
        <x:v>0</x:v>
      </x:c>
      <x:c r="H68" s="34" t="n">
        <x:v>1</x:v>
      </x:c>
      <x:c r="I68" s="35" t="n">
        <x:v>66</x:v>
      </x:c>
      <x:c r="J68" s="35" t="n">
        <x:v>66</x:v>
      </x:c>
      <x:c r="K68" s="32" t="n">
        <x:v>187008419.87587023</x:v>
      </x:c>
      <x:c r="L68" s="32" t="n">
        <x:v>157417671.79835263</x:v>
      </x:c>
      <x:c r="M68" s="32" t="n">
        <x:v>173471533.90377143</x:v>
      </x:c>
      <x:c r="N68" s="34" t="n">
        <x:v>0.0028146041001341346</x:v>
      </x:c>
      <x:c r="O68" s="35" t="n">
        <x:v>67</x:v>
      </x:c>
      <x:c r="P68" s="34" t="n">
        <x:v>0.901572949266896</x:v>
      </x:c>
    </x:row>
    <x:row r="69" ht="18" customHeight="1">
      <x:c r="A69" s="25" t="str">
        <x:v>EEZ_219</x:v>
      </x:c>
      <x:c r="B69" s="25" t="str">
        <x:v>Galapagos Isl. (Ecuador)</x:v>
      </x:c>
      <x:c r="C69" s="25" t="str">
        <x:v>EEZ</x:v>
      </x:c>
      <x:c r="D69" s="31" t="n">
        <x:v>2019</x:v>
      </x:c>
      <x:c r="E69" s="32" t="n">
        <x:v>68947.83335948801</x:v>
      </x:c>
      <x:c r="F69" s="32" t="n">
        <x:v>68947.83335948801</x:v>
      </x:c>
      <x:c r="G69" s="33" t="n">
        <x:v>0</x:v>
      </x:c>
      <x:c r="H69" s="34" t="n">
        <x:v>1</x:v>
      </x:c>
      <x:c r="I69" s="35" t="n">
        <x:v>47</x:v>
      </x:c>
      <x:c r="J69" s="35" t="n">
        <x:v>47</x:v>
      </x:c>
      <x:c r="K69" s="32" t="n">
        <x:v>178171427.7951421</x:v>
      </x:c>
      <x:c r="L69" s="32" t="n">
        <x:v>175820957.12708527</x:v>
      </x:c>
      <x:c r="M69" s="32" t="n">
        <x:v>177166073.02531397</x:v>
      </x:c>
      <x:c r="N69" s="34" t="n">
        <x:v>0.002681601349991762</x:v>
      </x:c>
      <x:c r="O69" s="35" t="n">
        <x:v>68</x:v>
      </x:c>
      <x:c r="P69" s="34" t="n">
        <x:v>0.9042545506168879</x:v>
      </x:c>
    </x:row>
    <x:row r="70" ht="18" customHeight="1">
      <x:c r="A70" s="25" t="str">
        <x:v>EEZ_862</x:v>
      </x:c>
      <x:c r="B70" s="25" t="str">
        <x:v>Venezuela</x:v>
      </x:c>
      <x:c r="C70" s="25" t="str">
        <x:v>EEZ</x:v>
      </x:c>
      <x:c r="D70" s="31" t="n">
        <x:v>2019</x:v>
      </x:c>
      <x:c r="E70" s="32" t="n">
        <x:v>306380.438267835</x:v>
      </x:c>
      <x:c r="F70" s="32" t="n">
        <x:v>306380.438267835</x:v>
      </x:c>
      <x:c r="G70" s="33" t="n">
        <x:v>0</x:v>
      </x:c>
      <x:c r="H70" s="34" t="n">
        <x:v>1</x:v>
      </x:c>
      <x:c r="I70" s="35" t="n">
        <x:v>153</x:v>
      </x:c>
      <x:c r="J70" s="35" t="n">
        <x:v>153</x:v>
      </x:c>
      <x:c r="K70" s="32" t="n">
        <x:v>172576491.72799766</x:v>
      </x:c>
      <x:c r="L70" s="32" t="n">
        <x:v>109361956.20020832</x:v>
      </x:c>
      <x:c r="M70" s="32" t="n">
        <x:v>152625911.82444447</x:v>
      </x:c>
      <x:c r="N70" s="34" t="n">
        <x:v>0.002597393751184041</x:v>
      </x:c>
      <x:c r="O70" s="35" t="n">
        <x:v>69</x:v>
      </x:c>
      <x:c r="P70" s="34" t="n">
        <x:v>0.9068519443680718</x:v>
      </x:c>
    </x:row>
    <x:row r="71" ht="18" customHeight="1">
      <x:c r="A71" s="25" t="str">
        <x:v>EEZ_380</x:v>
      </x:c>
      <x:c r="B71" s="25" t="str">
        <x:v>Italy (mainland)</x:v>
      </x:c>
      <x:c r="C71" s="25" t="str">
        <x:v>EEZ</x:v>
      </x:c>
      <x:c r="D71" s="31" t="n">
        <x:v>2019</x:v>
      </x:c>
      <x:c r="E71" s="32" t="n">
        <x:v>234477.5946714614</x:v>
      </x:c>
      <x:c r="F71" s="32" t="n">
        <x:v>234477.5946714614</x:v>
      </x:c>
      <x:c r="G71" s="33" t="n">
        <x:v>0</x:v>
      </x:c>
      <x:c r="H71" s="34" t="n">
        <x:v>1</x:v>
      </x:c>
      <x:c r="I71" s="35" t="n">
        <x:v>159</x:v>
      </x:c>
      <x:c r="J71" s="35" t="n">
        <x:v>159</x:v>
      </x:c>
      <x:c r="K71" s="32" t="n">
        <x:v>166295145.49936318</x:v>
      </x:c>
      <x:c r="L71" s="32" t="n">
        <x:v>139251647.64297917</x:v>
      </x:c>
      <x:c r="M71" s="32" t="n">
        <x:v>138802843.8086451</x:v>
      </x:c>
      <x:c r="N71" s="34" t="n">
        <x:v>0.002502855211896817</x:v>
      </x:c>
      <x:c r="O71" s="35" t="n">
        <x:v>70</x:v>
      </x:c>
      <x:c r="P71" s="34" t="n">
        <x:v>0.9093547995799687</x:v>
      </x:c>
    </x:row>
    <x:row r="72" ht="18" customHeight="1">
      <x:c r="A72" s="25" t="str">
        <x:v>EEZ_706</x:v>
      </x:c>
      <x:c r="B72" s="25" t="str">
        <x:v>Somalia</x:v>
      </x:c>
      <x:c r="C72" s="25" t="str">
        <x:v>EEZ</x:v>
      </x:c>
      <x:c r="D72" s="31" t="n">
        <x:v>2019</x:v>
      </x:c>
      <x:c r="E72" s="32" t="n">
        <x:v>139703.8091832829</x:v>
      </x:c>
      <x:c r="F72" s="32" t="n">
        <x:v>139703.8091832829</x:v>
      </x:c>
      <x:c r="G72" s="33" t="n">
        <x:v>0</x:v>
      </x:c>
      <x:c r="H72" s="34" t="n">
        <x:v>1</x:v>
      </x:c>
      <x:c r="I72" s="35" t="n">
        <x:v>121</x:v>
      </x:c>
      <x:c r="J72" s="35" t="n">
        <x:v>121</x:v>
      </x:c>
      <x:c r="K72" s="32" t="n">
        <x:v>166015194.26696122</x:v>
      </x:c>
      <x:c r="L72" s="32" t="n">
        <x:v>128484904.46261014</x:v>
      </x:c>
      <x:c r="M72" s="32" t="n">
        <x:v>148400965.22101557</x:v>
      </x:c>
      <x:c r="N72" s="34" t="n">
        <x:v>0.0024986417551600606</x:v>
      </x:c>
      <x:c r="O72" s="35" t="n">
        <x:v>71</x:v>
      </x:c>
      <x:c r="P72" s="34" t="n">
        <x:v>0.9118534413351287</x:v>
      </x:c>
    </x:row>
    <x:row r="73" ht="18" customHeight="1">
      <x:c r="A73" s="25" t="str">
        <x:v>EEZ_794</x:v>
      </x:c>
      <x:c r="B73" s="25" t="str">
        <x:v>Turkey (Black Sea)</x:v>
      </x:c>
      <x:c r="C73" s="25" t="str">
        <x:v>EEZ</x:v>
      </x:c>
      <x:c r="D73" s="31" t="n">
        <x:v>2019</x:v>
      </x:c>
      <x:c r="E73" s="32" t="n">
        <x:v>557210.7803783925</x:v>
      </x:c>
      <x:c r="F73" s="32" t="n">
        <x:v>557210.7803783925</x:v>
      </x:c>
      <x:c r="G73" s="33" t="n">
        <x:v>0</x:v>
      </x:c>
      <x:c r="H73" s="34" t="n">
        <x:v>1</x:v>
      </x:c>
      <x:c r="I73" s="35" t="n">
        <x:v>49</x:v>
      </x:c>
      <x:c r="J73" s="35" t="n">
        <x:v>49</x:v>
      </x:c>
      <x:c r="K73" s="32" t="n">
        <x:v>164051844.8986375</x:v>
      </x:c>
      <x:c r="L73" s="32" t="n">
        <x:v>154964279.53989428</x:v>
      </x:c>
      <x:c r="M73" s="32" t="n">
        <x:v>147071763.1699224</x:v>
      </x:c>
      <x:c r="N73" s="34" t="n">
        <x:v>0.002469092009829087</x:v>
      </x:c>
      <x:c r="O73" s="35" t="n">
        <x:v>72</x:v>
      </x:c>
      <x:c r="P73" s="34" t="n">
        <x:v>0.9143225333449578</x:v>
      </x:c>
    </x:row>
    <x:row r="74" ht="18" customHeight="1">
      <x:c r="A74" s="25" t="str">
        <x:v>EEZ_962</x:v>
      </x:c>
      <x:c r="B74" s="25" t="str">
        <x:v>Spain (mainland, Med and Gulf of Cadiz)</x:v>
      </x:c>
      <x:c r="C74" s="25" t="str">
        <x:v>EEZ</x:v>
      </x:c>
      <x:c r="D74" s="31" t="n">
        <x:v>2019</x:v>
      </x:c>
      <x:c r="E74" s="32" t="n">
        <x:v>200667.8299873407</x:v>
      </x:c>
      <x:c r="F74" s="32" t="n">
        <x:v>200667.8299873407</x:v>
      </x:c>
      <x:c r="G74" s="33" t="n">
        <x:v>0</x:v>
      </x:c>
      <x:c r="H74" s="34" t="n">
        <x:v>1</x:v>
      </x:c>
      <x:c r="I74" s="35" t="n">
        <x:v>375</x:v>
      </x:c>
      <x:c r="J74" s="35" t="n">
        <x:v>375</x:v>
      </x:c>
      <x:c r="K74" s="32" t="n">
        <x:v>161337945.08672658</x:v>
      </x:c>
      <x:c r="L74" s="32" t="n">
        <x:v>126841222.70377925</x:v>
      </x:c>
      <x:c r="M74" s="32" t="n">
        <x:v>139703638.27953878</x:v>
      </x:c>
      <x:c r="N74" s="34" t="n">
        <x:v>0.0024282459690838205</x:v>
      </x:c>
      <x:c r="O74" s="35" t="n">
        <x:v>73</x:v>
      </x:c>
      <x:c r="P74" s="34" t="n">
        <x:v>0.9167507793140417</x:v>
      </x:c>
    </x:row>
    <x:row r="75" ht="18" customHeight="1">
      <x:c r="A75" s="25" t="str">
        <x:v>EEZ_036</x:v>
      </x:c>
      <x:c r="B75" s="25" t="str">
        <x:v>Australia</x:v>
      </x:c>
      <x:c r="C75" s="25" t="str">
        <x:v>EEZ</x:v>
      </x:c>
      <x:c r="D75" s="31" t="n">
        <x:v>2019</x:v>
      </x:c>
      <x:c r="E75" s="32" t="n">
        <x:v>228804.7535442354</x:v>
      </x:c>
      <x:c r="F75" s="32" t="n">
        <x:v>228804.7535442354</x:v>
      </x:c>
      <x:c r="G75" s="33" t="n">
        <x:v>0</x:v>
      </x:c>
      <x:c r="H75" s="34" t="n">
        <x:v>1</x:v>
      </x:c>
      <x:c r="I75" s="35" t="n">
        <x:v>529</x:v>
      </x:c>
      <x:c r="J75" s="35" t="n">
        <x:v>529</x:v>
      </x:c>
      <x:c r="K75" s="32" t="n">
        <x:v>159135782.88848543</x:v>
      </x:c>
      <x:c r="L75" s="32" t="n">
        <x:v>107374397.92635019</x:v>
      </x:c>
      <x:c r="M75" s="32" t="n">
        <x:v>113696362.2670475</x:v>
      </x:c>
      <x:c r="N75" s="34" t="n">
        <x:v>0.002395101927994953</x:v>
      </x:c>
      <x:c r="O75" s="35" t="n">
        <x:v>74</x:v>
      </x:c>
      <x:c r="P75" s="34" t="n">
        <x:v>0.9191458812420366</x:v>
      </x:c>
    </x:row>
    <x:row r="76" ht="18" customHeight="1">
      <x:c r="A76" s="25" t="str">
        <x:v>EEZ_116</x:v>
      </x:c>
      <x:c r="B76" s="25" t="str">
        <x:v>Cambodia</x:v>
      </x:c>
      <x:c r="C76" s="25" t="str">
        <x:v>EEZ</x:v>
      </x:c>
      <x:c r="D76" s="31" t="n">
        <x:v>2019</x:v>
      </x:c>
      <x:c r="E76" s="32" t="n">
        <x:v>211746.984487642</x:v>
      </x:c>
      <x:c r="F76" s="32" t="n">
        <x:v>211746.984487642</x:v>
      </x:c>
      <x:c r="G76" s="33" t="n">
        <x:v>0</x:v>
      </x:c>
      <x:c r="H76" s="34" t="n">
        <x:v>1</x:v>
      </x:c>
      <x:c r="I76" s="35" t="n">
        <x:v>110</x:v>
      </x:c>
      <x:c r="J76" s="35" t="n">
        <x:v>110</x:v>
      </x:c>
      <x:c r="K76" s="32" t="n">
        <x:v>157736807.02534643</x:v>
      </x:c>
      <x:c r="L76" s="32" t="n">
        <x:v>95406747.0645604</x:v>
      </x:c>
      <x:c r="M76" s="32" t="n">
        <x:v>134067533.23490132</x:v>
      </x:c>
      <x:c r="N76" s="34" t="n">
        <x:v>0.002374046388340678</x:v>
      </x:c>
      <x:c r="O76" s="35" t="n">
        <x:v>75</x:v>
      </x:c>
      <x:c r="P76" s="34" t="n">
        <x:v>0.9215199276303773</x:v>
      </x:c>
    </x:row>
    <x:row r="77" ht="18" customHeight="1">
      <x:c r="A77" s="25" t="str">
        <x:v>EEZ_218</x:v>
      </x:c>
      <x:c r="B77" s="25" t="str">
        <x:v>Ecuador (mainland)</x:v>
      </x:c>
      <x:c r="C77" s="25" t="str">
        <x:v>EEZ</x:v>
      </x:c>
      <x:c r="D77" s="31" t="n">
        <x:v>2019</x:v>
      </x:c>
      <x:c r="E77" s="32" t="n">
        <x:v>227592.59662859532</x:v>
      </x:c>
      <x:c r="F77" s="32" t="n">
        <x:v>227592.59662859532</x:v>
      </x:c>
      <x:c r="G77" s="33" t="n">
        <x:v>0</x:v>
      </x:c>
      <x:c r="H77" s="34" t="n">
        <x:v>1</x:v>
      </x:c>
      <x:c r="I77" s="35" t="n">
        <x:v>82</x:v>
      </x:c>
      <x:c r="J77" s="35" t="n">
        <x:v>82</x:v>
      </x:c>
      <x:c r="K77" s="32" t="n">
        <x:v>156635027.49107185</x:v>
      </x:c>
      <x:c r="L77" s="32" t="n">
        <x:v>115235123.32919997</x:v>
      </x:c>
      <x:c r="M77" s="32" t="n">
        <x:v>134427165.56673172</x:v>
      </x:c>
      <x:c r="N77" s="34" t="n">
        <x:v>0.002357463855871437</x:v>
      </x:c>
      <x:c r="O77" s="35" t="n">
        <x:v>76</x:v>
      </x:c>
      <x:c r="P77" s="34" t="n">
        <x:v>0.9238773914862487</x:v>
      </x:c>
    </x:row>
    <x:row r="78" ht="18" customHeight="1">
      <x:c r="A78" s="25" t="str">
        <x:v>EEZ_508</x:v>
      </x:c>
      <x:c r="B78" s="25" t="str">
        <x:v>Mozambique</x:v>
      </x:c>
      <x:c r="C78" s="25" t="str">
        <x:v>EEZ</x:v>
      </x:c>
      <x:c r="D78" s="31" t="n">
        <x:v>2019</x:v>
      </x:c>
      <x:c r="E78" s="32" t="n">
        <x:v>296238.55412247276</x:v>
      </x:c>
      <x:c r="F78" s="32" t="n">
        <x:v>296238.55412247276</x:v>
      </x:c>
      <x:c r="G78" s="33" t="n">
        <x:v>0</x:v>
      </x:c>
      <x:c r="H78" s="34" t="n">
        <x:v>1</x:v>
      </x:c>
      <x:c r="I78" s="35" t="n">
        <x:v>90</x:v>
      </x:c>
      <x:c r="J78" s="35" t="n">
        <x:v>90</x:v>
      </x:c>
      <x:c r="K78" s="32" t="n">
        <x:v>155171497.13322508</x:v>
      </x:c>
      <x:c r="L78" s="32" t="n">
        <x:v>102164310.31060095</x:v>
      </x:c>
      <x:c r="M78" s="32" t="n">
        <x:v>140954696.79113078</x:v>
      </x:c>
      <x:c r="N78" s="34" t="n">
        <x:v>0.002335436727100441</x:v>
      </x:c>
      <x:c r="O78" s="35" t="n">
        <x:v>77</x:v>
      </x:c>
      <x:c r="P78" s="34" t="n">
        <x:v>0.9262128282133492</x:v>
      </x:c>
    </x:row>
    <x:row r="79" ht="18" customHeight="1">
      <x:c r="A79" s="25" t="str">
        <x:v>EEZ_012</x:v>
      </x:c>
      <x:c r="B79" s="25" t="str">
        <x:v>Algeria</x:v>
      </x:c>
      <x:c r="C79" s="25" t="str">
        <x:v>EEZ</x:v>
      </x:c>
      <x:c r="D79" s="31" t="n">
        <x:v>2019</x:v>
      </x:c>
      <x:c r="E79" s="32" t="n">
        <x:v>236644.15639922052</x:v>
      </x:c>
      <x:c r="F79" s="32" t="n">
        <x:v>236644.15639922052</x:v>
      </x:c>
      <x:c r="G79" s="33" t="n">
        <x:v>0</x:v>
      </x:c>
      <x:c r="H79" s="34" t="n">
        <x:v>1</x:v>
      </x:c>
      <x:c r="I79" s="35" t="n">
        <x:v>187</x:v>
      </x:c>
      <x:c r="J79" s="35" t="n">
        <x:v>187</x:v>
      </x:c>
      <x:c r="K79" s="32" t="n">
        <x:v>153457037.5384049</x:v>
      </x:c>
      <x:c r="L79" s="32" t="n">
        <x:v>138879989.24559036</x:v>
      </x:c>
      <x:c r="M79" s="32" t="n">
        <x:v>135346368.60032412</x:v>
      </x:c>
      <x:c r="N79" s="34" t="n">
        <x:v>0.0023096329423922543</x:v>
      </x:c>
      <x:c r="O79" s="35" t="n">
        <x:v>78</x:v>
      </x:c>
      <x:c r="P79" s="34" t="n">
        <x:v>0.9285224611557414</x:v>
      </x:c>
    </x:row>
    <x:row r="80" ht="18" customHeight="1">
      <x:c r="A80" s="25" t="str">
        <x:v>EEZ_463</x:v>
      </x:c>
      <x:c r="B80" s="25" t="str">
        <x:v>Malaysia (Sarawak)</x:v>
      </x:c>
      <x:c r="C80" s="25" t="str">
        <x:v>EEZ</x:v>
      </x:c>
      <x:c r="D80" s="31" t="n">
        <x:v>2019</x:v>
      </x:c>
      <x:c r="E80" s="32" t="n">
        <x:v>172418.003123827</x:v>
      </x:c>
      <x:c r="F80" s="32" t="n">
        <x:v>172418.003123827</x:v>
      </x:c>
      <x:c r="G80" s="33" t="n">
        <x:v>0</x:v>
      </x:c>
      <x:c r="H80" s="34" t="n">
        <x:v>1</x:v>
      </x:c>
      <x:c r="I80" s="35" t="n">
        <x:v>142</x:v>
      </x:c>
      <x:c r="J80" s="35" t="n">
        <x:v>142</x:v>
      </x:c>
      <x:c r="K80" s="32" t="n">
        <x:v>142871346.13405973</x:v>
      </x:c>
      <x:c r="L80" s="32" t="n">
        <x:v>97811219.7385735</x:v>
      </x:c>
      <x:c r="M80" s="32" t="n">
        <x:v>116816988.36898412</x:v>
      </x:c>
      <x:c r="N80" s="34" t="n">
        <x:v>0.002150311076300871</x:v>
      </x:c>
      <x:c r="O80" s="35" t="n">
        <x:v>79</x:v>
      </x:c>
      <x:c r="P80" s="34" t="n">
        <x:v>0.9306727722320423</x:v>
      </x:c>
    </x:row>
    <x:row r="81" ht="18" customHeight="1">
      <x:c r="A81" s="25" t="str">
        <x:v>EEZ_184</x:v>
      </x:c>
      <x:c r="B81" s="25" t="str">
        <x:v>Cook Islands</x:v>
      </x:c>
      <x:c r="C81" s="25" t="str">
        <x:v>EEZ</x:v>
      </x:c>
      <x:c r="D81" s="31" t="n">
        <x:v>2019</x:v>
      </x:c>
      <x:c r="E81" s="32" t="n">
        <x:v>57850.209005275494</x:v>
      </x:c>
      <x:c r="F81" s="32" t="n">
        <x:v>57850.209005275494</x:v>
      </x:c>
      <x:c r="G81" s="33" t="n">
        <x:v>0</x:v>
      </x:c>
      <x:c r="H81" s="34" t="n">
        <x:v>1</x:v>
      </x:c>
      <x:c r="I81" s="35" t="n">
        <x:v>38</x:v>
      </x:c>
      <x:c r="J81" s="35" t="n">
        <x:v>38</x:v>
      </x:c>
      <x:c r="K81" s="32" t="n">
        <x:v>137382390.5661584</x:v>
      </x:c>
      <x:c r="L81" s="32" t="n">
        <x:v>135375928.81434494</x:v>
      </x:c>
      <x:c r="M81" s="32" t="n">
        <x:v>135482637.65419087</x:v>
      </x:c>
      <x:c r="N81" s="34" t="n">
        <x:v>0.002067698556195499</x:v>
      </x:c>
      <x:c r="O81" s="35" t="n">
        <x:v>80</x:v>
      </x:c>
      <x:c r="P81" s="34" t="n">
        <x:v>0.9327404707882377</x:v>
      </x:c>
    </x:row>
    <x:row r="82" ht="18" customHeight="1">
      <x:c r="A82" s="25" t="str">
        <x:v>EEZ_384</x:v>
      </x:c>
      <x:c r="B82" s="25" t="str">
        <x:v>Côte d'Ivoire</x:v>
      </x:c>
      <x:c r="C82" s="25" t="str">
        <x:v>EEZ</x:v>
      </x:c>
      <x:c r="D82" s="31" t="n">
        <x:v>2019</x:v>
      </x:c>
      <x:c r="E82" s="32" t="n">
        <x:v>239562.63863203014</x:v>
      </x:c>
      <x:c r="F82" s="32" t="n">
        <x:v>239562.63863203014</x:v>
      </x:c>
      <x:c r="G82" s="33" t="n">
        <x:v>0</x:v>
      </x:c>
      <x:c r="H82" s="34" t="n">
        <x:v>1</x:v>
      </x:c>
      <x:c r="I82" s="35" t="n">
        <x:v>194</x:v>
      </x:c>
      <x:c r="J82" s="35" t="n">
        <x:v>194</x:v>
      </x:c>
      <x:c r="K82" s="32" t="n">
        <x:v>133414622.3409288</x:v>
      </x:c>
      <x:c r="L82" s="32" t="n">
        <x:v>119396344.3349186</x:v>
      </x:c>
      <x:c r="M82" s="32" t="n">
        <x:v>118271335.48023751</x:v>
      </x:c>
      <x:c r="N82" s="34" t="n">
        <x:v>0.0020079809417558607</x:v>
      </x:c>
      <x:c r="O82" s="35" t="n">
        <x:v>81</x:v>
      </x:c>
      <x:c r="P82" s="34" t="n">
        <x:v>0.9347484517299937</x:v>
      </x:c>
    </x:row>
    <x:row r="83" ht="18" customHeight="1">
      <x:c r="A83" s="25" t="str">
        <x:v>EEZ_584</x:v>
      </x:c>
      <x:c r="B83" s="25" t="str">
        <x:v>Marshall Isl.</x:v>
      </x:c>
      <x:c r="C83" s="25" t="str">
        <x:v>EEZ</x:v>
      </x:c>
      <x:c r="D83" s="31" t="n">
        <x:v>2019</x:v>
      </x:c>
      <x:c r="E83" s="32" t="n">
        <x:v>56340.9448327468</x:v>
      </x:c>
      <x:c r="F83" s="32" t="n">
        <x:v>56340.9448327468</x:v>
      </x:c>
      <x:c r="G83" s="33" t="n">
        <x:v>0</x:v>
      </x:c>
      <x:c r="H83" s="34" t="n">
        <x:v>1</x:v>
      </x:c>
      <x:c r="I83" s="35" t="n">
        <x:v>69</x:v>
      </x:c>
      <x:c r="J83" s="35" t="n">
        <x:v>69</x:v>
      </x:c>
      <x:c r="K83" s="32" t="n">
        <x:v>133348178.67679022</x:v>
      </x:c>
      <x:c r="L83" s="32" t="n">
        <x:v>129917071.8692781</x:v>
      </x:c>
      <x:c r="M83" s="32" t="n">
        <x:v>131136867.28438196</x:v>
      </x:c>
      <x:c r="N83" s="34" t="n">
        <x:v>0.002006980919352396</x:v>
      </x:c>
      <x:c r="O83" s="35" t="n">
        <x:v>82</x:v>
      </x:c>
      <x:c r="P83" s="34" t="n">
        <x:v>0.936755432649346</x:v>
      </x:c>
    </x:row>
    <x:row r="84" ht="18" customHeight="1">
      <x:c r="A84" s="25" t="str">
        <x:v>EEZ_144</x:v>
      </x:c>
      <x:c r="B84" s="25" t="str">
        <x:v>Sri Lanka</x:v>
      </x:c>
      <x:c r="C84" s="25" t="str">
        <x:v>EEZ</x:v>
      </x:c>
      <x:c r="D84" s="31" t="n">
        <x:v>2019</x:v>
      </x:c>
      <x:c r="E84" s="32" t="n">
        <x:v>312721.78206485976</x:v>
      </x:c>
      <x:c r="F84" s="32" t="n">
        <x:v>312721.78206485976</x:v>
      </x:c>
      <x:c r="G84" s="33" t="n">
        <x:v>0</x:v>
      </x:c>
      <x:c r="H84" s="34" t="n">
        <x:v>1</x:v>
      </x:c>
      <x:c r="I84" s="35" t="n">
        <x:v>79</x:v>
      </x:c>
      <x:c r="J84" s="35" t="n">
        <x:v>79</x:v>
      </x:c>
      <x:c r="K84" s="32" t="n">
        <x:v>124000252.48143452</x:v>
      </x:c>
      <x:c r="L84" s="32" t="n">
        <x:v>93655505.52803203</x:v>
      </x:c>
      <x:c r="M84" s="32" t="n">
        <x:v>108693151.46193188</x:v>
      </x:c>
      <x:c r="N84" s="34" t="n">
        <x:v>0.0018662882627615133</x:v>
      </x:c>
      <x:c r="O84" s="35" t="n">
        <x:v>83</x:v>
      </x:c>
      <x:c r="P84" s="34" t="n">
        <x:v>0.9386217209121075</x:v>
      </x:c>
    </x:row>
    <x:row r="85" ht="18" customHeight="1">
      <x:c r="A85" s="25" t="str">
        <x:v>EEZ_462</x:v>
      </x:c>
      <x:c r="B85" s="25" t="str">
        <x:v>Maldives</x:v>
      </x:c>
      <x:c r="C85" s="25" t="str">
        <x:v>EEZ</x:v>
      </x:c>
      <x:c r="D85" s="31" t="n">
        <x:v>2019</x:v>
      </x:c>
      <x:c r="E85" s="32" t="n">
        <x:v>51028.4249362374</x:v>
      </x:c>
      <x:c r="F85" s="32" t="n">
        <x:v>51028.4249362374</x:v>
      </x:c>
      <x:c r="G85" s="33" t="n">
        <x:v>0</x:v>
      </x:c>
      <x:c r="H85" s="34" t="n">
        <x:v>1</x:v>
      </x:c>
      <x:c r="I85" s="35" t="n">
        <x:v>72</x:v>
      </x:c>
      <x:c r="J85" s="35" t="n">
        <x:v>72</x:v>
      </x:c>
      <x:c r="K85" s="32" t="n">
        <x:v>122606801.38745148</x:v>
      </x:c>
      <x:c r="L85" s="32" t="n">
        <x:v>119365084.13676476</x:v>
      </x:c>
      <x:c r="M85" s="32" t="n">
        <x:v>120239573.18308131</x:v>
      </x:c>
      <x:c r="N85" s="34" t="n">
        <x:v>0.0018453158746462384</x:v>
      </x:c>
      <x:c r="O85" s="35" t="n">
        <x:v>84</x:v>
      </x:c>
      <x:c r="P85" s="34" t="n">
        <x:v>0.9404670367867538</x:v>
      </x:c>
    </x:row>
    <x:row r="86" ht="18" customHeight="1">
      <x:c r="A86" s="25" t="str">
        <x:v>EEZ_620</x:v>
      </x:c>
      <x:c r="B86" s="25" t="str">
        <x:v>Portugal (mainland)</x:v>
      </x:c>
      <x:c r="C86" s="25" t="str">
        <x:v>EEZ</x:v>
      </x:c>
      <x:c r="D86" s="31" t="n">
        <x:v>2019</x:v>
      </x:c>
      <x:c r="E86" s="32" t="n">
        <x:v>208342.58846173977</x:v>
      </x:c>
      <x:c r="F86" s="32" t="n">
        <x:v>208342.58846173977</x:v>
      </x:c>
      <x:c r="G86" s="33" t="n">
        <x:v>0</x:v>
      </x:c>
      <x:c r="H86" s="34" t="n">
        <x:v>1</x:v>
      </x:c>
      <x:c r="I86" s="35" t="n">
        <x:v>254</x:v>
      </x:c>
      <x:c r="J86" s="35" t="n">
        <x:v>254</x:v>
      </x:c>
      <x:c r="K86" s="32" t="n">
        <x:v>114209964.99740621</x:v>
      </x:c>
      <x:c r="L86" s="32" t="n">
        <x:v>91002480.39629517</x:v>
      </x:c>
      <x:c r="M86" s="32" t="n">
        <x:v>100522142.76751196</x:v>
      </x:c>
      <x:c r="N86" s="34" t="n">
        <x:v>0.0017189377674612025</x:v>
      </x:c>
      <x:c r="O86" s="35" t="n">
        <x:v>85</x:v>
      </x:c>
      <x:c r="P86" s="34" t="n">
        <x:v>0.9421859745542149</x:v>
      </x:c>
    </x:row>
    <x:row r="87" ht="18" customHeight="1">
      <x:c r="A87" s="25" t="str">
        <x:v>EEZ_266</x:v>
      </x:c>
      <x:c r="B87" s="25" t="str">
        <x:v>Gabon</x:v>
      </x:c>
      <x:c r="C87" s="25" t="str">
        <x:v>EEZ</x:v>
      </x:c>
      <x:c r="D87" s="31" t="n">
        <x:v>2019</x:v>
      </x:c>
      <x:c r="E87" s="32" t="n">
        <x:v>158907.53279788652</x:v>
      </x:c>
      <x:c r="F87" s="32" t="n">
        <x:v>158907.53279788652</x:v>
      </x:c>
      <x:c r="G87" s="33" t="n">
        <x:v>0</x:v>
      </x:c>
      <x:c r="H87" s="34" t="n">
        <x:v>1</x:v>
      </x:c>
      <x:c r="I87" s="35" t="n">
        <x:v>184</x:v>
      </x:c>
      <x:c r="J87" s="35" t="n">
        <x:v>184</x:v>
      </x:c>
      <x:c r="K87" s="32" t="n">
        <x:v>113127683.75920805</x:v>
      </x:c>
      <x:c r="L87" s="32" t="n">
        <x:v>103957804.80366671</x:v>
      </x:c>
      <x:c r="M87" s="32" t="n">
        <x:v>100969694.24424481</x:v>
      </x:c>
      <x:c r="N87" s="34" t="n">
        <x:v>0.0017026486976291983</x:v>
      </x:c>
      <x:c r="O87" s="35" t="n">
        <x:v>86</x:v>
      </x:c>
      <x:c r="P87" s="34" t="n">
        <x:v>0.9438886232518442</x:v>
      </x:c>
    </x:row>
    <x:row r="88" ht="18" customHeight="1">
      <x:c r="A88" s="25" t="str">
        <x:v>EEZ_834</x:v>
      </x:c>
      <x:c r="B88" s="25" t="str">
        <x:v>Tanzania</x:v>
      </x:c>
      <x:c r="C88" s="25" t="str">
        <x:v>EEZ</x:v>
      </x:c>
      <x:c r="D88" s="31" t="n">
        <x:v>2019</x:v>
      </x:c>
      <x:c r="E88" s="32" t="n">
        <x:v>129515.23121131358</x:v>
      </x:c>
      <x:c r="F88" s="32" t="n">
        <x:v>129515.23121131358</x:v>
      </x:c>
      <x:c r="G88" s="33" t="n">
        <x:v>0</x:v>
      </x:c>
      <x:c r="H88" s="34" t="n">
        <x:v>1</x:v>
      </x:c>
      <x:c r="I88" s="35" t="n">
        <x:v>112</x:v>
      </x:c>
      <x:c r="J88" s="35" t="n">
        <x:v>112</x:v>
      </x:c>
      <x:c r="K88" s="32" t="n">
        <x:v>108837946.14807098</x:v>
      </x:c>
      <x:c r="L88" s="32" t="n">
        <x:v>78818215.59635648</x:v>
      </x:c>
      <x:c r="M88" s="32" t="n">
        <x:v>90208962.19375764</x:v>
      </x:c>
      <x:c r="N88" s="34" t="n">
        <x:v>0.0016380852246218318</x:v>
      </x:c>
      <x:c r="O88" s="35" t="n">
        <x:v>87</x:v>
      </x:c>
      <x:c r="P88" s="34" t="n">
        <x:v>0.945526708476466</x:v>
      </x:c>
    </x:row>
    <x:row r="89" ht="18" customHeight="1">
      <x:c r="A89" s="25" t="str">
        <x:v>EEZ_723</x:v>
      </x:c>
      <x:c r="B89" s="25" t="str">
        <x:v>Canary Isl. (Spain)</x:v>
      </x:c>
      <x:c r="C89" s="25" t="str">
        <x:v>EEZ</x:v>
      </x:c>
      <x:c r="D89" s="31" t="n">
        <x:v>2019</x:v>
      </x:c>
      <x:c r="E89" s="32" t="n">
        <x:v>92826.4650597252</x:v>
      </x:c>
      <x:c r="F89" s="32" t="n">
        <x:v>92826.4650597252</x:v>
      </x:c>
      <x:c r="G89" s="33" t="n">
        <x:v>0</x:v>
      </x:c>
      <x:c r="H89" s="34" t="n">
        <x:v>1</x:v>
      </x:c>
      <x:c r="I89" s="35" t="n">
        <x:v>174</x:v>
      </x:c>
      <x:c r="J89" s="35" t="n">
        <x:v>174</x:v>
      </x:c>
      <x:c r="K89" s="32" t="n">
        <x:v>101920689.58241549</x:v>
      </x:c>
      <x:c r="L89" s="32" t="n">
        <x:v>82436966.40149522</x:v>
      </x:c>
      <x:c r="M89" s="32" t="n">
        <x:v>92632535.1043963</x:v>
      </x:c>
      <x:c r="N89" s="34" t="n">
        <x:v>0.001533975801611377</x:v>
      </x:c>
      <x:c r="O89" s="35" t="n">
        <x:v>88</x:v>
      </x:c>
      <x:c r="P89" s="34" t="n">
        <x:v>0.9470606842780774</x:v>
      </x:c>
    </x:row>
    <x:row r="90" ht="18" customHeight="1">
      <x:c r="A90" s="25" t="str">
        <x:v>EEZ_120</x:v>
      </x:c>
      <x:c r="B90" s="25" t="str">
        <x:v>Cameroon</x:v>
      </x:c>
      <x:c r="C90" s="25" t="str">
        <x:v>EEZ</x:v>
      </x:c>
      <x:c r="D90" s="31" t="n">
        <x:v>2019</x:v>
      </x:c>
      <x:c r="E90" s="32" t="n">
        <x:v>280509.9182943578</x:v>
      </x:c>
      <x:c r="F90" s="32" t="n">
        <x:v>280509.9182943578</x:v>
      </x:c>
      <x:c r="G90" s="33" t="n">
        <x:v>0</x:v>
      </x:c>
      <x:c r="H90" s="34" t="n">
        <x:v>1</x:v>
      </x:c>
      <x:c r="I90" s="35" t="n">
        <x:v>63</x:v>
      </x:c>
      <x:c r="J90" s="35" t="n">
        <x:v>63</x:v>
      </x:c>
      <x:c r="K90" s="32" t="n">
        <x:v>101123441.33925112</x:v>
      </x:c>
      <x:c r="L90" s="32" t="n">
        <x:v>79121776.76546197</x:v>
      </x:c>
      <x:c r="M90" s="32" t="n">
        <x:v>86478242.55571876</x:v>
      </x:c>
      <x:c r="N90" s="34" t="n">
        <x:v>0.001521976672505187</x:v>
      </x:c>
      <x:c r="O90" s="35" t="n">
        <x:v>89</x:v>
      </x:c>
      <x:c r="P90" s="34" t="n">
        <x:v>0.9485826609505826</x:v>
      </x:c>
    </x:row>
    <x:row r="91" ht="18" customHeight="1">
      <x:c r="A91" s="25" t="str">
        <x:v>EEZ_430</x:v>
      </x:c>
      <x:c r="B91" s="25" t="str">
        <x:v>Liberia</x:v>
      </x:c>
      <x:c r="C91" s="25" t="str">
        <x:v>EEZ</x:v>
      </x:c>
      <x:c r="D91" s="31" t="n">
        <x:v>2019</x:v>
      </x:c>
      <x:c r="E91" s="32" t="n">
        <x:v>179043.09265420676</x:v>
      </x:c>
      <x:c r="F91" s="32" t="n">
        <x:v>179043.09265420676</x:v>
      </x:c>
      <x:c r="G91" s="33" t="n">
        <x:v>0</x:v>
      </x:c>
      <x:c r="H91" s="34" t="n">
        <x:v>1</x:v>
      </x:c>
      <x:c r="I91" s="35" t="n">
        <x:v>239</x:v>
      </x:c>
      <x:c r="J91" s="35" t="n">
        <x:v>239</x:v>
      </x:c>
      <x:c r="K91" s="32" t="n">
        <x:v>96290641.00214319</x:v>
      </x:c>
      <x:c r="L91" s="32" t="n">
        <x:v>80575332.56567119</x:v>
      </x:c>
      <x:c r="M91" s="32" t="n">
        <x:v>89268475.32954851</x:v>
      </x:c>
      <x:c r="N91" s="34" t="n">
        <x:v>0.0014492397355641527</x:v>
      </x:c>
      <x:c r="O91" s="35" t="n">
        <x:v>90</x:v>
      </x:c>
      <x:c r="P91" s="34" t="n">
        <x:v>0.9500319006861467</x:v>
      </x:c>
    </x:row>
    <x:row r="92" ht="18" customHeight="1">
      <x:c r="A92" s="25" t="str">
        <x:v>EEZ_966</x:v>
      </x:c>
      <x:c r="B92" s="25" t="str">
        <x:v>Turkey (Marmara Sea)</x:v>
      </x:c>
      <x:c r="C92" s="25" t="str">
        <x:v>EEZ</x:v>
      </x:c>
      <x:c r="D92" s="31" t="n">
        <x:v>2019</x:v>
      </x:c>
      <x:c r="E92" s="32" t="n">
        <x:v>135279.24224138368</x:v>
      </x:c>
      <x:c r="F92" s="32" t="n">
        <x:v>135279.24224138368</x:v>
      </x:c>
      <x:c r="G92" s="33" t="n">
        <x:v>0</x:v>
      </x:c>
      <x:c r="H92" s="34" t="n">
        <x:v>1</x:v>
      </x:c>
      <x:c r="I92" s="35" t="n">
        <x:v>89</x:v>
      </x:c>
      <x:c r="J92" s="35" t="n">
        <x:v>89</x:v>
      </x:c>
      <x:c r="K92" s="32" t="n">
        <x:v>93378447.55892137</x:v>
      </x:c>
      <x:c r="L92" s="32" t="n">
        <x:v>63553118.69855156</x:v>
      </x:c>
      <x:c r="M92" s="32" t="n">
        <x:v>80264120.35753952</x:v>
      </x:c>
      <x:c r="N92" s="34" t="n">
        <x:v>0.0014054092405997199</x:v>
      </x:c>
      <x:c r="O92" s="35" t="n">
        <x:v>91</x:v>
      </x:c>
      <x:c r="P92" s="34" t="n">
        <x:v>0.9514373099267465</x:v>
      </x:c>
    </x:row>
    <x:row r="93" ht="18" customHeight="1">
      <x:c r="A93" s="25" t="str">
        <x:v>EEZ_974</x:v>
      </x:c>
      <x:c r="B93" s="25" t="str">
        <x:v>Korea (North, Sea of Japan)</x:v>
      </x:c>
      <x:c r="C93" s="25" t="str">
        <x:v>EEZ</x:v>
      </x:c>
      <x:c r="D93" s="31" t="n">
        <x:v>2019</x:v>
      </x:c>
      <x:c r="E93" s="32" t="n">
        <x:v>177084.68732310578</x:v>
      </x:c>
      <x:c r="F93" s="32" t="n">
        <x:v>177084.68732310578</x:v>
      </x:c>
      <x:c r="G93" s="33" t="n">
        <x:v>0</x:v>
      </x:c>
      <x:c r="H93" s="34" t="n">
        <x:v>1</x:v>
      </x:c>
      <x:c r="I93" s="35" t="n">
        <x:v>53</x:v>
      </x:c>
      <x:c r="J93" s="35" t="n">
        <x:v>53</x:v>
      </x:c>
      <x:c r="K93" s="32" t="n">
        <x:v>88730291.34530385</x:v>
      </x:c>
      <x:c r="L93" s="32" t="n">
        <x:v>63446825.60801261</x:v>
      </x:c>
      <x:c r="M93" s="32" t="n">
        <x:v>83510305.69856766</x:v>
      </x:c>
      <x:c r="N93" s="34" t="n">
        <x:v>0.0013354513234877755</x:v>
      </x:c>
      <x:c r="O93" s="35" t="n">
        <x:v>92</x:v>
      </x:c>
      <x:c r="P93" s="34" t="n">
        <x:v>0.9527727612502342</x:v>
      </x:c>
    </x:row>
    <x:row r="94" ht="18" customHeight="1">
      <x:c r="A94" s="25" t="str">
        <x:v>EEZ_450</x:v>
      </x:c>
      <x:c r="B94" s="25" t="str">
        <x:v>Madagascar</x:v>
      </x:c>
      <x:c r="C94" s="25" t="str">
        <x:v>EEZ</x:v>
      </x:c>
      <x:c r="D94" s="31" t="n">
        <x:v>2019</x:v>
      </x:c>
      <x:c r="E94" s="32" t="n">
        <x:v>159996.68620932242</x:v>
      </x:c>
      <x:c r="F94" s="32" t="n">
        <x:v>159996.68620932242</x:v>
      </x:c>
      <x:c r="G94" s="33" t="n">
        <x:v>0</x:v>
      </x:c>
      <x:c r="H94" s="34" t="n">
        <x:v>1</x:v>
      </x:c>
      <x:c r="I94" s="35" t="n">
        <x:v>96</x:v>
      </x:c>
      <x:c r="J94" s="35" t="n">
        <x:v>96</x:v>
      </x:c>
      <x:c r="K94" s="32" t="n">
        <x:v>87751516.13578317</x:v>
      </x:c>
      <x:c r="L94" s="32" t="n">
        <x:v>56239923.29380205</x:v>
      </x:c>
      <x:c r="M94" s="32" t="n">
        <x:v>73763184.84527262</x:v>
      </x:c>
      <x:c r="N94" s="34" t="n">
        <x:v>0.001320720089890619</x:v>
      </x:c>
      <x:c r="O94" s="35" t="n">
        <x:v>93</x:v>
      </x:c>
      <x:c r="P94" s="34" t="n">
        <x:v>0.9540934813401248</x:v>
      </x:c>
    </x:row>
    <x:row r="95" ht="18" customHeight="1">
      <x:c r="A95" s="25" t="str">
        <x:v>EEZ_928</x:v>
      </x:c>
      <x:c r="B95" s="25" t="str">
        <x:v>Colombia (Pacific)</x:v>
      </x:c>
      <x:c r="C95" s="25" t="str">
        <x:v>EEZ</x:v>
      </x:c>
      <x:c r="D95" s="31" t="n">
        <x:v>2019</x:v>
      </x:c>
      <x:c r="E95" s="32" t="n">
        <x:v>54847.9752029435</x:v>
      </x:c>
      <x:c r="F95" s="32" t="n">
        <x:v>54847.9752029435</x:v>
      </x:c>
      <x:c r="G95" s="33" t="n">
        <x:v>0</x:v>
      </x:c>
      <x:c r="H95" s="34" t="n">
        <x:v>1</x:v>
      </x:c>
      <x:c r="I95" s="35" t="n">
        <x:v>87</x:v>
      </x:c>
      <x:c r="J95" s="35" t="n">
        <x:v>87</x:v>
      </x:c>
      <x:c r="K95" s="32" t="n">
        <x:v>82458630.09635389</x:v>
      </x:c>
      <x:c r="L95" s="32" t="n">
        <x:v>71105374.39050384</x:v>
      </x:c>
      <x:c r="M95" s="32" t="n">
        <x:v>75675592.11803311</x:v>
      </x:c>
      <x:c r="N95" s="34" t="n">
        <x:v>0.0012410585497417384</x:v>
      </x:c>
      <x:c r="O95" s="35" t="n">
        <x:v>94</x:v>
      </x:c>
      <x:c r="P95" s="34" t="n">
        <x:v>0.9553345398898666</x:v>
      </x:c>
    </x:row>
    <x:row r="96" ht="18" customHeight="1">
      <x:c r="A96" s="25" t="str">
        <x:v>EEZ_930</x:v>
      </x:c>
      <x:c r="B96" s="25" t="str">
        <x:v>Costa Rica (Pacific)</x:v>
      </x:c>
      <x:c r="C96" s="25" t="str">
        <x:v>EEZ</x:v>
      </x:c>
      <x:c r="D96" s="31" t="n">
        <x:v>2019</x:v>
      </x:c>
      <x:c r="E96" s="32" t="n">
        <x:v>53716.993195901494</x:v>
      </x:c>
      <x:c r="F96" s="32" t="n">
        <x:v>53716.993195901494</x:v>
      </x:c>
      <x:c r="G96" s="33" t="n">
        <x:v>0</x:v>
      </x:c>
      <x:c r="H96" s="34" t="n">
        <x:v>1</x:v>
      </x:c>
      <x:c r="I96" s="35" t="n">
        <x:v>63</x:v>
      </x:c>
      <x:c r="J96" s="35" t="n">
        <x:v>63</x:v>
      </x:c>
      <x:c r="K96" s="32" t="n">
        <x:v>80279567.24893846</x:v>
      </x:c>
      <x:c r="L96" s="32" t="n">
        <x:v>74719678.55634749</x:v>
      </x:c>
      <x:c r="M96" s="32" t="n">
        <x:v>75119400.23806289</x:v>
      </x:c>
      <x:c r="N96" s="34" t="n">
        <x:v>0.0012082621696169482</x:v>
      </x:c>
      <x:c r="O96" s="35" t="n">
        <x:v>95</x:v>
      </x:c>
      <x:c r="P96" s="34" t="n">
        <x:v>0.9565428020594835</x:v>
      </x:c>
    </x:row>
    <x:row r="97" ht="18" customHeight="1">
      <x:c r="A97" s="25" t="str">
        <x:v>EEZ_242</x:v>
      </x:c>
      <x:c r="B97" s="25" t="str">
        <x:v>Fiji</x:v>
      </x:c>
      <x:c r="C97" s="25" t="str">
        <x:v>EEZ</x:v>
      </x:c>
      <x:c r="D97" s="31" t="n">
        <x:v>2019</x:v>
      </x:c>
      <x:c r="E97" s="32" t="n">
        <x:v>57561.8277487637</x:v>
      </x:c>
      <x:c r="F97" s="32" t="n">
        <x:v>57561.8277487637</x:v>
      </x:c>
      <x:c r="G97" s="33" t="n">
        <x:v>0</x:v>
      </x:c>
      <x:c r="H97" s="34" t="n">
        <x:v>1</x:v>
      </x:c>
      <x:c r="I97" s="35" t="n">
        <x:v>57</x:v>
      </x:c>
      <x:c r="J97" s="35" t="n">
        <x:v>57</x:v>
      </x:c>
      <x:c r="K97" s="32" t="n">
        <x:v>79413036.45710625</x:v>
      </x:c>
      <x:c r="L97" s="32" t="n">
        <x:v>68827217.75327721</x:v>
      </x:c>
      <x:c r="M97" s="32" t="n">
        <x:v>74891764.60643005</x:v>
      </x:c>
      <x:c r="N97" s="34" t="n">
        <x:v>0.0011952202909614187</x:v>
      </x:c>
      <x:c r="O97" s="35" t="n">
        <x:v>96</x:v>
      </x:c>
      <x:c r="P97" s="34" t="n">
        <x:v>0.9577380223504449</x:v>
      </x:c>
    </x:row>
    <x:row r="98" ht="18" customHeight="1">
      <x:c r="A98" s="25" t="str">
        <x:v>EEZ_204</x:v>
      </x:c>
      <x:c r="B98" s="25" t="str">
        <x:v>Benin</x:v>
      </x:c>
      <x:c r="C98" s="25" t="str">
        <x:v>EEZ</x:v>
      </x:c>
      <x:c r="D98" s="31" t="n">
        <x:v>2019</x:v>
      </x:c>
      <x:c r="E98" s="32" t="n">
        <x:v>83987.6435485869</x:v>
      </x:c>
      <x:c r="F98" s="32" t="n">
        <x:v>83987.6435485869</x:v>
      </x:c>
      <x:c r="G98" s="33" t="n">
        <x:v>0</x:v>
      </x:c>
      <x:c r="H98" s="34" t="n">
        <x:v>1</x:v>
      </x:c>
      <x:c r="I98" s="35" t="n">
        <x:v>96</x:v>
      </x:c>
      <x:c r="J98" s="35" t="n">
        <x:v>96</x:v>
      </x:c>
      <x:c r="K98" s="32" t="n">
        <x:v>78537967.78151909</x:v>
      </x:c>
      <x:c r="L98" s="32" t="n">
        <x:v>52952929.63848208</x:v>
      </x:c>
      <x:c r="M98" s="32" t="n">
        <x:v>68960954.54882826</x:v>
      </x:c>
      <x:c r="N98" s="34" t="n">
        <x:v>0.0011820499113397876</x:v>
      </x:c>
      <x:c r="O98" s="35" t="n">
        <x:v>97</x:v>
      </x:c>
      <x:c r="P98" s="34" t="n">
        <x:v>0.9589200722617848</x:v>
      </x:c>
    </x:row>
    <x:row r="99" ht="18" customHeight="1">
      <x:c r="A99" s="25" t="str">
        <x:v>EEZ_784</x:v>
      </x:c>
      <x:c r="B99" s="25" t="str">
        <x:v>United Arab Emirates</x:v>
      </x:c>
      <x:c r="C99" s="25" t="str">
        <x:v>EEZ</x:v>
      </x:c>
      <x:c r="D99" s="31" t="n">
        <x:v>2019</x:v>
      </x:c>
      <x:c r="E99" s="32" t="n">
        <x:v>49925.3333488044</x:v>
      </x:c>
      <x:c r="F99" s="32" t="n">
        <x:v>49925.3333488044</x:v>
      </x:c>
      <x:c r="G99" s="33" t="n">
        <x:v>0</x:v>
      </x:c>
      <x:c r="H99" s="34" t="n">
        <x:v>1</x:v>
      </x:c>
      <x:c r="I99" s="35" t="n">
        <x:v>42</x:v>
      </x:c>
      <x:c r="J99" s="35" t="n">
        <x:v>42</x:v>
      </x:c>
      <x:c r="K99" s="32" t="n">
        <x:v>78213745.6926087</x:v>
      </x:c>
      <x:c r="L99" s="32" t="n">
        <x:v>51264275.88172145</x:v>
      </x:c>
      <x:c r="M99" s="32" t="n">
        <x:v>70734405.98405288</x:v>
      </x:c>
      <x:c r="N99" s="34" t="n">
        <x:v>0.001177170148057434</x:v>
      </x:c>
      <x:c r="O99" s="35" t="n">
        <x:v>98</x:v>
      </x:c>
      <x:c r="P99" s="34" t="n">
        <x:v>0.9600972424098422</x:v>
      </x:c>
    </x:row>
    <x:row r="100" ht="18" customHeight="1">
      <x:c r="A100" s="25" t="str">
        <x:v>EEZ_788</x:v>
      </x:c>
      <x:c r="B100" s="25" t="str">
        <x:v>Tunisia</x:v>
      </x:c>
      <x:c r="C100" s="25" t="str">
        <x:v>EEZ</x:v>
      </x:c>
      <x:c r="D100" s="31" t="n">
        <x:v>2019</x:v>
      </x:c>
      <x:c r="E100" s="32" t="n">
        <x:v>133288.5662711512</x:v>
      </x:c>
      <x:c r="F100" s="32" t="n">
        <x:v>133288.5662711512</x:v>
      </x:c>
      <x:c r="G100" s="33" t="n">
        <x:v>0</x:v>
      </x:c>
      <x:c r="H100" s="34" t="n">
        <x:v>1</x:v>
      </x:c>
      <x:c r="I100" s="35" t="n">
        <x:v>167</x:v>
      </x:c>
      <x:c r="J100" s="35" t="n">
        <x:v>167</x:v>
      </x:c>
      <x:c r="K100" s="32" t="n">
        <x:v>74633904.02001323</x:v>
      </x:c>
      <x:c r="L100" s="32" t="n">
        <x:v>52178784.33944455</x:v>
      </x:c>
      <x:c r="M100" s="32" t="n">
        <x:v>57465097.24281223</x:v>
      </x:c>
      <x:c r="N100" s="34" t="n">
        <x:v>0.0011232910924715612</x:v>
      </x:c>
      <x:c r="O100" s="35" t="n">
        <x:v>99</x:v>
      </x:c>
      <x:c r="P100" s="34" t="n">
        <x:v>0.9612205335023137</x:v>
      </x:c>
    </x:row>
    <x:row r="101" ht="18" customHeight="1">
      <x:c r="A101" s="25" t="str">
        <x:v>EEZ_357</x:v>
      </x:c>
      <x:c r="B101" s="25" t="str">
        <x:v>Andaman &amp; Nicobar Isl. (India)</x:v>
      </x:c>
      <x:c r="C101" s="25" t="str">
        <x:v>EEZ</x:v>
      </x:c>
      <x:c r="D101" s="31" t="n">
        <x:v>2019</x:v>
      </x:c>
      <x:c r="E101" s="32" t="n">
        <x:v>61303.310995657</x:v>
      </x:c>
      <x:c r="F101" s="32" t="n">
        <x:v>61303.310995657</x:v>
      </x:c>
      <x:c r="G101" s="33" t="n">
        <x:v>0</x:v>
      </x:c>
      <x:c r="H101" s="34" t="n">
        <x:v>1</x:v>
      </x:c>
      <x:c r="I101" s="35" t="n">
        <x:v>90</x:v>
      </x:c>
      <x:c r="J101" s="35" t="n">
        <x:v>90</x:v>
      </x:c>
      <x:c r="K101" s="32" t="n">
        <x:v>69444286.60999125</x:v>
      </x:c>
      <x:c r="L101" s="32" t="n">
        <x:v>53936063.19903991</x:v>
      </x:c>
      <x:c r="M101" s="32" t="n">
        <x:v>62035701.98379009</x:v>
      </x:c>
      <x:c r="N101" s="34" t="n">
        <x:v>0.0010451838155368072</x:v>
      </x:c>
      <x:c r="O101" s="35" t="n">
        <x:v>100</x:v>
      </x:c>
      <x:c r="P101" s="34" t="n">
        <x:v>0.9622657173178506</x:v>
      </x:c>
    </x:row>
    <x:row r="102" ht="18" customHeight="1">
      <x:c r="A102" s="25" t="str">
        <x:v>EEZ_132</x:v>
      </x:c>
      <x:c r="B102" s="25" t="str">
        <x:v>Cape Verde</x:v>
      </x:c>
      <x:c r="C102" s="25" t="str">
        <x:v>EEZ</x:v>
      </x:c>
      <x:c r="D102" s="31" t="n">
        <x:v>2019</x:v>
      </x:c>
      <x:c r="E102" s="32" t="n">
        <x:v>41113.6989825735</x:v>
      </x:c>
      <x:c r="F102" s="32" t="n">
        <x:v>41113.6989825735</x:v>
      </x:c>
      <x:c r="G102" s="33" t="n">
        <x:v>0</x:v>
      </x:c>
      <x:c r="H102" s="34" t="n">
        <x:v>1</x:v>
      </x:c>
      <x:c r="I102" s="35" t="n">
        <x:v>91</x:v>
      </x:c>
      <x:c r="J102" s="35" t="n">
        <x:v>91</x:v>
      </x:c>
      <x:c r="K102" s="32" t="n">
        <x:v>68290801.75380284</x:v>
      </x:c>
      <x:c r="L102" s="32" t="n">
        <x:v>65453403.432502314</x:v>
      </x:c>
      <x:c r="M102" s="32" t="n">
        <x:v>65735516.97741273</x:v>
      </x:c>
      <x:c r="N102" s="34" t="n">
        <x:v>0.0010278230827536227</x:v>
      </x:c>
      <x:c r="O102" s="35" t="n">
        <x:v>101</x:v>
      </x:c>
      <x:c r="P102" s="34" t="n">
        <x:v>0.9632935404006042</x:v>
      </x:c>
    </x:row>
    <x:row r="103" ht="18" customHeight="1">
      <x:c r="A103" s="25" t="str">
        <x:v>EEZ_858</x:v>
      </x:c>
      <x:c r="B103" s="25" t="str">
        <x:v>Uruguay</x:v>
      </x:c>
      <x:c r="C103" s="25" t="str">
        <x:v>EEZ</x:v>
      </x:c>
      <x:c r="D103" s="31" t="n">
        <x:v>2019</x:v>
      </x:c>
      <x:c r="E103" s="32" t="n">
        <x:v>107838.9938680954</x:v>
      </x:c>
      <x:c r="F103" s="32" t="n">
        <x:v>107838.9938680954</x:v>
      </x:c>
      <x:c r="G103" s="33" t="n">
        <x:v>0</x:v>
      </x:c>
      <x:c r="H103" s="34" t="n">
        <x:v>1</x:v>
      </x:c>
      <x:c r="I103" s="35" t="n">
        <x:v>60</x:v>
      </x:c>
      <x:c r="J103" s="35" t="n">
        <x:v>60</x:v>
      </x:c>
      <x:c r="K103" s="32" t="n">
        <x:v>66273884.30512683</x:v>
      </x:c>
      <x:c r="L103" s="32" t="n">
        <x:v>58304573.990053095</x:v>
      </x:c>
      <x:c r="M103" s="32" t="n">
        <x:v>61954568.46990002</x:v>
      </x:c>
      <x:c r="N103" s="34" t="n">
        <x:v>0.0009974671013253875</x:v>
      </x:c>
      <x:c r="O103" s="35" t="n">
        <x:v>102</x:v>
      </x:c>
      <x:c r="P103" s="34" t="n">
        <x:v>0.9642910075019295</x:v>
      </x:c>
    </x:row>
    <x:row r="104" ht="18" customHeight="1">
      <x:c r="A104" s="25" t="str">
        <x:v>EEZ_914</x:v>
      </x:c>
      <x:c r="B104" s="25" t="str">
        <x:v>Sweden (Baltic)</x:v>
      </x:c>
      <x:c r="C104" s="25" t="str">
        <x:v>EEZ</x:v>
      </x:c>
      <x:c r="D104" s="31" t="n">
        <x:v>2019</x:v>
      </x:c>
      <x:c r="E104" s="32" t="n">
        <x:v>258009.42244459942</x:v>
      </x:c>
      <x:c r="F104" s="32" t="n">
        <x:v>258009.42244459942</x:v>
      </x:c>
      <x:c r="G104" s="33" t="n">
        <x:v>0</x:v>
      </x:c>
      <x:c r="H104" s="34" t="n">
        <x:v>1</x:v>
      </x:c>
      <x:c r="I104" s="35" t="n">
        <x:v>63</x:v>
      </x:c>
      <x:c r="J104" s="35" t="n">
        <x:v>63</x:v>
      </x:c>
      <x:c r="K104" s="32" t="n">
        <x:v>65614786.95071074</x:v>
      </x:c>
      <x:c r="L104" s="32" t="n">
        <x:v>58930501.54015318</x:v>
      </x:c>
      <x:c r="M104" s="32" t="n">
        <x:v>62120902.913858816</x:v>
      </x:c>
      <x:c r="N104" s="34" t="n">
        <x:v>0.0009875472371964973</x:v>
      </x:c>
      <x:c r="O104" s="35" t="n">
        <x:v>103</x:v>
      </x:c>
      <x:c r="P104" s="34" t="n">
        <x:v>0.965278554739126</x:v>
      </x:c>
    </x:row>
    <x:row r="105" ht="18" customHeight="1">
      <x:c r="A105" s="25" t="str">
        <x:v>EEZ_947</x:v>
      </x:c>
      <x:c r="B105" s="25" t="str">
        <x:v>Morocco (Mediterranean)</x:v>
      </x:c>
      <x:c r="C105" s="25" t="str">
        <x:v>EEZ</x:v>
      </x:c>
      <x:c r="D105" s="31" t="n">
        <x:v>2019</x:v>
      </x:c>
      <x:c r="E105" s="32" t="n">
        <x:v>66046.14815490438</x:v>
      </x:c>
      <x:c r="F105" s="32" t="n">
        <x:v>66046.14815490438</x:v>
      </x:c>
      <x:c r="G105" s="33" t="n">
        <x:v>0</x:v>
      </x:c>
      <x:c r="H105" s="34" t="n">
        <x:v>1</x:v>
      </x:c>
      <x:c r="I105" s="35" t="n">
        <x:v>110</x:v>
      </x:c>
      <x:c r="J105" s="35" t="n">
        <x:v>110</x:v>
      </x:c>
      <x:c r="K105" s="32" t="n">
        <x:v>64564291.36796549</x:v>
      </x:c>
      <x:c r="L105" s="32" t="n">
        <x:v>56427166.47699314</x:v>
      </x:c>
      <x:c r="M105" s="32" t="n">
        <x:v>53151066.53940716</x:v>
      </x:c>
      <x:c r="N105" s="34" t="n">
        <x:v>0.0009717365631298955</x:v>
      </x:c>
      <x:c r="O105" s="35" t="n">
        <x:v>104</x:v>
      </x:c>
      <x:c r="P105" s="34" t="n">
        <x:v>0.9662502913022559</x:v>
      </x:c>
    </x:row>
    <x:row r="106" ht="18" customHeight="1">
      <x:c r="A106" s="25" t="str">
        <x:v>EEZ_268</x:v>
      </x:c>
      <x:c r="B106" s="25" t="str">
        <x:v>Georgia</x:v>
      </x:c>
      <x:c r="C106" s="25" t="str">
        <x:v>EEZ</x:v>
      </x:c>
      <x:c r="D106" s="31" t="n">
        <x:v>2019</x:v>
      </x:c>
      <x:c r="E106" s="32" t="n">
        <x:v>350092.2854428537</x:v>
      </x:c>
      <x:c r="F106" s="32" t="n">
        <x:v>350092.2854428537</x:v>
      </x:c>
      <x:c r="G106" s="33" t="n">
        <x:v>0</x:v>
      </x:c>
      <x:c r="H106" s="34" t="n">
        <x:v>1</x:v>
      </x:c>
      <x:c r="I106" s="35" t="n">
        <x:v>29</x:v>
      </x:c>
      <x:c r="J106" s="35" t="n">
        <x:v>29</x:v>
      </x:c>
      <x:c r="K106" s="32" t="n">
        <x:v>62582880.30789505</x:v>
      </x:c>
      <x:c r="L106" s="32" t="n">
        <x:v>56232930.953583054</x:v>
      </x:c>
      <x:c r="M106" s="32" t="n">
        <x:v>61867120.80999226</x:v>
      </x:c>
      <x:c r="N106" s="34" t="n">
        <x:v>0.0009419149770353917</x:v>
      </x:c>
      <x:c r="O106" s="35" t="n">
        <x:v>105</x:v>
      </x:c>
      <x:c r="P106" s="34" t="n">
        <x:v>0.9671922062792914</x:v>
      </x:c>
    </x:row>
    <x:row r="107" ht="18" customHeight="1">
      <x:c r="A107" s="25" t="str">
        <x:v>EEZ_300</x:v>
      </x:c>
      <x:c r="B107" s="25" t="str">
        <x:v>Greece (without Crete)</x:v>
      </x:c>
      <x:c r="C107" s="25" t="str">
        <x:v>EEZ</x:v>
      </x:c>
      <x:c r="D107" s="31" t="n">
        <x:v>2019</x:v>
      </x:c>
      <x:c r="E107" s="32" t="n">
        <x:v>108516.7645129038</x:v>
      </x:c>
      <x:c r="F107" s="32" t="n">
        <x:v>108516.7645129038</x:v>
      </x:c>
      <x:c r="G107" s="33" t="n">
        <x:v>0</x:v>
      </x:c>
      <x:c r="H107" s="34" t="n">
        <x:v>1</x:v>
      </x:c>
      <x:c r="I107" s="35" t="n">
        <x:v>155</x:v>
      </x:c>
      <x:c r="J107" s="35" t="n">
        <x:v>155</x:v>
      </x:c>
      <x:c r="K107" s="32" t="n">
        <x:v>60672881.10444955</x:v>
      </x:c>
      <x:c r="L107" s="32" t="n">
        <x:v>45202170.90468926</x:v>
      </x:c>
      <x:c r="M107" s="32" t="n">
        <x:v>51972308.116400525</x:v>
      </x:c>
      <x:c r="N107" s="34" t="n">
        <x:v>0.0009131681880253622</x:v>
      </x:c>
      <x:c r="O107" s="35" t="n">
        <x:v>106</x:v>
      </x:c>
      <x:c r="P107" s="34" t="n">
        <x:v>0.9681053744673167</x:v>
      </x:c>
    </x:row>
    <x:row r="108" ht="18" customHeight="1">
      <x:c r="A108" s="25" t="str">
        <x:v>EEZ_973</x:v>
      </x:c>
      <x:c r="B108" s="25" t="str">
        <x:v>Korea (North, Yellow Sea)</x:v>
      </x:c>
      <x:c r="C108" s="25" t="str">
        <x:v>EEZ</x:v>
      </x:c>
      <x:c r="D108" s="31" t="n">
        <x:v>2019</x:v>
      </x:c>
      <x:c r="E108" s="32" t="n">
        <x:v>89045.48046535479</x:v>
      </x:c>
      <x:c r="F108" s="32" t="n">
        <x:v>89045.48046535479</x:v>
      </x:c>
      <x:c r="G108" s="33" t="n">
        <x:v>0</x:v>
      </x:c>
      <x:c r="H108" s="34" t="n">
        <x:v>1</x:v>
      </x:c>
      <x:c r="I108" s="35" t="n">
        <x:v>58</x:v>
      </x:c>
      <x:c r="J108" s="35" t="n">
        <x:v>58</x:v>
      </x:c>
      <x:c r="K108" s="32" t="n">
        <x:v>58964164.09103803</x:v>
      </x:c>
      <x:c r="L108" s="32" t="n">
        <x:v>34035460.416067936</x:v>
      </x:c>
      <x:c r="M108" s="32" t="n">
        <x:v>52997138.40968333</x:v>
      </x:c>
      <x:c r="N108" s="34" t="n">
        <x:v>0.0008874508330789417</x:v>
      </x:c>
      <x:c r="O108" s="35" t="n">
        <x:v>107</x:v>
      </x:c>
      <x:c r="P108" s="34" t="n">
        <x:v>0.9689928253003957</x:v>
      </x:c>
    </x:row>
    <x:row r="109" ht="18" customHeight="1">
      <x:c r="A109" s="25" t="str">
        <x:v>EEZ_270</x:v>
      </x:c>
      <x:c r="B109" s="25" t="str">
        <x:v>Gambia</x:v>
      </x:c>
      <x:c r="C109" s="25" t="str">
        <x:v>EEZ</x:v>
      </x:c>
      <x:c r="D109" s="31" t="n">
        <x:v>2019</x:v>
      </x:c>
      <x:c r="E109" s="32" t="n">
        <x:v>168306.30279973362</x:v>
      </x:c>
      <x:c r="F109" s="32" t="n">
        <x:v>168306.30279973362</x:v>
      </x:c>
      <x:c r="G109" s="33" t="n">
        <x:v>0</x:v>
      </x:c>
      <x:c r="H109" s="34" t="n">
        <x:v>1</x:v>
      </x:c>
      <x:c r="I109" s="35" t="n">
        <x:v>238</x:v>
      </x:c>
      <x:c r="J109" s="35" t="n">
        <x:v>238</x:v>
      </x:c>
      <x:c r="K109" s="32" t="n">
        <x:v>52717675.19812376</x:v>
      </x:c>
      <x:c r="L109" s="32" t="n">
        <x:v>36169282.05065127</x:v>
      </x:c>
      <x:c r="M109" s="32" t="n">
        <x:v>40799827.85035961</x:v>
      </x:c>
      <x:c r="N109" s="34" t="n">
        <x:v>0.0007934369204374213</x:v>
      </x:c>
      <x:c r="O109" s="35" t="n">
        <x:v>108</x:v>
      </x:c>
      <x:c r="P109" s="34" t="n">
        <x:v>0.9697862622208331</x:v>
      </x:c>
    </x:row>
    <x:row r="110" ht="18" customHeight="1">
      <x:c r="A110" s="25" t="str">
        <x:v>EEZ_740</x:v>
      </x:c>
      <x:c r="B110" s="25" t="str">
        <x:v>Suriname</x:v>
      </x:c>
      <x:c r="C110" s="25" t="str">
        <x:v>EEZ</x:v>
      </x:c>
      <x:c r="D110" s="31" t="n">
        <x:v>2019</x:v>
      </x:c>
      <x:c r="E110" s="32" t="n">
        <x:v>58397.2558737715</x:v>
      </x:c>
      <x:c r="F110" s="32" t="n">
        <x:v>58397.2558737715</x:v>
      </x:c>
      <x:c r="G110" s="33" t="n">
        <x:v>0</x:v>
      </x:c>
      <x:c r="H110" s="34" t="n">
        <x:v>1</x:v>
      </x:c>
      <x:c r="I110" s="35" t="n">
        <x:v>80</x:v>
      </x:c>
      <x:c r="J110" s="35" t="n">
        <x:v>80</x:v>
      </x:c>
      <x:c r="K110" s="32" t="n">
        <x:v>50180471.08869745</x:v>
      </x:c>
      <x:c r="L110" s="32" t="n">
        <x:v>38776814.36208194</x:v>
      </x:c>
      <x:c r="M110" s="32" t="n">
        <x:v>41306279.01996325</x:v>
      </x:c>
      <x:c r="N110" s="34" t="n">
        <x:v>0.0007552502703710307</x:v>
      </x:c>
      <x:c r="O110" s="35" t="n">
        <x:v>109</x:v>
      </x:c>
      <x:c r="P110" s="34" t="n">
        <x:v>0.9705415124912041</x:v>
      </x:c>
    </x:row>
    <x:row r="111" ht="18" customHeight="1">
      <x:c r="A111" s="25" t="str">
        <x:v>EEZ_684</x:v>
      </x:c>
      <x:c r="B111" s="25" t="str">
        <x:v>Saudi Arabia (Persian Gulf)</x:v>
      </x:c>
      <x:c r="C111" s="25" t="str">
        <x:v>EEZ</x:v>
      </x:c>
      <x:c r="D111" s="31" t="n">
        <x:v>2019</x:v>
      </x:c>
      <x:c r="E111" s="32" t="n">
        <x:v>52003.642323932094</x:v>
      </x:c>
      <x:c r="F111" s="32" t="n">
        <x:v>52003.642323932094</x:v>
      </x:c>
      <x:c r="G111" s="33" t="n">
        <x:v>0</x:v>
      </x:c>
      <x:c r="H111" s="34" t="n">
        <x:v>1</x:v>
      </x:c>
      <x:c r="I111" s="35" t="n">
        <x:v>101</x:v>
      </x:c>
      <x:c r="J111" s="35" t="n">
        <x:v>101</x:v>
      </x:c>
      <x:c r="K111" s="32" t="n">
        <x:v>49497257.93937051</x:v>
      </x:c>
      <x:c r="L111" s="32" t="n">
        <x:v>27757809.108077534</x:v>
      </x:c>
      <x:c r="M111" s="32" t="n">
        <x:v>36273332.4841109</x:v>
      </x:c>
      <x:c r="N111" s="34" t="n">
        <x:v>0.0007449674471022306</x:v>
      </x:c>
      <x:c r="O111" s="35" t="n">
        <x:v>110</x:v>
      </x:c>
      <x:c r="P111" s="34" t="n">
        <x:v>0.9712864799383063</x:v>
      </x:c>
    </x:row>
    <x:row r="112" ht="18" customHeight="1">
      <x:c r="A112" s="25" t="str">
        <x:v>EEZ_616</x:v>
      </x:c>
      <x:c r="B112" s="25" t="str">
        <x:v>Poland</x:v>
      </x:c>
      <x:c r="C112" s="25" t="str">
        <x:v>EEZ</x:v>
      </x:c>
      <x:c r="D112" s="31" t="n">
        <x:v>2019</x:v>
      </x:c>
      <x:c r="E112" s="32" t="n">
        <x:v>155232.70535576172</x:v>
      </x:c>
      <x:c r="F112" s="32" t="n">
        <x:v>155232.70535576172</x:v>
      </x:c>
      <x:c r="G112" s="33" t="n">
        <x:v>0</x:v>
      </x:c>
      <x:c r="H112" s="34" t="n">
        <x:v>1</x:v>
      </x:c>
      <x:c r="I112" s="35" t="n">
        <x:v>56</x:v>
      </x:c>
      <x:c r="J112" s="35" t="n">
        <x:v>56</x:v>
      </x:c>
      <x:c r="K112" s="32" t="n">
        <x:v>48709783.74274053</x:v>
      </x:c>
      <x:c r="L112" s="32" t="n">
        <x:v>44737293.36258347</x:v>
      </x:c>
      <x:c r="M112" s="32" t="n">
        <x:v>44613820.51525869</x:v>
      </x:c>
      <x:c r="N112" s="34" t="n">
        <x:v>0.0007331154240539862</x:v>
      </x:c>
      <x:c r="O112" s="35" t="n">
        <x:v>111</x:v>
      </x:c>
      <x:c r="P112" s="34" t="n">
        <x:v>0.9720195953623603</x:v>
      </x:c>
    </x:row>
    <x:row r="113" ht="18" customHeight="1">
      <x:c r="A113" s="25" t="str">
        <x:v>EEZ_258</x:v>
      </x:c>
      <x:c r="B113" s="25" t="str">
        <x:v>French Polynesia</x:v>
      </x:c>
      <x:c r="C113" s="25" t="str">
        <x:v>EEZ</x:v>
      </x:c>
      <x:c r="D113" s="31" t="n">
        <x:v>2019</x:v>
      </x:c>
      <x:c r="E113" s="32" t="n">
        <x:v>30503.7776851117</x:v>
      </x:c>
      <x:c r="F113" s="32" t="n">
        <x:v>30503.7776851117</x:v>
      </x:c>
      <x:c r="G113" s="33" t="n">
        <x:v>0</x:v>
      </x:c>
      <x:c r="H113" s="34" t="n">
        <x:v>1</x:v>
      </x:c>
      <x:c r="I113" s="35" t="n">
        <x:v>63</x:v>
      </x:c>
      <x:c r="J113" s="35" t="n">
        <x:v>63</x:v>
      </x:c>
      <x:c r="K113" s="32" t="n">
        <x:v>47721884.851591855</x:v>
      </x:c>
      <x:c r="L113" s="32" t="n">
        <x:v>43868719.699264675</x:v>
      </x:c>
      <x:c r="M113" s="32" t="n">
        <x:v>45438783.845118515</x:v>
      </x:c>
      <x:c r="N113" s="34" t="n">
        <x:v>0.0007182468728337221</x:v>
      </x:c>
      <x:c r="O113" s="35" t="n">
        <x:v>112</x:v>
      </x:c>
      <x:c r="P113" s="34" t="n">
        <x:v>0.972737842235194</x:v>
      </x:c>
    </x:row>
    <x:row r="114" ht="18" customHeight="1">
      <x:c r="A114" s="25" t="str">
        <x:v>EEZ_842</x:v>
      </x:c>
      <x:c r="B114" s="25" t="str">
        <x:v>Hawaii Main Islands (USA)</x:v>
      </x:c>
      <x:c r="C114" s="25" t="str">
        <x:v>EEZ</x:v>
      </x:c>
      <x:c r="D114" s="31" t="n">
        <x:v>2019</x:v>
      </x:c>
      <x:c r="E114" s="32" t="n">
        <x:v>22486.1865752072</x:v>
      </x:c>
      <x:c r="F114" s="32" t="n">
        <x:v>22486.1865752072</x:v>
      </x:c>
      <x:c r="G114" s="33" t="n">
        <x:v>0</x:v>
      </x:c>
      <x:c r="H114" s="34" t="n">
        <x:v>1</x:v>
      </x:c>
      <x:c r="I114" s="35" t="n">
        <x:v>140</x:v>
      </x:c>
      <x:c r="J114" s="35" t="n">
        <x:v>140</x:v>
      </x:c>
      <x:c r="K114" s="32" t="n">
        <x:v>47556032.822993144</x:v>
      </x:c>
      <x:c r="L114" s="32" t="n">
        <x:v>43053065.938609466</x:v>
      </x:c>
      <x:c r="M114" s="32" t="n">
        <x:v>45887678.36081641</x:v>
      </x:c>
      <x:c r="N114" s="34" t="n">
        <x:v>0.0007157506868330098</x:v>
      </x:c>
      <x:c r="O114" s="35" t="n">
        <x:v>113</x:v>
      </x:c>
      <x:c r="P114" s="34" t="n">
        <x:v>0.973453592922027</x:v>
      </x:c>
    </x:row>
    <x:row r="115" ht="18" customHeight="1">
      <x:c r="A115" s="25" t="str">
        <x:v>EEZ_968</x:v>
      </x:c>
      <x:c r="B115" s="25" t="str">
        <x:v>United Arab Emirates (Fujairah)</x:v>
      </x:c>
      <x:c r="C115" s="25" t="str">
        <x:v>EEZ</x:v>
      </x:c>
      <x:c r="D115" s="31" t="n">
        <x:v>2019</x:v>
      </x:c>
      <x:c r="E115" s="32" t="n">
        <x:v>34815.7976770108</x:v>
      </x:c>
      <x:c r="F115" s="32" t="n">
        <x:v>34815.7976770108</x:v>
      </x:c>
      <x:c r="G115" s="33" t="n">
        <x:v>0</x:v>
      </x:c>
      <x:c r="H115" s="34" t="n">
        <x:v>1</x:v>
      </x:c>
      <x:c r="I115" s="35" t="n">
        <x:v>51</x:v>
      </x:c>
      <x:c r="J115" s="35" t="n">
        <x:v>51</x:v>
      </x:c>
      <x:c r="K115" s="32" t="n">
        <x:v>46252931.13406608</x:v>
      </x:c>
      <x:c r="L115" s="32" t="n">
        <x:v>35581724.06247574</x:v>
      </x:c>
      <x:c r="M115" s="32" t="n">
        <x:v>38845754.05190053</x:v>
      </x:c>
      <x:c r="N115" s="34" t="n">
        <x:v>0.0006961381188054294</x:v>
      </x:c>
      <x:c r="O115" s="35" t="n">
        <x:v>114</x:v>
      </x:c>
      <x:c r="P115" s="34" t="n">
        <x:v>0.9741497310408325</x:v>
      </x:c>
    </x:row>
    <x:row r="116" ht="18" customHeight="1">
      <x:c r="A116" s="25" t="str">
        <x:v>EEZ_174</x:v>
      </x:c>
      <x:c r="B116" s="25" t="str">
        <x:v>Comoros Isl.</x:v>
      </x:c>
      <x:c r="C116" s="25" t="str">
        <x:v>EEZ</x:v>
      </x:c>
      <x:c r="D116" s="31" t="n">
        <x:v>2019</x:v>
      </x:c>
      <x:c r="E116" s="32" t="n">
        <x:v>20265.440293107604</x:v>
      </x:c>
      <x:c r="F116" s="32" t="n">
        <x:v>20265.440293107604</x:v>
      </x:c>
      <x:c r="G116" s="33" t="n">
        <x:v>0</x:v>
      </x:c>
      <x:c r="H116" s="34" t="n">
        <x:v>1</x:v>
      </x:c>
      <x:c r="I116" s="35" t="n">
        <x:v>42</x:v>
      </x:c>
      <x:c r="J116" s="35" t="n">
        <x:v>42</x:v>
      </x:c>
      <x:c r="K116" s="32" t="n">
        <x:v>42645896.13210497</x:v>
      </x:c>
      <x:c r="L116" s="32" t="n">
        <x:v>41548418.877320364</x:v>
      </x:c>
      <x:c r="M116" s="32" t="n">
        <x:v>41639538.32029089</x:v>
      </x:c>
      <x:c r="N116" s="34" t="n">
        <x:v>0.0006418497850898358</x:v>
      </x:c>
      <x:c r="O116" s="35" t="n">
        <x:v>115</x:v>
      </x:c>
      <x:c r="P116" s="34" t="n">
        <x:v>0.9747915808259223</x:v>
      </x:c>
    </x:row>
    <x:row r="117" ht="18" customHeight="1">
      <x:c r="A117" s="25" t="str">
        <x:v>EEZ_932</x:v>
      </x:c>
      <x:c r="B117" s="25" t="str">
        <x:v>Denmark (North Sea)</x:v>
      </x:c>
      <x:c r="C117" s="25" t="str">
        <x:v>EEZ</x:v>
      </x:c>
      <x:c r="D117" s="31" t="n">
        <x:v>2019</x:v>
      </x:c>
      <x:c r="E117" s="32" t="n">
        <x:v>136822.7965781429</x:v>
      </x:c>
      <x:c r="F117" s="32" t="n">
        <x:v>136822.7965781429</x:v>
      </x:c>
      <x:c r="G117" s="33" t="n">
        <x:v>0</x:v>
      </x:c>
      <x:c r="H117" s="34" t="n">
        <x:v>1</x:v>
      </x:c>
      <x:c r="I117" s="35" t="n">
        <x:v>191</x:v>
      </x:c>
      <x:c r="J117" s="35" t="n">
        <x:v>191</x:v>
      </x:c>
      <x:c r="K117" s="32" t="n">
        <x:v>41397655.05769295</x:v>
      </x:c>
      <x:c r="L117" s="32" t="n">
        <x:v>34702699.34048979</x:v>
      </x:c>
      <x:c r="M117" s="32" t="n">
        <x:v>36930926.23826311</x:v>
      </x:c>
      <x:c r="N117" s="34" t="n">
        <x:v>0.000623062906679078</x:v>
      </x:c>
      <x:c r="O117" s="35" t="n">
        <x:v>116</x:v>
      </x:c>
      <x:c r="P117" s="34" t="n">
        <x:v>0.9754146437326013</x:v>
      </x:c>
    </x:row>
    <x:row r="118" ht="18" customHeight="1">
      <x:c r="A118" s="25" t="str">
        <x:v>EEZ_683</x:v>
      </x:c>
      <x:c r="B118" s="25" t="str">
        <x:v>Saudi Arabia (Red Sea)</x:v>
      </x:c>
      <x:c r="C118" s="25" t="str">
        <x:v>EEZ</x:v>
      </x:c>
      <x:c r="D118" s="31" t="n">
        <x:v>2019</x:v>
      </x:c>
      <x:c r="E118" s="32" t="n">
        <x:v>39296.800791863905</x:v>
      </x:c>
      <x:c r="F118" s="32" t="n">
        <x:v>39296.800791863905</x:v>
      </x:c>
      <x:c r="G118" s="33" t="n">
        <x:v>0</x:v>
      </x:c>
      <x:c r="H118" s="34" t="n">
        <x:v>1</x:v>
      </x:c>
      <x:c r="I118" s="35" t="n">
        <x:v>122</x:v>
      </x:c>
      <x:c r="J118" s="35" t="n">
        <x:v>122</x:v>
      </x:c>
      <x:c r="K118" s="32" t="n">
        <x:v>38075252.287188336</x:v>
      </x:c>
      <x:c r="L118" s="32" t="n">
        <x:v>22624139.603720143</x:v>
      </x:c>
      <x:c r="M118" s="32" t="n">
        <x:v>30442217.503559966</x:v>
      </x:c>
      <x:c r="N118" s="34" t="n">
        <x:v>0.0005730584819244796</x:v>
      </x:c>
      <x:c r="O118" s="35" t="n">
        <x:v>117</x:v>
      </x:c>
      <x:c r="P118" s="34" t="n">
        <x:v>0.9759877022145259</x:v>
      </x:c>
    </x:row>
    <x:row r="119" ht="18" customHeight="1">
      <x:c r="A119" s="25" t="str">
        <x:v>EEZ_918</x:v>
      </x:c>
      <x:c r="B119" s="25" t="str">
        <x:v>France (Mediterranean)</x:v>
      </x:c>
      <x:c r="C119" s="25" t="str">
        <x:v>EEZ</x:v>
      </x:c>
      <x:c r="D119" s="31" t="n">
        <x:v>2019</x:v>
      </x:c>
      <x:c r="E119" s="32" t="n">
        <x:v>49423.4057756733</x:v>
      </x:c>
      <x:c r="F119" s="32" t="n">
        <x:v>49423.4057756733</x:v>
      </x:c>
      <x:c r="G119" s="33" t="n">
        <x:v>0</x:v>
      </x:c>
      <x:c r="H119" s="34" t="n">
        <x:v>1</x:v>
      </x:c>
      <x:c r="I119" s="35" t="n">
        <x:v>159</x:v>
      </x:c>
      <x:c r="J119" s="35" t="n">
        <x:v>159</x:v>
      </x:c>
      <x:c r="K119" s="32" t="n">
        <x:v>38061004.150797874</x:v>
      </x:c>
      <x:c r="L119" s="32" t="n">
        <x:v>27105688.547792196</x:v>
      </x:c>
      <x:c r="M119" s="32" t="n">
        <x:v>31381596.30210026</x:v>
      </x:c>
      <x:c r="N119" s="34" t="n">
        <x:v>0.0005728440377666686</x:v>
      </x:c>
      <x:c r="O119" s="35" t="n">
        <x:v>118</x:v>
      </x:c>
      <x:c r="P119" s="34" t="n">
        <x:v>0.9765605462522925</x:v>
      </x:c>
    </x:row>
    <x:row r="120" ht="18" customHeight="1">
      <x:c r="A120" s="25" t="str">
        <x:v>EEZ_793</x:v>
      </x:c>
      <x:c r="B120" s="25" t="str">
        <x:v>Turkey (Mediterranean Sea)</x:v>
      </x:c>
      <x:c r="C120" s="25" t="str">
        <x:v>EEZ</x:v>
      </x:c>
      <x:c r="D120" s="31" t="n">
        <x:v>2019</x:v>
      </x:c>
      <x:c r="E120" s="32" t="n">
        <x:v>87055.4164278193</x:v>
      </x:c>
      <x:c r="F120" s="32" t="n">
        <x:v>87055.4164278193</x:v>
      </x:c>
      <x:c r="G120" s="33" t="n">
        <x:v>0</x:v>
      </x:c>
      <x:c r="H120" s="34" t="n">
        <x:v>1</x:v>
      </x:c>
      <x:c r="I120" s="35" t="n">
        <x:v>92</x:v>
      </x:c>
      <x:c r="J120" s="35" t="n">
        <x:v>92</x:v>
      </x:c>
      <x:c r="K120" s="32" t="n">
        <x:v>37682483.74893091</x:v>
      </x:c>
      <x:c r="L120" s="32" t="n">
        <x:v>26247375.507061515</x:v>
      </x:c>
      <x:c r="M120" s="32" t="n">
        <x:v>32325468.175251145</x:v>
      </x:c>
      <x:c r="N120" s="34" t="n">
        <x:v>0.0005671470478889596</x:v>
      </x:c>
      <x:c r="O120" s="35" t="n">
        <x:v>119</x:v>
      </x:c>
      <x:c r="P120" s="34" t="n">
        <x:v>0.9771276933001815</x:v>
      </x:c>
    </x:row>
    <x:row r="121" ht="18" customHeight="1">
      <x:c r="A121" s="25" t="str">
        <x:v>EEZ_214</x:v>
      </x:c>
      <x:c r="B121" s="25" t="str">
        <x:v>Dominican Republic</x:v>
      </x:c>
      <x:c r="C121" s="25" t="str">
        <x:v>EEZ</x:v>
      </x:c>
      <x:c r="D121" s="31" t="n">
        <x:v>2019</x:v>
      </x:c>
      <x:c r="E121" s="32" t="n">
        <x:v>54410.016272012</x:v>
      </x:c>
      <x:c r="F121" s="32" t="n">
        <x:v>54410.016272012</x:v>
      </x:c>
      <x:c r="G121" s="33" t="n">
        <x:v>0</x:v>
      </x:c>
      <x:c r="H121" s="34" t="n">
        <x:v>1</x:v>
      </x:c>
      <x:c r="I121" s="35" t="n">
        <x:v>80</x:v>
      </x:c>
      <x:c r="J121" s="35" t="n">
        <x:v>80</x:v>
      </x:c>
      <x:c r="K121" s="32" t="n">
        <x:v>37213224.13606851</x:v>
      </x:c>
      <x:c r="L121" s="32" t="n">
        <x:v>28029391.484373044</x:v>
      </x:c>
      <x:c r="M121" s="32" t="n">
        <x:v>32421356.943761438</x:v>
      </x:c>
      <x:c r="N121" s="34" t="n">
        <x:v>0.0005600843710786504</x:v>
      </x:c>
      <x:c r="O121" s="35" t="n">
        <x:v>120</x:v>
      </x:c>
      <x:c r="P121" s="34" t="n">
        <x:v>0.9776877776712601</x:v>
      </x:c>
    </x:row>
    <x:row r="122" ht="18" customHeight="1">
      <x:c r="A122" s="25" t="str">
        <x:v>EEZ_934</x:v>
      </x:c>
      <x:c r="B122" s="25" t="str">
        <x:v>Egypt (Red Sea)</x:v>
      </x:c>
      <x:c r="C122" s="25" t="str">
        <x:v>EEZ</x:v>
      </x:c>
      <x:c r="D122" s="31" t="n">
        <x:v>2019</x:v>
      </x:c>
      <x:c r="E122" s="32" t="n">
        <x:v>65184.46302450699</x:v>
      </x:c>
      <x:c r="F122" s="32" t="n">
        <x:v>65184.46302450699</x:v>
      </x:c>
      <x:c r="G122" s="33" t="n">
        <x:v>0</x:v>
      </x:c>
      <x:c r="H122" s="34" t="n">
        <x:v>1</x:v>
      </x:c>
      <x:c r="I122" s="35" t="n">
        <x:v>57</x:v>
      </x:c>
      <x:c r="J122" s="35" t="n">
        <x:v>57</x:v>
      </x:c>
      <x:c r="K122" s="32" t="n">
        <x:v>36870962.78596789</x:v>
      </x:c>
      <x:c r="L122" s="32" t="n">
        <x:v>24237547.092674963</x:v>
      </x:c>
      <x:c r="M122" s="32" t="n">
        <x:v>25986824.216516934</x:v>
      </x:c>
      <x:c r="N122" s="34" t="n">
        <x:v>0.0005549331046279201</x:v>
      </x:c>
      <x:c r="O122" s="35" t="n">
        <x:v>121</x:v>
      </x:c>
      <x:c r="P122" s="34" t="n">
        <x:v>0.9782427107758881</x:v>
      </x:c>
    </x:row>
    <x:row r="123" ht="18" customHeight="1">
      <x:c r="A123" s="25" t="str">
        <x:v>EEZ_621</x:v>
      </x:c>
      <x:c r="B123" s="25" t="str">
        <x:v>Madeira Isl. (Portugal)</x:v>
      </x:c>
      <x:c r="C123" s="25" t="str">
        <x:v>EEZ</x:v>
      </x:c>
      <x:c r="D123" s="31" t="n">
        <x:v>2019</x:v>
      </x:c>
      <x:c r="E123" s="32" t="n">
        <x:v>14928.145180905802</x:v>
      </x:c>
      <x:c r="F123" s="32" t="n">
        <x:v>14928.145180905802</x:v>
      </x:c>
      <x:c r="G123" s="33" t="n">
        <x:v>0</x:v>
      </x:c>
      <x:c r="H123" s="34" t="n">
        <x:v>1</x:v>
      </x:c>
      <x:c r="I123" s="35" t="n">
        <x:v>98</x:v>
      </x:c>
      <x:c r="J123" s="35" t="n">
        <x:v>98</x:v>
      </x:c>
      <x:c r="K123" s="32" t="n">
        <x:v>34811066.00645102</x:v>
      </x:c>
      <x:c r="L123" s="32" t="n">
        <x:v>32261921.518062312</x:v>
      </x:c>
      <x:c r="M123" s="32" t="n">
        <x:v>34151617.34439845</x:v>
      </x:c>
      <x:c r="N123" s="34" t="n">
        <x:v>0.0005239302549951086</x:v>
      </x:c>
      <x:c r="O123" s="35" t="n">
        <x:v>122</x:v>
      </x:c>
      <x:c r="P123" s="34" t="n">
        <x:v>0.9787666410308832</x:v>
      </x:c>
    </x:row>
    <x:row r="124" ht="18" customHeight="1">
      <x:c r="A124" s="25" t="str">
        <x:v>EEZ_246</x:v>
      </x:c>
      <x:c r="B124" s="25" t="str">
        <x:v>Finland</x:v>
      </x:c>
      <x:c r="C124" s="25" t="str">
        <x:v>EEZ</x:v>
      </x:c>
      <x:c r="D124" s="31" t="n">
        <x:v>2019</x:v>
      </x:c>
      <x:c r="E124" s="32" t="n">
        <x:v>122751.58946063148</x:v>
      </x:c>
      <x:c r="F124" s="32" t="n">
        <x:v>122751.58946063148</x:v>
      </x:c>
      <x:c r="G124" s="33" t="n">
        <x:v>0</x:v>
      </x:c>
      <x:c r="H124" s="34" t="n">
        <x:v>1</x:v>
      </x:c>
      <x:c r="I124" s="35" t="n">
        <x:v>43</x:v>
      </x:c>
      <x:c r="J124" s="35" t="n">
        <x:v>43</x:v>
      </x:c>
      <x:c r="K124" s="32" t="n">
        <x:v>33509013.98870027</x:v>
      </x:c>
      <x:c r="L124" s="32" t="n">
        <x:v>30445812.056477316</x:v>
      </x:c>
      <x:c r="M124" s="32" t="n">
        <x:v>30675380.581763048</x:v>
      </x:c>
      <x:c r="N124" s="34" t="n">
        <x:v>0.0005043334852337165</x:v>
      </x:c>
      <x:c r="O124" s="35" t="n">
        <x:v>123</x:v>
      </x:c>
      <x:c r="P124" s="34" t="n">
        <x:v>0.9792709745161169</x:v>
      </x:c>
    </x:row>
    <x:row r="125" ht="18" customHeight="1">
      <x:c r="A125" s="25" t="str">
        <x:v>EEZ_690</x:v>
      </x:c>
      <x:c r="B125" s="25" t="str">
        <x:v>Seychelles</x:v>
      </x:c>
      <x:c r="C125" s="25" t="str">
        <x:v>EEZ</x:v>
      </x:c>
      <x:c r="D125" s="31" t="n">
        <x:v>2019</x:v>
      </x:c>
      <x:c r="E125" s="32" t="n">
        <x:v>18710.237207483602</x:v>
      </x:c>
      <x:c r="F125" s="32" t="n">
        <x:v>18710.237207483602</x:v>
      </x:c>
      <x:c r="G125" s="33" t="n">
        <x:v>0</x:v>
      </x:c>
      <x:c r="H125" s="34" t="n">
        <x:v>1</x:v>
      </x:c>
      <x:c r="I125" s="35" t="n">
        <x:v>118</x:v>
      </x:c>
      <x:c r="J125" s="35" t="n">
        <x:v>118</x:v>
      </x:c>
      <x:c r="K125" s="32" t="n">
        <x:v>32871376.210854456</x:v>
      </x:c>
      <x:c r="L125" s="32" t="n">
        <x:v>27077113.811881226</x:v>
      </x:c>
      <x:c r="M125" s="32" t="n">
        <x:v>28959993.568596356</x:v>
      </x:c>
      <x:c r="N125" s="34" t="n">
        <x:v>0.0004947366023494244</x:v>
      </x:c>
      <x:c r="O125" s="35" t="n">
        <x:v>124</x:v>
      </x:c>
      <x:c r="P125" s="34" t="n">
        <x:v>0.9797657111184663</x:v>
      </x:c>
    </x:row>
    <x:row r="126" ht="18" customHeight="1">
      <x:c r="A126" s="25" t="str">
        <x:v>EEZ_548</x:v>
      </x:c>
      <x:c r="B126" s="25" t="str">
        <x:v>Vanuatu</x:v>
      </x:c>
      <x:c r="C126" s="25" t="str">
        <x:v>EEZ</x:v>
      </x:c>
      <x:c r="D126" s="31" t="n">
        <x:v>2019</x:v>
      </x:c>
      <x:c r="E126" s="32" t="n">
        <x:v>19630.861294589602</x:v>
      </x:c>
      <x:c r="F126" s="32" t="n">
        <x:v>19630.861294589602</x:v>
      </x:c>
      <x:c r="G126" s="33" t="n">
        <x:v>0</x:v>
      </x:c>
      <x:c r="H126" s="34" t="n">
        <x:v>1</x:v>
      </x:c>
      <x:c r="I126" s="35" t="n">
        <x:v>68</x:v>
      </x:c>
      <x:c r="J126" s="35" t="n">
        <x:v>68</x:v>
      </x:c>
      <x:c r="K126" s="32" t="n">
        <x:v>32659015.20720978</x:v>
      </x:c>
      <x:c r="L126" s="32" t="n">
        <x:v>31019175.376190137</x:v>
      </x:c>
      <x:c r="M126" s="32" t="n">
        <x:v>31340132.170963</x:v>
      </x:c>
      <x:c r="N126" s="34" t="n">
        <x:v>0.0004915404245946278</x:v>
      </x:c>
      <x:c r="O126" s="35" t="n">
        <x:v>125</x:v>
      </x:c>
      <x:c r="P126" s="34" t="n">
        <x:v>0.980257251543061</x:v>
      </x:c>
    </x:row>
    <x:row r="127" ht="18" customHeight="1">
      <x:c r="A127" s="25" t="str">
        <x:v>EEZ_434</x:v>
      </x:c>
      <x:c r="B127" s="25" t="str">
        <x:v>Libya</x:v>
      </x:c>
      <x:c r="C127" s="25" t="str">
        <x:v>EEZ</x:v>
      </x:c>
      <x:c r="D127" s="31" t="n">
        <x:v>2019</x:v>
      </x:c>
      <x:c r="E127" s="32" t="n">
        <x:v>46065.4690766525</x:v>
      </x:c>
      <x:c r="F127" s="32" t="n">
        <x:v>46065.4690766525</x:v>
      </x:c>
      <x:c r="G127" s="33" t="n">
        <x:v>0</x:v>
      </x:c>
      <x:c r="H127" s="34" t="n">
        <x:v>1</x:v>
      </x:c>
      <x:c r="I127" s="35" t="n">
        <x:v>147</x:v>
      </x:c>
      <x:c r="J127" s="35" t="n">
        <x:v>147</x:v>
      </x:c>
      <x:c r="K127" s="32" t="n">
        <x:v>32589026.701867957</x:v>
      </x:c>
      <x:c r="L127" s="32" t="n">
        <x:v>23407105.4909815</x:v>
      </x:c>
      <x:c r="M127" s="32" t="n">
        <x:v>29149313.176975008</x:v>
      </x:c>
      <x:c r="N127" s="34" t="n">
        <x:v>0.0004904870499164818</x:v>
      </x:c>
      <x:c r="O127" s="35" t="n">
        <x:v>126</x:v>
      </x:c>
      <x:c r="P127" s="34" t="n">
        <x:v>0.9807477385929775</x:v>
      </x:c>
    </x:row>
    <x:row r="128" ht="18" customHeight="1">
      <x:c r="A128" s="25" t="str">
        <x:v>EEZ_528</x:v>
      </x:c>
      <x:c r="B128" s="25" t="str">
        <x:v>Netherlands</x:v>
      </x:c>
      <x:c r="C128" s="25" t="str">
        <x:v>EEZ</x:v>
      </x:c>
      <x:c r="D128" s="31" t="n">
        <x:v>2019</x:v>
      </x:c>
      <x:c r="E128" s="32" t="n">
        <x:v>101104.7566313979</x:v>
      </x:c>
      <x:c r="F128" s="32" t="n">
        <x:v>101104.7566313979</x:v>
      </x:c>
      <x:c r="G128" s="33" t="n">
        <x:v>0</x:v>
      </x:c>
      <x:c r="H128" s="34" t="n">
        <x:v>1</x:v>
      </x:c>
      <x:c r="I128" s="35" t="n">
        <x:v>182</x:v>
      </x:c>
      <x:c r="J128" s="35" t="n">
        <x:v>182</x:v>
      </x:c>
      <x:c r="K128" s="32" t="n">
        <x:v>32412118.312102888</x:v>
      </x:c>
      <x:c r="L128" s="32" t="n">
        <x:v>28372581.604711153</x:v>
      </x:c>
      <x:c r="M128" s="32" t="n">
        <x:v>29121670.551329825</x:v>
      </x:c>
      <x:c r="N128" s="34" t="n">
        <x:v>0.0004878244581491624</x:v>
      </x:c>
      <x:c r="O128" s="35" t="n">
        <x:v>127</x:v>
      </x:c>
      <x:c r="P128" s="34" t="n">
        <x:v>0.9812355630511266</x:v>
      </x:c>
    </x:row>
    <x:row r="129" ht="18" customHeight="1">
      <x:c r="A129" s="25" t="str">
        <x:v>EEZ_933</x:v>
      </x:c>
      <x:c r="B129" s="25" t="str">
        <x:v>Egypt (Mediterranean)</x:v>
      </x:c>
      <x:c r="C129" s="25" t="str">
        <x:v>EEZ</x:v>
      </x:c>
      <x:c r="D129" s="31" t="n">
        <x:v>2019</x:v>
      </x:c>
      <x:c r="E129" s="32" t="n">
        <x:v>55812.690645263196</x:v>
      </x:c>
      <x:c r="F129" s="32" t="n">
        <x:v>55812.690645263196</x:v>
      </x:c>
      <x:c r="G129" s="33" t="n">
        <x:v>0</x:v>
      </x:c>
      <x:c r="H129" s="34" t="n">
        <x:v>1</x:v>
      </x:c>
      <x:c r="I129" s="35" t="n">
        <x:v>88</x:v>
      </x:c>
      <x:c r="J129" s="35" t="n">
        <x:v>88</x:v>
      </x:c>
      <x:c r="K129" s="32" t="n">
        <x:v>31057514.964360286</x:v>
      </x:c>
      <x:c r="L129" s="32" t="n">
        <x:v>20349748.172774687</x:v>
      </x:c>
      <x:c r="M129" s="32" t="n">
        <x:v>28131616.40013305</x:v>
      </x:c>
      <x:c r="N129" s="34" t="n">
        <x:v>0.0004674367550759935</x:v>
      </x:c>
      <x:c r="O129" s="35" t="n">
        <x:v>128</x:v>
      </x:c>
      <x:c r="P129" s="34" t="n">
        <x:v>0.9817029998062026</x:v>
      </x:c>
    </x:row>
    <x:row r="130" ht="18" customHeight="1">
      <x:c r="A130" s="25" t="str">
        <x:v>EEZ_647</x:v>
      </x:c>
      <x:c r="B130" s="25" t="str">
        <x:v>Russia (Black Sea)</x:v>
      </x:c>
      <x:c r="C130" s="25" t="str">
        <x:v>EEZ</x:v>
      </x:c>
      <x:c r="D130" s="31" t="n">
        <x:v>2019</x:v>
      </x:c>
      <x:c r="E130" s="32" t="n">
        <x:v>151771.4553513236</x:v>
      </x:c>
      <x:c r="F130" s="32" t="n">
        <x:v>151771.4553513236</x:v>
      </x:c>
      <x:c r="G130" s="33" t="n">
        <x:v>0</x:v>
      </x:c>
      <x:c r="H130" s="34" t="n">
        <x:v>1</x:v>
      </x:c>
      <x:c r="I130" s="35" t="n">
        <x:v>40</x:v>
      </x:c>
      <x:c r="J130" s="35" t="n">
        <x:v>40</x:v>
      </x:c>
      <x:c r="K130" s="32" t="n">
        <x:v>30470880.239130165</x:v>
      </x:c>
      <x:c r="L130" s="32" t="n">
        <x:v>26641731.874007963</x:v>
      </x:c>
      <x:c r="M130" s="32" t="n">
        <x:v>26908430.4472515</x:v>
      </x:c>
      <x:c r="N130" s="34" t="n">
        <x:v>0.00045860750287435607</x:v>
      </x:c>
      <x:c r="O130" s="35" t="n">
        <x:v>129</x:v>
      </x:c>
      <x:c r="P130" s="34" t="n">
        <x:v>0.982161607309077</x:v>
      </x:c>
    </x:row>
    <x:row r="131" ht="18" customHeight="1">
      <x:c r="A131" s="25" t="str">
        <x:v>EEZ_393</x:v>
      </x:c>
      <x:c r="B131" s="25" t="str">
        <x:v>Japan (Daito Islands)</x:v>
      </x:c>
      <x:c r="C131" s="25" t="str">
        <x:v>EEZ</x:v>
      </x:c>
      <x:c r="D131" s="31" t="n">
        <x:v>2019</x:v>
      </x:c>
      <x:c r="E131" s="32" t="n">
        <x:v>17808.098251388197</x:v>
      </x:c>
      <x:c r="F131" s="32" t="n">
        <x:v>17808.098251388197</x:v>
      </x:c>
      <x:c r="G131" s="33" t="n">
        <x:v>0</x:v>
      </x:c>
      <x:c r="H131" s="34" t="n">
        <x:v>1</x:v>
      </x:c>
      <x:c r="I131" s="35" t="n">
        <x:v>29</x:v>
      </x:c>
      <x:c r="J131" s="35" t="n">
        <x:v>29</x:v>
      </x:c>
      <x:c r="K131" s="32" t="n">
        <x:v>29495755.19813662</x:v>
      </x:c>
      <x:c r="L131" s="32" t="n">
        <x:v>28111203.838282995</x:v>
      </x:c>
      <x:c r="M131" s="32" t="n">
        <x:v>29214345.597610462</x:v>
      </x:c>
      <x:c r="N131" s="34" t="n">
        <x:v>0.00044393120679984955</x:v>
      </x:c>
      <x:c r="O131" s="35" t="n">
        <x:v>130</x:v>
      </x:c>
      <x:c r="P131" s="34" t="n">
        <x:v>0.9826055385158768</x:v>
      </x:c>
    </x:row>
    <x:row r="132" ht="18" customHeight="1">
      <x:c r="A132" s="25" t="str">
        <x:v>EEZ_952</x:v>
      </x:c>
      <x:c r="B132" s="25" t="str">
        <x:v>Panama (Pacific)</x:v>
      </x:c>
      <x:c r="C132" s="25" t="str">
        <x:v>EEZ</x:v>
      </x:c>
      <x:c r="D132" s="31" t="n">
        <x:v>2019</x:v>
      </x:c>
      <x:c r="E132" s="32" t="n">
        <x:v>303382.62349392334</x:v>
      </x:c>
      <x:c r="F132" s="32" t="n">
        <x:v>303382.62349392334</x:v>
      </x:c>
      <x:c r="G132" s="33" t="n">
        <x:v>0</x:v>
      </x:c>
      <x:c r="H132" s="34" t="n">
        <x:v>1</x:v>
      </x:c>
      <x:c r="I132" s="35" t="n">
        <x:v>67</x:v>
      </x:c>
      <x:c r="J132" s="35" t="n">
        <x:v>67</x:v>
      </x:c>
      <x:c r="K132" s="32" t="n">
        <x:v>28957741.549752913</x:v>
      </x:c>
      <x:c r="L132" s="32" t="n">
        <x:v>27245483.3785698</x:v>
      </x:c>
      <x:c r="M132" s="32" t="n">
        <x:v>27717386.731267262</x:v>
      </x:c>
      <x:c r="N132" s="34" t="n">
        <x:v>0.0004358337349230536</x:v>
      </x:c>
      <x:c r="O132" s="35" t="n">
        <x:v>131</x:v>
      </x:c>
      <x:c r="P132" s="34" t="n">
        <x:v>0.9830413722507998</x:v>
      </x:c>
    </x:row>
    <x:row r="133" ht="18" customHeight="1">
      <x:c r="A133" s="25" t="str">
        <x:v>EEZ_903</x:v>
      </x:c>
      <x:c r="B133" s="25" t="str">
        <x:v>Balearic Islands (Spain)</x:v>
      </x:c>
      <x:c r="C133" s="25" t="str">
        <x:v>EEZ</x:v>
      </x:c>
      <x:c r="D133" s="31" t="n">
        <x:v>2019</x:v>
      </x:c>
      <x:c r="E133" s="32" t="n">
        <x:v>15335.9862376629</x:v>
      </x:c>
      <x:c r="F133" s="32" t="n">
        <x:v>15335.9862376629</x:v>
      </x:c>
      <x:c r="G133" s="33" t="n">
        <x:v>0</x:v>
      </x:c>
      <x:c r="H133" s="34" t="n">
        <x:v>1</x:v>
      </x:c>
      <x:c r="I133" s="35" t="n">
        <x:v>187</x:v>
      </x:c>
      <x:c r="J133" s="35" t="n">
        <x:v>187</x:v>
      </x:c>
      <x:c r="K133" s="32" t="n">
        <x:v>28287148.88364155</x:v>
      </x:c>
      <x:c r="L133" s="32" t="n">
        <x:v>26410037.30568266</x:v>
      </x:c>
      <x:c r="M133" s="32" t="n">
        <x:v>27236813.42580577</x:v>
      </x:c>
      <x:c r="N133" s="34" t="n">
        <x:v>0.0004257408585231046</x:v>
      </x:c>
      <x:c r="O133" s="35" t="n">
        <x:v>132</x:v>
      </x:c>
      <x:c r="P133" s="34" t="n">
        <x:v>0.983467113109323</x:v>
      </x:c>
    </x:row>
    <x:row r="134" ht="18" customHeight="1">
      <x:c r="A134" s="25" t="str">
        <x:v>EEZ_950</x:v>
      </x:c>
      <x:c r="B134" s="25" t="str">
        <x:v>Nicaragua (Pacific)</x:v>
      </x:c>
      <x:c r="C134" s="25" t="str">
        <x:v>EEZ</x:v>
      </x:c>
      <x:c r="D134" s="31" t="n">
        <x:v>2019</x:v>
      </x:c>
      <x:c r="E134" s="32" t="n">
        <x:v>24556.3459940686</x:v>
      </x:c>
      <x:c r="F134" s="32" t="n">
        <x:v>24556.3459940686</x:v>
      </x:c>
      <x:c r="G134" s="33" t="n">
        <x:v>0</x:v>
      </x:c>
      <x:c r="H134" s="34" t="n">
        <x:v>1</x:v>
      </x:c>
      <x:c r="I134" s="35" t="n">
        <x:v>46</x:v>
      </x:c>
      <x:c r="J134" s="35" t="n">
        <x:v>46</x:v>
      </x:c>
      <x:c r="K134" s="32" t="n">
        <x:v>28085727.266922668</x:v>
      </x:c>
      <x:c r="L134" s="32" t="n">
        <x:v>26566117.21852223</x:v>
      </x:c>
      <x:c r="M134" s="32" t="n">
        <x:v>27677506.00575713</x:v>
      </x:c>
      <x:c r="N134" s="34" t="n">
        <x:v>0.0004227093259929174</x:v>
      </x:c>
      <x:c r="O134" s="35" t="n">
        <x:v>133</x:v>
      </x:c>
      <x:c r="P134" s="34" t="n">
        <x:v>0.9838898224353159</x:v>
      </x:c>
    </x:row>
    <x:row r="135" ht="18" customHeight="1">
      <x:c r="A135" s="25" t="str">
        <x:v>EEZ_622</x:v>
      </x:c>
      <x:c r="B135" s="25" t="str">
        <x:v>Azores Isl. (Portugal)</x:v>
      </x:c>
      <x:c r="C135" s="25" t="str">
        <x:v>EEZ</x:v>
      </x:c>
      <x:c r="D135" s="31" t="n">
        <x:v>2019</x:v>
      </x:c>
      <x:c r="E135" s="32" t="n">
        <x:v>21195.0352962868</x:v>
      </x:c>
      <x:c r="F135" s="32" t="n">
        <x:v>21195.0352962868</x:v>
      </x:c>
      <x:c r="G135" s="33" t="n">
        <x:v>0</x:v>
      </x:c>
      <x:c r="H135" s="34" t="n">
        <x:v>1</x:v>
      </x:c>
      <x:c r="I135" s="35" t="n">
        <x:v>132</x:v>
      </x:c>
      <x:c r="J135" s="35" t="n">
        <x:v>132</x:v>
      </x:c>
      <x:c r="K135" s="32" t="n">
        <x:v>27576431.66877207</x:v>
      </x:c>
      <x:c r="L135" s="32" t="n">
        <x:v>24900064.89058782</x:v>
      </x:c>
      <x:c r="M135" s="32" t="n">
        <x:v>26059454.854341455</x:v>
      </x:c>
      <x:c r="N135" s="34" t="n">
        <x:v>0.000415044080333463</x:v>
      </x:c>
      <x:c r="O135" s="35" t="n">
        <x:v>134</x:v>
      </x:c>
      <x:c r="P135" s="34" t="n">
        <x:v>0.9843048665156493</x:v>
      </x:c>
    </x:row>
    <x:row r="136" ht="18" customHeight="1">
      <x:c r="A136" s="25" t="str">
        <x:v>EEZ_328</x:v>
      </x:c>
      <x:c r="B136" s="25" t="str">
        <x:v>Guyana</x:v>
      </x:c>
      <x:c r="C136" s="25" t="str">
        <x:v>EEZ</x:v>
      </x:c>
      <x:c r="D136" s="31" t="n">
        <x:v>2019</x:v>
      </x:c>
      <x:c r="E136" s="32" t="n">
        <x:v>57488.00087232851</x:v>
      </x:c>
      <x:c r="F136" s="32" t="n">
        <x:v>57488.00087232851</x:v>
      </x:c>
      <x:c r="G136" s="33" t="n">
        <x:v>0</x:v>
      </x:c>
      <x:c r="H136" s="34" t="n">
        <x:v>1</x:v>
      </x:c>
      <x:c r="I136" s="35" t="n">
        <x:v>73</x:v>
      </x:c>
      <x:c r="J136" s="35" t="n">
        <x:v>73</x:v>
      </x:c>
      <x:c r="K136" s="32" t="n">
        <x:v>27398478.76825124</x:v>
      </x:c>
      <x:c r="L136" s="32" t="n">
        <x:v>19988048.525769576</x:v>
      </x:c>
      <x:c r="M136" s="32" t="n">
        <x:v>20927821.099836014</x:v>
      </x:c>
      <x:c r="N136" s="34" t="n">
        <x:v>0.00041236576796779975</x:v>
      </x:c>
      <x:c r="O136" s="35" t="n">
        <x:v>135</x:v>
      </x:c>
      <x:c r="P136" s="34" t="n">
        <x:v>0.9847172322836171</x:v>
      </x:c>
    </x:row>
    <x:row r="137" ht="18" customHeight="1">
      <x:c r="A137" s="25" t="str">
        <x:v>EEZ_901</x:v>
      </x:c>
      <x:c r="B137" s="25" t="str">
        <x:v>Sicily (Italy)</x:v>
      </x:c>
      <x:c r="C137" s="25" t="str">
        <x:v>EEZ</x:v>
      </x:c>
      <x:c r="D137" s="31" t="n">
        <x:v>2019</x:v>
      </x:c>
      <x:c r="E137" s="32" t="n">
        <x:v>39568.555548646895</x:v>
      </x:c>
      <x:c r="F137" s="32" t="n">
        <x:v>39568.555548646895</x:v>
      </x:c>
      <x:c r="G137" s="33" t="n">
        <x:v>0</x:v>
      </x:c>
      <x:c r="H137" s="34" t="n">
        <x:v>1</x:v>
      </x:c>
      <x:c r="I137" s="35" t="n">
        <x:v>152</x:v>
      </x:c>
      <x:c r="J137" s="35" t="n">
        <x:v>152</x:v>
      </x:c>
      <x:c r="K137" s="32" t="n">
        <x:v>27016327.359729037</x:v>
      </x:c>
      <x:c r="L137" s="32" t="n">
        <x:v>21399990.68593382</x:v>
      </x:c>
      <x:c r="M137" s="32" t="n">
        <x:v>22897615.638034843</x:v>
      </x:c>
      <x:c r="N137" s="34" t="n">
        <x:v>0.00040661412896666506</x:v>
      </x:c>
      <x:c r="O137" s="35" t="n">
        <x:v>136</x:v>
      </x:c>
      <x:c r="P137" s="34" t="n">
        <x:v>0.9851238464125838</x:v>
      </x:c>
    </x:row>
    <x:row r="138" ht="18" customHeight="1">
      <x:c r="A138" s="25" t="str">
        <x:v>EEZ_648</x:v>
      </x:c>
      <x:c r="B138" s="25" t="str">
        <x:v>Russia (Baltic Sea)</x:v>
      </x:c>
      <x:c r="C138" s="25" t="str">
        <x:v>EEZ</x:v>
      </x:c>
      <x:c r="D138" s="31" t="n">
        <x:v>2019</x:v>
      </x:c>
      <x:c r="E138" s="32" t="n">
        <x:v>111294.2692790642</x:v>
      </x:c>
      <x:c r="F138" s="32" t="n">
        <x:v>111294.2692790642</x:v>
      </x:c>
      <x:c r="G138" s="33" t="n">
        <x:v>0</x:v>
      </x:c>
      <x:c r="H138" s="34" t="n">
        <x:v>1</x:v>
      </x:c>
      <x:c r="I138" s="35" t="n">
        <x:v>47</x:v>
      </x:c>
      <x:c r="J138" s="35" t="n">
        <x:v>47</x:v>
      </x:c>
      <x:c r="K138" s="32" t="n">
        <x:v>25778605.82277208</x:v>
      </x:c>
      <x:c r="L138" s="32" t="n">
        <x:v>23733257.182470594</x:v>
      </x:c>
      <x:c r="M138" s="32" t="n">
        <x:v>25211716.740608588</x:v>
      </x:c>
      <x:c r="N138" s="34" t="n">
        <x:v>0.0003879855767600011</x:v>
      </x:c>
      <x:c r="O138" s="35" t="n">
        <x:v>137</x:v>
      </x:c>
      <x:c r="P138" s="34" t="n">
        <x:v>0.9855118319893438</x:v>
      </x:c>
    </x:row>
    <x:row r="139" ht="18" customHeight="1">
      <x:c r="A139" s="25" t="str">
        <x:v>EEZ_916</x:v>
      </x:c>
      <x:c r="B139" s="25" t="str">
        <x:v>Yemen (Red Sea)</x:v>
      </x:c>
      <x:c r="C139" s="25" t="str">
        <x:v>EEZ</x:v>
      </x:c>
      <x:c r="D139" s="31" t="n">
        <x:v>2019</x:v>
      </x:c>
      <x:c r="E139" s="32" t="n">
        <x:v>27521.2468767345</x:v>
      </x:c>
      <x:c r="F139" s="32" t="n">
        <x:v>27521.2468767345</x:v>
      </x:c>
      <x:c r="G139" s="33" t="n">
        <x:v>0</x:v>
      </x:c>
      <x:c r="H139" s="34" t="n">
        <x:v>1</x:v>
      </x:c>
      <x:c r="I139" s="35" t="n">
        <x:v>41</x:v>
      </x:c>
      <x:c r="J139" s="35" t="n">
        <x:v>41</x:v>
      </x:c>
      <x:c r="K139" s="32" t="n">
        <x:v>24990523.481711373</x:v>
      </x:c>
      <x:c r="L139" s="32" t="n">
        <x:v>21806466.79740134</x:v>
      </x:c>
      <x:c r="M139" s="32" t="n">
        <x:v>22964829.02371655</x:v>
      </x:c>
      <x:c r="N139" s="34" t="n">
        <x:v>0.00037612440072383604</x:v>
      </x:c>
      <x:c r="O139" s="35" t="n">
        <x:v>138</x:v>
      </x:c>
      <x:c r="P139" s="34" t="n">
        <x:v>0.9858879563900677</x:v>
      </x:c>
    </x:row>
    <x:row r="140" ht="18" customHeight="1">
      <x:c r="A140" s="25" t="str">
        <x:v>EEZ_804</x:v>
      </x:c>
      <x:c r="B140" s="25" t="str">
        <x:v>Ukraine</x:v>
      </x:c>
      <x:c r="C140" s="25" t="str">
        <x:v>EEZ</x:v>
      </x:c>
      <x:c r="D140" s="31" t="n">
        <x:v>2019</x:v>
      </x:c>
      <x:c r="E140" s="32" t="n">
        <x:v>65903.72402365689</x:v>
      </x:c>
      <x:c r="F140" s="32" t="n">
        <x:v>65903.72402365689</x:v>
      </x:c>
      <x:c r="G140" s="33" t="n">
        <x:v>0</x:v>
      </x:c>
      <x:c r="H140" s="34" t="n">
        <x:v>1</x:v>
      </x:c>
      <x:c r="I140" s="35" t="n">
        <x:v>28</x:v>
      </x:c>
      <x:c r="J140" s="35" t="n">
        <x:v>28</x:v>
      </x:c>
      <x:c r="K140" s="32" t="n">
        <x:v>24463611.249558166</x:v>
      </x:c>
      <x:c r="L140" s="32" t="n">
        <x:v>20051518.324218698</x:v>
      </x:c>
      <x:c r="M140" s="32" t="n">
        <x:v>23665034.901305072</x:v>
      </x:c>
      <x:c r="N140" s="34" t="n">
        <x:v>0.0003681940127230517</x:v>
      </x:c>
      <x:c r="O140" s="35" t="n">
        <x:v>139</x:v>
      </x:c>
      <x:c r="P140" s="34" t="n">
        <x:v>0.9862561504027907</x:v>
      </x:c>
    </x:row>
    <x:row r="141" ht="18" customHeight="1">
      <x:c r="A141" s="25" t="str">
        <x:v>EEZ_936</x:v>
      </x:c>
      <x:c r="B141" s="25" t="str">
        <x:v>Guatemala (Pacific)</x:v>
      </x:c>
      <x:c r="C141" s="25" t="str">
        <x:v>EEZ</x:v>
      </x:c>
      <x:c r="D141" s="31" t="n">
        <x:v>2019</x:v>
      </x:c>
      <x:c r="E141" s="32" t="n">
        <x:v>32146.82570390479</x:v>
      </x:c>
      <x:c r="F141" s="32" t="n">
        <x:v>32146.82570390479</x:v>
      </x:c>
      <x:c r="G141" s="33" t="n">
        <x:v>0</x:v>
      </x:c>
      <x:c r="H141" s="34" t="n">
        <x:v>1</x:v>
      </x:c>
      <x:c r="I141" s="35" t="n">
        <x:v>77</x:v>
      </x:c>
      <x:c r="J141" s="35" t="n">
        <x:v>77</x:v>
      </x:c>
      <x:c r="K141" s="32" t="n">
        <x:v>23984917.380311072</x:v>
      </x:c>
      <x:c r="L141" s="32" t="n">
        <x:v>18708329.468436148</x:v>
      </x:c>
      <x:c r="M141" s="32" t="n">
        <x:v>21685992.365911804</x:v>
      </x:c>
      <x:c r="N141" s="34" t="n">
        <x:v>0.0003609893439279982</x:v>
      </x:c>
      <x:c r="O141" s="35" t="n">
        <x:v>140</x:v>
      </x:c>
      <x:c r="P141" s="34" t="n">
        <x:v>0.9866171397467187</x:v>
      </x:c>
    </x:row>
    <x:row r="142" ht="18" customHeight="1">
      <x:c r="A142" s="25" t="str">
        <x:v>EEZ_332</x:v>
      </x:c>
      <x:c r="B142" s="25" t="str">
        <x:v>Haiti</x:v>
      </x:c>
      <x:c r="C142" s="25" t="str">
        <x:v>EEZ</x:v>
      </x:c>
      <x:c r="D142" s="31" t="n">
        <x:v>2019</x:v>
      </x:c>
      <x:c r="E142" s="32" t="n">
        <x:v>25123.6699543932</x:v>
      </x:c>
      <x:c r="F142" s="32" t="n">
        <x:v>25123.6699543932</x:v>
      </x:c>
      <x:c r="G142" s="33" t="n">
        <x:v>0</x:v>
      </x:c>
      <x:c r="H142" s="34" t="n">
        <x:v>1</x:v>
      </x:c>
      <x:c r="I142" s="35" t="n">
        <x:v>57</x:v>
      </x:c>
      <x:c r="J142" s="35" t="n">
        <x:v>57</x:v>
      </x:c>
      <x:c r="K142" s="32" t="n">
        <x:v>23832130.00848978</x:v>
      </x:c>
      <x:c r="L142" s="32" t="n">
        <x:v>16932952.80603383</x:v>
      </x:c>
      <x:c r="M142" s="32" t="n">
        <x:v>19193633.199441336</x:v>
      </x:c>
      <x:c r="N142" s="34" t="n">
        <x:v>0.0003586897899107921</x:v>
      </x:c>
      <x:c r="O142" s="35" t="n">
        <x:v>141</x:v>
      </x:c>
      <x:c r="P142" s="34" t="n">
        <x:v>0.9869758295366294</x:v>
      </x:c>
    </x:row>
    <x:row r="143" ht="18" customHeight="1">
      <x:c r="A143" s="25" t="str">
        <x:v>EEZ_772</x:v>
      </x:c>
      <x:c r="B143" s="25" t="str">
        <x:v>Tokelau (New Zealand)</x:v>
      </x:c>
      <x:c r="C143" s="25" t="str">
        <x:v>EEZ</x:v>
      </x:c>
      <x:c r="D143" s="31" t="n">
        <x:v>2019</x:v>
      </x:c>
      <x:c r="E143" s="32" t="n">
        <x:v>9835.363687701802</x:v>
      </x:c>
      <x:c r="F143" s="32" t="n">
        <x:v>9835.363687701802</x:v>
      </x:c>
      <x:c r="G143" s="33" t="n">
        <x:v>0</x:v>
      </x:c>
      <x:c r="H143" s="34" t="n">
        <x:v>1</x:v>
      </x:c>
      <x:c r="I143" s="35" t="n">
        <x:v>29</x:v>
      </x:c>
      <x:c r="J143" s="35" t="n">
        <x:v>29</x:v>
      </x:c>
      <x:c r="K143" s="32" t="n">
        <x:v>23763562.20958886</x:v>
      </x:c>
      <x:c r="L143" s="32" t="n">
        <x:v>23465804.42043172</x:v>
      </x:c>
      <x:c r="M143" s="32" t="n">
        <x:v>23559458.571684595</x:v>
      </x:c>
      <x:c r="N143" s="34" t="n">
        <x:v>0.0003576577978322974</x:v>
      </x:c>
      <x:c r="O143" s="35" t="n">
        <x:v>142</x:v>
      </x:c>
      <x:c r="P143" s="34" t="n">
        <x:v>0.9873334873344618</x:v>
      </x:c>
    </x:row>
    <x:row r="144" ht="18" customHeight="1">
      <x:c r="A144" s="25" t="str">
        <x:v>EEZ_277</x:v>
      </x:c>
      <x:c r="B144" s="25" t="str">
        <x:v>Germany (North Sea)</x:v>
      </x:c>
      <x:c r="C144" s="25" t="str">
        <x:v>EEZ</x:v>
      </x:c>
      <x:c r="D144" s="31" t="n">
        <x:v>2019</x:v>
      </x:c>
      <x:c r="E144" s="32" t="n">
        <x:v>93934.39639776108</x:v>
      </x:c>
      <x:c r="F144" s="32" t="n">
        <x:v>93934.39639776108</x:v>
      </x:c>
      <x:c r="G144" s="33" t="n">
        <x:v>0</x:v>
      </x:c>
      <x:c r="H144" s="34" t="n">
        <x:v>1</x:v>
      </x:c>
      <x:c r="I144" s="35" t="n">
        <x:v>181</x:v>
      </x:c>
      <x:c r="J144" s="35" t="n">
        <x:v>181</x:v>
      </x:c>
      <x:c r="K144" s="32" t="n">
        <x:v>22262518.47000501</x:v>
      </x:c>
      <x:c r="L144" s="32" t="n">
        <x:v>19233207.47995193</x:v>
      </x:c>
      <x:c r="M144" s="32" t="n">
        <x:v>20008624.253656026</x:v>
      </x:c>
      <x:c r="N144" s="34" t="n">
        <x:v>0.00033506606711387475</x:v>
      </x:c>
      <x:c r="O144" s="35" t="n">
        <x:v>143</x:v>
      </x:c>
      <x:c r="P144" s="34" t="n">
        <x:v>0.9876685534015757</x:v>
      </x:c>
    </x:row>
    <x:row r="145" ht="18" customHeight="1">
      <x:c r="A145" s="25" t="str">
        <x:v>EEZ_768</x:v>
      </x:c>
      <x:c r="B145" s="25" t="str">
        <x:v>Togo</x:v>
      </x:c>
      <x:c r="C145" s="25" t="str">
        <x:v>EEZ</x:v>
      </x:c>
      <x:c r="D145" s="31" t="n">
        <x:v>2019</x:v>
      </x:c>
      <x:c r="E145" s="32" t="n">
        <x:v>51334.51177780791</x:v>
      </x:c>
      <x:c r="F145" s="32" t="n">
        <x:v>51334.51177780791</x:v>
      </x:c>
      <x:c r="G145" s="33" t="n">
        <x:v>0</x:v>
      </x:c>
      <x:c r="H145" s="34" t="n">
        <x:v>1</x:v>
      </x:c>
      <x:c r="I145" s="35" t="n">
        <x:v>129</x:v>
      </x:c>
      <x:c r="J145" s="35" t="n">
        <x:v>129</x:v>
      </x:c>
      <x:c r="K145" s="32" t="n">
        <x:v>22085853.6318601</x:v>
      </x:c>
      <x:c r="L145" s="32" t="n">
        <x:v>19613595.78582249</x:v>
      </x:c>
      <x:c r="M145" s="32" t="n">
        <x:v>21138321.64229359</x:v>
      </x:c>
      <x:c r="N145" s="34" t="n">
        <x:v>0.0003324071409643343</x:v>
      </x:c>
      <x:c r="O145" s="35" t="n">
        <x:v>144</x:v>
      </x:c>
      <x:c r="P145" s="34" t="n">
        <x:v>0.9880009605425399</x:v>
      </x:c>
    </x:row>
    <x:row r="146" ht="18" customHeight="1">
      <x:c r="A146" s="25" t="str">
        <x:v>EEZ_931</x:v>
      </x:c>
      <x:c r="B146" s="25" t="str">
        <x:v>Denmark (Baltic Sea)</x:v>
      </x:c>
      <x:c r="C146" s="25" t="str">
        <x:v>EEZ</x:v>
      </x:c>
      <x:c r="D146" s="31" t="n">
        <x:v>2019</x:v>
      </x:c>
      <x:c r="E146" s="32" t="n">
        <x:v>66565.8646210142</x:v>
      </x:c>
      <x:c r="F146" s="32" t="n">
        <x:v>66565.8646210142</x:v>
      </x:c>
      <x:c r="G146" s="33" t="n">
        <x:v>0</x:v>
      </x:c>
      <x:c r="H146" s="34" t="n">
        <x:v>1</x:v>
      </x:c>
      <x:c r="I146" s="35" t="n">
        <x:v>67</x:v>
      </x:c>
      <x:c r="J146" s="35" t="n">
        <x:v>67</x:v>
      </x:c>
      <x:c r="K146" s="32" t="n">
        <x:v>22017567.609833583</x:v>
      </x:c>
      <x:c r="L146" s="32" t="n">
        <x:v>20086651.322055914</x:v>
      </x:c>
      <x:c r="M146" s="32" t="n">
        <x:v>19845788.949558187</x:v>
      </x:c>
      <x:c r="N146" s="34" t="n">
        <x:v>0.000331379389819732</x:v>
      </x:c>
      <x:c r="O146" s="35" t="n">
        <x:v>145</x:v>
      </x:c>
      <x:c r="P146" s="34" t="n">
        <x:v>0.9883323399323597</x:v>
      </x:c>
    </x:row>
    <x:row r="147" ht="18" customHeight="1">
      <x:c r="A147" s="25" t="str">
        <x:v>EEZ_585</x:v>
      </x:c>
      <x:c r="B147" s="25" t="str">
        <x:v>Palau</x:v>
      </x:c>
      <x:c r="C147" s="25" t="str">
        <x:v>EEZ</x:v>
      </x:c>
      <x:c r="D147" s="31" t="n">
        <x:v>2019</x:v>
      </x:c>
      <x:c r="E147" s="32" t="n">
        <x:v>10527.122073695098</x:v>
      </x:c>
      <x:c r="F147" s="32" t="n">
        <x:v>10527.122073695098</x:v>
      </x:c>
      <x:c r="G147" s="33" t="n">
        <x:v>0</x:v>
      </x:c>
      <x:c r="H147" s="34" t="n">
        <x:v>1</x:v>
      </x:c>
      <x:c r="I147" s="35" t="n">
        <x:v>56</x:v>
      </x:c>
      <x:c r="J147" s="35" t="n">
        <x:v>56</x:v>
      </x:c>
      <x:c r="K147" s="32" t="n">
        <x:v>21756489.01330104</x:v>
      </x:c>
      <x:c r="L147" s="32" t="n">
        <x:v>20459857.100980364</x:v>
      </x:c>
      <x:c r="M147" s="32" t="n">
        <x:v>20847627.440702245</x:v>
      </x:c>
      <x:c r="N147" s="34" t="n">
        <x:v>0.00032744997910792815</x:v>
      </x:c>
      <x:c r="O147" s="35" t="n">
        <x:v>146</x:v>
      </x:c>
      <x:c r="P147" s="34" t="n">
        <x:v>0.9886597899114676</x:v>
      </x:c>
    </x:row>
    <x:row r="148" ht="18" customHeight="1">
      <x:c r="A148" s="25" t="str">
        <x:v>EEZ_404</x:v>
      </x:c>
      <x:c r="B148" s="25" t="str">
        <x:v>Kenya</x:v>
      </x:c>
      <x:c r="C148" s="25" t="str">
        <x:v>EEZ</x:v>
      </x:c>
      <x:c r="D148" s="31" t="n">
        <x:v>2019</x:v>
      </x:c>
      <x:c r="E148" s="32" t="n">
        <x:v>30334.335852588403</x:v>
      </x:c>
      <x:c r="F148" s="32" t="n">
        <x:v>30334.335852588403</x:v>
      </x:c>
      <x:c r="G148" s="33" t="n">
        <x:v>0</x:v>
      </x:c>
      <x:c r="H148" s="34" t="n">
        <x:v>1</x:v>
      </x:c>
      <x:c r="I148" s="35" t="n">
        <x:v>120</x:v>
      </x:c>
      <x:c r="J148" s="35" t="n">
        <x:v>120</x:v>
      </x:c>
      <x:c r="K148" s="32" t="n">
        <x:v>21699341.79872701</x:v>
      </x:c>
      <x:c r="L148" s="32" t="n">
        <x:v>12319282.267539116</x:v>
      </x:c>
      <x:c r="M148" s="32" t="n">
        <x:v>15970987.67798396</x:v>
      </x:c>
      <x:c r="N148" s="34" t="n">
        <x:v>0.0003265898746026974</x:v>
      </x:c>
      <x:c r="O148" s="35" t="n">
        <x:v>147</x:v>
      </x:c>
      <x:c r="P148" s="34" t="n">
        <x:v>0.9889863797860703</x:v>
      </x:c>
    </x:row>
    <x:row r="149" ht="18" customHeight="1">
      <x:c r="A149" s="25" t="str">
        <x:v>EEZ_428</x:v>
      </x:c>
      <x:c r="B149" s="25" t="str">
        <x:v>Latvia</x:v>
      </x:c>
      <x:c r="C149" s="25" t="str">
        <x:v>EEZ</x:v>
      </x:c>
      <x:c r="D149" s="31" t="n">
        <x:v>2019</x:v>
      </x:c>
      <x:c r="E149" s="32" t="n">
        <x:v>100360.1351648573</x:v>
      </x:c>
      <x:c r="F149" s="32" t="n">
        <x:v>100360.1351648573</x:v>
      </x:c>
      <x:c r="G149" s="33" t="n">
        <x:v>0</x:v>
      </x:c>
      <x:c r="H149" s="34" t="n">
        <x:v>1</x:v>
      </x:c>
      <x:c r="I149" s="35" t="n">
        <x:v>45</x:v>
      </x:c>
      <x:c r="J149" s="35" t="n">
        <x:v>45</x:v>
      </x:c>
      <x:c r="K149" s="32" t="n">
        <x:v>21329723.262881607</x:v>
      </x:c>
      <x:c r="L149" s="32" t="n">
        <x:v>19085893.87546863</x:v>
      </x:c>
      <x:c r="M149" s="32" t="n">
        <x:v>20586662.395192724</x:v>
      </x:c>
      <x:c r="N149" s="34" t="n">
        <x:v>0.00032102686387212935</x:v>
      </x:c>
      <x:c r="O149" s="35" t="n">
        <x:v>148</x:v>
      </x:c>
      <x:c r="P149" s="34" t="n">
        <x:v>0.9893074066499424</x:v>
      </x:c>
    </x:row>
    <x:row r="150" ht="18" customHeight="1">
      <x:c r="A150" s="25" t="str">
        <x:v>EEZ_191</x:v>
      </x:c>
      <x:c r="B150" s="25" t="str">
        <x:v>Croatia</x:v>
      </x:c>
      <x:c r="C150" s="25" t="str">
        <x:v>EEZ</x:v>
      </x:c>
      <x:c r="D150" s="31" t="n">
        <x:v>2019</x:v>
      </x:c>
      <x:c r="E150" s="32" t="n">
        <x:v>77072.9733877067</x:v>
      </x:c>
      <x:c r="F150" s="32" t="n">
        <x:v>77072.9733877067</x:v>
      </x:c>
      <x:c r="G150" s="33" t="n">
        <x:v>0</x:v>
      </x:c>
      <x:c r="H150" s="34" t="n">
        <x:v>1</x:v>
      </x:c>
      <x:c r="I150" s="35" t="n">
        <x:v>45</x:v>
      </x:c>
      <x:c r="J150" s="35" t="n">
        <x:v>45</x:v>
      </x:c>
      <x:c r="K150" s="32" t="n">
        <x:v>21110760.218235113</x:v>
      </x:c>
      <x:c r="L150" s="32" t="n">
        <x:v>19747737.5377062</x:v>
      </x:c>
      <x:c r="M150" s="32" t="n">
        <x:v>20518792.64284078</x:v>
      </x:c>
      <x:c r="N150" s="34" t="n">
        <x:v>0.0003177313209032676</x:v>
      </x:c>
      <x:c r="O150" s="35" t="n">
        <x:v>149</x:v>
      </x:c>
      <x:c r="P150" s="34" t="n">
        <x:v>0.9896251379708457</x:v>
      </x:c>
    </x:row>
    <x:row r="151" ht="18" customHeight="1">
      <x:c r="A151" s="25" t="str">
        <x:v>EEZ_911</x:v>
      </x:c>
      <x:c r="B151" s="25" t="str">
        <x:v>Musandam (Oman)</x:v>
      </x:c>
      <x:c r="C151" s="25" t="str">
        <x:v>EEZ</x:v>
      </x:c>
      <x:c r="D151" s="31" t="n">
        <x:v>2019</x:v>
      </x:c>
      <x:c r="E151" s="32" t="n">
        <x:v>22403.744509357803</x:v>
      </x:c>
      <x:c r="F151" s="32" t="n">
        <x:v>22403.744509357803</x:v>
      </x:c>
      <x:c r="G151" s="33" t="n">
        <x:v>0</x:v>
      </x:c>
      <x:c r="H151" s="34" t="n">
        <x:v>1</x:v>
      </x:c>
      <x:c r="I151" s="35" t="n">
        <x:v>40</x:v>
      </x:c>
      <x:c r="J151" s="35" t="n">
        <x:v>40</x:v>
      </x:c>
      <x:c r="K151" s="32" t="n">
        <x:v>20905875.58165651</x:v>
      </x:c>
      <x:c r="L151" s="32" t="n">
        <x:v>14640018.664670475</x:v>
      </x:c>
      <x:c r="M151" s="32" t="n">
        <x:v>16683601.962322408</x:v>
      </x:c>
      <x:c r="N151" s="34" t="n">
        <x:v>0.0003146476675653515</x:v>
      </x:c>
      <x:c r="O151" s="35" t="n">
        <x:v>150</x:v>
      </x:c>
      <x:c r="P151" s="34" t="n">
        <x:v>0.9899397856384111</x:v>
      </x:c>
    </x:row>
    <x:row r="152" ht="18" customHeight="1">
      <x:c r="A152" s="25" t="str">
        <x:v>EEZ_780</x:v>
      </x:c>
      <x:c r="B152" s="25" t="str">
        <x:v>Trinidad &amp; Tobago</x:v>
      </x:c>
      <x:c r="C152" s="25" t="str">
        <x:v>EEZ</x:v>
      </x:c>
      <x:c r="D152" s="31" t="n">
        <x:v>2019</x:v>
      </x:c>
      <x:c r="E152" s="32" t="n">
        <x:v>19523.2185592658</x:v>
      </x:c>
      <x:c r="F152" s="32" t="n">
        <x:v>19523.2185592658</x:v>
      </x:c>
      <x:c r="G152" s="33" t="n">
        <x:v>0</x:v>
      </x:c>
      <x:c r="H152" s="34" t="n">
        <x:v>1</x:v>
      </x:c>
      <x:c r="I152" s="35" t="n">
        <x:v>97</x:v>
      </x:c>
      <x:c r="J152" s="35" t="n">
        <x:v>97</x:v>
      </x:c>
      <x:c r="K152" s="32" t="n">
        <x:v>20381932.081780106</x:v>
      </x:c>
      <x:c r="L152" s="32" t="n">
        <x:v>16725448.86862569</x:v>
      </x:c>
      <x:c r="M152" s="32" t="n">
        <x:v>17371133.672092713</x:v>
      </x:c>
      <x:c r="N152" s="34" t="n">
        <x:v>0.0003067619610074885</x:v>
      </x:c>
      <x:c r="O152" s="35" t="n">
        <x:v>151</x:v>
      </x:c>
      <x:c r="P152" s="34" t="n">
        <x:v>0.9902465475994185</x:v>
      </x:c>
    </x:row>
    <x:row r="153" ht="18" customHeight="1">
      <x:c r="A153" s="25" t="str">
        <x:v>EEZ_178</x:v>
      </x:c>
      <x:c r="B153" s="25" t="str">
        <x:v>Congo, R. of</x:v>
      </x:c>
      <x:c r="C153" s="25" t="str">
        <x:v>EEZ</x:v>
      </x:c>
      <x:c r="D153" s="31" t="n">
        <x:v>2019</x:v>
      </x:c>
      <x:c r="E153" s="32" t="n">
        <x:v>43444.3810041495</x:v>
      </x:c>
      <x:c r="F153" s="32" t="n">
        <x:v>43444.3810041495</x:v>
      </x:c>
      <x:c r="G153" s="33" t="n">
        <x:v>0</x:v>
      </x:c>
      <x:c r="H153" s="34" t="n">
        <x:v>1</x:v>
      </x:c>
      <x:c r="I153" s="35" t="n">
        <x:v>56</x:v>
      </x:c>
      <x:c r="J153" s="35" t="n">
        <x:v>56</x:v>
      </x:c>
      <x:c r="K153" s="32" t="n">
        <x:v>19991660.548274387</x:v>
      </x:c>
      <x:c r="L153" s="32" t="n">
        <x:v>14978805.28126635</x:v>
      </x:c>
      <x:c r="M153" s="32" t="n">
        <x:v>17945908.04055065</x:v>
      </x:c>
      <x:c r="N153" s="34" t="n">
        <x:v>0.0003008881085943193</x:v>
      </x:c>
      <x:c r="O153" s="35" t="n">
        <x:v>152</x:v>
      </x:c>
      <x:c r="P153" s="34" t="n">
        <x:v>0.9905474357080128</x:v>
      </x:c>
    </x:row>
    <x:row r="154" ht="18" customHeight="1">
      <x:c r="A154" s="25" t="str">
        <x:v>EEZ_388</x:v>
      </x:c>
      <x:c r="B154" s="25" t="str">
        <x:v>Jamaica</x:v>
      </x:c>
      <x:c r="C154" s="25" t="str">
        <x:v>EEZ</x:v>
      </x:c>
      <x:c r="D154" s="31" t="n">
        <x:v>2019</x:v>
      </x:c>
      <x:c r="E154" s="32" t="n">
        <x:v>24803.119502512</x:v>
      </x:c>
      <x:c r="F154" s="32" t="n">
        <x:v>24803.119502512</x:v>
      </x:c>
      <x:c r="G154" s="33" t="n">
        <x:v>0</x:v>
      </x:c>
      <x:c r="H154" s="34" t="n">
        <x:v>1</x:v>
      </x:c>
      <x:c r="I154" s="35" t="n">
        <x:v>58</x:v>
      </x:c>
      <x:c r="J154" s="35" t="n">
        <x:v>58</x:v>
      </x:c>
      <x:c r="K154" s="32" t="n">
        <x:v>19358996.526972868</x:v>
      </x:c>
      <x:c r="L154" s="32" t="n">
        <x:v>11342146.771208175</x:v>
      </x:c>
      <x:c r="M154" s="32" t="n">
        <x:v>12851474.296845695</x:v>
      </x:c>
      <x:c r="N154" s="34" t="n">
        <x:v>0.00029136608413389895</x:v>
      </x:c>
      <x:c r="O154" s="35" t="n">
        <x:v>153</x:v>
      </x:c>
      <x:c r="P154" s="34" t="n">
        <x:v>0.9908388017921468</x:v>
      </x:c>
    </x:row>
    <x:row r="155" ht="18" customHeight="1">
      <x:c r="A155" s="25" t="str">
        <x:v>EEZ_971</x:v>
      </x:c>
      <x:c r="B155" s="25" t="str">
        <x:v>Japan (Ogasawara Islands)</x:v>
      </x:c>
      <x:c r="C155" s="25" t="str">
        <x:v>EEZ</x:v>
      </x:c>
      <x:c r="D155" s="31" t="n">
        <x:v>2019</x:v>
      </x:c>
      <x:c r="E155" s="32" t="n">
        <x:v>18442.8655651381</x:v>
      </x:c>
      <x:c r="F155" s="32" t="n">
        <x:v>18442.8655651381</x:v>
      </x:c>
      <x:c r="G155" s="33" t="n">
        <x:v>0</x:v>
      </x:c>
      <x:c r="H155" s="34" t="n">
        <x:v>1</x:v>
      </x:c>
      <x:c r="I155" s="35" t="n">
        <x:v>29</x:v>
      </x:c>
      <x:c r="J155" s="35" t="n">
        <x:v>29</x:v>
      </x:c>
      <x:c r="K155" s="32" t="n">
        <x:v>19260173.04848056</x:v>
      </x:c>
      <x:c r="L155" s="32" t="n">
        <x:v>16880715.86263973</x:v>
      </x:c>
      <x:c r="M155" s="32" t="n">
        <x:v>18790740.353105024</x:v>
      </x:c>
      <x:c r="N155" s="34" t="n">
        <x:v>0.0002898787234688626</x:v>
      </x:c>
      <x:c r="O155" s="35" t="n">
        <x:v>154</x:v>
      </x:c>
      <x:c r="P155" s="34" t="n">
        <x:v>0.9911286805156156</x:v>
      </x:c>
    </x:row>
    <x:row r="156" ht="18" customHeight="1">
      <x:c r="A156" s="25" t="str">
        <x:v>EEZ_882</x:v>
      </x:c>
      <x:c r="B156" s="25" t="str">
        <x:v>Samoa</x:v>
      </x:c>
      <x:c r="C156" s="25" t="str">
        <x:v>EEZ</x:v>
      </x:c>
      <x:c r="D156" s="31" t="n">
        <x:v>2019</x:v>
      </x:c>
      <x:c r="E156" s="32" t="n">
        <x:v>13979.020508821603</x:v>
      </x:c>
      <x:c r="F156" s="32" t="n">
        <x:v>13979.020508821603</x:v>
      </x:c>
      <x:c r="G156" s="33" t="n">
        <x:v>0</x:v>
      </x:c>
      <x:c r="H156" s="34" t="n">
        <x:v>1</x:v>
      </x:c>
      <x:c r="I156" s="35" t="n">
        <x:v>72</x:v>
      </x:c>
      <x:c r="J156" s="35" t="n">
        <x:v>72</x:v>
      </x:c>
      <x:c r="K156" s="32" t="n">
        <x:v>18932962.27433015</x:v>
      </x:c>
      <x:c r="L156" s="32" t="n">
        <x:v>16126140.922584653</x:v>
      </x:c>
      <x:c r="M156" s="32" t="n">
        <x:v>17497593.51827132</x:v>
      </x:c>
      <x:c r="N156" s="34" t="n">
        <x:v>0.0002849539784379003</x:v>
      </x:c>
      <x:c r="O156" s="35" t="n">
        <x:v>155</x:v>
      </x:c>
      <x:c r="P156" s="34" t="n">
        <x:v>0.9914136344940535</x:v>
      </x:c>
    </x:row>
    <x:row r="157" ht="18" customHeight="1">
      <x:c r="A157" s="25" t="str">
        <x:v>EEZ_634</x:v>
      </x:c>
      <x:c r="B157" s="25" t="str">
        <x:v>Qatar</x:v>
      </x:c>
      <x:c r="C157" s="25" t="str">
        <x:v>EEZ</x:v>
      </x:c>
      <x:c r="D157" s="31" t="n">
        <x:v>2019</x:v>
      </x:c>
      <x:c r="E157" s="32" t="n">
        <x:v>18300.125898307102</x:v>
      </x:c>
      <x:c r="F157" s="32" t="n">
        <x:v>18300.125898307102</x:v>
      </x:c>
      <x:c r="G157" s="33" t="n">
        <x:v>0</x:v>
      </x:c>
      <x:c r="H157" s="34" t="n">
        <x:v>1</x:v>
      </x:c>
      <x:c r="I157" s="35" t="n">
        <x:v>47</x:v>
      </x:c>
      <x:c r="J157" s="35" t="n">
        <x:v>47</x:v>
      </x:c>
      <x:c r="K157" s="32" t="n">
        <x:v>17533760.271710783</x:v>
      </x:c>
      <x:c r="L157" s="32" t="n">
        <x:v>9745305.186637845</x:v>
      </x:c>
      <x:c r="M157" s="32" t="n">
        <x:v>14158026.384637725</x:v>
      </x:c>
      <x:c r="N157" s="34" t="n">
        <x:v>0.0002638950352304105</x:v>
      </x:c>
      <x:c r="O157" s="35" t="n">
        <x:v>156</x:v>
      </x:c>
      <x:c r="P157" s="34" t="n">
        <x:v>0.991677529529284</x:v>
      </x:c>
    </x:row>
    <x:row r="158" ht="18" customHeight="1">
      <x:c r="A158" s="25" t="str">
        <x:v>EEZ_776</x:v>
      </x:c>
      <x:c r="B158" s="25" t="str">
        <x:v>Tonga</x:v>
      </x:c>
      <x:c r="C158" s="25" t="str">
        <x:v>EEZ</x:v>
      </x:c>
      <x:c r="D158" s="31" t="n">
        <x:v>2019</x:v>
      </x:c>
      <x:c r="E158" s="32" t="n">
        <x:v>14542.412200733399</x:v>
      </x:c>
      <x:c r="F158" s="32" t="n">
        <x:v>14542.412200733399</x:v>
      </x:c>
      <x:c r="G158" s="33" t="n">
        <x:v>0</x:v>
      </x:c>
      <x:c r="H158" s="34" t="n">
        <x:v>1</x:v>
      </x:c>
      <x:c r="I158" s="35" t="n">
        <x:v>86</x:v>
      </x:c>
      <x:c r="J158" s="35" t="n">
        <x:v>86</x:v>
      </x:c>
      <x:c r="K158" s="32" t="n">
        <x:v>17016818.719265178</x:v>
      </x:c>
      <x:c r="L158" s="32" t="n">
        <x:v>15387263.798386406</x:v>
      </x:c>
      <x:c r="M158" s="32" t="n">
        <x:v>15773312.444911908</x:v>
      </x:c>
      <x:c r="N158" s="34" t="n">
        <x:v>0.0002561147127507656</x:v>
      </x:c>
      <x:c r="O158" s="35" t="n">
        <x:v>157</x:v>
      </x:c>
      <x:c r="P158" s="34" t="n">
        <x:v>0.9919336442420347</x:v>
      </x:c>
    </x:row>
    <x:row r="159" ht="18" customHeight="1">
      <x:c r="A159" s="25" t="str">
        <x:v>EEZ_480</x:v>
      </x:c>
      <x:c r="B159" s="25" t="str">
        <x:v>Mauritius</x:v>
      </x:c>
      <x:c r="C159" s="25" t="str">
        <x:v>EEZ</x:v>
      </x:c>
      <x:c r="D159" s="31" t="n">
        <x:v>2019</x:v>
      </x:c>
      <x:c r="E159" s="32" t="n">
        <x:v>15255.362035387398</x:v>
      </x:c>
      <x:c r="F159" s="32" t="n">
        <x:v>15255.362035387398</x:v>
      </x:c>
      <x:c r="G159" s="33" t="n">
        <x:v>0</x:v>
      </x:c>
      <x:c r="H159" s="34" t="n">
        <x:v>1</x:v>
      </x:c>
      <x:c r="I159" s="35" t="n">
        <x:v>70</x:v>
      </x:c>
      <x:c r="J159" s="35" t="n">
        <x:v>70</x:v>
      </x:c>
      <x:c r="K159" s="32" t="n">
        <x:v>16709126.407168973</x:v>
      </x:c>
      <x:c r="L159" s="32" t="n">
        <x:v>15342067.503346395</x:v>
      </x:c>
      <x:c r="M159" s="32" t="n">
        <x:v>15660733.47585427</x:v>
      </x:c>
      <x:c r="N159" s="34" t="n">
        <x:v>0.00025148373386874213</x:v>
      </x:c>
      <x:c r="O159" s="35" t="n">
        <x:v>158</x:v>
      </x:c>
      <x:c r="P159" s="34" t="n">
        <x:v>0.9921851279759035</x:v>
      </x:c>
    </x:row>
    <x:row r="160" ht="18" customHeight="1">
      <x:c r="A160" s="25" t="str">
        <x:v>EEZ_470</x:v>
      </x:c>
      <x:c r="B160" s="25" t="str">
        <x:v>Malta</x:v>
      </x:c>
      <x:c r="C160" s="25" t="str">
        <x:v>EEZ</x:v>
      </x:c>
      <x:c r="D160" s="31" t="n">
        <x:v>2019</x:v>
      </x:c>
      <x:c r="E160" s="32" t="n">
        <x:v>7732.9980884831</x:v>
      </x:c>
      <x:c r="F160" s="32" t="n">
        <x:v>7732.9980884831</x:v>
      </x:c>
      <x:c r="G160" s="33" t="n">
        <x:v>0</x:v>
      </x:c>
      <x:c r="H160" s="34" t="n">
        <x:v>1</x:v>
      </x:c>
      <x:c r="I160" s="35" t="n">
        <x:v>213</x:v>
      </x:c>
      <x:c r="J160" s="35" t="n">
        <x:v>213</x:v>
      </x:c>
      <x:c r="K160" s="32" t="n">
        <x:v>16447013.960324993</x:v>
      </x:c>
      <x:c r="L160" s="32" t="n">
        <x:v>15037040.322183833</x:v>
      </x:c>
      <x:c r="M160" s="32" t="n">
        <x:v>15493537.20996647</x:v>
      </x:c>
      <x:c r="N160" s="34" t="n">
        <x:v>0.00024753876300554275</x:v>
      </x:c>
      <x:c r="O160" s="35" t="n">
        <x:v>159</x:v>
      </x:c>
      <x:c r="P160" s="34" t="n">
        <x:v>0.9924326667389091</x:v>
      </x:c>
    </x:row>
    <x:row r="161" ht="18" customHeight="1">
      <x:c r="A161" s="25" t="str">
        <x:v>EEZ_927</x:v>
      </x:c>
      <x:c r="B161" s="25" t="str">
        <x:v>Colombia (Caribbean)</x:v>
      </x:c>
      <x:c r="C161" s="25" t="str">
        <x:v>EEZ</x:v>
      </x:c>
      <x:c r="D161" s="31" t="n">
        <x:v>2019</x:v>
      </x:c>
      <x:c r="E161" s="32" t="n">
        <x:v>20344.1120639465</x:v>
      </x:c>
      <x:c r="F161" s="32" t="n">
        <x:v>20344.1120639465</x:v>
      </x:c>
      <x:c r="G161" s="33" t="n">
        <x:v>0</x:v>
      </x:c>
      <x:c r="H161" s="34" t="n">
        <x:v>1</x:v>
      </x:c>
      <x:c r="I161" s="35" t="n">
        <x:v>89</x:v>
      </x:c>
      <x:c r="J161" s="35" t="n">
        <x:v>89</x:v>
      </x:c>
      <x:c r="K161" s="32" t="n">
        <x:v>16307477.884539278</x:v>
      </x:c>
      <x:c r="L161" s="32" t="n">
        <x:v>11365880.576522898</x:v>
      </x:c>
      <x:c r="M161" s="32" t="n">
        <x:v>12781366.802599043</x:v>
      </x:c>
      <x:c r="N161" s="34" t="n">
        <x:v>0.0002454386500198078</x:v>
      </x:c>
      <x:c r="O161" s="35" t="n">
        <x:v>160</x:v>
      </x:c>
      <x:c r="P161" s="34" t="n">
        <x:v>0.9926781053889289</x:v>
      </x:c>
    </x:row>
    <x:row r="162" ht="18" customHeight="1">
      <x:c r="A162" s="25" t="str">
        <x:v>EEZ_233</x:v>
      </x:c>
      <x:c r="B162" s="25" t="str">
        <x:v>Estonia</x:v>
      </x:c>
      <x:c r="C162" s="25" t="str">
        <x:v>EEZ</x:v>
      </x:c>
      <x:c r="D162" s="31" t="n">
        <x:v>2019</x:v>
      </x:c>
      <x:c r="E162" s="32" t="n">
        <x:v>79757.30638750728</x:v>
      </x:c>
      <x:c r="F162" s="32" t="n">
        <x:v>79757.30638750728</x:v>
      </x:c>
      <x:c r="G162" s="33" t="n">
        <x:v>0</x:v>
      </x:c>
      <x:c r="H162" s="34" t="n">
        <x:v>1</x:v>
      </x:c>
      <x:c r="I162" s="35" t="n">
        <x:v>46</x:v>
      </x:c>
      <x:c r="J162" s="35" t="n">
        <x:v>46</x:v>
      </x:c>
      <x:c r="K162" s="32" t="n">
        <x:v>16197878.05939343</x:v>
      </x:c>
      <x:c r="L162" s="32" t="n">
        <x:v>14312701.838149164</x:v>
      </x:c>
      <x:c r="M162" s="32" t="n">
        <x:v>15527713.484062083</x:v>
      </x:c>
      <x:c r="N162" s="34" t="n">
        <x:v>0.00024378909799731462</x:v>
      </x:c>
      <x:c r="O162" s="35" t="n">
        <x:v>161</x:v>
      </x:c>
      <x:c r="P162" s="34" t="n">
        <x:v>0.9929218944869261</x:v>
      </x:c>
    </x:row>
    <x:row r="163" ht="18" customHeight="1">
      <x:c r="A163" s="25" t="str">
        <x:v>EEZ_898</x:v>
      </x:c>
      <x:c r="B163" s="25" t="str">
        <x:v>Clipperton Isl. (France)</x:v>
      </x:c>
      <x:c r="C163" s="25" t="str">
        <x:v>EEZ</x:v>
      </x:c>
      <x:c r="D163" s="31" t="n">
        <x:v>2019</x:v>
      </x:c>
      <x:c r="E163" s="32" t="n">
        <x:v>5821.5688911778</x:v>
      </x:c>
      <x:c r="F163" s="32" t="n">
        <x:v>5821.5688911778</x:v>
      </x:c>
      <x:c r="G163" s="33" t="n">
        <x:v>0</x:v>
      </x:c>
      <x:c r="H163" s="34" t="n">
        <x:v>1</x:v>
      </x:c>
      <x:c r="I163" s="35" t="n">
        <x:v>17</x:v>
      </x:c>
      <x:c r="J163" s="35" t="n">
        <x:v>17</x:v>
      </x:c>
      <x:c r="K163" s="32" t="n">
        <x:v>14841352.716606868</x:v>
      </x:c>
      <x:c r="L163" s="32" t="n">
        <x:v>14828974.37312331</x:v>
      </x:c>
      <x:c r="M163" s="32" t="n">
        <x:v>14827387.856212014</x:v>
      </x:c>
      <x:c r="N163" s="34" t="n">
        <x:v>0.00022337246758956492</x:v>
      </x:c>
      <x:c r="O163" s="35" t="n">
        <x:v>162</x:v>
      </x:c>
      <x:c r="P163" s="34" t="n">
        <x:v>0.9931452669545157</x:v>
      </x:c>
    </x:row>
    <x:row r="164" ht="18" customHeight="1">
      <x:c r="A164" s="25" t="str">
        <x:v>EEZ_540</x:v>
      </x:c>
      <x:c r="B164" s="25" t="str">
        <x:v>New Caledonia (France)</x:v>
      </x:c>
      <x:c r="C164" s="25" t="str">
        <x:v>EEZ</x:v>
      </x:c>
      <x:c r="D164" s="31" t="n">
        <x:v>2019</x:v>
      </x:c>
      <x:c r="E164" s="32" t="n">
        <x:v>11907.664433573698</x:v>
      </x:c>
      <x:c r="F164" s="32" t="n">
        <x:v>11907.664433573698</x:v>
      </x:c>
      <x:c r="G164" s="33" t="n">
        <x:v>0</x:v>
      </x:c>
      <x:c r="H164" s="34" t="n">
        <x:v>1</x:v>
      </x:c>
      <x:c r="I164" s="35" t="n">
        <x:v>55</x:v>
      </x:c>
      <x:c r="J164" s="35" t="n">
        <x:v>55</x:v>
      </x:c>
      <x:c r="K164" s="32" t="n">
        <x:v>14486808.543640152</x:v>
      </x:c>
      <x:c r="L164" s="32" t="n">
        <x:v>10397068.404729191</x:v>
      </x:c>
      <x:c r="M164" s="32" t="n">
        <x:v>12334079.80178462</x:v>
      </x:c>
      <x:c r="N164" s="34" t="n">
        <x:v>0.00021803633628824084</x:v>
      </x:c>
      <x:c r="O164" s="35" t="n">
        <x:v>163</x:v>
      </x:c>
      <x:c r="P164" s="34" t="n">
        <x:v>0.9933633032908039</x:v>
      </x:c>
    </x:row>
    <x:row r="165" ht="18" customHeight="1">
      <x:c r="A165" s="25" t="str">
        <x:v>EEZ_044</x:v>
      </x:c>
      <x:c r="B165" s="25" t="str">
        <x:v>Bahamas</x:v>
      </x:c>
      <x:c r="C165" s="25" t="str">
        <x:v>EEZ</x:v>
      </x:c>
      <x:c r="D165" s="31" t="n">
        <x:v>2019</x:v>
      </x:c>
      <x:c r="E165" s="32" t="n">
        <x:v>18392.7135678369</x:v>
      </x:c>
      <x:c r="F165" s="32" t="n">
        <x:v>18392.7135678369</x:v>
      </x:c>
      <x:c r="G165" s="33" t="n">
        <x:v>0</x:v>
      </x:c>
      <x:c r="H165" s="34" t="n">
        <x:v>1</x:v>
      </x:c>
      <x:c r="I165" s="35" t="n">
        <x:v>43</x:v>
      </x:c>
      <x:c r="J165" s="35" t="n">
        <x:v>43</x:v>
      </x:c>
      <x:c r="K165" s="32" t="n">
        <x:v>14068447.015522763</x:v>
      </x:c>
      <x:c r="L165" s="32" t="n">
        <x:v>12808177.744283037</x:v>
      </x:c>
      <x:c r="M165" s="32" t="n">
        <x:v>13494444.73998258</x:v>
      </x:c>
      <x:c r="N165" s="34" t="n">
        <x:v>0.0002117397103226336</x:v>
      </x:c>
      <x:c r="O165" s="35" t="n">
        <x:v>164</x:v>
      </x:c>
      <x:c r="P165" s="34" t="n">
        <x:v>0.9935750430011265</x:v>
      </x:c>
    </x:row>
    <x:row r="166" ht="18" customHeight="1">
      <x:c r="A166" s="25" t="str">
        <x:v>EEZ_226</x:v>
      </x:c>
      <x:c r="B166" s="25" t="str">
        <x:v>Equatorial Guinea</x:v>
      </x:c>
      <x:c r="C166" s="25" t="str">
        <x:v>EEZ</x:v>
      </x:c>
      <x:c r="D166" s="31" t="n">
        <x:v>2019</x:v>
      </x:c>
      <x:c r="E166" s="32" t="n">
        <x:v>23094.1925275575</x:v>
      </x:c>
      <x:c r="F166" s="32" t="n">
        <x:v>23094.1925275575</x:v>
      </x:c>
      <x:c r="G166" s="33" t="n">
        <x:v>0</x:v>
      </x:c>
      <x:c r="H166" s="34" t="n">
        <x:v>1</x:v>
      </x:c>
      <x:c r="I166" s="35" t="n">
        <x:v>66</x:v>
      </x:c>
      <x:c r="J166" s="35" t="n">
        <x:v>66</x:v>
      </x:c>
      <x:c r="K166" s="32" t="n">
        <x:v>13733577.498158086</x:v>
      </x:c>
      <x:c r="L166" s="32" t="n">
        <x:v>11871421.201981438</x:v>
      </x:c>
      <x:c r="M166" s="32" t="n">
        <x:v>13198646.387086893</x:v>
      </x:c>
      <x:c r="N166" s="34" t="n">
        <x:v>0.00020669969598953472</x:v>
      </x:c>
      <x:c r="O166" s="35" t="n">
        <x:v>165</x:v>
      </x:c>
      <x:c r="P166" s="34" t="n">
        <x:v>0.993781742697116</x:v>
      </x:c>
    </x:row>
    <x:row r="167" ht="18" customHeight="1">
      <x:c r="A167" s="25" t="str">
        <x:v>EEZ_180</x:v>
      </x:c>
      <x:c r="B167" s="25" t="str">
        <x:v>Congo (ex-Zaire)</x:v>
      </x:c>
      <x:c r="C167" s="25" t="str">
        <x:v>EEZ</x:v>
      </x:c>
      <x:c r="D167" s="31" t="n">
        <x:v>2019</x:v>
      </x:c>
      <x:c r="E167" s="32" t="n">
        <x:v>23378.3558839915</x:v>
      </x:c>
      <x:c r="F167" s="32" t="n">
        <x:v>23378.3558839915</x:v>
      </x:c>
      <x:c r="G167" s="33" t="n">
        <x:v>0</x:v>
      </x:c>
      <x:c r="H167" s="34" t="n">
        <x:v>1</x:v>
      </x:c>
      <x:c r="I167" s="35" t="n">
        <x:v>34</x:v>
      </x:c>
      <x:c r="J167" s="35" t="n">
        <x:v>34</x:v>
      </x:c>
      <x:c r="K167" s="32" t="n">
        <x:v>13711656.088833181</x:v>
      </x:c>
      <x:c r="L167" s="32" t="n">
        <x:v>10401757.13049382</x:v>
      </x:c>
      <x:c r="M167" s="32" t="n">
        <x:v>12802584.122159634</x:v>
      </x:c>
      <x:c r="N167" s="34" t="n">
        <x:v>0.00020636976384740148</x:v>
      </x:c>
      <x:c r="O167" s="35" t="n">
        <x:v>166</x:v>
      </x:c>
      <x:c r="P167" s="34" t="n">
        <x:v>0.9939881124609635</x:v>
      </x:c>
    </x:row>
    <x:row r="168" ht="18" customHeight="1">
      <x:c r="A168" s="25" t="str">
        <x:v>EEZ_954</x:v>
      </x:c>
      <x:c r="B168" s="25" t="str">
        <x:v>South Africa (Indian Ocean Coast)</x:v>
      </x:c>
      <x:c r="C168" s="25" t="str">
        <x:v>EEZ</x:v>
      </x:c>
      <x:c r="D168" s="31" t="n">
        <x:v>2019</x:v>
      </x:c>
      <x:c r="E168" s="32" t="n">
        <x:v>11740.798835807702</x:v>
      </x:c>
      <x:c r="F168" s="32" t="n">
        <x:v>11740.798835807702</x:v>
      </x:c>
      <x:c r="G168" s="33" t="n">
        <x:v>0</x:v>
      </x:c>
      <x:c r="H168" s="34" t="n">
        <x:v>1</x:v>
      </x:c>
      <x:c r="I168" s="35" t="n">
        <x:v>74</x:v>
      </x:c>
      <x:c r="J168" s="35" t="n">
        <x:v>74</x:v>
      </x:c>
      <x:c r="K168" s="32" t="n">
        <x:v>13513947.448119681</x:v>
      </x:c>
      <x:c r="L168" s="32" t="n">
        <x:v>9917710.889332749</x:v>
      </x:c>
      <x:c r="M168" s="32" t="n">
        <x:v>12770241.948723067</x:v>
      </x:c>
      <x:c r="N168" s="34" t="n">
        <x:v>0.00020339411413519318</x:v>
      </x:c>
      <x:c r="O168" s="35" t="n">
        <x:v>167</x:v>
      </x:c>
      <x:c r="P168" s="34" t="n">
        <x:v>0.9941915065750987</x:v>
      </x:c>
    </x:row>
    <x:row r="169" ht="18" customHeight="1">
      <x:c r="A169" s="25" t="str">
        <x:v>EEZ_902</x:v>
      </x:c>
      <x:c r="B169" s="25" t="str">
        <x:v>Sardinia (Italy)</x:v>
      </x:c>
      <x:c r="C169" s="25" t="str">
        <x:v>EEZ</x:v>
      </x:c>
      <x:c r="D169" s="31" t="n">
        <x:v>2019</x:v>
      </x:c>
      <x:c r="E169" s="32" t="n">
        <x:v>15737.091301901197</x:v>
      </x:c>
      <x:c r="F169" s="32" t="n">
        <x:v>15737.091301901197</x:v>
      </x:c>
      <x:c r="G169" s="33" t="n">
        <x:v>0</x:v>
      </x:c>
      <x:c r="H169" s="34" t="n">
        <x:v>1</x:v>
      </x:c>
      <x:c r="I169" s="35" t="n">
        <x:v>145</x:v>
      </x:c>
      <x:c r="J169" s="35" t="n">
        <x:v>145</x:v>
      </x:c>
      <x:c r="K169" s="32" t="n">
        <x:v>13470007.001124758</x:v>
      </x:c>
      <x:c r="L169" s="32" t="n">
        <x:v>9902046.85245751</x:v>
      </x:c>
      <x:c r="M169" s="32" t="n">
        <x:v>10683465.39783505</x:v>
      </x:c>
      <x:c r="N169" s="34" t="n">
        <x:v>0.00020273278047783312</x:v>
      </x:c>
      <x:c r="O169" s="35" t="n">
        <x:v>168</x:v>
      </x:c>
      <x:c r="P169" s="34" t="n">
        <x:v>0.9943942393555766</x:v>
      </x:c>
    </x:row>
    <x:row r="170" ht="18" customHeight="1">
      <x:c r="A170" s="25" t="str">
        <x:v>EEZ_678</x:v>
      </x:c>
      <x:c r="B170" s="25" t="str">
        <x:v>Sao Tome &amp; Principe</x:v>
      </x:c>
      <x:c r="C170" s="25" t="str">
        <x:v>EEZ</x:v>
      </x:c>
      <x:c r="D170" s="31" t="n">
        <x:v>2019</x:v>
      </x:c>
      <x:c r="E170" s="32" t="n">
        <x:v>11530.348500865499</x:v>
      </x:c>
      <x:c r="F170" s="32" t="n">
        <x:v>11530.348500865499</x:v>
      </x:c>
      <x:c r="G170" s="33" t="n">
        <x:v>0</x:v>
      </x:c>
      <x:c r="H170" s="34" t="n">
        <x:v>1</x:v>
      </x:c>
      <x:c r="I170" s="35" t="n">
        <x:v>115</x:v>
      </x:c>
      <x:c r="J170" s="35" t="n">
        <x:v>115</x:v>
      </x:c>
      <x:c r="K170" s="32" t="n">
        <x:v>13253757.621874493</x:v>
      </x:c>
      <x:c r="L170" s="32" t="n">
        <x:v>12239742.278498132</x:v>
      </x:c>
      <x:c r="M170" s="32" t="n">
        <x:v>12346995.80337172</x:v>
      </x:c>
      <x:c r="N170" s="34" t="n">
        <x:v>0.00019947808002160092</x:v>
      </x:c>
      <x:c r="O170" s="35" t="n">
        <x:v>169</x:v>
      </x:c>
      <x:c r="P170" s="34" t="n">
        <x:v>0.9945937174355981</x:v>
      </x:c>
    </x:row>
    <x:row r="171" ht="18" customHeight="1">
      <x:c r="A171" s="25" t="str">
        <x:v>EEZ_222</x:v>
      </x:c>
      <x:c r="B171" s="25" t="str">
        <x:v>El Salvador</x:v>
      </x:c>
      <x:c r="C171" s="25" t="str">
        <x:v>EEZ</x:v>
      </x:c>
      <x:c r="D171" s="31" t="n">
        <x:v>2019</x:v>
      </x:c>
      <x:c r="E171" s="32" t="n">
        <x:v>19144.466243662904</x:v>
      </x:c>
      <x:c r="F171" s="32" t="n">
        <x:v>19144.466243662904</x:v>
      </x:c>
      <x:c r="G171" s="33" t="n">
        <x:v>0</x:v>
      </x:c>
      <x:c r="H171" s="34" t="n">
        <x:v>1</x:v>
      </x:c>
      <x:c r="I171" s="35" t="n">
        <x:v>59</x:v>
      </x:c>
      <x:c r="J171" s="35" t="n">
        <x:v>59</x:v>
      </x:c>
      <x:c r="K171" s="32" t="n">
        <x:v>12763185.689767089</x:v>
      </x:c>
      <x:c r="L171" s="32" t="n">
        <x:v>11638267.52708928</x:v>
      </x:c>
      <x:c r="M171" s="32" t="n">
        <x:v>12067122.731464569</x:v>
      </x:c>
      <x:c r="N171" s="34" t="n">
        <x:v>0.00019209463828974346</x:v>
      </x:c>
      <x:c r="O171" s="35" t="n">
        <x:v>170</x:v>
      </x:c>
      <x:c r="P171" s="34" t="n">
        <x:v>0.9947858120738878</x:v>
      </x:c>
    </x:row>
    <x:row r="172" ht="18" customHeight="1">
      <x:c r="A172" s="25" t="str">
        <x:v>EEZ_192</x:v>
      </x:c>
      <x:c r="B172" s="25" t="str">
        <x:v>Cuba</x:v>
      </x:c>
      <x:c r="C172" s="25" t="str">
        <x:v>EEZ</x:v>
      </x:c>
      <x:c r="D172" s="31" t="n">
        <x:v>2019</x:v>
      </x:c>
      <x:c r="E172" s="32" t="n">
        <x:v>24306.8393757785</x:v>
      </x:c>
      <x:c r="F172" s="32" t="n">
        <x:v>24306.8393757785</x:v>
      </x:c>
      <x:c r="G172" s="33" t="n">
        <x:v>0</x:v>
      </x:c>
      <x:c r="H172" s="34" t="n">
        <x:v>1</x:v>
      </x:c>
      <x:c r="I172" s="35" t="n">
        <x:v>33</x:v>
      </x:c>
      <x:c r="J172" s="35" t="n">
        <x:v>33</x:v>
      </x:c>
      <x:c r="K172" s="32" t="n">
        <x:v>12737892.20413025</x:v>
      </x:c>
      <x:c r="L172" s="32" t="n">
        <x:v>7466352.495718972</x:v>
      </x:c>
      <x:c r="M172" s="32" t="n">
        <x:v>9593404.459549818</x:v>
      </x:c>
      <x:c r="N172" s="34" t="n">
        <x:v>0.0001917139541022219</x:v>
      </x:c>
      <x:c r="O172" s="35" t="n">
        <x:v>171</x:v>
      </x:c>
      <x:c r="P172" s="34" t="n">
        <x:v>0.9949775260279901</x:v>
      </x:c>
    </x:row>
    <x:row r="173" ht="18" customHeight="1">
      <x:c r="A173" s="25" t="str">
        <x:v>EEZ_278</x:v>
      </x:c>
      <x:c r="B173" s="25" t="str">
        <x:v>Germany (Baltic Sea)</x:v>
      </x:c>
      <x:c r="C173" s="25" t="str">
        <x:v>EEZ</x:v>
      </x:c>
      <x:c r="D173" s="31" t="n">
        <x:v>2019</x:v>
      </x:c>
      <x:c r="E173" s="32" t="n">
        <x:v>26188.5128491544</x:v>
      </x:c>
      <x:c r="F173" s="32" t="n">
        <x:v>26188.5128491544</x:v>
      </x:c>
      <x:c r="G173" s="33" t="n">
        <x:v>0</x:v>
      </x:c>
      <x:c r="H173" s="34" t="n">
        <x:v>1</x:v>
      </x:c>
      <x:c r="I173" s="35" t="n">
        <x:v>59</x:v>
      </x:c>
      <x:c r="J173" s="35" t="n">
        <x:v>59</x:v>
      </x:c>
      <x:c r="K173" s="32" t="n">
        <x:v>12082330.078822175</x:v>
      </x:c>
      <x:c r="L173" s="32" t="n">
        <x:v>11496799.626263414</x:v>
      </x:c>
      <x:c r="M173" s="32" t="n">
        <x:v>11129550.316418964</x:v>
      </x:c>
      <x:c r="N173" s="34" t="n">
        <x:v>0.00018184729757943273</x:v>
      </x:c>
      <x:c r="O173" s="35" t="n">
        <x:v>172</x:v>
      </x:c>
      <x:c r="P173" s="34" t="n">
        <x:v>0.9951593733255696</x:v>
      </x:c>
    </x:row>
    <x:row r="174" ht="18" customHeight="1">
      <x:c r="A174" s="25" t="str">
        <x:v>EEZ_016</x:v>
      </x:c>
      <x:c r="B174" s="25" t="str">
        <x:v>American Samoa</x:v>
      </x:c>
      <x:c r="C174" s="25" t="str">
        <x:v>EEZ</x:v>
      </x:c>
      <x:c r="D174" s="31" t="n">
        <x:v>2019</x:v>
      </x:c>
      <x:c r="E174" s="32" t="n">
        <x:v>5598.672346021601</x:v>
      </x:c>
      <x:c r="F174" s="32" t="n">
        <x:v>5598.672346021601</x:v>
      </x:c>
      <x:c r="G174" s="33" t="n">
        <x:v>0</x:v>
      </x:c>
      <x:c r="H174" s="34" t="n">
        <x:v>1</x:v>
      </x:c>
      <x:c r="I174" s="35" t="n">
        <x:v>109</x:v>
      </x:c>
      <x:c r="J174" s="35" t="n">
        <x:v>109</x:v>
      </x:c>
      <x:c r="K174" s="32" t="n">
        <x:v>11609368.971725864</x:v>
      </x:c>
      <x:c r="L174" s="32" t="n">
        <x:v>11322458.65979737</x:v>
      </x:c>
      <x:c r="M174" s="32" t="n">
        <x:v>11341339.862241525</x:v>
      </x:c>
      <x:c r="N174" s="34" t="n">
        <x:v>0.0001747289107596261</x:v>
      </x:c>
      <x:c r="O174" s="35" t="n">
        <x:v>173</x:v>
      </x:c>
      <x:c r="P174" s="34" t="n">
        <x:v>0.9953341022363291</x:v>
      </x:c>
    </x:row>
    <x:row r="175" ht="18" customHeight="1">
      <x:c r="A175" s="25" t="str">
        <x:v>EEZ_197</x:v>
      </x:c>
      <x:c r="B175" s="25" t="str">
        <x:v>Cyprus (North)</x:v>
      </x:c>
      <x:c r="C175" s="25" t="str">
        <x:v>EEZ</x:v>
      </x:c>
      <x:c r="D175" s="31" t="n">
        <x:v>2019</x:v>
      </x:c>
      <x:c r="E175" s="32" t="n">
        <x:v>4715.927611698601</x:v>
      </x:c>
      <x:c r="F175" s="32" t="n">
        <x:v>4715.927611698601</x:v>
      </x:c>
      <x:c r="G175" s="33" t="n">
        <x:v>0</x:v>
      </x:c>
      <x:c r="H175" s="34" t="n">
        <x:v>1</x:v>
      </x:c>
      <x:c r="I175" s="35" t="n">
        <x:v>45</x:v>
      </x:c>
      <x:c r="J175" s="35" t="n">
        <x:v>45</x:v>
      </x:c>
      <x:c r="K175" s="32" t="n">
        <x:v>11569295.26355968</x:v>
      </x:c>
      <x:c r="L175" s="32" t="n">
        <x:v>10868762.794189973</x:v>
      </x:c>
      <x:c r="M175" s="32" t="n">
        <x:v>11028655.177494759</x:v>
      </x:c>
      <x:c r="N175" s="34" t="n">
        <x:v>0.00017412577415547222</x:v>
      </x:c>
      <x:c r="O175" s="35" t="n">
        <x:v>174</x:v>
      </x:c>
      <x:c r="P175" s="34" t="n">
        <x:v>0.9955082280104847</x:v>
      </x:c>
    </x:row>
    <x:row r="176" ht="18" customHeight="1">
      <x:c r="A176" s="25" t="str">
        <x:v>EEZ_155</x:v>
      </x:c>
      <x:c r="B176" s="25" t="str">
        <x:v>Juan Fernandez Islands (Chile)</x:v>
      </x:c>
      <x:c r="C176" s="25" t="str">
        <x:v>EEZ</x:v>
      </x:c>
      <x:c r="D176" s="31" t="n">
        <x:v>2019</x:v>
      </x:c>
      <x:c r="E176" s="32" t="n">
        <x:v>42555.52794494491</x:v>
      </x:c>
      <x:c r="F176" s="32" t="n">
        <x:v>42555.52794494491</x:v>
      </x:c>
      <x:c r="G176" s="33" t="n">
        <x:v>0</x:v>
      </x:c>
      <x:c r="H176" s="34" t="n">
        <x:v>1</x:v>
      </x:c>
      <x:c r="I176" s="35" t="n">
        <x:v>22</x:v>
      </x:c>
      <x:c r="J176" s="35" t="n">
        <x:v>22</x:v>
      </x:c>
      <x:c r="K176" s="32" t="n">
        <x:v>10134000.51502535</x:v>
      </x:c>
      <x:c r="L176" s="32" t="n">
        <x:v>9872422.321179826</x:v>
      </x:c>
      <x:c r="M176" s="32" t="n">
        <x:v>9922996.107974112</x:v>
      </x:c>
      <x:c r="N176" s="34" t="n">
        <x:v>0.0001525236105373464</x:v>
      </x:c>
      <x:c r="O176" s="35" t="n">
        <x:v>175</x:v>
      </x:c>
      <x:c r="P176" s="34" t="n">
        <x:v>0.995660751621022</x:v>
      </x:c>
    </x:row>
    <x:row r="177" ht="18" customHeight="1">
      <x:c r="A177" s="25" t="str">
        <x:v>EEZ_949</x:v>
      </x:c>
      <x:c r="B177" s="25" t="str">
        <x:v>Nicaragua (Caribbean)</x:v>
      </x:c>
      <x:c r="C177" s="25" t="str">
        <x:v>EEZ</x:v>
      </x:c>
      <x:c r="D177" s="31" t="n">
        <x:v>2019</x:v>
      </x:c>
      <x:c r="E177" s="32" t="n">
        <x:v>34605.779645753995</x:v>
      </x:c>
      <x:c r="F177" s="32" t="n">
        <x:v>34605.779645753995</x:v>
      </x:c>
      <x:c r="G177" s="33" t="n">
        <x:v>0</x:v>
      </x:c>
      <x:c r="H177" s="34" t="n">
        <x:v>1</x:v>
      </x:c>
      <x:c r="I177" s="35" t="n">
        <x:v>27</x:v>
      </x:c>
      <x:c r="J177" s="35" t="n">
        <x:v>27</x:v>
      </x:c>
      <x:c r="K177" s="32" t="n">
        <x:v>10055225.175638834</x:v>
      </x:c>
      <x:c r="L177" s="32" t="n">
        <x:v>9541946.973488096</x:v>
      </x:c>
      <x:c r="M177" s="32" t="n">
        <x:v>9795688.338512633</x:v>
      </x:c>
      <x:c r="N177" s="34" t="n">
        <x:v>0.00015133798802166546</x:v>
      </x:c>
      <x:c r="O177" s="35" t="n">
        <x:v>176</x:v>
      </x:c>
      <x:c r="P177" s="34" t="n">
        <x:v>0.9958120896090437</x:v>
      </x:c>
    </x:row>
    <x:row r="178" ht="18" customHeight="1">
      <x:c r="A178" s="25" t="str">
        <x:v>EEZ_440</x:v>
      </x:c>
      <x:c r="B178" s="25" t="str">
        <x:v>Lithuania</x:v>
      </x:c>
      <x:c r="C178" s="25" t="str">
        <x:v>EEZ</x:v>
      </x:c>
      <x:c r="D178" s="31" t="n">
        <x:v>2019</x:v>
      </x:c>
      <x:c r="E178" s="32" t="n">
        <x:v>34707.5616911521</x:v>
      </x:c>
      <x:c r="F178" s="32" t="n">
        <x:v>34707.5616911521</x:v>
      </x:c>
      <x:c r="G178" s="33" t="n">
        <x:v>0</x:v>
      </x:c>
      <x:c r="H178" s="34" t="n">
        <x:v>1</x:v>
      </x:c>
      <x:c r="I178" s="35" t="n">
        <x:v>43</x:v>
      </x:c>
      <x:c r="J178" s="35" t="n">
        <x:v>43</x:v>
      </x:c>
      <x:c r="K178" s="32" t="n">
        <x:v>9837795.65518664</x:v>
      </x:c>
      <x:c r="L178" s="32" t="n">
        <x:v>9327889.657551447</x:v>
      </x:c>
      <x:c r="M178" s="32" t="n">
        <x:v>9697324.015540378</x:v>
      </x:c>
      <x:c r="N178" s="34" t="n">
        <x:v>0.0001480655256364897</x:v>
      </x:c>
      <x:c r="O178" s="35" t="n">
        <x:v>177</x:v>
      </x:c>
      <x:c r="P178" s="34" t="n">
        <x:v>0.9959601551346802</x:v>
      </x:c>
    </x:row>
    <x:row r="179" ht="18" customHeight="1">
      <x:c r="A179" s="25" t="str">
        <x:v>EEZ_846</x:v>
      </x:c>
      <x:c r="B179" s="25" t="str">
        <x:v>Howland &amp; Baker Isl. (USA)</x:v>
      </x:c>
      <x:c r="C179" s="25" t="str">
        <x:v>EEZ</x:v>
      </x:c>
      <x:c r="D179" s="31" t="n">
        <x:v>2019</x:v>
      </x:c>
      <x:c r="E179" s="32" t="n">
        <x:v>4352.1546382121005</x:v>
      </x:c>
      <x:c r="F179" s="32" t="n">
        <x:v>4352.1546382121005</x:v>
      </x:c>
      <x:c r="G179" s="33" t="n">
        <x:v>0</x:v>
      </x:c>
      <x:c r="H179" s="34" t="n">
        <x:v>1</x:v>
      </x:c>
      <x:c r="I179" s="35" t="n">
        <x:v>18</x:v>
      </x:c>
      <x:c r="J179" s="35" t="n">
        <x:v>18</x:v>
      </x:c>
      <x:c r="K179" s="32" t="n">
        <x:v>9583004.046822514</x:v>
      </x:c>
      <x:c r="L179" s="32" t="n">
        <x:v>9506637.802266642</x:v>
      </x:c>
      <x:c r="M179" s="32" t="n">
        <x:v>9477228.694487184</x:v>
      </x:c>
      <x:c r="N179" s="34" t="n">
        <x:v>0.00014423073837900978</x:v>
      </x:c>
      <x:c r="O179" s="35" t="n">
        <x:v>178</x:v>
      </x:c>
      <x:c r="P179" s="34" t="n">
        <x:v>0.9961043858730592</x:v>
      </x:c>
    </x:row>
    <x:row r="180" ht="18" customHeight="1">
      <x:c r="A180" s="25" t="str">
        <x:v>EEZ_096</x:v>
      </x:c>
      <x:c r="B180" s="25" t="str">
        <x:v>Brunei Darussalam</x:v>
      </x:c>
      <x:c r="C180" s="25" t="str">
        <x:v>EEZ</x:v>
      </x:c>
      <x:c r="D180" s="31" t="n">
        <x:v>2019</x:v>
      </x:c>
      <x:c r="E180" s="32" t="n">
        <x:v>16692.4609859602</x:v>
      </x:c>
      <x:c r="F180" s="32" t="n">
        <x:v>16692.4609859602</x:v>
      </x:c>
      <x:c r="G180" s="33" t="n">
        <x:v>0</x:v>
      </x:c>
      <x:c r="H180" s="34" t="n">
        <x:v>1</x:v>
      </x:c>
      <x:c r="I180" s="35" t="n">
        <x:v>97</x:v>
      </x:c>
      <x:c r="J180" s="35" t="n">
        <x:v>97</x:v>
      </x:c>
      <x:c r="K180" s="32" t="n">
        <x:v>9457192.928452253</x:v>
      </x:c>
      <x:c r="L180" s="32" t="n">
        <x:v>6450698.669000201</x:v>
      </x:c>
      <x:c r="M180" s="32" t="n">
        <x:v>7752166.790152376</x:v>
      </x:c>
      <x:c r="N180" s="34" t="n">
        <x:v>0.00014233719535114802</x:v>
      </x:c>
      <x:c r="O180" s="35" t="n">
        <x:v>179</x:v>
      </x:c>
      <x:c r="P180" s="34" t="n">
        <x:v>0.9962467230684103</x:v>
      </x:c>
    </x:row>
    <x:row r="181" ht="18" customHeight="1">
      <x:c r="A181" s="25" t="str">
        <x:v>EEZ_251</x:v>
      </x:c>
      <x:c r="B181" s="25" t="str">
        <x:v>Mozambique Channel Isl. (France)</x:v>
      </x:c>
      <x:c r="C181" s="25" t="str">
        <x:v>EEZ</x:v>
      </x:c>
      <x:c r="D181" s="31" t="n">
        <x:v>2019</x:v>
      </x:c>
      <x:c r="E181" s="32" t="n">
        <x:v>3801.8421879604</x:v>
      </x:c>
      <x:c r="F181" s="32" t="n">
        <x:v>3801.8421879604</x:v>
      </x:c>
      <x:c r="G181" s="33" t="n">
        <x:v>0</x:v>
      </x:c>
      <x:c r="H181" s="34" t="n">
        <x:v>1</x:v>
      </x:c>
      <x:c r="I181" s="35" t="n">
        <x:v>27</x:v>
      </x:c>
      <x:c r="J181" s="35" t="n">
        <x:v>27</x:v>
      </x:c>
      <x:c r="K181" s="32" t="n">
        <x:v>9217280.300397815</x:v>
      </x:c>
      <x:c r="L181" s="32" t="n">
        <x:v>9145338.936293395</x:v>
      </x:c>
      <x:c r="M181" s="32" t="n">
        <x:v>9129597.461660808</x:v>
      </x:c>
      <x:c r="N181" s="34" t="n">
        <x:v>0.00013872634688216363</x:v>
      </x:c>
      <x:c r="O181" s="35" t="n">
        <x:v>180</x:v>
      </x:c>
      <x:c r="P181" s="34" t="n">
        <x:v>0.9963854494152925</x:v>
      </x:c>
    </x:row>
    <x:row r="182" ht="18" customHeight="1">
      <x:c r="A182" s="25" t="str">
        <x:v>EEZ_048</x:v>
      </x:c>
      <x:c r="B182" s="25" t="str">
        <x:v>Bahrain</x:v>
      </x:c>
      <x:c r="C182" s="25" t="str">
        <x:v>EEZ</x:v>
      </x:c>
      <x:c r="D182" s="31" t="n">
        <x:v>2019</x:v>
      </x:c>
      <x:c r="E182" s="32" t="n">
        <x:v>40820.826476502996</x:v>
      </x:c>
      <x:c r="F182" s="32" t="n">
        <x:v>40820.826476502996</x:v>
      </x:c>
      <x:c r="G182" s="33" t="n">
        <x:v>0</x:v>
      </x:c>
      <x:c r="H182" s="34" t="n">
        <x:v>1</x:v>
      </x:c>
      <x:c r="I182" s="35" t="n">
        <x:v>55</x:v>
      </x:c>
      <x:c r="J182" s="35" t="n">
        <x:v>55</x:v>
      </x:c>
      <x:c r="K182" s="32" t="n">
        <x:v>9187447.205934381</x:v>
      </x:c>
      <x:c r="L182" s="32" t="n">
        <x:v>5932186.718613792</x:v>
      </x:c>
      <x:c r="M182" s="32" t="n">
        <x:v>7932052.627750317</x:v>
      </x:c>
      <x:c r="N182" s="34" t="n">
        <x:v>0.00013827733848964204</x:v>
      </x:c>
      <x:c r="O182" s="35" t="n">
        <x:v>181</x:v>
      </x:c>
      <x:c r="P182" s="34" t="n">
        <x:v>0.9965237267537821</x:v>
      </x:c>
    </x:row>
    <x:row r="183" ht="18" customHeight="1">
      <x:c r="A183" s="25" t="str">
        <x:v>EEZ_414</x:v>
      </x:c>
      <x:c r="B183" s="25" t="str">
        <x:v>Kuwait</x:v>
      </x:c>
      <x:c r="C183" s="25" t="str">
        <x:v>EEZ</x:v>
      </x:c>
      <x:c r="D183" s="31" t="n">
        <x:v>2019</x:v>
      </x:c>
      <x:c r="E183" s="32" t="n">
        <x:v>23587.724537113005</x:v>
      </x:c>
      <x:c r="F183" s="32" t="n">
        <x:v>23587.724537113005</x:v>
      </x:c>
      <x:c r="G183" s="33" t="n">
        <x:v>0</x:v>
      </x:c>
      <x:c r="H183" s="34" t="n">
        <x:v>1</x:v>
      </x:c>
      <x:c r="I183" s="35" t="n">
        <x:v>22</x:v>
      </x:c>
      <x:c r="J183" s="35" t="n">
        <x:v>22</x:v>
      </x:c>
      <x:c r="K183" s="32" t="n">
        <x:v>8850802.026816877</x:v>
      </x:c>
      <x:c r="L183" s="32" t="n">
        <x:v>8234956.306908464</x:v>
      </x:c>
      <x:c r="M183" s="32" t="n">
        <x:v>8613150.653751288</x:v>
      </x:c>
      <x:c r="N183" s="34" t="n">
        <x:v>0.00013321059923766904</x:v>
      </x:c>
      <x:c r="O183" s="35" t="n">
        <x:v>182</x:v>
      </x:c>
      <x:c r="P183" s="34" t="n">
        <x:v>0.9966569373530197</x:v>
      </x:c>
    </x:row>
    <x:row r="184" ht="18" customHeight="1">
      <x:c r="A184" s="25" t="str">
        <x:v>EEZ_111</x:v>
      </x:c>
      <x:c r="B184" s="25" t="str">
        <x:v>Eritrea</x:v>
      </x:c>
      <x:c r="C184" s="25" t="str">
        <x:v>EEZ</x:v>
      </x:c>
      <x:c r="D184" s="31" t="n">
        <x:v>2019</x:v>
      </x:c>
      <x:c r="E184" s="32" t="n">
        <x:v>10673.441493973301</x:v>
      </x:c>
      <x:c r="F184" s="32" t="n">
        <x:v>10673.441493973301</x:v>
      </x:c>
      <x:c r="G184" s="33" t="n">
        <x:v>0</x:v>
      </x:c>
      <x:c r="H184" s="34" t="n">
        <x:v>1</x:v>
      </x:c>
      <x:c r="I184" s="35" t="n">
        <x:v>58</x:v>
      </x:c>
      <x:c r="J184" s="35" t="n">
        <x:v>58</x:v>
      </x:c>
      <x:c r="K184" s="32" t="n">
        <x:v>8796685.401941154</x:v>
      </x:c>
      <x:c r="L184" s="32" t="n">
        <x:v>2898023.2958751377</x:v>
      </x:c>
      <x:c r="M184" s="32" t="n">
        <x:v>6605497.291251106</x:v>
      </x:c>
      <x:c r="N184" s="34" t="n">
        <x:v>0.00013239610717168755</x:v>
      </x:c>
      <x:c r="O184" s="35" t="n">
        <x:v>183</x:v>
      </x:c>
      <x:c r="P184" s="34" t="n">
        <x:v>0.9967893334601915</x:v>
      </x:c>
    </x:row>
    <x:row r="185" ht="18" customHeight="1">
      <x:c r="A185" s="25" t="str">
        <x:v>EEZ_845</x:v>
      </x:c>
      <x:c r="B185" s="25" t="str">
        <x:v>Jarvis Isl. (USA)</x:v>
      </x:c>
      <x:c r="C185" s="25" t="str">
        <x:v>EEZ</x:v>
      </x:c>
      <x:c r="D185" s="31" t="n">
        <x:v>2019</x:v>
      </x:c>
      <x:c r="E185" s="32" t="n">
        <x:v>3423.5308595899996</x:v>
      </x:c>
      <x:c r="F185" s="32" t="n">
        <x:v>3423.5308595899996</x:v>
      </x:c>
      <x:c r="G185" s="33" t="n">
        <x:v>0</x:v>
      </x:c>
      <x:c r="H185" s="34" t="n">
        <x:v>1</x:v>
      </x:c>
      <x:c r="I185" s="35" t="n">
        <x:v>17</x:v>
      </x:c>
      <x:c r="J185" s="35" t="n">
        <x:v>17</x:v>
      </x:c>
      <x:c r="K185" s="32" t="n">
        <x:v>7929382.82878491</x:v>
      </x:c>
      <x:c r="L185" s="32" t="n">
        <x:v>7877968.920842708</x:v>
      </x:c>
      <x:c r="M185" s="32" t="n">
        <x:v>7884666.365376899</x:v>
      </x:c>
      <x:c r="N185" s="34" t="n">
        <x:v>0.00011934261268153156</x:v>
      </x:c>
      <x:c r="O185" s="35" t="n">
        <x:v>184</x:v>
      </x:c>
      <x:c r="P185" s="34" t="n">
        <x:v>0.996908676072873</x:v>
      </x:c>
    </x:row>
    <x:row r="186" ht="18" customHeight="1">
      <x:c r="A186" s="25" t="str">
        <x:v>EEZ_906</x:v>
      </x:c>
      <x:c r="B186" s="25" t="str">
        <x:v>Curaçao (Netherlands)</x:v>
      </x:c>
      <x:c r="C186" s="25" t="str">
        <x:v>EEZ</x:v>
      </x:c>
      <x:c r="D186" s="31" t="n">
        <x:v>2019</x:v>
      </x:c>
      <x:c r="E186" s="32" t="n">
        <x:v>4837.787794606899</x:v>
      </x:c>
      <x:c r="F186" s="32" t="n">
        <x:v>4837.787794606899</x:v>
      </x:c>
      <x:c r="G186" s="33" t="n">
        <x:v>0</x:v>
      </x:c>
      <x:c r="H186" s="34" t="n">
        <x:v>1</x:v>
      </x:c>
      <x:c r="I186" s="35" t="n">
        <x:v>37</x:v>
      </x:c>
      <x:c r="J186" s="35" t="n">
        <x:v>37</x:v>
      </x:c>
      <x:c r="K186" s="32" t="n">
        <x:v>7826249.292403802</x:v>
      </x:c>
      <x:c r="L186" s="32" t="n">
        <x:v>7745679.6449990645</x:v>
      </x:c>
      <x:c r="M186" s="32" t="n">
        <x:v>7707048.136192446</x:v>
      </x:c>
      <x:c r="N186" s="34" t="n">
        <x:v>0.00011779038270946787</x:v>
      </x:c>
      <x:c r="O186" s="35" t="n">
        <x:v>185</x:v>
      </x:c>
      <x:c r="P186" s="34" t="n">
        <x:v>0.9970264664555825</x:v>
      </x:c>
    </x:row>
    <x:row r="187" ht="18" customHeight="1">
      <x:c r="A187" s="25" t="str">
        <x:v>EEZ_830</x:v>
      </x:c>
      <x:c r="B187" s="25" t="str">
        <x:v>Channel Isl. (UK)</x:v>
      </x:c>
      <x:c r="C187" s="25" t="str">
        <x:v>EEZ</x:v>
      </x:c>
      <x:c r="D187" s="31" t="n">
        <x:v>2019</x:v>
      </x:c>
      <x:c r="E187" s="32" t="n">
        <x:v>13336.3851663309</x:v>
      </x:c>
      <x:c r="F187" s="32" t="n">
        <x:v>13336.3851663309</x:v>
      </x:c>
      <x:c r="G187" s="33" t="n">
        <x:v>0</x:v>
      </x:c>
      <x:c r="H187" s="34" t="n">
        <x:v>1</x:v>
      </x:c>
      <x:c r="I187" s="35" t="n">
        <x:v>263</x:v>
      </x:c>
      <x:c r="J187" s="35" t="n">
        <x:v>263</x:v>
      </x:c>
      <x:c r="K187" s="32" t="n">
        <x:v>7600928.524628068</x:v>
      </x:c>
      <x:c r="L187" s="32" t="n">
        <x:v>4776585.493115955</x:v>
      </x:c>
      <x:c r="M187" s="32" t="n">
        <x:v>5751505.527055379</x:v>
      </x:c>
      <x:c r="N187" s="34" t="n">
        <x:v>0.00011439915167694054</x:v>
      </x:c>
      <x:c r="O187" s="35" t="n">
        <x:v>186</x:v>
      </x:c>
      <x:c r="P187" s="34" t="n">
        <x:v>0.9971408656072593</x:v>
      </x:c>
    </x:row>
    <x:row r="188" ht="18" customHeight="1">
      <x:c r="A188" s="25" t="str">
        <x:v>EEZ_308</x:v>
      </x:c>
      <x:c r="B188" s="25" t="str">
        <x:v>Grenada</x:v>
      </x:c>
      <x:c r="C188" s="25" t="str">
        <x:v>EEZ</x:v>
      </x:c>
      <x:c r="D188" s="31" t="n">
        <x:v>2019</x:v>
      </x:c>
      <x:c r="E188" s="32" t="n">
        <x:v>3717.1043054865995</x:v>
      </x:c>
      <x:c r="F188" s="32" t="n">
        <x:v>3717.1043054865995</x:v>
      </x:c>
      <x:c r="G188" s="33" t="n">
        <x:v>0</x:v>
      </x:c>
      <x:c r="H188" s="34" t="n">
        <x:v>1</x:v>
      </x:c>
      <x:c r="I188" s="35" t="n">
        <x:v>60</x:v>
      </x:c>
      <x:c r="J188" s="35" t="n">
        <x:v>60</x:v>
      </x:c>
      <x:c r="K188" s="32" t="n">
        <x:v>7313275.919097777</x:v>
      </x:c>
      <x:c r="L188" s="32" t="n">
        <x:v>6585721.149872309</x:v>
      </x:c>
      <x:c r="M188" s="32" t="n">
        <x:v>7228573.0042002555</x:v>
      </x:c>
      <x:c r="N188" s="34" t="n">
        <x:v>0.00011006978402880347</x:v>
      </x:c>
      <x:c r="O188" s="35" t="n">
        <x:v>187</x:v>
      </x:c>
      <x:c r="P188" s="34" t="n">
        <x:v>0.9972509353912882</x:v>
      </x:c>
    </x:row>
    <x:row r="189" ht="18" customHeight="1">
      <x:c r="A189" s="25" t="str">
        <x:v>EEZ_153</x:v>
      </x:c>
      <x:c r="B189" s="25" t="str">
        <x:v>Easter Isl. (Chile)</x:v>
      </x:c>
      <x:c r="C189" s="25" t="str">
        <x:v>EEZ</x:v>
      </x:c>
      <x:c r="D189" s="31" t="n">
        <x:v>2019</x:v>
      </x:c>
      <x:c r="E189" s="32" t="n">
        <x:v>3582.4039295135995</x:v>
      </x:c>
      <x:c r="F189" s="32" t="n">
        <x:v>3582.4039295135995</x:v>
      </x:c>
      <x:c r="G189" s="33" t="n">
        <x:v>0</x:v>
      </x:c>
      <x:c r="H189" s="34" t="n">
        <x:v>1</x:v>
      </x:c>
      <x:c r="I189" s="35" t="n">
        <x:v>36</x:v>
      </x:c>
      <x:c r="J189" s="35" t="n">
        <x:v>36</x:v>
      </x:c>
      <x:c r="K189" s="32" t="n">
        <x:v>7297323.667236304</x:v>
      </x:c>
      <x:c r="L189" s="32" t="n">
        <x:v>6917234.642278184</x:v>
      </x:c>
      <x:c r="M189" s="32" t="n">
        <x:v>6957741.323394586</x:v>
      </x:c>
      <x:c r="N189" s="34" t="n">
        <x:v>0.00010982969177239343</x:v>
      </x:c>
      <x:c r="O189" s="35" t="n">
        <x:v>188</x:v>
      </x:c>
      <x:c r="P189" s="34" t="n">
        <x:v>0.9973607650830606</x:v>
      </x:c>
    </x:row>
    <x:row r="190" ht="18" customHeight="1">
      <x:c r="A190" s="25" t="str">
        <x:v>EEZ_915</x:v>
      </x:c>
      <x:c r="B190" s="25" t="str">
        <x:v>Sweden (West Coast)</x:v>
      </x:c>
      <x:c r="C190" s="25" t="str">
        <x:v>EEZ</x:v>
      </x:c>
      <x:c r="D190" s="31" t="n">
        <x:v>2019</x:v>
      </x:c>
      <x:c r="E190" s="32" t="n">
        <x:v>14482.041987962604</x:v>
      </x:c>
      <x:c r="F190" s="32" t="n">
        <x:v>14482.041987962604</x:v>
      </x:c>
      <x:c r="G190" s="33" t="n">
        <x:v>0</x:v>
      </x:c>
      <x:c r="H190" s="34" t="n">
        <x:v>1</x:v>
      </x:c>
      <x:c r="I190" s="35" t="n">
        <x:v>117</x:v>
      </x:c>
      <x:c r="J190" s="35" t="n">
        <x:v>117</x:v>
      </x:c>
      <x:c r="K190" s="32" t="n">
        <x:v>7256163.265204381</x:v>
      </x:c>
      <x:c r="L190" s="32" t="n">
        <x:v>6314670.509263973</x:v>
      </x:c>
      <x:c r="M190" s="32" t="n">
        <x:v>6783703.22676787</x:v>
      </x:c>
      <x:c r="N190" s="34" t="n">
        <x:v>0.00010921019968535737</x:v>
      </x:c>
      <x:c r="O190" s="35" t="n">
        <x:v>189</x:v>
      </x:c>
      <x:c r="P190" s="34" t="n">
        <x:v>0.997469975282746</x:v>
      </x:c>
    </x:row>
    <x:row r="191" ht="18" customHeight="1">
      <x:c r="A191" s="25" t="str">
        <x:v>EEZ_921</x:v>
      </x:c>
      <x:c r="B191" s="25" t="str">
        <x:v>Honduras (Caribbean)</x:v>
      </x:c>
      <x:c r="C191" s="25" t="str">
        <x:v>EEZ</x:v>
      </x:c>
      <x:c r="D191" s="31" t="n">
        <x:v>2019</x:v>
      </x:c>
      <x:c r="E191" s="32" t="n">
        <x:v>21241.895209552</x:v>
      </x:c>
      <x:c r="F191" s="32" t="n">
        <x:v>21241.895209552</x:v>
      </x:c>
      <x:c r="G191" s="33" t="n">
        <x:v>0</x:v>
      </x:c>
      <x:c r="H191" s="34" t="n">
        <x:v>1</x:v>
      </x:c>
      <x:c r="I191" s="35" t="n">
        <x:v>88</x:v>
      </x:c>
      <x:c r="J191" s="35" t="n">
        <x:v>88</x:v>
      </x:c>
      <x:c r="K191" s="32" t="n">
        <x:v>7201096.133289953</x:v>
      </x:c>
      <x:c r="L191" s="32" t="n">
        <x:v>5339937.558466862</x:v>
      </x:c>
      <x:c r="M191" s="32" t="n">
        <x:v>5975624.65757964</x:v>
      </x:c>
      <x:c r="N191" s="34" t="n">
        <x:v>0.00010838140184100439</x:v>
      </x:c>
      <x:c r="O191" s="35" t="n">
        <x:v>190</x:v>
      </x:c>
      <x:c r="P191" s="34" t="n">
        <x:v>0.9975783566845869</x:v>
      </x:c>
    </x:row>
    <x:row r="192" ht="18" customHeight="1">
      <x:c r="A192" s="25" t="str">
        <x:v>EEZ_626</x:v>
      </x:c>
      <x:c r="B192" s="25" t="str">
        <x:v>Timor Leste</x:v>
      </x:c>
      <x:c r="C192" s="25" t="str">
        <x:v>EEZ</x:v>
      </x:c>
      <x:c r="D192" s="31" t="n">
        <x:v>2019</x:v>
      </x:c>
      <x:c r="E192" s="32" t="n">
        <x:v>6740.4405352820995</x:v>
      </x:c>
      <x:c r="F192" s="32" t="n">
        <x:v>6740.4405352820995</x:v>
      </x:c>
      <x:c r="G192" s="33" t="n">
        <x:v>0</x:v>
      </x:c>
      <x:c r="H192" s="34" t="n">
        <x:v>1</x:v>
      </x:c>
      <x:c r="I192" s="35" t="n">
        <x:v>28</x:v>
      </x:c>
      <x:c r="J192" s="35" t="n">
        <x:v>28</x:v>
      </x:c>
      <x:c r="K192" s="32" t="n">
        <x:v>7104836.656840956</x:v>
      </x:c>
      <x:c r="L192" s="32" t="n">
        <x:v>5825364.341053546</x:v>
      </x:c>
      <x:c r="M192" s="32" t="n">
        <x:v>6128911.235511971</x:v>
      </x:c>
      <x:c r="N192" s="34" t="n">
        <x:v>0.00010693263115319286</x:v>
      </x:c>
      <x:c r="O192" s="35" t="n">
        <x:v>191</x:v>
      </x:c>
      <x:c r="P192" s="34" t="n">
        <x:v>0.9976852893157402</x:v>
      </x:c>
    </x:row>
    <x:row r="193" ht="18" customHeight="1">
      <x:c r="A193" s="25" t="str">
        <x:v>EEZ_368</x:v>
      </x:c>
      <x:c r="B193" s="25" t="str">
        <x:v>Iraq</x:v>
      </x:c>
      <x:c r="C193" s="25" t="str">
        <x:v>EEZ</x:v>
      </x:c>
      <x:c r="D193" s="31" t="n">
        <x:v>2019</x:v>
      </x:c>
      <x:c r="E193" s="32" t="n">
        <x:v>17378.277221609</x:v>
      </x:c>
      <x:c r="F193" s="32" t="n">
        <x:v>17378.277221609</x:v>
      </x:c>
      <x:c r="G193" s="33" t="n">
        <x:v>0</x:v>
      </x:c>
      <x:c r="H193" s="34" t="n">
        <x:v>1</x:v>
      </x:c>
      <x:c r="I193" s="35" t="n">
        <x:v>50</x:v>
      </x:c>
      <x:c r="J193" s="35" t="n">
        <x:v>50</x:v>
      </x:c>
      <x:c r="K193" s="32" t="n">
        <x:v>6545752.48582018</x:v>
      </x:c>
      <x:c r="L193" s="32" t="n">
        <x:v>2297231.475028478</x:v>
      </x:c>
      <x:c r="M193" s="32" t="n">
        <x:v>3443843.0572204525</x:v>
      </x:c>
      <x:c r="N193" s="34" t="n">
        <x:v>0.00009851803355849807</x:v>
      </x:c>
      <x:c r="O193" s="35" t="n">
        <x:v>192</x:v>
      </x:c>
      <x:c r="P193" s="34" t="n">
        <x:v>0.9977838073492986</x:v>
      </x:c>
    </x:row>
    <x:row r="194" ht="18" customHeight="1">
      <x:c r="A194" s="25" t="str">
        <x:v>EEZ_262</x:v>
      </x:c>
      <x:c r="B194" s="25" t="str">
        <x:v>Djibouti</x:v>
      </x:c>
      <x:c r="C194" s="25" t="str">
        <x:v>EEZ</x:v>
      </x:c>
      <x:c r="D194" s="31" t="n">
        <x:v>2019</x:v>
      </x:c>
      <x:c r="E194" s="32" t="n">
        <x:v>3605.053587344</x:v>
      </x:c>
      <x:c r="F194" s="32" t="n">
        <x:v>3605.053587344</x:v>
      </x:c>
      <x:c r="G194" s="33" t="n">
        <x:v>0</x:v>
      </x:c>
      <x:c r="H194" s="34" t="n">
        <x:v>1</x:v>
      </x:c>
      <x:c r="I194" s="35" t="n">
        <x:v>41</x:v>
      </x:c>
      <x:c r="J194" s="35" t="n">
        <x:v>41</x:v>
      </x:c>
      <x:c r="K194" s="32" t="n">
        <x:v>6543782.7076633</x:v>
      </x:c>
      <x:c r="L194" s="32" t="n">
        <x:v>5472646.548147077</x:v>
      </x:c>
      <x:c r="M194" s="32" t="n">
        <x:v>5937417.360052854</x:v>
      </x:c>
      <x:c r="N194" s="34" t="n">
        <x:v>0.00009848838705552036</x:v>
      </x:c>
      <x:c r="O194" s="35" t="n">
        <x:v>193</x:v>
      </x:c>
      <x:c r="P194" s="34" t="n">
        <x:v>0.9978822957363541</x:v>
      </x:c>
    </x:row>
    <x:row r="195" ht="18" customHeight="1">
      <x:c r="A195" s="25" t="str">
        <x:v>EEZ_344</x:v>
      </x:c>
      <x:c r="B195" s="25" t="str">
        <x:v>Hong Kong (China)</x:v>
      </x:c>
      <x:c r="C195" s="25" t="str">
        <x:v>EEZ</x:v>
      </x:c>
      <x:c r="D195" s="31" t="n">
        <x:v>2019</x:v>
      </x:c>
      <x:c r="E195" s="32" t="n">
        <x:v>13460.850930421202</x:v>
      </x:c>
      <x:c r="F195" s="32" t="n">
        <x:v>13460.850930421202</x:v>
      </x:c>
      <x:c r="G195" s="33" t="n">
        <x:v>0</x:v>
      </x:c>
      <x:c r="H195" s="34" t="n">
        <x:v>1</x:v>
      </x:c>
      <x:c r="I195" s="35" t="n">
        <x:v>49</x:v>
      </x:c>
      <x:c r="J195" s="35" t="n">
        <x:v>49</x:v>
      </x:c>
      <x:c r="K195" s="32" t="n">
        <x:v>5045326.844836413</x:v>
      </x:c>
      <x:c r="L195" s="32" t="n">
        <x:v>3532998.8063877104</x:v>
      </x:c>
      <x:c r="M195" s="32" t="n">
        <x:v>4545123.895361967</x:v>
      </x:c>
      <x:c r="N195" s="34" t="n">
        <x:v>0.00007593560564502526</x:v>
      </x:c>
      <x:c r="O195" s="35" t="n">
        <x:v>194</x:v>
      </x:c>
      <x:c r="P195" s="34" t="n">
        <x:v>0.9979582313419992</x:v>
      </x:c>
    </x:row>
    <x:row r="196" ht="18" customHeight="1">
      <x:c r="A196" s="25" t="str">
        <x:v>EEZ_100</x:v>
      </x:c>
      <x:c r="B196" s="25" t="str">
        <x:v>Bulgaria</x:v>
      </x:c>
      <x:c r="C196" s="25" t="str">
        <x:v>EEZ</x:v>
      </x:c>
      <x:c r="D196" s="31" t="n">
        <x:v>2019</x:v>
      </x:c>
      <x:c r="E196" s="32" t="n">
        <x:v>17051.512653486603</x:v>
      </x:c>
      <x:c r="F196" s="32" t="n">
        <x:v>17051.512653486603</x:v>
      </x:c>
      <x:c r="G196" s="33" t="n">
        <x:v>0</x:v>
      </x:c>
      <x:c r="H196" s="34" t="n">
        <x:v>1</x:v>
      </x:c>
      <x:c r="I196" s="35" t="n">
        <x:v>34</x:v>
      </x:c>
      <x:c r="J196" s="35" t="n">
        <x:v>34</x:v>
      </x:c>
      <x:c r="K196" s="32" t="n">
        <x:v>4947572.629646991</x:v>
      </x:c>
      <x:c r="L196" s="32" t="n">
        <x:v>4299706.83993417</x:v>
      </x:c>
      <x:c r="M196" s="32" t="n">
        <x:v>4900919.807556647</x:v>
      </x:c>
      <x:c r="N196" s="34" t="n">
        <x:v>0.00007446433812102731</x:v>
      </x:c>
      <x:c r="O196" s="35" t="n">
        <x:v>195</x:v>
      </x:c>
      <x:c r="P196" s="34" t="n">
        <x:v>0.9980326956801202</x:v>
      </x:c>
    </x:row>
    <x:row r="197" ht="18" customHeight="1">
      <x:c r="A197" s="25" t="str">
        <x:v>EEZ_254</x:v>
      </x:c>
      <x:c r="B197" s="25" t="str">
        <x:v>French Guiana</x:v>
      </x:c>
      <x:c r="C197" s="25" t="str">
        <x:v>EEZ</x:v>
      </x:c>
      <x:c r="D197" s="31" t="n">
        <x:v>2019</x:v>
      </x:c>
      <x:c r="E197" s="32" t="n">
        <x:v>6463.6550972397</x:v>
      </x:c>
      <x:c r="F197" s="32" t="n">
        <x:v>6463.6550972397</x:v>
      </x:c>
      <x:c r="G197" s="33" t="n">
        <x:v>0</x:v>
      </x:c>
      <x:c r="H197" s="34" t="n">
        <x:v>1</x:v>
      </x:c>
      <x:c r="I197" s="35" t="n">
        <x:v>65</x:v>
      </x:c>
      <x:c r="J197" s="35" t="n">
        <x:v>65</x:v>
      </x:c>
      <x:c r="K197" s="32" t="n">
        <x:v>4898958.650204303</x:v>
      </x:c>
      <x:c r="L197" s="32" t="n">
        <x:v>3759036.2749106656</x:v>
      </x:c>
      <x:c r="M197" s="32" t="n">
        <x:v>3968148.359222739</x:v>
      </x:c>
      <x:c r="N197" s="34" t="n">
        <x:v>0.00007373266461694631</x:v>
      </x:c>
      <x:c r="O197" s="35" t="n">
        <x:v>196</x:v>
      </x:c>
      <x:c r="P197" s="34" t="n">
        <x:v>0.9981064283447372</x:v>
      </x:c>
    </x:row>
    <x:row r="198" ht="18" customHeight="1">
      <x:c r="A198" s="25" t="str">
        <x:v>EEZ_910</x:v>
      </x:c>
      <x:c r="B198" s="25" t="str">
        <x:v>South Orkney Islands (UK)</x:v>
      </x:c>
      <x:c r="C198" s="25" t="str">
        <x:v>EEZ</x:v>
      </x:c>
      <x:c r="D198" s="31" t="n">
        <x:v>2019</x:v>
      </x:c>
      <x:c r="E198" s="32" t="n">
        <x:v>267149.7089344195</x:v>
      </x:c>
      <x:c r="F198" s="32" t="n">
        <x:v>267149.7089344195</x:v>
      </x:c>
      <x:c r="G198" s="33" t="n">
        <x:v>0</x:v>
      </x:c>
      <x:c r="H198" s="34" t="n">
        <x:v>1</x:v>
      </x:c>
      <x:c r="I198" s="35" t="n">
        <x:v>30</x:v>
      </x:c>
      <x:c r="J198" s="35" t="n">
        <x:v>30</x:v>
      </x:c>
      <x:c r="K198" s="32" t="n">
        <x:v>4841842.867915373</x:v>
      </x:c>
      <x:c r="L198" s="32" t="n">
        <x:v>4829985.802878814</x:v>
      </x:c>
      <x:c r="M198" s="32" t="n">
        <x:v>4841801.612785952</x:v>
      </x:c>
      <x:c r="N198" s="34" t="n">
        <x:v>0.00007287303318901651</x:v>
      </x:c>
      <x:c r="O198" s="35" t="n">
        <x:v>197</x:v>
      </x:c>
      <x:c r="P198" s="34" t="n">
        <x:v>0.9981793013779262</x:v>
      </x:c>
    </x:row>
    <x:row r="199" ht="18" customHeight="1">
      <x:c r="A199" s="25" t="str">
        <x:v>EEZ_897</x:v>
      </x:c>
      <x:c r="B199" s="25" t="str">
        <x:v>Kerguelen Isl. (France)</x:v>
      </x:c>
      <x:c r="C199" s="25" t="str">
        <x:v>EEZ</x:v>
      </x:c>
      <x:c r="D199" s="31" t="n">
        <x:v>2019</x:v>
      </x:c>
      <x:c r="E199" s="32" t="n">
        <x:v>5596.068903000001</x:v>
      </x:c>
      <x:c r="F199" s="32" t="n">
        <x:v>5596.068903000001</x:v>
      </x:c>
      <x:c r="G199" s="33" t="n">
        <x:v>0</x:v>
      </x:c>
      <x:c r="H199" s="34" t="n">
        <x:v>1</x:v>
      </x:c>
      <x:c r="I199" s="35" t="n">
        <x:v>6</x:v>
      </x:c>
      <x:c r="J199" s="35" t="n">
        <x:v>6</x:v>
      </x:c>
      <x:c r="K199" s="32" t="n">
        <x:v>4822911.269595499</x:v>
      </x:c>
      <x:c r="L199" s="32" t="n">
        <x:v>4822317.842140515</x:v>
      </x:c>
      <x:c r="M199" s="32" t="n">
        <x:v>4822911.269595504</x:v>
      </x:c>
      <x:c r="N199" s="34" t="n">
        <x:v>0.00007258809973902223</x:v>
      </x:c>
      <x:c r="O199" s="35" t="n">
        <x:v>198</x:v>
      </x:c>
      <x:c r="P199" s="34" t="n">
        <x:v>0.9982518894776652</x:v>
      </x:c>
    </x:row>
    <x:row r="200" ht="18" customHeight="1">
      <x:c r="A200" s="25" t="str">
        <x:v>EEZ_920</x:v>
      </x:c>
      <x:c r="B200" s="25" t="str">
        <x:v>Honduras (Pacific)</x:v>
      </x:c>
      <x:c r="C200" s="25" t="str">
        <x:v>EEZ</x:v>
      </x:c>
      <x:c r="D200" s="31" t="n">
        <x:v>2019</x:v>
      </x:c>
      <x:c r="E200" s="32" t="n">
        <x:v>6195.853813315599</x:v>
      </x:c>
      <x:c r="F200" s="32" t="n">
        <x:v>6195.853813315599</x:v>
      </x:c>
      <x:c r="G200" s="33" t="n">
        <x:v>0</x:v>
      </x:c>
      <x:c r="H200" s="34" t="n">
        <x:v>1</x:v>
      </x:c>
      <x:c r="I200" s="35" t="n">
        <x:v>25</x:v>
      </x:c>
      <x:c r="J200" s="35" t="n">
        <x:v>25</x:v>
      </x:c>
      <x:c r="K200" s="32" t="n">
        <x:v>4673613.720149462</x:v>
      </x:c>
      <x:c r="L200" s="32" t="n">
        <x:v>2891752.9802262196</x:v>
      </x:c>
      <x:c r="M200" s="32" t="n">
        <x:v>3502192.278722067</x:v>
      </x:c>
      <x:c r="N200" s="34" t="n">
        <x:v>0.00007034106992566026</x:v>
      </x:c>
      <x:c r="O200" s="35" t="n">
        <x:v>199</x:v>
      </x:c>
      <x:c r="P200" s="34" t="n">
        <x:v>0.9983222305475908</x:v>
      </x:c>
    </x:row>
    <x:row r="201" ht="18" customHeight="1">
      <x:c r="A201" s="25" t="str">
        <x:v>EEZ_239</x:v>
      </x:c>
      <x:c r="B201" s="25" t="str">
        <x:v>South Georgia &amp; Sandwich Isl. (UK)</x:v>
      </x:c>
      <x:c r="C201" s="25" t="str">
        <x:v>EEZ</x:v>
      </x:c>
      <x:c r="D201" s="31" t="n">
        <x:v>2019</x:v>
      </x:c>
      <x:c r="E201" s="32" t="n">
        <x:v>142823.95840618768</x:v>
      </x:c>
      <x:c r="F201" s="32" t="n">
        <x:v>142823.95840618768</x:v>
      </x:c>
      <x:c r="G201" s="33" t="n">
        <x:v>0</x:v>
      </x:c>
      <x:c r="H201" s="34" t="n">
        <x:v>1</x:v>
      </x:c>
      <x:c r="I201" s="35" t="n">
        <x:v>33</x:v>
      </x:c>
      <x:c r="J201" s="35" t="n">
        <x:v>33</x:v>
      </x:c>
      <x:c r="K201" s="32" t="n">
        <x:v>4624410.7040542485</x:v>
      </x:c>
      <x:c r="L201" s="32" t="n">
        <x:v>4600691.82463027</x:v>
      </x:c>
      <x:c r="M201" s="32" t="n">
        <x:v>4624140.932766819</x:v>
      </x:c>
      <x:c r="N201" s="34" t="n">
        <x:v>0.00006960053101873576</x:v>
      </x:c>
      <x:c r="O201" s="35" t="n">
        <x:v>200</x:v>
      </x:c>
      <x:c r="P201" s="34" t="n">
        <x:v>0.9983918310786096</x:v>
      </x:c>
    </x:row>
    <x:row r="202" ht="18" customHeight="1">
      <x:c r="A202" s="25" t="str">
        <x:v>EEZ_175</x:v>
      </x:c>
      <x:c r="B202" s="25" t="str">
        <x:v>Mayotte (France)</x:v>
      </x:c>
      <x:c r="C202" s="25" t="str">
        <x:v>EEZ</x:v>
      </x:c>
      <x:c r="D202" s="31" t="n">
        <x:v>2019</x:v>
      </x:c>
      <x:c r="E202" s="32" t="n">
        <x:v>2674.2376296267003</x:v>
      </x:c>
      <x:c r="F202" s="32" t="n">
        <x:v>2674.2376296267003</x:v>
      </x:c>
      <x:c r="G202" s="33" t="n">
        <x:v>0</x:v>
      </x:c>
      <x:c r="H202" s="34" t="n">
        <x:v>1</x:v>
      </x:c>
      <x:c r="I202" s="35" t="n">
        <x:v>104</x:v>
      </x:c>
      <x:c r="J202" s="35" t="n">
        <x:v>104</x:v>
      </x:c>
      <x:c r="K202" s="32" t="n">
        <x:v>4420008.906455407</x:v>
      </x:c>
      <x:c r="L202" s="32" t="n">
        <x:v>3744885.6635713265</x:v>
      </x:c>
      <x:c r="M202" s="32" t="n">
        <x:v>4023581.6593649206</x:v>
      </x:c>
      <x:c r="N202" s="34" t="n">
        <x:v>0.00006652414473635149</x:v>
      </x:c>
      <x:c r="O202" s="35" t="n">
        <x:v>201</x:v>
      </x:c>
      <x:c r="P202" s="34" t="n">
        <x:v>0.9984583552233459</x:v>
      </x:c>
    </x:row>
    <x:row r="203" ht="18" customHeight="1">
      <x:c r="A203" s="25" t="str">
        <x:v>EEZ_970</x:v>
      </x:c>
      <x:c r="B203" s="25" t="str">
        <x:v>St Paul and St. Peter Archipelago (Brazil)</x:v>
      </x:c>
      <x:c r="C203" s="25" t="str">
        <x:v>EEZ</x:v>
      </x:c>
      <x:c r="D203" s="31" t="n">
        <x:v>2019</x:v>
      </x:c>
      <x:c r="E203" s="32" t="n">
        <x:v>6274.562444918601</x:v>
      </x:c>
      <x:c r="F203" s="32" t="n">
        <x:v>6274.562444918601</x:v>
      </x:c>
      <x:c r="G203" s="33" t="n">
        <x:v>0</x:v>
      </x:c>
      <x:c r="H203" s="34" t="n">
        <x:v>1</x:v>
      </x:c>
      <x:c r="I203" s="35" t="n">
        <x:v>16</x:v>
      </x:c>
      <x:c r="J203" s="35" t="n">
        <x:v>16</x:v>
      </x:c>
      <x:c r="K203" s="32" t="n">
        <x:v>4397891.451362429</x:v>
      </x:c>
      <x:c r="L203" s="32" t="n">
        <x:v>4385926.956974429</x:v>
      </x:c>
      <x:c r="M203" s="32" t="n">
        <x:v>4364349.855989877</x:v>
      </x:c>
      <x:c r="N203" s="34" t="n">
        <x:v>0.00006619126197187196</x:v>
      </x:c>
      <x:c r="O203" s="35" t="n">
        <x:v>202</x:v>
      </x:c>
      <x:c r="P203" s="34" t="n">
        <x:v>0.9985245464853179</x:v>
      </x:c>
    </x:row>
    <x:row r="204" ht="18" customHeight="1">
      <x:c r="A204" s="25" t="str">
        <x:v>EEZ_422</x:v>
      </x:c>
      <x:c r="B204" s="25" t="str">
        <x:v>Lebanon</x:v>
      </x:c>
      <x:c r="C204" s="25" t="str">
        <x:v>EEZ</x:v>
      </x:c>
      <x:c r="D204" s="31" t="n">
        <x:v>2019</x:v>
      </x:c>
      <x:c r="E204" s="32" t="n">
        <x:v>6487.446754114901</x:v>
      </x:c>
      <x:c r="F204" s="32" t="n">
        <x:v>6487.446754114901</x:v>
      </x:c>
      <x:c r="G204" s="33" t="n">
        <x:v>0</x:v>
      </x:c>
      <x:c r="H204" s="34" t="n">
        <x:v>1</x:v>
      </x:c>
      <x:c r="I204" s="35" t="n">
        <x:v>107</x:v>
      </x:c>
      <x:c r="J204" s="35" t="n">
        <x:v>107</x:v>
      </x:c>
      <x:c r="K204" s="32" t="n">
        <x:v>4354101.235520945</x:v>
      </x:c>
      <x:c r="L204" s="32" t="n">
        <x:v>2964399.180842338</x:v>
      </x:c>
      <x:c r="M204" s="32" t="n">
        <x:v>3901732.118175007</x:v>
      </x:c>
      <x:c r="N204" s="34" t="n">
        <x:v>0.00006553218939570127</x:v>
      </x:c>
      <x:c r="O204" s="35" t="n">
        <x:v>203</x:v>
      </x:c>
      <x:c r="P204" s="34" t="n">
        <x:v>0.9985900786747135</x:v>
      </x:c>
    </x:row>
    <x:row r="205" ht="18" customHeight="1">
      <x:c r="A205" s="25" t="str">
        <x:v>EEZ_977</x:v>
      </x:c>
      <x:c r="B205" s="25" t="str">
        <x:v>Yemen (Socotra)</x:v>
      </x:c>
      <x:c r="C205" s="25" t="str">
        <x:v>EEZ</x:v>
      </x:c>
      <x:c r="D205" s="31" t="n">
        <x:v>2019</x:v>
      </x:c>
      <x:c r="E205" s="32" t="n">
        <x:v>5568.2319259029</x:v>
      </x:c>
      <x:c r="F205" s="32" t="n">
        <x:v>5568.2319259029</x:v>
      </x:c>
      <x:c r="G205" s="33" t="n">
        <x:v>0</x:v>
      </x:c>
      <x:c r="H205" s="34" t="n">
        <x:v>1</x:v>
      </x:c>
      <x:c r="I205" s="35" t="n">
        <x:v>73</x:v>
      </x:c>
      <x:c r="J205" s="35" t="n">
        <x:v>73</x:v>
      </x:c>
      <x:c r="K205" s="32" t="n">
        <x:v>4326547.356832713</x:v>
      </x:c>
      <x:c r="L205" s="32" t="n">
        <x:v>3696362.0147488937</x:v>
      </x:c>
      <x:c r="M205" s="32" t="n">
        <x:v>4055689.3224935452</x:v>
      </x:c>
      <x:c r="N205" s="34" t="n">
        <x:v>0.00006511748475308692</x:v>
      </x:c>
      <x:c r="O205" s="35" t="n">
        <x:v>204</x:v>
      </x:c>
      <x:c r="P205" s="34" t="n">
        <x:v>0.9986551961594666</x:v>
      </x:c>
    </x:row>
    <x:row r="206" ht="18" customHeight="1">
      <x:c r="A206" s="25" t="str">
        <x:v>EEZ_967</x:v>
      </x:c>
      <x:c r="B206" s="25" t="str">
        <x:v>Aruba (Netherlands)</x:v>
      </x:c>
      <x:c r="C206" s="25" t="str">
        <x:v>EEZ</x:v>
      </x:c>
      <x:c r="D206" s="31" t="n">
        <x:v>2019</x:v>
      </x:c>
      <x:c r="E206" s="32" t="n">
        <x:v>2447.9523494379</x:v>
      </x:c>
      <x:c r="F206" s="32" t="n">
        <x:v>2447.9523494379</x:v>
      </x:c>
      <x:c r="G206" s="33" t="n">
        <x:v>0</x:v>
      </x:c>
      <x:c r="H206" s="34" t="n">
        <x:v>1</x:v>
      </x:c>
      <x:c r="I206" s="35" t="n">
        <x:v>63</x:v>
      </x:c>
      <x:c r="J206" s="35" t="n">
        <x:v>63</x:v>
      </x:c>
      <x:c r="K206" s="32" t="n">
        <x:v>4042215.932560779</x:v>
      </x:c>
      <x:c r="L206" s="32" t="n">
        <x:v>3563435.644190549</x:v>
      </x:c>
      <x:c r="M206" s="32" t="n">
        <x:v>3775080.6743692975</x:v>
      </x:c>
      <x:c r="N206" s="34" t="n">
        <x:v>0.000060838103145114604</x:v>
      </x:c>
      <x:c r="O206" s="35" t="n">
        <x:v>205</x:v>
      </x:c>
      <x:c r="P206" s="34" t="n">
        <x:v>0.9987160342626117</x:v>
      </x:c>
    </x:row>
    <x:row r="207" ht="18" customHeight="1">
      <x:c r="A207" s="25" t="str">
        <x:v>EEZ_077</x:v>
      </x:c>
      <x:c r="B207" s="25" t="str">
        <x:v>Trindade &amp; Martim Vaz Isl. (Brazil)</x:v>
      </x:c>
      <x:c r="C207" s="25" t="str">
        <x:v>EEZ</x:v>
      </x:c>
      <x:c r="D207" s="31" t="n">
        <x:v>2019</x:v>
      </x:c>
      <x:c r="E207" s="32" t="n">
        <x:v>6471.8616207145</x:v>
      </x:c>
      <x:c r="F207" s="32" t="n">
        <x:v>6471.8616207145</x:v>
      </x:c>
      <x:c r="G207" s="33" t="n">
        <x:v>0</x:v>
      </x:c>
      <x:c r="H207" s="34" t="n">
        <x:v>1</x:v>
      </x:c>
      <x:c r="I207" s="35" t="n">
        <x:v>17</x:v>
      </x:c>
      <x:c r="J207" s="35" t="n">
        <x:v>17</x:v>
      </x:c>
      <x:c r="K207" s="32" t="n">
        <x:v>3959781.188899115</x:v>
      </x:c>
      <x:c r="L207" s="32" t="n">
        <x:v>3949283.8349958705</x:v>
      </x:c>
      <x:c r="M207" s="32" t="n">
        <x:v>3945602.9935944914</x:v>
      </x:c>
      <x:c r="N207" s="34" t="n">
        <x:v>0.000059597404102485224</x:v>
      </x:c>
      <x:c r="O207" s="35" t="n">
        <x:v>206</x:v>
      </x:c>
      <x:c r="P207" s="34" t="n">
        <x:v>0.9987756316667142</x:v>
      </x:c>
    </x:row>
    <x:row r="208" ht="18" customHeight="1">
      <x:c r="A208" s="25" t="str">
        <x:v>EEZ_316</x:v>
      </x:c>
      <x:c r="B208" s="25" t="str">
        <x:v>Guam (USA)</x:v>
      </x:c>
      <x:c r="C208" s="25" t="str">
        <x:v>EEZ</x:v>
      </x:c>
      <x:c r="D208" s="31" t="n">
        <x:v>2019</x:v>
      </x:c>
      <x:c r="E208" s="32" t="n">
        <x:v>1385.0534596170999</x:v>
      </x:c>
      <x:c r="F208" s="32" t="n">
        <x:v>1385.0534596170999</x:v>
      </x:c>
      <x:c r="G208" s="33" t="n">
        <x:v>0</x:v>
      </x:c>
      <x:c r="H208" s="34" t="n">
        <x:v>1</x:v>
      </x:c>
      <x:c r="I208" s="35" t="n">
        <x:v>90</x:v>
      </x:c>
      <x:c r="J208" s="35" t="n">
        <x:v>90</x:v>
      </x:c>
      <x:c r="K208" s="32" t="n">
        <x:v>3197466.711028016</x:v>
      </x:c>
      <x:c r="L208" s="32" t="n">
        <x:v>3101087.696039224</x:v>
      </x:c>
      <x:c r="M208" s="32" t="n">
        <x:v>3143967.365198676</x:v>
      </x:c>
      <x:c r="N208" s="34" t="n">
        <x:v>0.000048124051959133646</x:v>
      </x:c>
      <x:c r="O208" s="35" t="n">
        <x:v>207</x:v>
      </x:c>
      <x:c r="P208" s="34" t="n">
        <x:v>0.9988237557186733</x:v>
      </x:c>
    </x:row>
    <x:row r="209" ht="18" customHeight="1">
      <x:c r="A209" s="25" t="str">
        <x:v>EEZ_084</x:v>
      </x:c>
      <x:c r="B209" s="25" t="str">
        <x:v>Belize</x:v>
      </x:c>
      <x:c r="C209" s="25" t="str">
        <x:v>EEZ</x:v>
      </x:c>
      <x:c r="D209" s="31" t="n">
        <x:v>2019</x:v>
      </x:c>
      <x:c r="E209" s="32" t="n">
        <x:v>7918.6908172124995</x:v>
      </x:c>
      <x:c r="F209" s="32" t="n">
        <x:v>7918.6908172124995</x:v>
      </x:c>
      <x:c r="G209" s="33" t="n">
        <x:v>0</x:v>
      </x:c>
      <x:c r="H209" s="34" t="n">
        <x:v>1</x:v>
      </x:c>
      <x:c r="I209" s="35" t="n">
        <x:v>54</x:v>
      </x:c>
      <x:c r="J209" s="35" t="n">
        <x:v>54</x:v>
      </x:c>
      <x:c r="K209" s="32" t="n">
        <x:v>3161605.34747039</x:v>
      </x:c>
      <x:c r="L209" s="32" t="n">
        <x:v>2681146.946846443</x:v>
      </x:c>
      <x:c r="M209" s="32" t="n">
        <x:v>2937913.2601305516</x:v>
      </x:c>
      <x:c r="N209" s="34" t="n">
        <x:v>0.00004758431401058196</x:v>
      </x:c>
      <x:c r="O209" s="35" t="n">
        <x:v>208</x:v>
      </x:c>
      <x:c r="P209" s="34" t="n">
        <x:v>0.998871340032684</x:v>
      </x:c>
    </x:row>
    <x:row r="210" ht="18" customHeight="1">
      <x:c r="A210" s="25" t="str">
        <x:v>EEZ_212</x:v>
      </x:c>
      <x:c r="B210" s="25" t="str">
        <x:v>Dominica</x:v>
      </x:c>
      <x:c r="C210" s="25" t="str">
        <x:v>EEZ</x:v>
      </x:c>
      <x:c r="D210" s="31" t="n">
        <x:v>2019</x:v>
      </x:c>
      <x:c r="E210" s="32" t="n">
        <x:v>1874.1702079981997</x:v>
      </x:c>
      <x:c r="F210" s="32" t="n">
        <x:v>1874.1702079981997</x:v>
      </x:c>
      <x:c r="G210" s="33" t="n">
        <x:v>0</x:v>
      </x:c>
      <x:c r="H210" s="34" t="n">
        <x:v>1</x:v>
      </x:c>
      <x:c r="I210" s="35" t="n">
        <x:v>40</x:v>
      </x:c>
      <x:c r="J210" s="35" t="n">
        <x:v>40</x:v>
      </x:c>
      <x:c r="K210" s="32" t="n">
        <x:v>3053112.649782929</x:v>
      </x:c>
      <x:c r="L210" s="32" t="n">
        <x:v>2854880.1953996676</x:v>
      </x:c>
      <x:c r="M210" s="32" t="n">
        <x:v>2889152.4813644695</x:v>
      </x:c>
      <x:c r="N210" s="34" t="n">
        <x:v>0.0000459514250104587</x:v>
      </x:c>
      <x:c r="O210" s="35" t="n">
        <x:v>209</x:v>
      </x:c>
      <x:c r="P210" s="34" t="n">
        <x:v>0.9989172914576944</x:v>
      </x:c>
    </x:row>
    <x:row r="211" ht="18" customHeight="1">
      <x:c r="A211" s="25" t="str">
        <x:v>EEZ_312</x:v>
      </x:c>
      <x:c r="B211" s="25" t="str">
        <x:v>Guadeloupe  (France)</x:v>
      </x:c>
      <x:c r="C211" s="25" t="str">
        <x:v>EEZ</x:v>
      </x:c>
      <x:c r="D211" s="31" t="n">
        <x:v>2019</x:v>
      </x:c>
      <x:c r="E211" s="32" t="n">
        <x:v>5032.7505711547</x:v>
      </x:c>
      <x:c r="F211" s="32" t="n">
        <x:v>5032.7505711547</x:v>
      </x:c>
      <x:c r="G211" s="33" t="n">
        <x:v>0</x:v>
      </x:c>
      <x:c r="H211" s="34" t="n">
        <x:v>1</x:v>
      </x:c>
      <x:c r="I211" s="35" t="n">
        <x:v>23</x:v>
      </x:c>
      <x:c r="J211" s="35" t="n">
        <x:v>23</x:v>
      </x:c>
      <x:c r="K211" s="32" t="n">
        <x:v>3035680.419758</x:v>
      </x:c>
      <x:c r="L211" s="32" t="n">
        <x:v>2603562.4172396865</x:v>
      </x:c>
      <x:c r="M211" s="32" t="n">
        <x:v>2366212.625378204</x:v>
      </x:c>
      <x:c r="N211" s="34" t="n">
        <x:v>0.00004568905807459979</x:v>
      </x:c>
      <x:c r="O211" s="35" t="n">
        <x:v>210</x:v>
      </x:c>
      <x:c r="P211" s="34" t="n">
        <x:v>0.998962980515769</x:v>
      </x:c>
    </x:row>
    <x:row r="212" ht="18" customHeight="1">
      <x:c r="A212" s="25" t="str">
        <x:v>EEZ_334</x:v>
      </x:c>
      <x:c r="B212" s="25" t="str">
        <x:v>Heard &amp; McDonald Isl. (Australia)</x:v>
      </x:c>
      <x:c r="C212" s="25" t="str">
        <x:v>EEZ</x:v>
      </x:c>
      <x:c r="D212" s="31" t="n">
        <x:v>2019</x:v>
      </x:c>
      <x:c r="E212" s="32" t="n">
        <x:v>4250.4902151652</x:v>
      </x:c>
      <x:c r="F212" s="32" t="n">
        <x:v>4250.4902151652</x:v>
      </x:c>
      <x:c r="G212" s="33" t="n">
        <x:v>0</x:v>
      </x:c>
      <x:c r="H212" s="34" t="n">
        <x:v>1</x:v>
      </x:c>
      <x:c r="I212" s="35" t="n">
        <x:v>33</x:v>
      </x:c>
      <x:c r="J212" s="35" t="n">
        <x:v>33</x:v>
      </x:c>
      <x:c r="K212" s="32" t="n">
        <x:v>3029959.8663934683</x:v>
      </x:c>
      <x:c r="L212" s="32" t="n">
        <x:v>2592325.882496666</x:v>
      </x:c>
      <x:c r="M212" s="32" t="n">
        <x:v>3028833.774266184</x:v>
      </x:c>
      <x:c r="N212" s="34" t="n">
        <x:v>0.00004560295984990203</x:v>
      </x:c>
      <x:c r="O212" s="35" t="n">
        <x:v>211</x:v>
      </x:c>
      <x:c r="P212" s="34" t="n">
        <x:v>0.9990085834756189</x:v>
      </x:c>
    </x:row>
    <x:row r="213" ht="18" customHeight="1">
      <x:c r="A213" s="25" t="str">
        <x:v>EEZ_760</x:v>
      </x:c>
      <x:c r="B213" s="25" t="str">
        <x:v>Syria</x:v>
      </x:c>
      <x:c r="C213" s="25" t="str">
        <x:v>EEZ</x:v>
      </x:c>
      <x:c r="D213" s="31" t="n">
        <x:v>2019</x:v>
      </x:c>
      <x:c r="E213" s="32" t="n">
        <x:v>4003.3374784953</x:v>
      </x:c>
      <x:c r="F213" s="32" t="n">
        <x:v>4003.3374784953</x:v>
      </x:c>
      <x:c r="G213" s="33" t="n">
        <x:v>0</x:v>
      </x:c>
      <x:c r="H213" s="34" t="n">
        <x:v>1</x:v>
      </x:c>
      <x:c r="I213" s="35" t="n">
        <x:v>51</x:v>
      </x:c>
      <x:c r="J213" s="35" t="n">
        <x:v>51</x:v>
      </x:c>
      <x:c r="K213" s="32" t="n">
        <x:v>3019943.8712182636</x:v>
      </x:c>
      <x:c r="L213" s="32" t="n">
        <x:v>2273637.0677929926</x:v>
      </x:c>
      <x:c r="M213" s="32" t="n">
        <x:v>2542874.7689883593</x:v>
      </x:c>
      <x:c r="N213" s="34" t="n">
        <x:v>0.00004545221230010846</x:v>
      </x:c>
      <x:c r="O213" s="35" t="n">
        <x:v>212</x:v>
      </x:c>
      <x:c r="P213" s="34" t="n">
        <x:v>0.999054035687919</x:v>
      </x:c>
    </x:row>
    <x:row r="214" ht="18" customHeight="1">
      <x:c r="A214" s="25" t="str">
        <x:v>EEZ_900</x:v>
      </x:c>
      <x:c r="B214" s="25" t="str">
        <x:v>Crete (Greece)</x:v>
      </x:c>
      <x:c r="C214" s="25" t="str">
        <x:v>EEZ</x:v>
      </x:c>
      <x:c r="D214" s="31" t="n">
        <x:v>2019</x:v>
      </x:c>
      <x:c r="E214" s="32" t="n">
        <x:v>3619.1201016587997</x:v>
      </x:c>
      <x:c r="F214" s="32" t="n">
        <x:v>3619.1201016587997</x:v>
      </x:c>
      <x:c r="G214" s="33" t="n">
        <x:v>0</x:v>
      </x:c>
      <x:c r="H214" s="34" t="n">
        <x:v>1</x:v>
      </x:c>
      <x:c r="I214" s="35" t="n">
        <x:v>73</x:v>
      </x:c>
      <x:c r="J214" s="35" t="n">
        <x:v>73</x:v>
      </x:c>
      <x:c r="K214" s="32" t="n">
        <x:v>2926602.3167501483</x:v>
      </x:c>
      <x:c r="L214" s="32" t="n">
        <x:v>2082504.0435939096</x:v>
      </x:c>
      <x:c r="M214" s="32" t="n">
        <x:v>2597538.3403803934</x:v>
      </x:c>
      <x:c r="N214" s="34" t="n">
        <x:v>0.00004404735832565514</x:v>
      </x:c>
      <x:c r="O214" s="35" t="n">
        <x:v>213</x:v>
      </x:c>
      <x:c r="P214" s="34" t="n">
        <x:v>0.9990980830462447</x:v>
      </x:c>
    </x:row>
    <x:row r="215" ht="18" customHeight="1">
      <x:c r="A215" s="25" t="str">
        <x:v>EEZ_052</x:v>
      </x:c>
      <x:c r="B215" s="25" t="str">
        <x:v>Barbados</x:v>
      </x:c>
      <x:c r="C215" s="25" t="str">
        <x:v>EEZ</x:v>
      </x:c>
      <x:c r="D215" s="31" t="n">
        <x:v>2019</x:v>
      </x:c>
      <x:c r="E215" s="32" t="n">
        <x:v>3109.8835019505</x:v>
      </x:c>
      <x:c r="F215" s="32" t="n">
        <x:v>3109.8835019505</x:v>
      </x:c>
      <x:c r="G215" s="33" t="n">
        <x:v>0</x:v>
      </x:c>
      <x:c r="H215" s="34" t="n">
        <x:v>1</x:v>
      </x:c>
      <x:c r="I215" s="35" t="n">
        <x:v>47</x:v>
      </x:c>
      <x:c r="J215" s="35" t="n">
        <x:v>47</x:v>
      </x:c>
      <x:c r="K215" s="32" t="n">
        <x:v>2898747.7148155924</x:v>
      </x:c>
      <x:c r="L215" s="32" t="n">
        <x:v>1886140.035361133</x:v>
      </x:c>
      <x:c r="M215" s="32" t="n">
        <x:v>2710902.456865951</x:v>
      </x:c>
      <x:c r="N215" s="34" t="n">
        <x:v>0.00004362812759334563</x:v>
      </x:c>
      <x:c r="O215" s="35" t="n">
        <x:v>214</x:v>
      </x:c>
      <x:c r="P215" s="34" t="n">
        <x:v>0.999141711173838</x:v>
      </x:c>
    </x:row>
    <x:row r="216" ht="18" customHeight="1">
      <x:c r="A216" s="25" t="str">
        <x:v>EEZ_092</x:v>
      </x:c>
      <x:c r="B216" s="25" t="str">
        <x:v>British Virgin Isl. (UK)</x:v>
      </x:c>
      <x:c r="C216" s="25" t="str">
        <x:v>EEZ</x:v>
      </x:c>
      <x:c r="D216" s="31" t="n">
        <x:v>2019</x:v>
      </x:c>
      <x:c r="E216" s="32" t="n">
        <x:v>4102.3911591021</x:v>
      </x:c>
      <x:c r="F216" s="32" t="n">
        <x:v>4102.3911591021</x:v>
      </x:c>
      <x:c r="G216" s="33" t="n">
        <x:v>0</x:v>
      </x:c>
      <x:c r="H216" s="34" t="n">
        <x:v>1</x:v>
      </x:c>
      <x:c r="I216" s="35" t="n">
        <x:v>32</x:v>
      </x:c>
      <x:c r="J216" s="35" t="n">
        <x:v>32</x:v>
      </x:c>
      <x:c r="K216" s="32" t="n">
        <x:v>2636688.6764859944</x:v>
      </x:c>
      <x:c r="L216" s="32" t="n">
        <x:v>2025517.2767306413</x:v>
      </x:c>
      <x:c r="M216" s="32" t="n">
        <x:v>2239219.47983291</x:v>
      </x:c>
      <x:c r="N216" s="34" t="n">
        <x:v>0.00003968396056466701</x:v>
      </x:c>
      <x:c r="O216" s="35" t="n">
        <x:v>215</x:v>
      </x:c>
      <x:c r="P216" s="34" t="n">
        <x:v>0.9991813951344026</x:v>
      </x:c>
    </x:row>
    <x:row r="217" ht="18" customHeight="1">
      <x:c r="A217" s="25" t="str">
        <x:v>EEZ_924</x:v>
      </x:c>
      <x:c r="B217" s="25" t="str">
        <x:v>Canada (Arctic)</x:v>
      </x:c>
      <x:c r="C217" s="25" t="str">
        <x:v>EEZ</x:v>
      </x:c>
      <x:c r="D217" s="31" t="n">
        <x:v>2019</x:v>
      </x:c>
      <x:c r="E217" s="32" t="n">
        <x:v>1114.2683023097</x:v>
      </x:c>
      <x:c r="F217" s="32" t="n">
        <x:v>1114.2683023097</x:v>
      </x:c>
      <x:c r="G217" s="33" t="n">
        <x:v>0</x:v>
      </x:c>
      <x:c r="H217" s="34" t="n">
        <x:v>1</x:v>
      </x:c>
      <x:c r="I217" s="35" t="n">
        <x:v>16</x:v>
      </x:c>
      <x:c r="J217" s="35" t="n">
        <x:v>16</x:v>
      </x:c>
      <x:c r="K217" s="32" t="n">
        <x:v>2536391.012531463</x:v>
      </x:c>
      <x:c r="L217" s="32" t="n">
        <x:v>2345669.8422986367</x:v>
      </x:c>
      <x:c r="M217" s="32" t="n">
        <x:v>2532325.7705398905</x:v>
      </x:c>
      <x:c r="N217" s="34" t="n">
        <x:v>0.00003817441240428108</x:v>
      </x:c>
      <x:c r="O217" s="35" t="n">
        <x:v>216</x:v>
      </x:c>
      <x:c r="P217" s="34" t="n">
        <x:v>0.9992195695468069</x:v>
      </x:c>
    </x:row>
    <x:row r="218" ht="18" customHeight="1">
      <x:c r="A218" s="25" t="str">
        <x:v>EEZ_642</x:v>
      </x:c>
      <x:c r="B218" s="25" t="str">
        <x:v>Romania</x:v>
      </x:c>
      <x:c r="C218" s="25" t="str">
        <x:v>EEZ</x:v>
      </x:c>
      <x:c r="D218" s="31" t="n">
        <x:v>2019</x:v>
      </x:c>
      <x:c r="E218" s="32" t="n">
        <x:v>8116.5109813192985</x:v>
      </x:c>
      <x:c r="F218" s="32" t="n">
        <x:v>8116.5109813192985</x:v>
      </x:c>
      <x:c r="G218" s="33" t="n">
        <x:v>0</x:v>
      </x:c>
      <x:c r="H218" s="34" t="n">
        <x:v>1</x:v>
      </x:c>
      <x:c r="I218" s="35" t="n">
        <x:v>16</x:v>
      </x:c>
      <x:c r="J218" s="35" t="n">
        <x:v>16</x:v>
      </x:c>
      <x:c r="K218" s="32" t="n">
        <x:v>2431527.305444525</x:v>
      </x:c>
      <x:c r="L218" s="32" t="n">
        <x:v>2346234.9205780765</x:v>
      </x:c>
      <x:c r="M218" s="32" t="n">
        <x:v>2409941.2696078424</x:v>
      </x:c>
      <x:c r="N218" s="34" t="n">
        <x:v>0.00003659614218458685</x:v>
      </x:c>
      <x:c r="O218" s="35" t="n">
        <x:v>217</x:v>
      </x:c>
      <x:c r="P218" s="34" t="n">
        <x:v>0.9992561656889916</x:v>
      </x:c>
    </x:row>
    <x:row r="219" ht="18" customHeight="1">
      <x:c r="A219" s="25" t="str">
        <x:v>EEZ_198</x:v>
      </x:c>
      <x:c r="B219" s="25" t="str">
        <x:v>Cyprus (South)</x:v>
      </x:c>
      <x:c r="C219" s="25" t="str">
        <x:v>EEZ</x:v>
      </x:c>
      <x:c r="D219" s="31" t="n">
        <x:v>2019</x:v>
      </x:c>
      <x:c r="E219" s="32" t="n">
        <x:v>2236.2086502548996</x:v>
      </x:c>
      <x:c r="F219" s="32" t="n">
        <x:v>2236.2086502548996</x:v>
      </x:c>
      <x:c r="G219" s="33" t="n">
        <x:v>0</x:v>
      </x:c>
      <x:c r="H219" s="34" t="n">
        <x:v>1</x:v>
      </x:c>
      <x:c r="I219" s="35" t="n">
        <x:v>90</x:v>
      </x:c>
      <x:c r="J219" s="35" t="n">
        <x:v>90</x:v>
      </x:c>
      <x:c r="K219" s="32" t="n">
        <x:v>2155727.606393967</x:v>
      </x:c>
      <x:c r="L219" s="32" t="n">
        <x:v>1838666.2815867038</x:v>
      </x:c>
      <x:c r="M219" s="32" t="n">
        <x:v>1926519.177215979</x:v>
      </x:c>
      <x:c r="N219" s="34" t="n">
        <x:v>0.000032445168852590776</x:v>
      </x:c>
      <x:c r="O219" s="35" t="n">
        <x:v>218</x:v>
      </x:c>
      <x:c r="P219" s="34" t="n">
        <x:v>0.9992886108578442</x:v>
      </x:c>
    </x:row>
    <x:row r="220" ht="18" customHeight="1">
      <x:c r="A220" s="25" t="str">
        <x:v>EEZ_274</x:v>
      </x:c>
      <x:c r="B220" s="25" t="str">
        <x:v>Gaza Strip</x:v>
      </x:c>
      <x:c r="C220" s="25" t="str">
        <x:v>EEZ</x:v>
      </x:c>
      <x:c r="D220" s="31" t="n">
        <x:v>2019</x:v>
      </x:c>
      <x:c r="E220" s="32" t="n">
        <x:v>6410.774318524</x:v>
      </x:c>
      <x:c r="F220" s="32" t="n">
        <x:v>6410.774318524</x:v>
      </x:c>
      <x:c r="G220" s="33" t="n">
        <x:v>0</x:v>
      </x:c>
      <x:c r="H220" s="34" t="n">
        <x:v>1</x:v>
      </x:c>
      <x:c r="I220" s="35" t="n">
        <x:v>36</x:v>
      </x:c>
      <x:c r="J220" s="35" t="n">
        <x:v>36</x:v>
      </x:c>
      <x:c r="K220" s="32" t="n">
        <x:v>2138099.0195414764</x:v>
      </x:c>
      <x:c r="L220" s="32" t="n">
        <x:v>1828535.1939779224</x:v>
      </x:c>
      <x:c r="M220" s="32" t="n">
        <x:v>2053169.7933534263</x:v>
      </x:c>
      <x:c r="N220" s="34" t="n">
        <x:v>0.0000321798466127284</x:v>
      </x:c>
      <x:c r="O220" s="35" t="n">
        <x:v>219</x:v>
      </x:c>
      <x:c r="P220" s="34" t="n">
        <x:v>0.9993207907044569</x:v>
      </x:c>
    </x:row>
    <x:row r="221" ht="18" customHeight="1">
      <x:c r="A221" s="25" t="str">
        <x:v>EEZ_056</x:v>
      </x:c>
      <x:c r="B221" s="25" t="str">
        <x:v>Belgium</x:v>
      </x:c>
      <x:c r="C221" s="25" t="str">
        <x:v>EEZ</x:v>
      </x:c>
      <x:c r="D221" s="31" t="n">
        <x:v>2019</x:v>
      </x:c>
      <x:c r="E221" s="32" t="n">
        <x:v>4482.8223030263</x:v>
      </x:c>
      <x:c r="F221" s="32" t="n">
        <x:v>4482.8223030263</x:v>
      </x:c>
      <x:c r="G221" s="33" t="n">
        <x:v>0</x:v>
      </x:c>
      <x:c r="H221" s="34" t="n">
        <x:v>1</x:v>
      </x:c>
      <x:c r="I221" s="35" t="n">
        <x:v>153</x:v>
      </x:c>
      <x:c r="J221" s="35" t="n">
        <x:v>153</x:v>
      </x:c>
      <x:c r="K221" s="32" t="n">
        <x:v>2108407.8501594816</x:v>
      </x:c>
      <x:c r="L221" s="32" t="n">
        <x:v>1812010.9218323133</x:v>
      </x:c>
      <x:c r="M221" s="32" t="n">
        <x:v>1905854.5519366036</x:v>
      </x:c>
      <x:c r="N221" s="34" t="n">
        <x:v>0.00003173297428935488</x:v>
      </x:c>
      <x:c r="O221" s="35" t="n">
        <x:v>220</x:v>
      </x:c>
      <x:c r="P221" s="34" t="n">
        <x:v>0.9993525236787462</x:v>
      </x:c>
    </x:row>
    <x:row r="222" ht="18" customHeight="1">
      <x:c r="A222" s="25" t="str">
        <x:v>EEZ_969</x:v>
      </x:c>
      <x:c r="B222" s="25" t="str">
        <x:v>Fernando de Noronha (Brazil)</x:v>
      </x:c>
      <x:c r="C222" s="25" t="str">
        <x:v>EEZ</x:v>
      </x:c>
      <x:c r="D222" s="31" t="n">
        <x:v>2019</x:v>
      </x:c>
      <x:c r="E222" s="32" t="n">
        <x:v>7461.650372688001</x:v>
      </x:c>
      <x:c r="F222" s="32" t="n">
        <x:v>7461.650372688001</x:v>
      </x:c>
      <x:c r="G222" s="33" t="n">
        <x:v>0</x:v>
      </x:c>
      <x:c r="H222" s="34" t="n">
        <x:v>1</x:v>
      </x:c>
      <x:c r="I222" s="35" t="n">
        <x:v>39</x:v>
      </x:c>
      <x:c r="J222" s="35" t="n">
        <x:v>39</x:v>
      </x:c>
      <x:c r="K222" s="32" t="n">
        <x:v>2047092.4737868535</x:v>
      </x:c>
      <x:c r="L222" s="32" t="n">
        <x:v>2037405.1001789358</x:v>
      </x:c>
      <x:c r="M222" s="32" t="n">
        <x:v>2041401.5790448596</x:v>
      </x:c>
      <x:c r="N222" s="34" t="n">
        <x:v>0.000030810136109907035</x:v>
      </x:c>
      <x:c r="O222" s="35" t="n">
        <x:v>221</x:v>
      </x:c>
      <x:c r="P222" s="34" t="n">
        <x:v>0.9993833338148561</x:v>
      </x:c>
    </x:row>
    <x:row r="223" ht="18" customHeight="1">
      <x:c r="A223" s="25" t="str">
        <x:v>EEZ_702</x:v>
      </x:c>
      <x:c r="B223" s="25" t="str">
        <x:v>Singapore</x:v>
      </x:c>
      <x:c r="C223" s="25" t="str">
        <x:v>EEZ</x:v>
      </x:c>
      <x:c r="D223" s="31" t="n">
        <x:v>2019</x:v>
      </x:c>
      <x:c r="E223" s="32" t="n">
        <x:v>3539.5904974153</x:v>
      </x:c>
      <x:c r="F223" s="32" t="n">
        <x:v>3539.5904974153</x:v>
      </x:c>
      <x:c r="G223" s="33" t="n">
        <x:v>0</x:v>
      </x:c>
      <x:c r="H223" s="34" t="n">
        <x:v>1</x:v>
      </x:c>
      <x:c r="I223" s="35" t="n">
        <x:v>28</x:v>
      </x:c>
      <x:c r="J223" s="35" t="n">
        <x:v>28</x:v>
      </x:c>
      <x:c r="K223" s="32" t="n">
        <x:v>1866751.9294676457</x:v>
      </x:c>
      <x:c r="L223" s="32" t="n">
        <x:v>1355193.8352168016</x:v>
      </x:c>
      <x:c r="M223" s="32" t="n">
        <x:v>1557480.524856959</x:v>
      </x:c>
      <x:c r="N223" s="34" t="n">
        <x:v>0.000028095888078731848</x:v>
      </x:c>
      <x:c r="O223" s="35" t="n">
        <x:v>222</x:v>
      </x:c>
      <x:c r="P223" s="34" t="n">
        <x:v>0.9994114297029348</x:v>
      </x:c>
    </x:row>
    <x:row r="224" ht="18" customHeight="1">
      <x:c r="A224" s="25" t="str">
        <x:v>EEZ_570</x:v>
      </x:c>
      <x:c r="B224" s="25" t="str">
        <x:v>Niue (New Zealand)</x:v>
      </x:c>
      <x:c r="C224" s="25" t="str">
        <x:v>EEZ</x:v>
      </x:c>
      <x:c r="D224" s="31" t="n">
        <x:v>2019</x:v>
      </x:c>
      <x:c r="E224" s="32" t="n">
        <x:v>949.5273417068</x:v>
      </x:c>
      <x:c r="F224" s="32" t="n">
        <x:v>949.5273417068</x:v>
      </x:c>
      <x:c r="G224" s="33" t="n">
        <x:v>0</x:v>
      </x:c>
      <x:c r="H224" s="34" t="n">
        <x:v>1</x:v>
      </x:c>
      <x:c r="I224" s="35" t="n">
        <x:v>70</x:v>
      </x:c>
      <x:c r="J224" s="35" t="n">
        <x:v>70</x:v>
      </x:c>
      <x:c r="K224" s="32" t="n">
        <x:v>1828455.3453385285</x:v>
      </x:c>
      <x:c r="L224" s="32" t="n">
        <x:v>1762683.3254188441</x:v>
      </x:c>
      <x:c r="M224" s="32" t="n">
        <x:v>1789147.115883973</x:v>
      </x:c>
      <x:c r="N224" s="34" t="n">
        <x:v>0.0000275194984018259</x:v>
      </x:c>
      <x:c r="O224" s="35" t="n">
        <x:v>223</x:v>
      </x:c>
      <x:c r="P224" s="34" t="n">
        <x:v>0.9994389492013367</x:v>
      </x:c>
    </x:row>
    <x:row r="225" ht="18" customHeight="1">
      <x:c r="A225" s="25" t="str">
        <x:v>EEZ_670</x:v>
      </x:c>
      <x:c r="B225" s="25" t="str">
        <x:v>Saint Vincent &amp; the Grenadines</x:v>
      </x:c>
      <x:c r="C225" s="25" t="str">
        <x:v>EEZ</x:v>
      </x:c>
      <x:c r="D225" s="31" t="n">
        <x:v>2019</x:v>
      </x:c>
      <x:c r="E225" s="32" t="n">
        <x:v>1694.7906050879</x:v>
      </x:c>
      <x:c r="F225" s="32" t="n">
        <x:v>1694.7906050879</x:v>
      </x:c>
      <x:c r="G225" s="33" t="n">
        <x:v>0</x:v>
      </x:c>
      <x:c r="H225" s="34" t="n">
        <x:v>1</x:v>
      </x:c>
      <x:c r="I225" s="35" t="n">
        <x:v>93</x:v>
      </x:c>
      <x:c r="J225" s="35" t="n">
        <x:v>93</x:v>
      </x:c>
      <x:c r="K225" s="32" t="n">
        <x:v>1747160.988916773</x:v>
      </x:c>
      <x:c r="L225" s="32" t="n">
        <x:v>1429597.53318564</x:v>
      </x:c>
      <x:c r="M225" s="32" t="n">
        <x:v>1649077.8247641998</x:v>
      </x:c>
      <x:c r="N225" s="34" t="n">
        <x:v>0.00002629596296393323</x:v>
      </x:c>
      <x:c r="O225" s="35" t="n">
        <x:v>224</x:v>
      </x:c>
      <x:c r="P225" s="34" t="n">
        <x:v>0.9994652451643006</x:v>
      </x:c>
    </x:row>
    <x:row r="226" ht="18" customHeight="1">
      <x:c r="A226" s="25" t="str">
        <x:v>EEZ_796</x:v>
      </x:c>
      <x:c r="B226" s="25" t="str">
        <x:v>Turks &amp; Caicos Isl. (UK)</x:v>
      </x:c>
      <x:c r="C226" s="25" t="str">
        <x:v>EEZ</x:v>
      </x:c>
      <x:c r="D226" s="31" t="n">
        <x:v>2019</x:v>
      </x:c>
      <x:c r="E226" s="32" t="n">
        <x:v>7446.679016808498</x:v>
      </x:c>
      <x:c r="F226" s="32" t="n">
        <x:v>7446.679016808498</x:v>
      </x:c>
      <x:c r="G226" s="33" t="n">
        <x:v>0</x:v>
      </x:c>
      <x:c r="H226" s="34" t="n">
        <x:v>1</x:v>
      </x:c>
      <x:c r="I226" s="35" t="n">
        <x:v>21</x:v>
      </x:c>
      <x:c r="J226" s="35" t="n">
        <x:v>21</x:v>
      </x:c>
      <x:c r="K226" s="32" t="n">
        <x:v>1613035.7630321903</x:v>
      </x:c>
      <x:c r="L226" s="32" t="n">
        <x:v>1304793.9255695636</x:v>
      </x:c>
      <x:c r="M226" s="32" t="n">
        <x:v>1524077.7870978552</x:v>
      </x:c>
      <x:c r="N226" s="34" t="n">
        <x:v>0.00002427728695481695</x:v>
      </x:c>
      <x:c r="O226" s="35" t="n">
        <x:v>225</x:v>
      </x:c>
      <x:c r="P226" s="34" t="n">
        <x:v>0.9994895224512554</x:v>
      </x:c>
    </x:row>
    <x:row r="227" ht="18" customHeight="1">
      <x:c r="A227" s="25" t="str">
        <x:v>EEZ_939</x:v>
      </x:c>
      <x:c r="B227" s="25" t="str">
        <x:v>Israel (Mediterranean)</x:v>
      </x:c>
      <x:c r="C227" s="25" t="str">
        <x:v>EEZ</x:v>
      </x:c>
      <x:c r="D227" s="31" t="n">
        <x:v>2019</x:v>
      </x:c>
      <x:c r="E227" s="32" t="n">
        <x:v>2520.914048787</x:v>
      </x:c>
      <x:c r="F227" s="32" t="n">
        <x:v>2520.914048787</x:v>
      </x:c>
      <x:c r="G227" s="33" t="n">
        <x:v>0</x:v>
      </x:c>
      <x:c r="H227" s="34" t="n">
        <x:v>1</x:v>
      </x:c>
      <x:c r="I227" s="35" t="n">
        <x:v>50</x:v>
      </x:c>
      <x:c r="J227" s="35" t="n">
        <x:v>50</x:v>
      </x:c>
      <x:c r="K227" s="32" t="n">
        <x:v>1575058.5166056717</x:v>
      </x:c>
      <x:c r="L227" s="32" t="n">
        <x:v>1062997.3594332822</x:v>
      </x:c>
      <x:c r="M227" s="32" t="n">
        <x:v>1351393.9268614114</x:v>
      </x:c>
      <x:c r="N227" s="34" t="n">
        <x:v>0.000023705703527852356</x:v>
      </x:c>
      <x:c r="O227" s="35" t="n">
        <x:v>226</x:v>
      </x:c>
      <x:c r="P227" s="34" t="n">
        <x:v>0.9995132281547833</x:v>
      </x:c>
    </x:row>
    <x:row r="228" ht="18" customHeight="1">
      <x:c r="A228" s="25" t="str">
        <x:v>EEZ_008</x:v>
      </x:c>
      <x:c r="B228" s="25" t="str">
        <x:v>Albania</x:v>
      </x:c>
      <x:c r="C228" s="25" t="str">
        <x:v>EEZ</x:v>
      </x:c>
      <x:c r="D228" s="31" t="n">
        <x:v>2019</x:v>
      </x:c>
      <x:c r="E228" s="32" t="n">
        <x:v>7591.6342411198</x:v>
      </x:c>
      <x:c r="F228" s="32" t="n">
        <x:v>7591.6342411198</x:v>
      </x:c>
      <x:c r="G228" s="33" t="n">
        <x:v>0</x:v>
      </x:c>
      <x:c r="H228" s="34" t="n">
        <x:v>1</x:v>
      </x:c>
      <x:c r="I228" s="35" t="n">
        <x:v>16</x:v>
      </x:c>
      <x:c r="J228" s="35" t="n">
        <x:v>16</x:v>
      </x:c>
      <x:c r="K228" s="32" t="n">
        <x:v>1553417.1552911263</x:v>
      </x:c>
      <x:c r="L228" s="32" t="n">
        <x:v>1441544.1717010585</x:v>
      </x:c>
      <x:c r="M228" s="32" t="n">
        <x:v>1519679.3415048786</x:v>
      </x:c>
      <x:c r="N228" s="34" t="n">
        <x:v>0.000023379986299030066</x:v>
      </x:c>
      <x:c r="O228" s="35" t="n">
        <x:v>227</x:v>
      </x:c>
      <x:c r="P228" s="34" t="n">
        <x:v>0.9995366081410823</x:v>
      </x:c>
    </x:row>
    <x:row r="229" ht="18" customHeight="1">
      <x:c r="A229" s="25" t="str">
        <x:v>EEZ_630</x:v>
      </x:c>
      <x:c r="B229" s="25" t="str">
        <x:v>Puerto Rico (USA)</x:v>
      </x:c>
      <x:c r="C229" s="25" t="str">
        <x:v>EEZ</x:v>
      </x:c>
      <x:c r="D229" s="31" t="n">
        <x:v>2019</x:v>
      </x:c>
      <x:c r="E229" s="32" t="n">
        <x:v>1866.1053035134998</x:v>
      </x:c>
      <x:c r="F229" s="32" t="n">
        <x:v>1866.1053035134998</x:v>
      </x:c>
      <x:c r="G229" s="33" t="n">
        <x:v>0</x:v>
      </x:c>
      <x:c r="H229" s="34" t="n">
        <x:v>1</x:v>
      </x:c>
      <x:c r="I229" s="35" t="n">
        <x:v>36</x:v>
      </x:c>
      <x:c r="J229" s="35" t="n">
        <x:v>36</x:v>
      </x:c>
      <x:c r="K229" s="32" t="n">
        <x:v>1514296.9073134165</x:v>
      </x:c>
      <x:c r="L229" s="32" t="n">
        <x:v>1278081.2516040145</x:v>
      </x:c>
      <x:c r="M229" s="32" t="n">
        <x:v>1446815.3783786865</x:v>
      </x:c>
      <x:c r="N229" s="34" t="n">
        <x:v>0.00002279119992016321</x:v>
      </x:c>
      <x:c r="O229" s="35" t="n">
        <x:v>228</x:v>
      </x:c>
      <x:c r="P229" s="34" t="n">
        <x:v>0.9995593993410025</x:v>
      </x:c>
    </x:row>
    <x:row r="230" ht="18" customHeight="1">
      <x:c r="A230" s="25" t="str">
        <x:v>EEZ_474</x:v>
      </x:c>
      <x:c r="B230" s="25" t="str">
        <x:v>Martinique (France)</x:v>
      </x:c>
      <x:c r="C230" s="25" t="str">
        <x:v>EEZ</x:v>
      </x:c>
      <x:c r="D230" s="31" t="n">
        <x:v>2019</x:v>
      </x:c>
      <x:c r="E230" s="32" t="n">
        <x:v>2440.9497922337</x:v>
      </x:c>
      <x:c r="F230" s="32" t="n">
        <x:v>2440.9497922337</x:v>
      </x:c>
      <x:c r="G230" s="33" t="n">
        <x:v>0</x:v>
      </x:c>
      <x:c r="H230" s="34" t="n">
        <x:v>1</x:v>
      </x:c>
      <x:c r="I230" s="35" t="n">
        <x:v>65</x:v>
      </x:c>
      <x:c r="J230" s="35" t="n">
        <x:v>65</x:v>
      </x:c>
      <x:c r="K230" s="32" t="n">
        <x:v>1473241.0944450698</x:v>
      </x:c>
      <x:c r="L230" s="32" t="n">
        <x:v>1143596.8788195786</x:v>
      </x:c>
      <x:c r="M230" s="32" t="n">
        <x:v>1353237.9877384163</x:v>
      </x:c>
      <x:c r="N230" s="34" t="n">
        <x:v>0.000022173281971279997</x:v>
      </x:c>
      <x:c r="O230" s="35" t="n">
        <x:v>229</x:v>
      </x:c>
      <x:c r="P230" s="34" t="n">
        <x:v>0.9995815726229738</x:v>
      </x:c>
    </x:row>
    <x:row r="231" ht="18" customHeight="1">
      <x:c r="A231" s="25" t="str">
        <x:v>EEZ_913</x:v>
      </x:c>
      <x:c r="B231" s="25" t="str">
        <x:v>Russia (Laptev to Chukchi Sea)</x:v>
      </x:c>
      <x:c r="C231" s="25" t="str">
        <x:v>EEZ</x:v>
      </x:c>
      <x:c r="D231" s="31" t="n">
        <x:v>2019</x:v>
      </x:c>
      <x:c r="E231" s="32" t="n">
        <x:v>6727.8088462</x:v>
      </x:c>
      <x:c r="F231" s="32" t="n">
        <x:v>6727.8088462</x:v>
      </x:c>
      <x:c r="G231" s="33" t="n">
        <x:v>0</x:v>
      </x:c>
      <x:c r="H231" s="34" t="n">
        <x:v>1</x:v>
      </x:c>
      <x:c r="I231" s="35" t="n">
        <x:v>5</x:v>
      </x:c>
      <x:c r="J231" s="35" t="n">
        <x:v>5</x:v>
      </x:c>
      <x:c r="K231" s="32" t="n">
        <x:v>1455106.3058478127</x:v>
      </x:c>
      <x:c r="L231" s="32" t="n">
        <x:v>1359973.6795253814</x:v>
      </x:c>
      <x:c r="M231" s="32" t="n">
        <x:v>1360702.4574267645</x:v>
      </x:c>
      <x:c r="N231" s="34" t="n">
        <x:v>0.00002190034105035897</x:v>
      </x:c>
      <x:c r="O231" s="35" t="n">
        <x:v>230</x:v>
      </x:c>
      <x:c r="P231" s="34" t="n">
        <x:v>0.9996034729640241</x:v>
      </x:c>
    </x:row>
    <x:row r="232" ht="18" customHeight="1">
      <x:c r="A232" s="25" t="str">
        <x:v>EEZ_662</x:v>
      </x:c>
      <x:c r="B232" s="25" t="str">
        <x:v>Saint Lucia</x:v>
      </x:c>
      <x:c r="C232" s="25" t="str">
        <x:v>EEZ</x:v>
      </x:c>
      <x:c r="D232" s="31" t="n">
        <x:v>2019</x:v>
      </x:c>
      <x:c r="E232" s="32" t="n">
        <x:v>1454.7830351649</x:v>
      </x:c>
      <x:c r="F232" s="32" t="n">
        <x:v>1454.7830351649</x:v>
      </x:c>
      <x:c r="G232" s="33" t="n">
        <x:v>0</x:v>
      </x:c>
      <x:c r="H232" s="34" t="n">
        <x:v>1</x:v>
      </x:c>
      <x:c r="I232" s="35" t="n">
        <x:v>72</x:v>
      </x:c>
      <x:c r="J232" s="35" t="n">
        <x:v>72</x:v>
      </x:c>
      <x:c r="K232" s="32" t="n">
        <x:v>1369040.7680055425</x:v>
      </x:c>
      <x:c r="L232" s="32" t="n">
        <x:v>1048677.6806679727</x:v>
      </x:c>
      <x:c r="M232" s="32" t="n">
        <x:v>1251891.6250043544</x:v>
      </x:c>
      <x:c r="N232" s="34" t="n">
        <x:v>0.000020604996082191794</x:v>
      </x:c>
      <x:c r="O232" s="35" t="n">
        <x:v>231</x:v>
      </x:c>
      <x:c r="P232" s="34" t="n">
        <x:v>0.9996240779601063</x:v>
      </x:c>
    </x:row>
    <x:row r="233" ht="18" customHeight="1">
      <x:c r="A233" s="25" t="str">
        <x:v>EEZ_060</x:v>
      </x:c>
      <x:c r="B233" s="25" t="str">
        <x:v>Bermuda (UK)</x:v>
      </x:c>
      <x:c r="C233" s="25" t="str">
        <x:v>EEZ</x:v>
      </x:c>
      <x:c r="D233" s="31" t="n">
        <x:v>2019</x:v>
      </x:c>
      <x:c r="E233" s="32" t="n">
        <x:v>873.7608096846</x:v>
      </x:c>
      <x:c r="F233" s="32" t="n">
        <x:v>873.7608096846</x:v>
      </x:c>
      <x:c r="G233" s="33" t="n">
        <x:v>0</x:v>
      </x:c>
      <x:c r="H233" s="34" t="n">
        <x:v>1</x:v>
      </x:c>
      <x:c r="I233" s="35" t="n">
        <x:v>37</x:v>
      </x:c>
      <x:c r="J233" s="35" t="n">
        <x:v>37</x:v>
      </x:c>
      <x:c r="K233" s="32" t="n">
        <x:v>1333927.0877780484</x:v>
      </x:c>
      <x:c r="L233" s="32" t="n">
        <x:v>1251944.594745224</x:v>
      </x:c>
      <x:c r="M233" s="32" t="n">
        <x:v>1293320.29206535</x:v>
      </x:c>
      <x:c r="N233" s="34" t="n">
        <x:v>0.00002007651127704396</x:v>
      </x:c>
      <x:c r="O233" s="35" t="n">
        <x:v>232</x:v>
      </x:c>
      <x:c r="P233" s="34" t="n">
        <x:v>0.9996441544713833</x:v>
      </x:c>
    </x:row>
    <x:row r="234" ht="18" customHeight="1">
      <x:c r="A234" s="25" t="str">
        <x:v>EEZ_711</x:v>
      </x:c>
      <x:c r="B234" s="25" t="str">
        <x:v>Prince Edward Isl. (South Africa)</x:v>
      </x:c>
      <x:c r="C234" s="25" t="str">
        <x:v>EEZ</x:v>
      </x:c>
      <x:c r="D234" s="31" t="n">
        <x:v>2019</x:v>
      </x:c>
      <x:c r="E234" s="32" t="n">
        <x:v>974.4787150097001</x:v>
      </x:c>
      <x:c r="F234" s="32" t="n">
        <x:v>974.4787150097001</x:v>
      </x:c>
      <x:c r="G234" s="33" t="n">
        <x:v>0</x:v>
      </x:c>
      <x:c r="H234" s="34" t="n">
        <x:v>1</x:v>
      </x:c>
      <x:c r="I234" s="35" t="n">
        <x:v>18</x:v>
      </x:c>
      <x:c r="J234" s="35" t="n">
        <x:v>18</x:v>
      </x:c>
      <x:c r="K234" s="32" t="n">
        <x:v>1225800.4341437374</x:v>
      </x:c>
      <x:c r="L234" s="32" t="n">
        <x:v>1188081.6649972731</x:v>
      </x:c>
      <x:c r="M234" s="32" t="n">
        <x:v>1222776.7918840728</x:v>
      </x:c>
      <x:c r="N234" s="34" t="n">
        <x:v>0.00001844913148925194</x:v>
      </x:c>
      <x:c r="O234" s="35" t="n">
        <x:v>233</x:v>
      </x:c>
      <x:c r="P234" s="34" t="n">
        <x:v>0.9996626036028726</x:v>
      </x:c>
    </x:row>
    <x:row r="235" ht="18" customHeight="1">
      <x:c r="A235" s="25" t="str">
        <x:v>EEZ_929</x:v>
      </x:c>
      <x:c r="B235" s="25" t="str">
        <x:v>Costa Rica (Caribbean)</x:v>
      </x:c>
      <x:c r="C235" s="25" t="str">
        <x:v>EEZ</x:v>
      </x:c>
      <x:c r="D235" s="31" t="n">
        <x:v>2019</x:v>
      </x:c>
      <x:c r="E235" s="32" t="n">
        <x:v>601.562955336</x:v>
      </x:c>
      <x:c r="F235" s="32" t="n">
        <x:v>601.562955336</x:v>
      </x:c>
      <x:c r="G235" s="33" t="n">
        <x:v>0</x:v>
      </x:c>
      <x:c r="H235" s="34" t="n">
        <x:v>1</x:v>
      </x:c>
      <x:c r="I235" s="35" t="n">
        <x:v>14</x:v>
      </x:c>
      <x:c r="J235" s="35" t="n">
        <x:v>14</x:v>
      </x:c>
      <x:c r="K235" s="32" t="n">
        <x:v>1207332.0916196196</x:v>
      </x:c>
      <x:c r="L235" s="32" t="n">
        <x:v>1120825.6491819876</x:v>
      </x:c>
      <x:c r="M235" s="32" t="n">
        <x:v>1147064.2961897752</x:v>
      </x:c>
      <x:c r="N235" s="34" t="n">
        <x:v>0.000018171170354531018</x:v>
      </x:c>
      <x:c r="O235" s="35" t="n">
        <x:v>234</x:v>
      </x:c>
      <x:c r="P235" s="34" t="n">
        <x:v>0.9996807747732271</x:v>
      </x:c>
    </x:row>
    <x:row r="236" ht="18" customHeight="1">
      <x:c r="A236" s="25" t="str">
        <x:v>EEZ_958</x:v>
      </x:c>
      <x:c r="B236" s="25" t="str">
        <x:v>USA (Alaska, Arctic)</x:v>
      </x:c>
      <x:c r="C236" s="25" t="str">
        <x:v>EEZ</x:v>
      </x:c>
      <x:c r="D236" s="31" t="n">
        <x:v>2019</x:v>
      </x:c>
      <x:c r="E236" s="32" t="n">
        <x:v>1473.428362565</x:v>
      </x:c>
      <x:c r="F236" s="32" t="n">
        <x:v>1473.428362565</x:v>
      </x:c>
      <x:c r="G236" s="33" t="n">
        <x:v>0</x:v>
      </x:c>
      <x:c r="H236" s="34" t="n">
        <x:v>1</x:v>
      </x:c>
      <x:c r="I236" s="35" t="n">
        <x:v>19</x:v>
      </x:c>
      <x:c r="J236" s="35" t="n">
        <x:v>19</x:v>
      </x:c>
      <x:c r="K236" s="32" t="n">
        <x:v>1202804.8239992876</x:v>
      </x:c>
      <x:c r="L236" s="32" t="n">
        <x:v>894497.4422962421</x:v>
      </x:c>
      <x:c r="M236" s="32" t="n">
        <x:v>1051004.570512995</x:v>
      </x:c>
      <x:c r="N236" s="34" t="n">
        <x:v>0.000018103031893091425</x:v>
      </x:c>
      <x:c r="O236" s="35" t="n">
        <x:v>235</x:v>
      </x:c>
      <x:c r="P236" s="34" t="n">
        <x:v>0.9996988778051202</x:v>
      </x:c>
    </x:row>
    <x:row r="237" ht="18" customHeight="1">
      <x:c r="A237" s="25" t="str">
        <x:v>EEZ_028</x:v>
      </x:c>
      <x:c r="B237" s="25" t="str">
        <x:v>Antigua &amp; Barbuda</x:v>
      </x:c>
      <x:c r="C237" s="25" t="str">
        <x:v>EEZ</x:v>
      </x:c>
      <x:c r="D237" s="31" t="n">
        <x:v>2019</x:v>
      </x:c>
      <x:c r="E237" s="32" t="n">
        <x:v>3754.318094694</x:v>
      </x:c>
      <x:c r="F237" s="32" t="n">
        <x:v>3754.318094694</x:v>
      </x:c>
      <x:c r="G237" s="33" t="n">
        <x:v>0</x:v>
      </x:c>
      <x:c r="H237" s="34" t="n">
        <x:v>1</x:v>
      </x:c>
      <x:c r="I237" s="35" t="n">
        <x:v>19</x:v>
      </x:c>
      <x:c r="J237" s="35" t="n">
        <x:v>19</x:v>
      </x:c>
      <x:c r="K237" s="32" t="n">
        <x:v>1185125.45188696</x:v>
      </x:c>
      <x:c r="L237" s="32" t="n">
        <x:v>811432.4498269468</x:v>
      </x:c>
      <x:c r="M237" s="32" t="n">
        <x:v>1051711.3816635697</x:v>
      </x:c>
      <x:c r="N237" s="34" t="n">
        <x:v>0.000017836945300476056</x:v>
      </x:c>
      <x:c r="O237" s="35" t="n">
        <x:v>236</x:v>
      </x:c>
      <x:c r="P237" s="34" t="n">
        <x:v>0.9997167147504207</x:v>
      </x:c>
    </x:row>
    <x:row r="238" ht="18" customHeight="1">
      <x:c r="A238" s="25" t="str">
        <x:v>EEZ_899</x:v>
      </x:c>
      <x:c r="B238" s="25" t="str">
        <x:v>Corsica (France)</x:v>
      </x:c>
      <x:c r="C238" s="25" t="str">
        <x:v>EEZ</x:v>
      </x:c>
      <x:c r="D238" s="31" t="n">
        <x:v>2019</x:v>
      </x:c>
      <x:c r="E238" s="32" t="n">
        <x:v>1565.0256591657</x:v>
      </x:c>
      <x:c r="F238" s="32" t="n">
        <x:v>1565.0256591657</x:v>
      </x:c>
      <x:c r="G238" s="33" t="n">
        <x:v>0</x:v>
      </x:c>
      <x:c r="H238" s="34" t="n">
        <x:v>1</x:v>
      </x:c>
      <x:c r="I238" s="35" t="n">
        <x:v>114</x:v>
      </x:c>
      <x:c r="J238" s="35" t="n">
        <x:v>114</x:v>
      </x:c>
      <x:c r="K238" s="32" t="n">
        <x:v>1161094.7737815653</x:v>
      </x:c>
      <x:c r="L238" s="32" t="n">
        <x:v>672221.425033969</x:v>
      </x:c>
      <x:c r="M238" s="32" t="n">
        <x:v>890598.3747902303</x:v>
      </x:c>
      <x:c r="N238" s="34" t="n">
        <x:v>0.000017475267226465576</x:v>
      </x:c>
      <x:c r="O238" s="35" t="n">
        <x:v>237</x:v>
      </x:c>
      <x:c r="P238" s="34" t="n">
        <x:v>0.9997341900176472</x:v>
      </x:c>
    </x:row>
    <x:row r="239" ht="18" customHeight="1">
      <x:c r="A239" s="25" t="str">
        <x:v>EEZ_876</x:v>
      </x:c>
      <x:c r="B239" s="25" t="str">
        <x:v>Wallis &amp; Futuna Isl. (France)</x:v>
      </x:c>
      <x:c r="C239" s="25" t="str">
        <x:v>EEZ</x:v>
      </x:c>
      <x:c r="D239" s="31" t="n">
        <x:v>2019</x:v>
      </x:c>
      <x:c r="E239" s="32" t="n">
        <x:v>971.0058082377002</x:v>
      </x:c>
      <x:c r="F239" s="32" t="n">
        <x:v>971.0058082377002</x:v>
      </x:c>
      <x:c r="G239" s="33" t="n">
        <x:v>0</x:v>
      </x:c>
      <x:c r="H239" s="34" t="n">
        <x:v>1</x:v>
      </x:c>
      <x:c r="I239" s="35" t="n">
        <x:v>71</x:v>
      </x:c>
      <x:c r="J239" s="35" t="n">
        <x:v>71</x:v>
      </x:c>
      <x:c r="K239" s="32" t="n">
        <x:v>1119183.1426833072</x:v>
      </x:c>
      <x:c r="L239" s="32" t="n">
        <x:v>813598.6194393582</x:v>
      </x:c>
      <x:c r="M239" s="32" t="n">
        <x:v>947449.3641487672</x:v>
      </x:c>
      <x:c r="N239" s="34" t="n">
        <x:v>0.000016844468630280618</x:v>
      </x:c>
      <x:c r="O239" s="35" t="n">
        <x:v>238</x:v>
      </x:c>
      <x:c r="P239" s="34" t="n">
        <x:v>0.9997510344862774</x:v>
      </x:c>
    </x:row>
    <x:row r="240" ht="18" customHeight="1">
      <x:c r="A240" s="25" t="str">
        <x:v>EEZ_935</x:v>
      </x:c>
      <x:c r="B240" s="25" t="str">
        <x:v>Guatemala (Caribbean)</x:v>
      </x:c>
      <x:c r="C240" s="25" t="str">
        <x:v>EEZ</x:v>
      </x:c>
      <x:c r="D240" s="31" t="n">
        <x:v>2019</x:v>
      </x:c>
      <x:c r="E240" s="32" t="n">
        <x:v>4694.347823299001</x:v>
      </x:c>
      <x:c r="F240" s="32" t="n">
        <x:v>4694.347823299001</x:v>
      </x:c>
      <x:c r="G240" s="33" t="n">
        <x:v>0</x:v>
      </x:c>
      <x:c r="H240" s="34" t="n">
        <x:v>1</x:v>
      </x:c>
      <x:c r="I240" s="35" t="n">
        <x:v>23</x:v>
      </x:c>
      <x:c r="J240" s="35" t="n">
        <x:v>23</x:v>
      </x:c>
      <x:c r="K240" s="32" t="n">
        <x:v>1114718.28132553</x:v>
      </x:c>
      <x:c r="L240" s="32" t="n">
        <x:v>941904.1815302117</x:v>
      </x:c>
      <x:c r="M240" s="32" t="n">
        <x:v>1085609.8610575816</x:v>
      </x:c>
      <x:c r="N240" s="34" t="n">
        <x:v>0.000016777269425600576</x:v>
      </x:c>
      <x:c r="O240" s="35" t="n">
        <x:v>239</x:v>
      </x:c>
      <x:c r="P240" s="34" t="n">
        <x:v>0.9997678117557031</x:v>
      </x:c>
    </x:row>
    <x:row r="241" ht="18" customHeight="1">
      <x:c r="A241" s="25" t="str">
        <x:v>EEZ_659</x:v>
      </x:c>
      <x:c r="B241" s="25" t="str">
        <x:v>Saint Kitts &amp; Nevis</x:v>
      </x:c>
      <x:c r="C241" s="25" t="str">
        <x:v>EEZ</x:v>
      </x:c>
      <x:c r="D241" s="31" t="n">
        <x:v>2019</x:v>
      </x:c>
      <x:c r="E241" s="32" t="n">
        <x:v>1724.273887369</x:v>
      </x:c>
      <x:c r="F241" s="32" t="n">
        <x:v>1724.273887369</x:v>
      </x:c>
      <x:c r="G241" s="33" t="n">
        <x:v>0</x:v>
      </x:c>
      <x:c r="H241" s="34" t="n">
        <x:v>1</x:v>
      </x:c>
      <x:c r="I241" s="35" t="n">
        <x:v>19</x:v>
      </x:c>
      <x:c r="J241" s="35" t="n">
        <x:v>19</x:v>
      </x:c>
      <x:c r="K241" s="32" t="n">
        <x:v>1106283.6685462072</x:v>
      </x:c>
      <x:c r="L241" s="32" t="n">
        <x:v>699631.8379555495</x:v>
      </x:c>
      <x:c r="M241" s="32" t="n">
        <x:v>1006125.3220770671</x:v>
      </x:c>
      <x:c r="N241" s="34" t="n">
        <x:v>0.00001665032275802548</x:v>
      </x:c>
      <x:c r="O241" s="35" t="n">
        <x:v>240</x:v>
      </x:c>
      <x:c r="P241" s="34" t="n">
        <x:v>0.9997844620784611</x:v>
      </x:c>
    </x:row>
    <x:row r="242" ht="18" customHeight="1">
      <x:c r="A242" s="25" t="str">
        <x:v>EEZ_736</x:v>
      </x:c>
      <x:c r="B242" s="25" t="str">
        <x:v>Sudan</x:v>
      </x:c>
      <x:c r="C242" s="25" t="str">
        <x:v>EEZ</x:v>
      </x:c>
      <x:c r="D242" s="31" t="n">
        <x:v>2019</x:v>
      </x:c>
      <x:c r="E242" s="32" t="n">
        <x:v>1903.800910461</x:v>
      </x:c>
      <x:c r="F242" s="32" t="n">
        <x:v>1903.800910461</x:v>
      </x:c>
      <x:c r="G242" s="33" t="n">
        <x:v>0</x:v>
      </x:c>
      <x:c r="H242" s="34" t="n">
        <x:v>1</x:v>
      </x:c>
      <x:c r="I242" s="35" t="n">
        <x:v>9</x:v>
      </x:c>
      <x:c r="J242" s="35" t="n">
        <x:v>9</x:v>
      </x:c>
      <x:c r="K242" s="32" t="n">
        <x:v>1065191.496904894</x:v>
      </x:c>
      <x:c r="L242" s="32" t="n">
        <x:v>630296.4033463453</x:v>
      </x:c>
      <x:c r="M242" s="32" t="n">
        <x:v>630624.815329453</x:v>
      </x:c>
      <x:c r="N242" s="34" t="n">
        <x:v>0.0000160318575848433</x:v>
      </x:c>
      <x:c r="O242" s="35" t="n">
        <x:v>241</x:v>
      </x:c>
      <x:c r="P242" s="34" t="n">
        <x:v>0.9998004939360459</x:v>
      </x:c>
    </x:row>
    <x:row r="243" ht="18" customHeight="1">
      <x:c r="A243" s="25" t="str">
        <x:v>EEZ_638</x:v>
      </x:c>
      <x:c r="B243" s="25" t="str">
        <x:v>Réunion (France)</x:v>
      </x:c>
      <x:c r="C243" s="25" t="str">
        <x:v>EEZ</x:v>
      </x:c>
      <x:c r="D243" s="31" t="n">
        <x:v>2019</x:v>
      </x:c>
      <x:c r="E243" s="32" t="n">
        <x:v>537.9865677244</x:v>
      </x:c>
      <x:c r="F243" s="32" t="n">
        <x:v>537.9865677244</x:v>
      </x:c>
      <x:c r="G243" s="33" t="n">
        <x:v>0</x:v>
      </x:c>
      <x:c r="H243" s="34" t="n">
        <x:v>1</x:v>
      </x:c>
      <x:c r="I243" s="35" t="n">
        <x:v>26</x:v>
      </x:c>
      <x:c r="J243" s="35" t="n">
        <x:v>26</x:v>
      </x:c>
      <x:c r="K243" s="32" t="n">
        <x:v>1039295.5371920002</x:v>
      </x:c>
      <x:c r="L243" s="32" t="n">
        <x:v>1016429.7210691373</x:v>
      </x:c>
      <x:c r="M243" s="32" t="n">
        <x:v>1029294.7264742714</x:v>
      </x:c>
      <x:c r="N243" s="34" t="n">
        <x:v>0.00001564210575210123</x:v>
      </x:c>
      <x:c r="O243" s="35" t="n">
        <x:v>242</x:v>
      </x:c>
      <x:c r="P243" s="34" t="n">
        <x:v>0.999816136041798</x:v>
      </x:c>
    </x:row>
    <x:row r="244" ht="18" customHeight="1">
      <x:c r="A244" s="25" t="str">
        <x:v>EEZ_580</x:v>
      </x:c>
      <x:c r="B244" s="25" t="str">
        <x:v>Northern Marianas (USA)</x:v>
      </x:c>
      <x:c r="C244" s="25" t="str">
        <x:v>EEZ</x:v>
      </x:c>
      <x:c r="D244" s="31" t="n">
        <x:v>2019</x:v>
      </x:c>
      <x:c r="E244" s="32" t="n">
        <x:v>498.5314401099</x:v>
      </x:c>
      <x:c r="F244" s="32" t="n">
        <x:v>498.5314401099</x:v>
      </x:c>
      <x:c r="G244" s="33" t="n">
        <x:v>0</x:v>
      </x:c>
      <x:c r="H244" s="34" t="n">
        <x:v>1</x:v>
      </x:c>
      <x:c r="I244" s="35" t="n">
        <x:v>62</x:v>
      </x:c>
      <x:c r="J244" s="35" t="n">
        <x:v>62</x:v>
      </x:c>
      <x:c r="K244" s="32" t="n">
        <x:v>1005725.4354424982</x:v>
      </x:c>
      <x:c r="L244" s="32" t="n">
        <x:v>880955.370346406</x:v>
      </x:c>
      <x:c r="M244" s="32" t="n">
        <x:v>979405.8520027468</x:v>
      </x:c>
      <x:c r="N244" s="34" t="n">
        <x:v>0.000015136852854457448</x:v>
      </x:c>
      <x:c r="O244" s="35" t="n">
        <x:v>243</x:v>
      </x:c>
      <x:c r="P244" s="34" t="n">
        <x:v>0.9998312728946525</x:v>
      </x:c>
    </x:row>
    <x:row r="245" ht="18" customHeight="1">
      <x:c r="A245" s="25" t="str">
        <x:v>EEZ_654</x:v>
      </x:c>
      <x:c r="B245" s="25" t="str">
        <x:v>Saint Helena (UK)</x:v>
      </x:c>
      <x:c r="C245" s="25" t="str">
        <x:v>EEZ</x:v>
      </x:c>
      <x:c r="D245" s="31" t="n">
        <x:v>2019</x:v>
      </x:c>
      <x:c r="E245" s="32" t="n">
        <x:v>515.4002517916999</x:v>
      </x:c>
      <x:c r="F245" s="32" t="n">
        <x:v>515.4002517916999</x:v>
      </x:c>
      <x:c r="G245" s="33" t="n">
        <x:v>0</x:v>
      </x:c>
      <x:c r="H245" s="34" t="n">
        <x:v>1</x:v>
      </x:c>
      <x:c r="I245" s="35" t="n">
        <x:v>20</x:v>
      </x:c>
      <x:c r="J245" s="35" t="n">
        <x:v>20</x:v>
      </x:c>
      <x:c r="K245" s="32" t="n">
        <x:v>982147.5503922047</x:v>
      </x:c>
      <x:c r="L245" s="32" t="n">
        <x:v>973106.9444326712</x:v>
      </x:c>
      <x:c r="M245" s="32" t="n">
        <x:v>979520.3046732456</x:v>
      </x:c>
      <x:c r="N245" s="34" t="n">
        <x:v>0.000014781989624346759</x:v>
      </x:c>
      <x:c r="O245" s="35" t="n">
        <x:v>244</x:v>
      </x:c>
      <x:c r="P245" s="34" t="n">
        <x:v>0.9998460548842768</x:v>
      </x:c>
    </x:row>
    <x:row r="246" ht="18" customHeight="1">
      <x:c r="A246" s="25" t="str">
        <x:v>EEZ_896</x:v>
      </x:c>
      <x:c r="B246" s="25" t="str">
        <x:v>Crozet Isl. (France)</x:v>
      </x:c>
      <x:c r="C246" s="25" t="str">
        <x:v>EEZ</x:v>
      </x:c>
      <x:c r="D246" s="31" t="n">
        <x:v>2019</x:v>
      </x:c>
      <x:c r="E246" s="32" t="n">
        <x:v>962.1183434891</x:v>
      </x:c>
      <x:c r="F246" s="32" t="n">
        <x:v>962.1183434891</x:v>
      </x:c>
      <x:c r="G246" s="33" t="n">
        <x:v>0</x:v>
      </x:c>
      <x:c r="H246" s="34" t="n">
        <x:v>1</x:v>
      </x:c>
      <x:c r="I246" s="35" t="n">
        <x:v>7</x:v>
      </x:c>
      <x:c r="J246" s="35" t="n">
        <x:v>7</x:v>
      </x:c>
      <x:c r="K246" s="32" t="n">
        <x:v>829294.7328154038</x:v>
      </x:c>
      <x:c r="L246" s="32" t="n">
        <x:v>826966.3924129192</x:v>
      </x:c>
      <x:c r="M246" s="32" t="n">
        <x:v>829294.7328154031</x:v>
      </x:c>
      <x:c r="N246" s="34" t="n">
        <x:v>0.000012481450603941773</x:v>
      </x:c>
      <x:c r="O246" s="35" t="n">
        <x:v>245</x:v>
      </x:c>
      <x:c r="P246" s="34" t="n">
        <x:v>0.9998585363348808</x:v>
      </x:c>
    </x:row>
    <x:row r="247" ht="18" customHeight="1">
      <x:c r="A247" s="25" t="str">
        <x:v>EEZ_488</x:v>
      </x:c>
      <x:c r="B247" s="25" t="str">
        <x:v>Hawaii Northwest Islands (USA)</x:v>
      </x:c>
      <x:c r="C247" s="25" t="str">
        <x:v>EEZ</x:v>
      </x:c>
      <x:c r="D247" s="31" t="n">
        <x:v>2019</x:v>
      </x:c>
      <x:c r="E247" s="32" t="n">
        <x:v>456.1205398731</x:v>
      </x:c>
      <x:c r="F247" s="32" t="n">
        <x:v>456.1205398731</x:v>
      </x:c>
      <x:c r="G247" s="33" t="n">
        <x:v>0</x:v>
      </x:c>
      <x:c r="H247" s="34" t="n">
        <x:v>1</x:v>
      </x:c>
      <x:c r="I247" s="35" t="n">
        <x:v>16</x:v>
      </x:c>
      <x:c r="J247" s="35" t="n">
        <x:v>16</x:v>
      </x:c>
      <x:c r="K247" s="32" t="n">
        <x:v>790459.7617226113</x:v>
      </x:c>
      <x:c r="L247" s="32" t="n">
        <x:v>712474.0450342633</x:v>
      </x:c>
      <x:c r="M247" s="32" t="n">
        <x:v>775338.5781839541</x:v>
      </x:c>
      <x:c r="N247" s="34" t="n">
        <x:v>0.000011896957836509604</x:v>
      </x:c>
      <x:c r="O247" s="35" t="n">
        <x:v>246</x:v>
      </x:c>
      <x:c r="P247" s="34" t="n">
        <x:v>0.9998704332927173</x:v>
      </x:c>
    </x:row>
    <x:row r="248" ht="18" customHeight="1">
      <x:c r="A248" s="25" t="str">
        <x:v>EEZ_396</x:v>
      </x:c>
      <x:c r="B248" s="25" t="str">
        <x:v>Johnston Atoll (USA)</x:v>
      </x:c>
      <x:c r="C248" s="25" t="str">
        <x:v>EEZ</x:v>
      </x:c>
      <x:c r="D248" s="31" t="n">
        <x:v>2019</x:v>
      </x:c>
      <x:c r="E248" s="32" t="n">
        <x:v>308.29794792170003</x:v>
      </x:c>
      <x:c r="F248" s="32" t="n">
        <x:v>308.29794792170003</x:v>
      </x:c>
      <x:c r="G248" s="33" t="n">
        <x:v>0</x:v>
      </x:c>
      <x:c r="H248" s="34" t="n">
        <x:v>1</x:v>
      </x:c>
      <x:c r="I248" s="35" t="n">
        <x:v>19</x:v>
      </x:c>
      <x:c r="J248" s="35" t="n">
        <x:v>19</x:v>
      </x:c>
      <x:c r="K248" s="32" t="n">
        <x:v>709090.631793451</x:v>
      </x:c>
      <x:c r="L248" s="32" t="n">
        <x:v>703685.9380181376</x:v>
      </x:c>
      <x:c r="M248" s="32" t="n">
        <x:v>694535.5648760073</x:v>
      </x:c>
      <x:c r="N248" s="34" t="n">
        <x:v>0.000010672297006398434</x:v>
      </x:c>
      <x:c r="O248" s="35" t="n">
        <x:v>247</x:v>
      </x:c>
      <x:c r="P248" s="34" t="n">
        <x:v>0.9998811055897237</x:v>
      </x:c>
    </x:row>
    <x:row r="249" ht="18" customHeight="1">
      <x:c r="A249" s="25" t="str">
        <x:v>EEZ_907</x:v>
      </x:c>
      <x:c r="B249" s="25" t="str">
        <x:v>Bonaire (Netherlands)</x:v>
      </x:c>
      <x:c r="C249" s="25" t="str">
        <x:v>EEZ</x:v>
      </x:c>
      <x:c r="D249" s="31" t="n">
        <x:v>2019</x:v>
      </x:c>
      <x:c r="E249" s="32" t="n">
        <x:v>400.2133530319</x:v>
      </x:c>
      <x:c r="F249" s="32" t="n">
        <x:v>400.2133530319</x:v>
      </x:c>
      <x:c r="G249" s="33" t="n">
        <x:v>0</x:v>
      </x:c>
      <x:c r="H249" s="34" t="n">
        <x:v>1</x:v>
      </x:c>
      <x:c r="I249" s="35" t="n">
        <x:v>39</x:v>
      </x:c>
      <x:c r="J249" s="35" t="n">
        <x:v>39</x:v>
      </x:c>
      <x:c r="K249" s="32" t="n">
        <x:v>677238.29384602</x:v>
      </x:c>
      <x:c r="L249" s="32" t="n">
        <x:v>655588.4639698595</x:v>
      </x:c>
      <x:c r="M249" s="32" t="n">
        <x:v>657496.3418869387</x:v>
      </x:c>
      <x:c r="N249" s="34" t="n">
        <x:v>0.000010192897624032629</x:v>
      </x:c>
      <x:c r="O249" s="35" t="n">
        <x:v>248</x:v>
      </x:c>
      <x:c r="P249" s="34" t="n">
        <x:v>0.9998912984873477</x:v>
      </x:c>
    </x:row>
    <x:row r="250" ht="18" customHeight="1">
      <x:c r="A250" s="25" t="str">
        <x:v>EEZ_844</x:v>
      </x:c>
      <x:c r="B250" s="25" t="str">
        <x:v>Palmyra Atoll &amp; Kingman Reef (USA)</x:v>
      </x:c>
      <x:c r="C250" s="25" t="str">
        <x:v>EEZ</x:v>
      </x:c>
      <x:c r="D250" s="31" t="n">
        <x:v>2019</x:v>
      </x:c>
      <x:c r="E250" s="32" t="n">
        <x:v>280.5961402573</x:v>
      </x:c>
      <x:c r="F250" s="32" t="n">
        <x:v>280.5961402573</x:v>
      </x:c>
      <x:c r="G250" s="33" t="n">
        <x:v>0</x:v>
      </x:c>
      <x:c r="H250" s="34" t="n">
        <x:v>1</x:v>
      </x:c>
      <x:c r="I250" s="35" t="n">
        <x:v>17</x:v>
      </x:c>
      <x:c r="J250" s="35" t="n">
        <x:v>17</x:v>
      </x:c>
      <x:c r="K250" s="32" t="n">
        <x:v>628775.9881433196</x:v>
      </x:c>
      <x:c r="L250" s="32" t="n">
        <x:v>625356.8693576443</x:v>
      </x:c>
      <x:c r="M250" s="32" t="n">
        <x:v>625610.4941218644</x:v>
      </x:c>
      <x:c r="N250" s="34" t="n">
        <x:v>0.0000094635069130512</x:v>
      </x:c>
      <x:c r="O250" s="35" t="n">
        <x:v>249</x:v>
      </x:c>
      <x:c r="P250" s="34" t="n">
        <x:v>0.9999007619942607</x:v>
      </x:c>
    </x:row>
    <x:row r="251" ht="18" customHeight="1">
      <x:c r="A251" s="25" t="str">
        <x:v>EEZ_891</x:v>
      </x:c>
      <x:c r="B251" s="25" t="str">
        <x:v>Montenegro</x:v>
      </x:c>
      <x:c r="C251" s="25" t="str">
        <x:v>EEZ</x:v>
      </x:c>
      <x:c r="D251" s="31" t="n">
        <x:v>2019</x:v>
      </x:c>
      <x:c r="E251" s="32" t="n">
        <x:v>1698.0118630171</x:v>
      </x:c>
      <x:c r="F251" s="32" t="n">
        <x:v>1698.0118630171</x:v>
      </x:c>
      <x:c r="G251" s="33" t="n">
        <x:v>0</x:v>
      </x:c>
      <x:c r="H251" s="34" t="n">
        <x:v>1</x:v>
      </x:c>
      <x:c r="I251" s="35" t="n">
        <x:v>70</x:v>
      </x:c>
      <x:c r="J251" s="35" t="n">
        <x:v>70</x:v>
      </x:c>
      <x:c r="K251" s="32" t="n">
        <x:v>575664.3429432232</x:v>
      </x:c>
      <x:c r="L251" s="32" t="n">
        <x:v>413329.1264975754</x:v>
      </x:c>
      <x:c r="M251" s="32" t="n">
        <x:v>477113.8574983947</x:v>
      </x:c>
      <x:c r="N251" s="34" t="n">
        <x:v>0.000008664140475730966</x:v>
      </x:c>
      <x:c r="O251" s="35" t="n">
        <x:v>250</x:v>
      </x:c>
      <x:c r="P251" s="34" t="n">
        <x:v>0.9999094261347364</x:v>
      </x:c>
    </x:row>
    <x:row r="252" ht="18" customHeight="1">
      <x:c r="A252" s="25" t="str">
        <x:v>EEZ_666</x:v>
      </x:c>
      <x:c r="B252" s="25" t="str">
        <x:v>Saint Pierre &amp; Miquelon (France)</x:v>
      </x:c>
      <x:c r="C252" s="25" t="str">
        <x:v>EEZ</x:v>
      </x:c>
      <x:c r="D252" s="31" t="n">
        <x:v>2019</x:v>
      </x:c>
      <x:c r="E252" s="32" t="n">
        <x:v>1766.086618522</x:v>
      </x:c>
      <x:c r="F252" s="32" t="n">
        <x:v>1766.086618522</x:v>
      </x:c>
      <x:c r="G252" s="33" t="n">
        <x:v>0</x:v>
      </x:c>
      <x:c r="H252" s="34" t="n">
        <x:v>1</x:v>
      </x:c>
      <x:c r="I252" s="35" t="n">
        <x:v>21</x:v>
      </x:c>
      <x:c r="J252" s="35" t="n">
        <x:v>21</x:v>
      </x:c>
      <x:c r="K252" s="32" t="n">
        <x:v>574386.8852731779</x:v>
      </x:c>
      <x:c r="L252" s="32" t="n">
        <x:v>532431.3474728933</x:v>
      </x:c>
      <x:c r="M252" s="32" t="n">
        <x:v>538876.9446376901</x:v>
      </x:c>
      <x:c r="N252" s="34" t="n">
        <x:v>0.00000864491386765501</x:v>
      </x:c>
      <x:c r="O252" s="35" t="n">
        <x:v>251</x:v>
      </x:c>
      <x:c r="P252" s="34" t="n">
        <x:v>0.9999180710486041</x:v>
      </x:c>
    </x:row>
    <x:row r="253" ht="18" customHeight="1">
      <x:c r="A253" s="25" t="str">
        <x:v>EEZ_905</x:v>
      </x:c>
      <x:c r="B253" s="25" t="str">
        <x:v>St Martin (France)</x:v>
      </x:c>
      <x:c r="C253" s="25" t="str">
        <x:v>EEZ</x:v>
      </x:c>
      <x:c r="D253" s="31" t="n">
        <x:v>2019</x:v>
      </x:c>
      <x:c r="E253" s="32" t="n">
        <x:v>547.9161662649999</x:v>
      </x:c>
      <x:c r="F253" s="32" t="n">
        <x:v>547.9161662649999</x:v>
      </x:c>
      <x:c r="G253" s="33" t="n">
        <x:v>0</x:v>
      </x:c>
      <x:c r="H253" s="34" t="n">
        <x:v>1</x:v>
      </x:c>
      <x:c r="I253" s="35" t="n">
        <x:v>29</x:v>
      </x:c>
      <x:c r="J253" s="35" t="n">
        <x:v>29</x:v>
      </x:c>
      <x:c r="K253" s="32" t="n">
        <x:v>499593.895973369</x:v>
      </x:c>
      <x:c r="L253" s="32" t="n">
        <x:v>403687.3066362591</x:v>
      </x:c>
      <x:c r="M253" s="32" t="n">
        <x:v>447140.9327517793</x:v>
      </x:c>
      <x:c r="N253" s="34" t="n">
        <x:v>0.000007519228433361401</x:v>
      </x:c>
      <x:c r="O253" s="35" t="n">
        <x:v>252</x:v>
      </x:c>
      <x:c r="P253" s="34" t="n">
        <x:v>0.9999255902770375</x:v>
      </x:c>
    </x:row>
    <x:row r="254" ht="18" customHeight="1">
      <x:c r="A254" s="25" t="str">
        <x:v>EEZ_400</x:v>
      </x:c>
      <x:c r="B254" s="25" t="str">
        <x:v>Jordan</x:v>
      </x:c>
      <x:c r="C254" s="25" t="str">
        <x:v>EEZ</x:v>
      </x:c>
      <x:c r="D254" s="31" t="n">
        <x:v>2019</x:v>
      </x:c>
      <x:c r="E254" s="32" t="n">
        <x:v>387.759999999</x:v>
      </x:c>
      <x:c r="F254" s="32" t="n">
        <x:v>387.759999999</x:v>
      </x:c>
      <x:c r="G254" s="33" t="n">
        <x:v>0</x:v>
      </x:c>
      <x:c r="H254" s="34" t="n">
        <x:v>1</x:v>
      </x:c>
      <x:c r="I254" s="35" t="n">
        <x:v>12</x:v>
      </x:c>
      <x:c r="J254" s="35" t="n">
        <x:v>12</x:v>
      </x:c>
      <x:c r="K254" s="32" t="n">
        <x:v>448341.8758726021</x:v>
      </x:c>
      <x:c r="L254" s="32" t="n">
        <x:v>383868.65814178856</x:v>
      </x:c>
      <x:c r="M254" s="32" t="n">
        <x:v>425852.62560659816</x:v>
      </x:c>
      <x:c r="N254" s="34" t="n">
        <x:v>0.000006747850620471871</x:v>
      </x:c>
      <x:c r="O254" s="35" t="n">
        <x:v>253</x:v>
      </x:c>
      <x:c r="P254" s="34" t="n">
        <x:v>0.9999323381276579</x:v>
      </x:c>
    </x:row>
    <x:row r="255" ht="18" customHeight="1">
      <x:c r="A255" s="25" t="str">
        <x:v>EEZ_660</x:v>
      </x:c>
      <x:c r="B255" s="25" t="str">
        <x:v>Anguilla (UK)</x:v>
      </x:c>
      <x:c r="C255" s="25" t="str">
        <x:v>EEZ</x:v>
      </x:c>
      <x:c r="D255" s="31" t="n">
        <x:v>2019</x:v>
      </x:c>
      <x:c r="E255" s="32" t="n">
        <x:v>1027.036715517</x:v>
      </x:c>
      <x:c r="F255" s="32" t="n">
        <x:v>1027.036715517</x:v>
      </x:c>
      <x:c r="G255" s="33" t="n">
        <x:v>0</x:v>
      </x:c>
      <x:c r="H255" s="34" t="n">
        <x:v>1</x:v>
      </x:c>
      <x:c r="I255" s="35" t="n">
        <x:v>24</x:v>
      </x:c>
      <x:c r="J255" s="35" t="n">
        <x:v>24</x:v>
      </x:c>
      <x:c r="K255" s="32" t="n">
        <x:v>448305.9886107153</x:v>
      </x:c>
      <x:c r="L255" s="32" t="n">
        <x:v>333813.7039874791</x:v>
      </x:c>
      <x:c r="M255" s="32" t="n">
        <x:v>414194.8589122577</x:v>
      </x:c>
      <x:c r="N255" s="34" t="n">
        <x:v>0.000006747310492735824</x:v>
      </x:c>
      <x:c r="O255" s="35" t="n">
        <x:v>254</x:v>
      </x:c>
      <x:c r="P255" s="34" t="n">
        <x:v>0.9999390854381507</x:v>
      </x:c>
    </x:row>
    <x:row r="256" ht="18" customHeight="1">
      <x:c r="A256" s="25" t="str">
        <x:v>EEZ_579</x:v>
      </x:c>
      <x:c r="B256" s="25" t="str">
        <x:v>Jan Mayen Isl. (Norway)</x:v>
      </x:c>
      <x:c r="C256" s="25" t="str">
        <x:v>EEZ</x:v>
      </x:c>
      <x:c r="D256" s="31" t="n">
        <x:v>2019</x:v>
      </x:c>
      <x:c r="E256" s="32" t="n">
        <x:v>534.1534584534</x:v>
      </x:c>
      <x:c r="F256" s="32" t="n">
        <x:v>534.1534584534</x:v>
      </x:c>
      <x:c r="G256" s="33" t="n">
        <x:v>0</x:v>
      </x:c>
      <x:c r="H256" s="34" t="n">
        <x:v>1</x:v>
      </x:c>
      <x:c r="I256" s="35" t="n">
        <x:v>6</x:v>
      </x:c>
      <x:c r="J256" s="35" t="n">
        <x:v>6</x:v>
      </x:c>
      <x:c r="K256" s="32" t="n">
        <x:v>433429.22305330844</x:v>
      </x:c>
      <x:c r="L256" s="32" t="n">
        <x:v>433129.47100038576</x:v>
      </x:c>
      <x:c r="M256" s="32" t="n">
        <x:v>422791.40566658013</x:v>
      </x:c>
      <x:c r="N256" s="34" t="n">
        <x:v>0.000006523405037770722</x:v>
      </x:c>
      <x:c r="O256" s="35" t="n">
        <x:v>255</x:v>
      </x:c>
      <x:c r="P256" s="34" t="n">
        <x:v>0.9999456088431885</x:v>
      </x:c>
    </x:row>
    <x:row r="257" ht="18" customHeight="1">
      <x:c r="A257" s="25" t="str">
        <x:v>EEZ_904</x:v>
      </x:c>
      <x:c r="B257" s="25" t="str">
        <x:v>St Barthelemy (France)</x:v>
      </x:c>
      <x:c r="C257" s="25" t="str">
        <x:v>EEZ</x:v>
      </x:c>
      <x:c r="D257" s="31" t="n">
        <x:v>2019</x:v>
      </x:c>
      <x:c r="E257" s="32" t="n">
        <x:v>526.0359177130001</x:v>
      </x:c>
      <x:c r="F257" s="32" t="n">
        <x:v>526.0359177130001</x:v>
      </x:c>
      <x:c r="G257" s="33" t="n">
        <x:v>0</x:v>
      </x:c>
      <x:c r="H257" s="34" t="n">
        <x:v>1</x:v>
      </x:c>
      <x:c r="I257" s="35" t="n">
        <x:v>29</x:v>
      </x:c>
      <x:c r="J257" s="35" t="n">
        <x:v>29</x:v>
      </x:c>
      <x:c r="K257" s="32" t="n">
        <x:v>405068.1217651294</x:v>
      </x:c>
      <x:c r="L257" s="32" t="n">
        <x:v>327867.426132599</x:v>
      </x:c>
      <x:c r="M257" s="32" t="n">
        <x:v>354580.58677155705</x:v>
      </x:c>
      <x:c r="N257" s="34" t="n">
        <x:v>0.000006096551145186562</x:v>
      </x:c>
      <x:c r="O257" s="35" t="n">
        <x:v>256</x:v>
      </x:c>
      <x:c r="P257" s="34" t="n">
        <x:v>0.9999517053943336</x:v>
      </x:c>
    </x:row>
    <x:row r="258" ht="18" customHeight="1">
      <x:c r="A258" s="25" t="str">
        <x:v>EEZ_037</x:v>
      </x:c>
      <x:c r="B258" s="25" t="str">
        <x:v>Macquarie Isl. (Australia)</x:v>
      </x:c>
      <x:c r="C258" s="25" t="str">
        <x:v>EEZ</x:v>
      </x:c>
      <x:c r="D258" s="31" t="n">
        <x:v>2019</x:v>
      </x:c>
      <x:c r="E258" s="32" t="n">
        <x:v>434.33</x:v>
      </x:c>
      <x:c r="F258" s="32" t="n">
        <x:v>434.33</x:v>
      </x:c>
      <x:c r="G258" s="33" t="n">
        <x:v>0</x:v>
      </x:c>
      <x:c r="H258" s="34" t="n">
        <x:v>1</x:v>
      </x:c>
      <x:c r="I258" s="35" t="n">
        <x:v>1</x:v>
      </x:c>
      <x:c r="J258" s="35" t="n">
        <x:v>1</x:v>
      </x:c>
      <x:c r="K258" s="32" t="n">
        <x:v>396113.66785745224</x:v>
      </x:c>
      <x:c r="L258" s="32" t="n">
        <x:v>396113.66785745224</x:v>
      </x:c>
      <x:c r="M258" s="32" t="n">
        <x:v>396113.66785745224</x:v>
      </x:c>
      <x:c r="N258" s="34" t="n">
        <x:v>0.000005961780514539347</x:v>
      </x:c>
      <x:c r="O258" s="35" t="n">
        <x:v>257</x:v>
      </x:c>
      <x:c r="P258" s="34" t="n">
        <x:v>0.9999576671748482</x:v>
      </x:c>
    </x:row>
    <x:row r="259" ht="18" customHeight="1">
      <x:c r="A259" s="25" t="str">
        <x:v>EEZ_951</x:v>
      </x:c>
      <x:c r="B259" s="25" t="str">
        <x:v>Panama (Caribbean)</x:v>
      </x:c>
      <x:c r="C259" s="25" t="str">
        <x:v>EEZ</x:v>
      </x:c>
      <x:c r="D259" s="31" t="n">
        <x:v>2019</x:v>
      </x:c>
      <x:c r="E259" s="32" t="n">
        <x:v>1550.4602980178997</x:v>
      </x:c>
      <x:c r="F259" s="32" t="n">
        <x:v>1550.4602980178997</x:v>
      </x:c>
      <x:c r="G259" s="33" t="n">
        <x:v>0</x:v>
      </x:c>
      <x:c r="H259" s="34" t="n">
        <x:v>1</x:v>
      </x:c>
      <x:c r="I259" s="35" t="n">
        <x:v>12</x:v>
      </x:c>
      <x:c r="J259" s="35" t="n">
        <x:v>12</x:v>
      </x:c>
      <x:c r="K259" s="32" t="n">
        <x:v>395402.3380561242</x:v>
      </x:c>
      <x:c r="L259" s="32" t="n">
        <x:v>389516.0933646631</x:v>
      </x:c>
      <x:c r="M259" s="32" t="n">
        <x:v>395278.1639613288</x:v>
      </x:c>
      <x:c r="N259" s="34" t="n">
        <x:v>0.00000595107451650624</x:v>
      </x:c>
      <x:c r="O259" s="35" t="n">
        <x:v>258</x:v>
      </x:c>
      <x:c r="P259" s="34" t="n">
        <x:v>0.9999636182493647</x:v>
      </x:c>
    </x:row>
    <x:row r="260" ht="18" customHeight="1">
      <x:c r="A260" s="25" t="str">
        <x:v>EEZ_850</x:v>
      </x:c>
      <x:c r="B260" s="25" t="str">
        <x:v>US Virgin Isl.</x:v>
      </x:c>
      <x:c r="C260" s="25" t="str">
        <x:v>EEZ</x:v>
      </x:c>
      <x:c r="D260" s="31" t="n">
        <x:v>2019</x:v>
      </x:c>
      <x:c r="E260" s="32" t="n">
        <x:v>385.4790666690001</x:v>
      </x:c>
      <x:c r="F260" s="32" t="n">
        <x:v>385.4790666690001</x:v>
      </x:c>
      <x:c r="G260" s="33" t="n">
        <x:v>0</x:v>
      </x:c>
      <x:c r="H260" s="34" t="n">
        <x:v>1</x:v>
      </x:c>
      <x:c r="I260" s="35" t="n">
        <x:v>21</x:v>
      </x:c>
      <x:c r="J260" s="35" t="n">
        <x:v>21</x:v>
      </x:c>
      <x:c r="K260" s="32" t="n">
        <x:v>359796.24203482084</x:v>
      </x:c>
      <x:c r="L260" s="32" t="n">
        <x:v>294117.7068980834</x:v>
      </x:c>
      <x:c r="M260" s="32" t="n">
        <x:v>338872.332180039</x:v>
      </x:c>
      <x:c r="N260" s="34" t="n">
        <x:v>0.000005415178518251986</x:v>
      </x:c>
      <x:c r="O260" s="35" t="n">
        <x:v>259</x:v>
      </x:c>
      <x:c r="P260" s="34" t="n">
        <x:v>0.9999690334278829</x:v>
      </x:c>
    </x:row>
    <x:row r="261" ht="18" customHeight="1">
      <x:c r="A261" s="25" t="str">
        <x:v>EEZ_086</x:v>
      </x:c>
      <x:c r="B261" s="25" t="str">
        <x:v>Chagos Archipelago (UK)</x:v>
      </x:c>
      <x:c r="C261" s="25" t="str">
        <x:v>EEZ</x:v>
      </x:c>
      <x:c r="D261" s="31" t="n">
        <x:v>2019</x:v>
      </x:c>
      <x:c r="E261" s="32" t="n">
        <x:v>135.2489756326</x:v>
      </x:c>
      <x:c r="F261" s="32" t="n">
        <x:v>135.2489756326</x:v>
      </x:c>
      <x:c r="G261" s="33" t="n">
        <x:v>0</x:v>
      </x:c>
      <x:c r="H261" s="34" t="n">
        <x:v>1</x:v>
      </x:c>
      <x:c r="I261" s="35" t="n">
        <x:v>22</x:v>
      </x:c>
      <x:c r="J261" s="35" t="n">
        <x:v>22</x:v>
      </x:c>
      <x:c r="K261" s="32" t="n">
        <x:v>263025.75586093066</x:v>
      </x:c>
      <x:c r="L261" s="32" t="n">
        <x:v>259211.53634591453</x:v>
      </x:c>
      <x:c r="M261" s="32" t="n">
        <x:v>256840.26155903548</x:v>
      </x:c>
      <x:c r="N261" s="34" t="n">
        <x:v>0.000003958716786005945</x:v>
      </x:c>
      <x:c r="O261" s="35" t="n">
        <x:v>260</x:v>
      </x:c>
      <x:c r="P261" s="34" t="n">
        <x:v>0.999972992144669</x:v>
      </x:c>
    </x:row>
    <x:row r="262" ht="18" customHeight="1">
      <x:c r="A262" s="25" t="str">
        <x:v>EEZ_038</x:v>
      </x:c>
      <x:c r="B262" s="25" t="str">
        <x:v>Lord Howe Isl. (Australia)</x:v>
      </x:c>
      <x:c r="C262" s="25" t="str">
        <x:v>EEZ</x:v>
      </x:c>
      <x:c r="D262" s="31" t="n">
        <x:v>2019</x:v>
      </x:c>
      <x:c r="E262" s="32" t="n">
        <x:v>111.5646524811</x:v>
      </x:c>
      <x:c r="F262" s="32" t="n">
        <x:v>111.5646524811</x:v>
      </x:c>
      <x:c r="G262" s="33" t="n">
        <x:v>0</x:v>
      </x:c>
      <x:c r="H262" s="34" t="n">
        <x:v>1</x:v>
      </x:c>
      <x:c r="I262" s="35" t="n">
        <x:v>18</x:v>
      </x:c>
      <x:c r="J262" s="35" t="n">
        <x:v>18</x:v>
      </x:c>
      <x:c r="K262" s="32" t="n">
        <x:v>237070.8824424346</x:v>
      </x:c>
      <x:c r="L262" s="32" t="n">
        <x:v>229416.92982461693</x:v>
      </x:c>
      <x:c r="M262" s="32" t="n">
        <x:v>230650.7929449992</x:v>
      </x:c>
      <x:c r="N262" s="34" t="n">
        <x:v>0.0000035680782618654208</x:v>
      </x:c>
      <x:c r="O262" s="35" t="n">
        <x:v>261</x:v>
      </x:c>
      <x:c r="P262" s="34" t="n">
        <x:v>0.9999765602229308</x:v>
      </x:c>
    </x:row>
    <x:row r="263" ht="18" customHeight="1">
      <x:c r="A263" s="25" t="str">
        <x:v>EEZ_166</x:v>
      </x:c>
      <x:c r="B263" s="25" t="str">
        <x:v>Cocos (Keeling) Isl. (Australia)</x:v>
      </x:c>
      <x:c r="C263" s="25" t="str">
        <x:v>EEZ</x:v>
      </x:c>
      <x:c r="D263" s="31" t="n">
        <x:v>2019</x:v>
      </x:c>
      <x:c r="E263" s="32" t="n">
        <x:v>268.594720107</x:v>
      </x:c>
      <x:c r="F263" s="32" t="n">
        <x:v>268.594720107</x:v>
      </x:c>
      <x:c r="G263" s="33" t="n">
        <x:v>0</x:v>
      </x:c>
      <x:c r="H263" s="34" t="n">
        <x:v>1</x:v>
      </x:c>
      <x:c r="I263" s="35" t="n">
        <x:v>10</x:v>
      </x:c>
      <x:c r="J263" s="35" t="n">
        <x:v>10</x:v>
      </x:c>
      <x:c r="K263" s="32" t="n">
        <x:v>192511.2290212681</x:v>
      </x:c>
      <x:c r="L263" s="32" t="n">
        <x:v>129506.11473900735</x:v>
      </x:c>
      <x:c r="M263" s="32" t="n">
        <x:v>182353.21410370438</x:v>
      </x:c>
      <x:c r="N263" s="34" t="n">
        <x:v>0.00000289742512601721</x:v>
      </x:c>
      <x:c r="O263" s="35" t="n">
        <x:v>262</x:v>
      </x:c>
      <x:c r="P263" s="34" t="n">
        <x:v>0.9999794576480568</x:v>
      </x:c>
    </x:row>
    <x:row r="264" ht="18" customHeight="1">
      <x:c r="A264" s="25" t="str">
        <x:v>EEZ_136</x:v>
      </x:c>
      <x:c r="B264" s="25" t="str">
        <x:v>Cayman Isl. (UK)</x:v>
      </x:c>
      <x:c r="C264" s="25" t="str">
        <x:v>EEZ</x:v>
      </x:c>
      <x:c r="D264" s="31" t="n">
        <x:v>2019</x:v>
      </x:c>
      <x:c r="E264" s="32" t="n">
        <x:v>244.37965271110005</x:v>
      </x:c>
      <x:c r="F264" s="32" t="n">
        <x:v>244.37965271110005</x:v>
      </x:c>
      <x:c r="G264" s="33" t="n">
        <x:v>0</x:v>
      </x:c>
      <x:c r="H264" s="34" t="n">
        <x:v>1</x:v>
      </x:c>
      <x:c r="I264" s="35" t="n">
        <x:v>13</x:v>
      </x:c>
      <x:c r="J264" s="35" t="n">
        <x:v>13</x:v>
      </x:c>
      <x:c r="K264" s="32" t="n">
        <x:v>174518.88545299374</x:v>
      </x:c>
      <x:c r="L264" s="32" t="n">
        <x:v>168159.99955340067</x:v>
      </x:c>
      <x:c r="M264" s="32" t="n">
        <x:v>174253.67994425655</x:v>
      </x:c>
      <x:c r="N264" s="34" t="n">
        <x:v>0.0000026266280998089727</x:v>
      </x:c>
      <x:c r="O264" s="35" t="n">
        <x:v>263</x:v>
      </x:c>
      <x:c r="P264" s="34" t="n">
        <x:v>0.9999820842761566</x:v>
      </x:c>
    </x:row>
    <x:row r="265" ht="18" customHeight="1">
      <x:c r="A265" s="25" t="str">
        <x:v>EEZ_912</x:v>
      </x:c>
      <x:c r="B265" s="25" t="str">
        <x:v>Russia (Kara Sea)</x:v>
      </x:c>
      <x:c r="C265" s="25" t="str">
        <x:v>EEZ</x:v>
      </x:c>
      <x:c r="D265" s="31" t="n">
        <x:v>2019</x:v>
      </x:c>
      <x:c r="E265" s="32" t="n">
        <x:v>747.53431635</x:v>
      </x:c>
      <x:c r="F265" s="32" t="n">
        <x:v>747.53431635</x:v>
      </x:c>
      <x:c r="G265" s="33" t="n">
        <x:v>0</x:v>
      </x:c>
      <x:c r="H265" s="34" t="n">
        <x:v>1</x:v>
      </x:c>
      <x:c r="I265" s="35" t="n">
        <x:v>5</x:v>
      </x:c>
      <x:c r="J265" s="35" t="n">
        <x:v>5</x:v>
      </x:c>
      <x:c r="K265" s="32" t="n">
        <x:v>142441.20996613824</x:v>
      </x:c>
      <x:c r="L265" s="32" t="n">
        <x:v>140909.15387773627</x:v>
      </x:c>
      <x:c r="M265" s="32" t="n">
        <x:v>140910.01929509558</x:v>
      </x:c>
      <x:c r="N265" s="34" t="n">
        <x:v>0.0000021438372339859023</x:v>
      </x:c>
      <x:c r="O265" s="35" t="n">
        <x:v>264</x:v>
      </x:c>
      <x:c r="P265" s="34" t="n">
        <x:v>0.9999842281133906</x:v>
      </x:c>
    </x:row>
    <x:row r="266" ht="18" customHeight="1">
      <x:c r="A266" s="25" t="str">
        <x:v>EEZ_705</x:v>
      </x:c>
      <x:c r="B266" s="25" t="str">
        <x:v>Slovenia</x:v>
      </x:c>
      <x:c r="C266" s="25" t="str">
        <x:v>EEZ</x:v>
      </x:c>
      <x:c r="D266" s="31" t="n">
        <x:v>2019</x:v>
      </x:c>
      <x:c r="E266" s="32" t="n">
        <x:v>203.5210142398</x:v>
      </x:c>
      <x:c r="F266" s="32" t="n">
        <x:v>203.5210142398</x:v>
      </x:c>
      <x:c r="G266" s="33" t="n">
        <x:v>0</x:v>
      </x:c>
      <x:c r="H266" s="34" t="n">
        <x:v>1</x:v>
      </x:c>
      <x:c r="I266" s="35" t="n">
        <x:v>80</x:v>
      </x:c>
      <x:c r="J266" s="35" t="n">
        <x:v>80</x:v>
      </x:c>
      <x:c r="K266" s="32" t="n">
        <x:v>130224.70736268716</x:v>
      </x:c>
      <x:c r="L266" s="32" t="n">
        <x:v>111916.27879652377</x:v>
      </x:c>
      <x:c r="M266" s="32" t="n">
        <x:v>105628.72766938074</x:v>
      </x:c>
      <x:c r="N266" s="34" t="n">
        <x:v>0.0000019599705485190336</x:v>
      </x:c>
      <x:c r="O266" s="35" t="n">
        <x:v>265</x:v>
      </x:c>
      <x:c r="P266" s="34" t="n">
        <x:v>0.9999861880839391</x:v>
      </x:c>
    </x:row>
    <x:row r="267" ht="18" customHeight="1">
      <x:c r="A267" s="25" t="str">
        <x:v>EEZ_908</x:v>
      </x:c>
      <x:c r="B267" s="25" t="str">
        <x:v>Saba and Sint Eustatius (Netherlands)</x:v>
      </x:c>
      <x:c r="C267" s="25" t="str">
        <x:v>EEZ</x:v>
      </x:c>
      <x:c r="D267" s="31" t="n">
        <x:v>2019</x:v>
      </x:c>
      <x:c r="E267" s="32" t="n">
        <x:v>496.3226371927999</x:v>
      </x:c>
      <x:c r="F267" s="32" t="n">
        <x:v>496.3226371927999</x:v>
      </x:c>
      <x:c r="G267" s="33" t="n">
        <x:v>0</x:v>
      </x:c>
      <x:c r="H267" s="34" t="n">
        <x:v>1</x:v>
      </x:c>
      <x:c r="I267" s="35" t="n">
        <x:v>21</x:v>
      </x:c>
      <x:c r="J267" s="35" t="n">
        <x:v>21</x:v>
      </x:c>
      <x:c r="K267" s="32" t="n">
        <x:v>123182.09188878365</x:v>
      </x:c>
      <x:c r="L267" s="32" t="n">
        <x:v>104853.90355870302</x:v>
      </x:c>
      <x:c r="M267" s="32" t="n">
        <x:v>118608.18836075625</x:v>
      </x:c>
      <x:c r="N267" s="34" t="n">
        <x:v>0.00000185397438855108</x:v>
      </x:c>
      <x:c r="O267" s="35" t="n">
        <x:v>266</x:v>
      </x:c>
      <x:c r="P267" s="34" t="n">
        <x:v>0.9999880420583277</x:v>
      </x:c>
    </x:row>
    <x:row r="268" ht="18" customHeight="1">
      <x:c r="A268" s="25" t="str">
        <x:v>EEZ_856</x:v>
      </x:c>
      <x:c r="B268" s="25" t="str">
        <x:v>Tristan da Cunha Isl. (UK)</x:v>
      </x:c>
      <x:c r="C268" s="25" t="str">
        <x:v>EEZ</x:v>
      </x:c>
      <x:c r="D268" s="31" t="n">
        <x:v>2019</x:v>
      </x:c>
      <x:c r="E268" s="32" t="n">
        <x:v>733.0059081887999</x:v>
      </x:c>
      <x:c r="F268" s="32" t="n">
        <x:v>733.0059081887999</x:v>
      </x:c>
      <x:c r="G268" s="33" t="n">
        <x:v>0</x:v>
      </x:c>
      <x:c r="H268" s="34" t="n">
        <x:v>1</x:v>
      </x:c>
      <x:c r="I268" s="35" t="n">
        <x:v>9</x:v>
      </x:c>
      <x:c r="J268" s="35" t="n">
        <x:v>9</x:v>
      </x:c>
      <x:c r="K268" s="32" t="n">
        <x:v>117455.8801231217</x:v>
      </x:c>
      <x:c r="L268" s="32" t="n">
        <x:v>109505.83745715352</x:v>
      </x:c>
      <x:c r="M268" s="32" t="n">
        <x:v>112169.43428010574</x:v>
      </x:c>
      <x:c r="N268" s="34" t="n">
        <x:v>0.0000017677910010620762</x:v>
      </x:c>
      <x:c r="O268" s="35" t="n">
        <x:v>267</x:v>
      </x:c>
      <x:c r="P268" s="34" t="n">
        <x:v>0.9999898098493287</x:v>
      </x:c>
    </x:row>
    <x:row r="269" ht="18" customHeight="1">
      <x:c r="A269" s="25" t="str">
        <x:v>EEZ_895</x:v>
      </x:c>
      <x:c r="B269" s="25" t="str">
        <x:v>St Paul &amp; Amsterdam Isl. (France)</x:v>
      </x:c>
      <x:c r="C269" s="25" t="str">
        <x:v>EEZ</x:v>
      </x:c>
      <x:c r="D269" s="31" t="n">
        <x:v>2019</x:v>
      </x:c>
      <x:c r="E269" s="32" t="n">
        <x:v>497.3573467841</x:v>
      </x:c>
      <x:c r="F269" s="32" t="n">
        <x:v>497.3573467841</x:v>
      </x:c>
      <x:c r="G269" s="33" t="n">
        <x:v>0</x:v>
      </x:c>
      <x:c r="H269" s="34" t="n">
        <x:v>1</x:v>
      </x:c>
      <x:c r="I269" s="35" t="n">
        <x:v>3</x:v>
      </x:c>
      <x:c r="J269" s="35" t="n">
        <x:v>3</x:v>
      </x:c>
      <x:c r="K269" s="32" t="n">
        <x:v>97675.0183717673</x:v>
      </x:c>
      <x:c r="L269" s="32" t="n">
        <x:v>97606.74330792503</x:v>
      </x:c>
      <x:c r="M269" s="32" t="n">
        <x:v>97606.74330792503</x:v>
      </x:c>
      <x:c r="N269" s="34" t="n">
        <x:v>0.0000014700755579472482</x:v>
      </x:c>
      <x:c r="O269" s="35" t="n">
        <x:v>268</x:v>
      </x:c>
      <x:c r="P269" s="34" t="n">
        <x:v>0.9999912799248867</x:v>
      </x:c>
    </x:row>
    <x:row r="270" ht="18" customHeight="1">
      <x:c r="A270" s="25" t="str">
        <x:v>EEZ_909</x:v>
      </x:c>
      <x:c r="B270" s="25" t="str">
        <x:v>Sint Maarten (Netherlands)</x:v>
      </x:c>
      <x:c r="C270" s="25" t="str">
        <x:v>EEZ</x:v>
      </x:c>
      <x:c r="D270" s="31" t="n">
        <x:v>2019</x:v>
      </x:c>
      <x:c r="E270" s="32" t="n">
        <x:v>83.0733507754</x:v>
      </x:c>
      <x:c r="F270" s="32" t="n">
        <x:v>83.0733507754</x:v>
      </x:c>
      <x:c r="G270" s="33" t="n">
        <x:v>0</x:v>
      </x:c>
      <x:c r="H270" s="34" t="n">
        <x:v>1</x:v>
      </x:c>
      <x:c r="I270" s="35" t="n">
        <x:v>33</x:v>
      </x:c>
      <x:c r="J270" s="35" t="n">
        <x:v>33</x:v>
      </x:c>
      <x:c r="K270" s="32" t="n">
        <x:v>85688.12663919516</x:v>
      </x:c>
      <x:c r="L270" s="32" t="n">
        <x:v>66484.84336629405</x:v>
      </x:c>
      <x:c r="M270" s="32" t="n">
        <x:v>81786.52075625946</x:v>
      </x:c>
      <x:c r="N270" s="34" t="n">
        <x:v>0.0000012896646724868187</x:v>
      </x:c>
      <x:c r="O270" s="35" t="n">
        <x:v>269</x:v>
      </x:c>
      <x:c r="P270" s="34" t="n">
        <x:v>0.9999925695895592</x:v>
      </x:c>
    </x:row>
    <x:row r="271" ht="18" customHeight="1">
      <x:c r="A271" s="25" t="str">
        <x:v>EEZ_940</x:v>
      </x:c>
      <x:c r="B271" s="25" t="str">
        <x:v>Israel (Red Sea)</x:v>
      </x:c>
      <x:c r="C271" s="25" t="str">
        <x:v>EEZ</x:v>
      </x:c>
      <x:c r="D271" s="31" t="n">
        <x:v>2019</x:v>
      </x:c>
      <x:c r="E271" s="32" t="n">
        <x:v>111.23519999999999</x:v>
      </x:c>
      <x:c r="F271" s="32" t="n">
        <x:v>111.23519999999999</x:v>
      </x:c>
      <x:c r="G271" s="33" t="n">
        <x:v>0</x:v>
      </x:c>
      <x:c r="H271" s="34" t="n">
        <x:v>1</x:v>
      </x:c>
      <x:c r="I271" s="35" t="n">
        <x:v>10</x:v>
      </x:c>
      <x:c r="J271" s="35" t="n">
        <x:v>10</x:v>
      </x:c>
      <x:c r="K271" s="32" t="n">
        <x:v>82932.78705570377</x:v>
      </x:c>
      <x:c r="L271" s="32" t="n">
        <x:v>62898.858676323885</x:v>
      </x:c>
      <x:c r="M271" s="32" t="n">
        <x:v>78629.52496018549</x:v>
      </x:c>
      <x:c r="N271" s="34" t="n">
        <x:v>0.0000012481949349525174</x:v>
      </x:c>
      <x:c r="O271" s="35" t="n">
        <x:v>270</x:v>
      </x:c>
      <x:c r="P271" s="34" t="n">
        <x:v>0.9999938177844941</x:v>
      </x:c>
    </x:row>
    <x:row r="272" ht="18" customHeight="1">
      <x:c r="A272" s="25" t="str">
        <x:v>EEZ_555</x:v>
      </x:c>
      <x:c r="B272" s="25" t="str">
        <x:v>Kermadec Isl. (New Zealand)</x:v>
      </x:c>
      <x:c r="C272" s="25" t="str">
        <x:v>EEZ</x:v>
      </x:c>
      <x:c r="D272" s="31" t="n">
        <x:v>2019</x:v>
      </x:c>
      <x:c r="E272" s="32" t="n">
        <x:v>66.11770604899998</x:v>
      </x:c>
      <x:c r="F272" s="32" t="n">
        <x:v>66.11770604899998</x:v>
      </x:c>
      <x:c r="G272" s="33" t="n">
        <x:v>0</x:v>
      </x:c>
      <x:c r="H272" s="34" t="n">
        <x:v>1</x:v>
      </x:c>
      <x:c r="I272" s="35" t="n">
        <x:v>22</x:v>
      </x:c>
      <x:c r="J272" s="35" t="n">
        <x:v>22</x:v>
      </x:c>
      <x:c r="K272" s="32" t="n">
        <x:v>78824.46595983862</x:v>
      </x:c>
      <x:c r="L272" s="32" t="n">
        <x:v>76414.6188665428</x:v>
      </x:c>
      <x:c r="M272" s="32" t="n">
        <x:v>76220.69490016132</x:v>
      </x:c>
      <x:c r="N272" s="34" t="n">
        <x:v>0.0000011863619040720633</x:v>
      </x:c>
      <x:c r="O272" s="35" t="n">
        <x:v>271</x:v>
      </x:c>
      <x:c r="P272" s="34" t="n">
        <x:v>0.9999950041463982</x:v>
      </x:c>
    </x:row>
    <x:row r="273" ht="18" customHeight="1">
      <x:c r="A273" s="25" t="str">
        <x:v>EEZ_872</x:v>
      </x:c>
      <x:c r="B273" s="25" t="str">
        <x:v>Wake Isl. (USA)</x:v>
      </x:c>
      <x:c r="C273" s="25" t="str">
        <x:v>EEZ</x:v>
      </x:c>
      <x:c r="D273" s="31" t="n">
        <x:v>2019</x:v>
      </x:c>
      <x:c r="E273" s="32" t="n">
        <x:v>34.633787389199995</x:v>
      </x:c>
      <x:c r="F273" s="32" t="n">
        <x:v>34.633787389199995</x:v>
      </x:c>
      <x:c r="G273" s="33" t="n">
        <x:v>0</x:v>
      </x:c>
      <x:c r="H273" s="34" t="n">
        <x:v>1</x:v>
      </x:c>
      <x:c r="I273" s="35" t="n">
        <x:v>13</x:v>
      </x:c>
      <x:c r="J273" s="35" t="n">
        <x:v>13</x:v>
      </x:c>
      <x:c r="K273" s="32" t="n">
        <x:v>68115.70486681667</x:v>
      </x:c>
      <x:c r="L273" s="32" t="n">
        <x:v>66421.52675498716</x:v>
      </x:c>
      <x:c r="M273" s="32" t="n">
        <x:v>66179.49666981628</x:v>
      </x:c>
      <x:c r="N273" s="34" t="n">
        <x:v>0.0000010251877553370332</x:v>
      </x:c>
      <x:c r="O273" s="35" t="n">
        <x:v>272</x:v>
      </x:c>
      <x:c r="P273" s="34" t="n">
        <x:v>0.9999960293341535</x:v>
      </x:c>
    </x:row>
    <x:row r="274" ht="18" customHeight="1">
      <x:c r="A274" s="25" t="str">
        <x:v>EEZ_855</x:v>
      </x:c>
      <x:c r="B274" s="25" t="str">
        <x:v>Ascension Isl. (UK)</x:v>
      </x:c>
      <x:c r="C274" s="25" t="str">
        <x:v>EEZ</x:v>
      </x:c>
      <x:c r="D274" s="31" t="n">
        <x:v>2019</x:v>
      </x:c>
      <x:c r="E274" s="32" t="n">
        <x:v>32.764000004</x:v>
      </x:c>
      <x:c r="F274" s="32" t="n">
        <x:v>32.764000004</x:v>
      </x:c>
      <x:c r="G274" s="33" t="n">
        <x:v>0</x:v>
      </x:c>
      <x:c r="H274" s="34" t="n">
        <x:v>1</x:v>
      </x:c>
      <x:c r="I274" s="35" t="n">
        <x:v>10</x:v>
      </x:c>
      <x:c r="J274" s="35" t="n">
        <x:v>10</x:v>
      </x:c>
      <x:c r="K274" s="32" t="n">
        <x:v>46972.74183264927</x:v>
      </x:c>
      <x:c r="L274" s="32" t="n">
        <x:v>42193.08993420277</x:v>
      </x:c>
      <x:c r="M274" s="32" t="n">
        <x:v>46811.80789808783</x:v>
      </x:c>
      <x:c r="N274" s="34" t="n">
        <x:v>7.069717601189993e-7</x:v>
      </x:c>
      <x:c r="O274" s="35" t="n">
        <x:v>273</x:v>
      </x:c>
      <x:c r="P274" s="34" t="n">
        <x:v>0.9999967363059137</x:v>
      </x:c>
    </x:row>
    <x:row r="275" ht="18" customHeight="1">
      <x:c r="A275" s="25" t="str">
        <x:v>EEZ_500</x:v>
      </x:c>
      <x:c r="B275" s="25" t="str">
        <x:v>Montserrat (UK)</x:v>
      </x:c>
      <x:c r="C275" s="25" t="str">
        <x:v>EEZ</x:v>
      </x:c>
      <x:c r="D275" s="31" t="n">
        <x:v>2019</x:v>
      </x:c>
      <x:c r="E275" s="32" t="n">
        <x:v>49.412650413</x:v>
      </x:c>
      <x:c r="F275" s="32" t="n">
        <x:v>49.412650413</x:v>
      </x:c>
      <x:c r="G275" s="33" t="n">
        <x:v>0</x:v>
      </x:c>
      <x:c r="H275" s="34" t="n">
        <x:v>1</x:v>
      </x:c>
      <x:c r="I275" s="35" t="n">
        <x:v>87</x:v>
      </x:c>
      <x:c r="J275" s="35" t="n">
        <x:v>87</x:v>
      </x:c>
      <x:c r="K275" s="32" t="n">
        <x:v>41219.71043073506</x:v>
      </x:c>
      <x:c r="L275" s="32" t="n">
        <x:v>25584.35045020414</x:v>
      </x:c>
      <x:c r="M275" s="32" t="n">
        <x:v>37899.92789428181</x:v>
      </x:c>
      <x:c r="N275" s="34" t="n">
        <x:v>6.203847188361726e-7</x:v>
      </x:c>
      <x:c r="O275" s="35" t="n">
        <x:v>274</x:v>
      </x:c>
      <x:c r="P275" s="34" t="n">
        <x:v>0.9999973566906325</x:v>
      </x:c>
    </x:row>
    <x:row r="276" ht="18" customHeight="1">
      <x:c r="A276" s="25" t="str">
        <x:v>EEZ_252</x:v>
      </x:c>
      <x:c r="B276" s="25" t="str">
        <x:v>Tromelin Isl. (France)</x:v>
      </x:c>
      <x:c r="C276" s="25" t="str">
        <x:v>EEZ</x:v>
      </x:c>
      <x:c r="D276" s="31" t="n">
        <x:v>2019</x:v>
      </x:c>
      <x:c r="E276" s="32" t="n">
        <x:v>20.057971261000002</x:v>
      </x:c>
      <x:c r="F276" s="32" t="n">
        <x:v>20.057971261000002</x:v>
      </x:c>
      <x:c r="G276" s="33" t="n">
        <x:v>0</x:v>
      </x:c>
      <x:c r="H276" s="34" t="n">
        <x:v>1</x:v>
      </x:c>
      <x:c r="I276" s="35" t="n">
        <x:v>16</x:v>
      </x:c>
      <x:c r="J276" s="35" t="n">
        <x:v>16</x:v>
      </x:c>
      <x:c r="K276" s="32" t="n">
        <x:v>40630.07009385537</x:v>
      </x:c>
      <x:c r="L276" s="32" t="n">
        <x:v>39751.77255060211</x:v>
      </x:c>
      <x:c r="M276" s="32" t="n">
        <x:v>40142.98870266437</x:v>
      </x:c>
      <x:c r="N276" s="34" t="n">
        <x:v>6.115102301319333e-7</x:v>
      </x:c>
      <x:c r="O276" s="35" t="n">
        <x:v>275</x:v>
      </x:c>
      <x:c r="P276" s="34" t="n">
        <x:v>0.9999979682008626</x:v>
      </x:c>
    </x:row>
    <x:row r="277" ht="18" customHeight="1">
      <x:c r="A277" s="25" t="str">
        <x:v>EEZ_972</x:v>
      </x:c>
      <x:c r="B277" s="25" t="str">
        <x:v>Glorieuse Islands (France)</x:v>
      </x:c>
      <x:c r="C277" s="25" t="str">
        <x:v>EEZ</x:v>
      </x:c>
      <x:c r="D277" s="31" t="n">
        <x:v>2019</x:v>
      </x:c>
      <x:c r="E277" s="32" t="n">
        <x:v>102.5142017896</x:v>
      </x:c>
      <x:c r="F277" s="32" t="n">
        <x:v>102.5142017896</x:v>
      </x:c>
      <x:c r="G277" s="33" t="n">
        <x:v>0</x:v>
      </x:c>
      <x:c r="H277" s="34" t="n">
        <x:v>1</x:v>
      </x:c>
      <x:c r="I277" s="35" t="n">
        <x:v>9</x:v>
      </x:c>
      <x:c r="J277" s="35" t="n">
        <x:v>9</x:v>
      </x:c>
      <x:c r="K277" s="32" t="n">
        <x:v>35371.82907577973</x:v>
      </x:c>
      <x:c r="L277" s="32" t="n">
        <x:v>34924.33228511821</x:v>
      </x:c>
      <x:c r="M277" s="32" t="n">
        <x:v>34924.33228511821</x:v>
      </x:c>
      <x:c r="N277" s="34" t="n">
        <x:v>5.323701211529213e-7</x:v>
      </x:c>
      <x:c r="O277" s="35" t="n">
        <x:v>276</x:v>
      </x:c>
      <x:c r="P277" s="34" t="n">
        <x:v>0.9999985005709838</x:v>
      </x:c>
    </x:row>
    <x:row r="278" ht="18" customHeight="1">
      <x:c r="A278" s="25" t="str">
        <x:v>EEZ_574</x:v>
      </x:c>
      <x:c r="B278" s="25" t="str">
        <x:v>Norfolk Isl. (Australia)</x:v>
      </x:c>
      <x:c r="C278" s="25" t="str">
        <x:v>EEZ</x:v>
      </x:c>
      <x:c r="D278" s="31" t="n">
        <x:v>2019</x:v>
      </x:c>
      <x:c r="E278" s="32" t="n">
        <x:v>17.4978128176</x:v>
      </x:c>
      <x:c r="F278" s="32" t="n">
        <x:v>17.4978128176</x:v>
      </x:c>
      <x:c r="G278" s="33" t="n">
        <x:v>0</x:v>
      </x:c>
      <x:c r="H278" s="34" t="n">
        <x:v>1</x:v>
      </x:c>
      <x:c r="I278" s="35" t="n">
        <x:v>17</x:v>
      </x:c>
      <x:c r="J278" s="35" t="n">
        <x:v>17</x:v>
      </x:c>
      <x:c r="K278" s="32" t="n">
        <x:v>32366.394255930376</x:v>
      </x:c>
      <x:c r="L278" s="32" t="n">
        <x:v>31042.37927514005</x:v>
      </x:c>
      <x:c r="M278" s="32" t="n">
        <x:v>31081.884719876965</x:v>
      </x:c>
      <x:c r="N278" s="34" t="n">
        <x:v>4.871362799587722e-7</x:v>
      </x:c>
      <x:c r="O278" s="35" t="n">
        <x:v>277</x:v>
      </x:c>
      <x:c r="P278" s="34" t="n">
        <x:v>0.9999989877072638</x:v>
      </x:c>
    </x:row>
    <x:row r="279" ht="18" customHeight="1">
      <x:c r="A279" s="25" t="str">
        <x:v>EEZ_074</x:v>
      </x:c>
      <x:c r="B279" s="25" t="str">
        <x:v>Bouvet Isl. (Norway)</x:v>
      </x:c>
      <x:c r="C279" s="25" t="str">
        <x:v>EEZ</x:v>
      </x:c>
      <x:c r="D279" s="31" t="n">
        <x:v>2019</x:v>
      </x:c>
      <x:c r="E279" s="32" t="n">
        <x:v>133.56110065549998</x:v>
      </x:c>
      <x:c r="F279" s="32" t="n">
        <x:v>133.56110065549998</x:v>
      </x:c>
      <x:c r="G279" s="33" t="n">
        <x:v>0</x:v>
      </x:c>
      <x:c r="H279" s="34" t="n">
        <x:v>1</x:v>
      </x:c>
      <x:c r="I279" s="35" t="n">
        <x:v>10</x:v>
      </x:c>
      <x:c r="J279" s="35" t="n">
        <x:v>10</x:v>
      </x:c>
      <x:c r="K279" s="32" t="n">
        <x:v>25983.663702706264</x:v>
      </x:c>
      <x:c r="L279" s="32" t="n">
        <x:v>25983.597329467488</x:v>
      </x:c>
      <x:c r="M279" s="32" t="n">
        <x:v>25983.51206298795</x:v>
      </x:c>
      <x:c r="N279" s="34" t="n">
        <x:v>3.910718375284236e-7</x:v>
      </x:c>
      <x:c r="O279" s="35" t="n">
        <x:v>278</x:v>
      </x:c>
      <x:c r="P279" s="34" t="n">
        <x:v>0.9999993787791013</x:v>
      </x:c>
    </x:row>
    <x:row r="280" ht="18" customHeight="1">
      <x:c r="A280" s="25" t="str">
        <x:v>EEZ_162</x:v>
      </x:c>
      <x:c r="B280" s="25" t="str">
        <x:v>Christmas Isl. (Australia)</x:v>
      </x:c>
      <x:c r="C280" s="25" t="str">
        <x:v>EEZ</x:v>
      </x:c>
      <x:c r="D280" s="31" t="n">
        <x:v>2019</x:v>
      </x:c>
      <x:c r="E280" s="32" t="n">
        <x:v>25.629903931</x:v>
      </x:c>
      <x:c r="F280" s="32" t="n">
        <x:v>25.629903931</x:v>
      </x:c>
      <x:c r="G280" s="33" t="n">
        <x:v>0</x:v>
      </x:c>
      <x:c r="H280" s="34" t="n">
        <x:v>1</x:v>
      </x:c>
      <x:c r="I280" s="35" t="n">
        <x:v>13</x:v>
      </x:c>
      <x:c r="J280" s="35" t="n">
        <x:v>13</x:v>
      </x:c>
      <x:c r="K280" s="32" t="n">
        <x:v>22536.376227926667</x:v>
      </x:c>
      <x:c r="L280" s="32" t="n">
        <x:v>16565.76244561606</x:v>
      </x:c>
      <x:c r="M280" s="32" t="n">
        <x:v>21870.251374306274</x:v>
      </x:c>
      <x:c r="N280" s="34" t="n">
        <x:v>3.391878129091254e-7</x:v>
      </x:c>
      <x:c r="O280" s="35" t="n">
        <x:v>279</x:v>
      </x:c>
      <x:c r="P280" s="34" t="n">
        <x:v>0.9999997179669142</x:v>
      </x:c>
    </x:row>
    <x:row r="281" ht="18" customHeight="1">
      <x:c r="A281" s="25" t="str">
        <x:v>EEZ_070</x:v>
      </x:c>
      <x:c r="B281" s="25" t="str">
        <x:v>Bosnia &amp; Herzegovina</x:v>
      </x:c>
      <x:c r="C281" s="25" t="str">
        <x:v>EEZ</x:v>
      </x:c>
      <x:c r="D281" s="31" t="n">
        <x:v>2019</x:v>
      </x:c>
      <x:c r="E281" s="32" t="n">
        <x:v>61.02055729300001</x:v>
      </x:c>
      <x:c r="F281" s="32" t="n">
        <x:v>61.02055729300001</x:v>
      </x:c>
      <x:c r="G281" s="33" t="n">
        <x:v>0</x:v>
      </x:c>
      <x:c r="H281" s="34" t="n">
        <x:v>1</x:v>
      </x:c>
      <x:c r="I281" s="35" t="n">
        <x:v>45</x:v>
      </x:c>
      <x:c r="J281" s="35" t="n">
        <x:v>45</x:v>
      </x:c>
      <x:c r="K281" s="32" t="n">
        <x:v>12983.384180443847</x:v>
      </x:c>
      <x:c r="L281" s="32" t="n">
        <x:v>11634.024343338317</x:v>
      </x:c>
      <x:c r="M281" s="32" t="n">
        <x:v>12652.496947797641</x:v>
      </x:c>
      <x:c r="N281" s="34" t="n">
        <x:v>1.954087755628862e-7</x:v>
      </x:c>
      <x:c r="O281" s="35" t="n">
        <x:v>280</x:v>
      </x:c>
      <x:c r="P281" s="34" t="n">
        <x:v>0.9999999133756897</x:v>
      </x:c>
    </x:row>
    <x:row r="282" ht="18" customHeight="1">
      <x:c r="A282" s="25" t="str">
        <x:v>EEZ_154</x:v>
      </x:c>
      <x:c r="B282" s="25" t="str">
        <x:v>Desventuradas Isl. (Chile)</x:v>
      </x:c>
      <x:c r="C282" s="25" t="str">
        <x:v>EEZ</x:v>
      </x:c>
      <x:c r="D282" s="31" t="n">
        <x:v>2019</x:v>
      </x:c>
      <x:c r="E282" s="32" t="n">
        <x:v>21.535833428</x:v>
      </x:c>
      <x:c r="F282" s="32" t="n">
        <x:v>21.535833428</x:v>
      </x:c>
      <x:c r="G282" s="33" t="n">
        <x:v>0</x:v>
      </x:c>
      <x:c r="H282" s="34" t="n">
        <x:v>1</x:v>
      </x:c>
      <x:c r="I282" s="35" t="n">
        <x:v>12</x:v>
      </x:c>
      <x:c r="J282" s="35" t="n">
        <x:v>12</x:v>
      </x:c>
      <x:c r="K282" s="32" t="n">
        <x:v>4740.625617241974</x:v>
      </x:c>
      <x:c r="L282" s="32" t="n">
        <x:v>4634.427692116524</x:v>
      </x:c>
      <x:c r="M282" s="32" t="n">
        <x:v>4730.844234245481</x:v>
      </x:c>
      <x:c r="N282" s="34" t="n">
        <x:v>7.134964462213407e-8</x:v>
      </x:c>
      <x:c r="O282" s="35" t="n">
        <x:v>281</x:v>
      </x:c>
      <x:c r="P282" s="34" t="n">
        <x:v>0.9999999847253344</x:v>
      </x:c>
    </x:row>
    <x:row r="283" ht="18" customHeight="1">
      <x:c r="A283" s="25" t="str">
        <x:v>EEZ_612</x:v>
      </x:c>
      <x:c r="B283" s="25" t="str">
        <x:v>Pitcairn (UK)</x:v>
      </x:c>
      <x:c r="C283" s="25" t="str">
        <x:v>EEZ</x:v>
      </x:c>
      <x:c r="D283" s="31" t="n">
        <x:v>2019</x:v>
      </x:c>
      <x:c r="E283" s="32" t="n">
        <x:v>3.0000000000000004</x:v>
      </x:c>
      <x:c r="F283" s="32" t="n">
        <x:v>3.0000000000000004</x:v>
      </x:c>
      <x:c r="G283" s="33" t="n">
        <x:v>0</x:v>
      </x:c>
      <x:c r="H283" s="34" t="n">
        <x:v>1</x:v>
      </x:c>
      <x:c r="I283" s="35" t="n">
        <x:v>3</x:v>
      </x:c>
      <x:c r="J283" s="35" t="n">
        <x:v>3</x:v>
      </x:c>
      <x:c r="K283" s="32" t="n">
        <x:v>1014.8820128320708</x:v>
      </x:c>
      <x:c r="L283" s="32" t="n">
        <x:v>977.999850774341</x:v>
      </x:c>
      <x:c r="M283" s="32" t="n">
        <x:v>1014.8820128320714</x:v>
      </x:c>
      <x:c r="N283" s="34" t="n">
        <x:v>1.5274665581183833e-8</x:v>
      </x:c>
      <x:c r="O283" s="35" t="n">
        <x:v>282</x:v>
      </x:c>
      <x:c r="P283" s="34" t="n">
        <x:v>1</x:v>
      </x:c>
    </x:row>
    <x:row r="284" ht="18" customHeight="1">
      <x:c r="A284" s="25" t="str">
        <x:v>HS_077</x:v>
      </x:c>
      <x:c r="B284" s="25" t="str">
        <x:v>Pacific, Eastern Central</x:v>
      </x:c>
      <x:c r="C284" s="25" t="str">
        <x:v>High Seas</x:v>
      </x:c>
      <x:c r="D284" s="31" t="n">
        <x:v>2019</x:v>
      </x:c>
      <x:c r="E284" s="32" t="n">
        <x:v>860671.2076084926</x:v>
      </x:c>
      <x:c r="F284" s="32" t="n">
        <x:v>860671.2076084926</x:v>
      </x:c>
      <x:c r="G284" s="33" t="n">
        <x:v>0</x:v>
      </x:c>
      <x:c r="H284" s="34" t="n">
        <x:v>1</x:v>
      </x:c>
      <x:c r="I284" s="35" t="n">
        <x:v>26</x:v>
      </x:c>
      <x:c r="J284" s="35" t="n">
        <x:v>26</x:v>
      </x:c>
      <x:c r="K284" s="32" t="n">
        <x:v>2196179346.027695</x:v>
      </x:c>
      <x:c r="L284" s="32" t="n">
        <x:v>2177549454.5469604</x:v>
      </x:c>
      <x:c r="M284" s="32" t="n">
        <x:v>2170818471.3741584</x:v>
      </x:c>
      <x:c r="N284" s="34" t="n">
        <x:v>0.2977470755841194</x:v>
      </x:c>
      <x:c r="O284" s="35" t="n">
        <x:v>1</x:v>
      </x:c>
      <x:c r="P284" s="34" t="n">
        <x:v>0.2977470755841194</x:v>
      </x:c>
    </x:row>
    <x:row r="285" ht="18" customHeight="1">
      <x:c r="A285" s="25" t="str">
        <x:v>HS_071</x:v>
      </x:c>
      <x:c r="B285" s="25" t="str">
        <x:v>Pacific, Western Central</x:v>
      </x:c>
      <x:c r="C285" s="25" t="str">
        <x:v>High Seas</x:v>
      </x:c>
      <x:c r="D285" s="31" t="n">
        <x:v>2019</x:v>
      </x:c>
      <x:c r="E285" s="32" t="n">
        <x:v>571817.786555246</x:v>
      </x:c>
      <x:c r="F285" s="32" t="n">
        <x:v>571817.786555246</x:v>
      </x:c>
      <x:c r="G285" s="33" t="n">
        <x:v>0</x:v>
      </x:c>
      <x:c r="H285" s="34" t="n">
        <x:v>1</x:v>
      </x:c>
      <x:c r="I285" s="35" t="n">
        <x:v>23</x:v>
      </x:c>
      <x:c r="J285" s="35" t="n">
        <x:v>23</x:v>
      </x:c>
      <x:c r="K285" s="32" t="n">
        <x:v>1482147259.8171525</x:v>
      </x:c>
      <x:c r="L285" s="32" t="n">
        <x:v>1476697755.8816364</x:v>
      </x:c>
      <x:c r="M285" s="32" t="n">
        <x:v>1474269044.8780706</x:v>
      </x:c>
      <x:c r="N285" s="34" t="n">
        <x:v>0.20094215574596702</x:v>
      </x:c>
      <x:c r="O285" s="35" t="n">
        <x:v>2</x:v>
      </x:c>
      <x:c r="P285" s="34" t="n">
        <x:v>0.4986892313300864</x:v>
      </x:c>
    </x:row>
    <x:row r="286" ht="18" customHeight="1">
      <x:c r="A286" s="25" t="str">
        <x:v>HS_051</x:v>
      </x:c>
      <x:c r="B286" s="25" t="str">
        <x:v>Indian Ocean, Western</x:v>
      </x:c>
      <x:c r="C286" s="25" t="str">
        <x:v>High Seas</x:v>
      </x:c>
      <x:c r="D286" s="31" t="n">
        <x:v>2019</x:v>
      </x:c>
      <x:c r="E286" s="32" t="n">
        <x:v>377854.0083285441</x:v>
      </x:c>
      <x:c r="F286" s="32" t="n">
        <x:v>377854.0083285441</x:v>
      </x:c>
      <x:c r="G286" s="33" t="n">
        <x:v>0</x:v>
      </x:c>
      <x:c r="H286" s="34" t="n">
        <x:v>1</x:v>
      </x:c>
      <x:c r="I286" s="35" t="n">
        <x:v>36</x:v>
      </x:c>
      <x:c r="J286" s="35" t="n">
        <x:v>36</x:v>
      </x:c>
      <x:c r="K286" s="32" t="n">
        <x:v>907481876.8369484</x:v>
      </x:c>
      <x:c r="L286" s="32" t="n">
        <x:v>898130651.4662967</x:v>
      </x:c>
      <x:c r="M286" s="32" t="n">
        <x:v>892837267.8459628</x:v>
      </x:c>
      <x:c r="N286" s="34" t="n">
        <x:v>0.1230318805531568</x:v>
      </x:c>
      <x:c r="O286" s="35" t="n">
        <x:v>3</x:v>
      </x:c>
      <x:c r="P286" s="34" t="n">
        <x:v>0.6217211118832432</x:v>
      </x:c>
    </x:row>
    <x:row r="287" ht="18" customHeight="1">
      <x:c r="A287" s="25" t="str">
        <x:v>HS_087</x:v>
      </x:c>
      <x:c r="B287" s="25" t="str">
        <x:v>Pacific, Southeast</x:v>
      </x:c>
      <x:c r="C287" s="25" t="str">
        <x:v>High Seas</x:v>
      </x:c>
      <x:c r="D287" s="31" t="n">
        <x:v>2019</x:v>
      </x:c>
      <x:c r="E287" s="32" t="n">
        <x:v>245882.41767354257</x:v>
      </x:c>
      <x:c r="F287" s="32" t="n">
        <x:v>245882.41767354257</x:v>
      </x:c>
      <x:c r="G287" s="33" t="n">
        <x:v>0</x:v>
      </x:c>
      <x:c r="H287" s="34" t="n">
        <x:v>1</x:v>
      </x:c>
      <x:c r="I287" s="35" t="n">
        <x:v>25</x:v>
      </x:c>
      <x:c r="J287" s="35" t="n">
        <x:v>25</x:v>
      </x:c>
      <x:c r="K287" s="32" t="n">
        <x:v>657270846.1435144</x:v>
      </x:c>
      <x:c r="L287" s="32" t="n">
        <x:v>654505526.6641706</x:v>
      </x:c>
      <x:c r="M287" s="32" t="n">
        <x:v>653973496.1491203</x:v>
      </x:c>
      <x:c r="N287" s="34" t="n">
        <x:v>0.08910951314604668</x:v>
      </x:c>
      <x:c r="O287" s="35" t="n">
        <x:v>4</x:v>
      </x:c>
      <x:c r="P287" s="34" t="n">
        <x:v>0.7108306250292898</x:v>
      </x:c>
    </x:row>
    <x:row r="288" ht="18" customHeight="1">
      <x:c r="A288" s="25" t="str">
        <x:v>HS_034</x:v>
      </x:c>
      <x:c r="B288" s="25" t="str">
        <x:v>Atlantic, Eastern Central</x:v>
      </x:c>
      <x:c r="C288" s="25" t="str">
        <x:v>High Seas</x:v>
      </x:c>
      <x:c r="D288" s="31" t="n">
        <x:v>2019</x:v>
      </x:c>
      <x:c r="E288" s="32" t="n">
        <x:v>235319.4552726861</x:v>
      </x:c>
      <x:c r="F288" s="32" t="n">
        <x:v>235319.4552726861</x:v>
      </x:c>
      <x:c r="G288" s="33" t="n">
        <x:v>0</x:v>
      </x:c>
      <x:c r="H288" s="34" t="n">
        <x:v>1</x:v>
      </x:c>
      <x:c r="I288" s="35" t="n">
        <x:v>37</x:v>
      </x:c>
      <x:c r="J288" s="35" t="n">
        <x:v>37</x:v>
      </x:c>
      <x:c r="K288" s="32" t="n">
        <x:v>580150840.1289461</x:v>
      </x:c>
      <x:c r="L288" s="32" t="n">
        <x:v>577913963.9606429</x:v>
      </x:c>
      <x:c r="M288" s="32" t="n">
        <x:v>573709660.5593073</x:v>
      </x:c>
      <x:c r="N288" s="34" t="n">
        <x:v>0.0786539661974789</x:v>
      </x:c>
      <x:c r="O288" s="35" t="n">
        <x:v>5</x:v>
      </x:c>
      <x:c r="P288" s="34" t="n">
        <x:v>0.7894845912267687</x:v>
      </x:c>
    </x:row>
    <x:row r="289" ht="18" customHeight="1">
      <x:c r="A289" s="25" t="str">
        <x:v>HS_057</x:v>
      </x:c>
      <x:c r="B289" s="25" t="str">
        <x:v>Indian Ocean, Eastern</x:v>
      </x:c>
      <x:c r="C289" s="25" t="str">
        <x:v>High Seas</x:v>
      </x:c>
      <x:c r="D289" s="31" t="n">
        <x:v>2019</x:v>
      </x:c>
      <x:c r="E289" s="32" t="n">
        <x:v>249459.5239463328</x:v>
      </x:c>
      <x:c r="F289" s="32" t="n">
        <x:v>249459.5239463328</x:v>
      </x:c>
      <x:c r="G289" s="33" t="n">
        <x:v>0</x:v>
      </x:c>
      <x:c r="H289" s="34" t="n">
        <x:v>1</x:v>
      </x:c>
      <x:c r="I289" s="35" t="n">
        <x:v>34</x:v>
      </x:c>
      <x:c r="J289" s="35" t="n">
        <x:v>34</x:v>
      </x:c>
      <x:c r="K289" s="32" t="n">
        <x:v>577352176.9718388</x:v>
      </x:c>
      <x:c r="L289" s="32" t="n">
        <x:v>561837233.6617491</x:v>
      </x:c>
      <x:c r="M289" s="32" t="n">
        <x:v>561492847.4666706</x:v>
      </x:c>
      <x:c r="N289" s="34" t="n">
        <x:v>0.07827453736254295</x:v>
      </x:c>
      <x:c r="O289" s="35" t="n">
        <x:v>6</x:v>
      </x:c>
      <x:c r="P289" s="34" t="n">
        <x:v>0.8677591285893117</x:v>
      </x:c>
    </x:row>
    <x:row r="290" ht="18" customHeight="1">
      <x:c r="A290" s="25" t="str">
        <x:v>HS_061</x:v>
      </x:c>
      <x:c r="B290" s="25" t="str">
        <x:v>Pacific, Northwest</x:v>
      </x:c>
      <x:c r="C290" s="25" t="str">
        <x:v>High Seas</x:v>
      </x:c>
      <x:c r="D290" s="31" t="n">
        <x:v>2019</x:v>
      </x:c>
      <x:c r="E290" s="32" t="n">
        <x:v>132995.67933726683</x:v>
      </x:c>
      <x:c r="F290" s="32" t="n">
        <x:v>132995.67933726683</x:v>
      </x:c>
      <x:c r="G290" s="33" t="n">
        <x:v>0</x:v>
      </x:c>
      <x:c r="H290" s="34" t="n">
        <x:v>1</x:v>
      </x:c>
      <x:c r="I290" s="35" t="n">
        <x:v>21</x:v>
      </x:c>
      <x:c r="J290" s="35" t="n">
        <x:v>21</x:v>
      </x:c>
      <x:c r="K290" s="32" t="n">
        <x:v>284384862.0630329</x:v>
      </x:c>
      <x:c r="L290" s="32" t="n">
        <x:v>282590083.8142501</x:v>
      </x:c>
      <x:c r="M290" s="32" t="n">
        <x:v>282258802.3773237</x:v>
      </x:c>
      <x:c r="N290" s="34" t="n">
        <x:v>0.03855548554029313</x:v>
      </x:c>
      <x:c r="O290" s="35" t="n">
        <x:v>7</x:v>
      </x:c>
      <x:c r="P290" s="34" t="n">
        <x:v>0.9063146141296049</x:v>
      </x:c>
    </x:row>
    <x:row r="291" ht="18" customHeight="1">
      <x:c r="A291" s="25" t="str">
        <x:v>HS_027</x:v>
      </x:c>
      <x:c r="B291" s="25" t="str">
        <x:v>Atlantic, Northeast</x:v>
      </x:c>
      <x:c r="C291" s="25" t="str">
        <x:v>High Seas</x:v>
      </x:c>
      <x:c r="D291" s="31" t="n">
        <x:v>2019</x:v>
      </x:c>
      <x:c r="E291" s="32" t="n">
        <x:v>734932.290461042</x:v>
      </x:c>
      <x:c r="F291" s="32" t="n">
        <x:v>734932.290461042</x:v>
      </x:c>
      <x:c r="G291" s="33" t="n">
        <x:v>0</x:v>
      </x:c>
      <x:c r="H291" s="34" t="n">
        <x:v>1</x:v>
      </x:c>
      <x:c r="I291" s="35" t="n">
        <x:v>131</x:v>
      </x:c>
      <x:c r="J291" s="35" t="n">
        <x:v>131</x:v>
      </x:c>
      <x:c r="K291" s="32" t="n">
        <x:v>192111009.49801588</x:v>
      </x:c>
      <x:c r="L291" s="32" t="n">
        <x:v>190119918.21647057</x:v>
      </x:c>
      <x:c r="M291" s="32" t="n">
        <x:v>191769855.84918004</x:v>
      </x:c>
      <x:c r="N291" s="34" t="n">
        <x:v>0.02604545542649224</x:v>
      </x:c>
      <x:c r="O291" s="35" t="n">
        <x:v>8</x:v>
      </x:c>
      <x:c r="P291" s="34" t="n">
        <x:v>0.9323600695560971</x:v>
      </x:c>
    </x:row>
    <x:row r="292" ht="18" customHeight="1">
      <x:c r="A292" s="25" t="str">
        <x:v>HS_041</x:v>
      </x:c>
      <x:c r="B292" s="25" t="str">
        <x:v>Atlantic, Southwest</x:v>
      </x:c>
      <x:c r="C292" s="25" t="str">
        <x:v>High Seas</x:v>
      </x:c>
      <x:c r="D292" s="31" t="n">
        <x:v>2019</x:v>
      </x:c>
      <x:c r="E292" s="32" t="n">
        <x:v>62238.365213295096</x:v>
      </x:c>
      <x:c r="F292" s="32" t="n">
        <x:v>62238.365213295096</x:v>
      </x:c>
      <x:c r="G292" s="33" t="n">
        <x:v>0</x:v>
      </x:c>
      <x:c r="H292" s="34" t="n">
        <x:v>1</x:v>
      </x:c>
      <x:c r="I292" s="35" t="n">
        <x:v>33</x:v>
      </x:c>
      <x:c r="J292" s="35" t="n">
        <x:v>33</x:v>
      </x:c>
      <x:c r="K292" s="32" t="n">
        <x:v>149349456.4630281</x:v>
      </x:c>
      <x:c r="L292" s="32" t="n">
        <x:v>147948022.15720508</x:v>
      </x:c>
      <x:c r="M292" s="32" t="n">
        <x:v>147484387.13170964</x:v>
      </x:c>
      <x:c r="N292" s="34" t="n">
        <x:v>0.020248056690987386</x:v>
      </x:c>
      <x:c r="O292" s="35" t="n">
        <x:v>9</x:v>
      </x:c>
      <x:c r="P292" s="34" t="n">
        <x:v>0.9526081262470845</x:v>
      </x:c>
    </x:row>
    <x:row r="293" ht="18" customHeight="1">
      <x:c r="A293" s="25" t="str">
        <x:v>HS_021</x:v>
      </x:c>
      <x:c r="B293" s="25" t="str">
        <x:v>Atlantic, Northwest</x:v>
      </x:c>
      <x:c r="C293" s="25" t="str">
        <x:v>High Seas</x:v>
      </x:c>
      <x:c r="D293" s="31" t="n">
        <x:v>2019</x:v>
      </x:c>
      <x:c r="E293" s="32" t="n">
        <x:v>87745.0994728874</x:v>
      </x:c>
      <x:c r="F293" s="32" t="n">
        <x:v>87745.0994728874</x:v>
      </x:c>
      <x:c r="G293" s="33" t="n">
        <x:v>0</x:v>
      </x:c>
      <x:c r="H293" s="34" t="n">
        <x:v>1</x:v>
      </x:c>
      <x:c r="I293" s="35" t="n">
        <x:v>67</x:v>
      </x:c>
      <x:c r="J293" s="35" t="n">
        <x:v>67</x:v>
      </x:c>
      <x:c r="K293" s="32" t="n">
        <x:v>101551846.3748264</x:v>
      </x:c>
      <x:c r="L293" s="32" t="n">
        <x:v>94575783.00091098</x:v>
      </x:c>
      <x:c r="M293" s="32" t="n">
        <x:v>94079149.74054004</x:v>
      </x:c>
      <x:c r="N293" s="34" t="n">
        <x:v>0.013767894381195502</x:v>
      </x:c>
      <x:c r="O293" s="35" t="n">
        <x:v>10</x:v>
      </x:c>
      <x:c r="P293" s="34" t="n">
        <x:v>0.96637602062828</x:v>
      </x:c>
    </x:row>
    <x:row r="294" ht="18" customHeight="1">
      <x:c r="A294" s="25" t="str">
        <x:v>HS_081</x:v>
      </x:c>
      <x:c r="B294" s="25" t="str">
        <x:v>Pacific, Southwest</x:v>
      </x:c>
      <x:c r="C294" s="25" t="str">
        <x:v>High Seas</x:v>
      </x:c>
      <x:c r="D294" s="31" t="n">
        <x:v>2019</x:v>
      </x:c>
      <x:c r="E294" s="32" t="n">
        <x:v>45252.46682271711</x:v>
      </x:c>
      <x:c r="F294" s="32" t="n">
        <x:v>45252.46682271711</x:v>
      </x:c>
      <x:c r="G294" s="33" t="n">
        <x:v>0</x:v>
      </x:c>
      <x:c r="H294" s="34" t="n">
        <x:v>1</x:v>
      </x:c>
      <x:c r="I294" s="35" t="n">
        <x:v>27</x:v>
      </x:c>
      <x:c r="J294" s="35" t="n">
        <x:v>27</x:v>
      </x:c>
      <x:c r="K294" s="32" t="n">
        <x:v>91386286.47267891</x:v>
      </x:c>
      <x:c r="L294" s="32" t="n">
        <x:v>87435123.8002821</x:v>
      </x:c>
      <x:c r="M294" s="32" t="n">
        <x:v>86872298.1778867</x:v>
      </x:c>
      <x:c r="N294" s="34" t="n">
        <x:v>0.012389698316282035</x:v>
      </x:c>
      <x:c r="O294" s="35" t="n">
        <x:v>11</x:v>
      </x:c>
      <x:c r="P294" s="34" t="n">
        <x:v>0.978765718944562</x:v>
      </x:c>
    </x:row>
    <x:row r="295" ht="18" customHeight="1">
      <x:c r="A295" s="25" t="str">
        <x:v>HS_047</x:v>
      </x:c>
      <x:c r="B295" s="25" t="str">
        <x:v>Atlantic, Southeast</x:v>
      </x:c>
      <x:c r="C295" s="25" t="str">
        <x:v>High Seas</x:v>
      </x:c>
      <x:c r="D295" s="31" t="n">
        <x:v>2019</x:v>
      </x:c>
      <x:c r="E295" s="32" t="n">
        <x:v>41830.7267805337</x:v>
      </x:c>
      <x:c r="F295" s="32" t="n">
        <x:v>41830.7267805337</x:v>
      </x:c>
      <x:c r="G295" s="33" t="n">
        <x:v>0</x:v>
      </x:c>
      <x:c r="H295" s="34" t="n">
        <x:v>1</x:v>
      </x:c>
      <x:c r="I295" s="35" t="n">
        <x:v>35</x:v>
      </x:c>
      <x:c r="J295" s="35" t="n">
        <x:v>35</x:v>
      </x:c>
      <x:c r="K295" s="32" t="n">
        <x:v>87861469.42037457</x:v>
      </x:c>
      <x:c r="L295" s="32" t="n">
        <x:v>81599560.34715328</x:v>
      </x:c>
      <x:c r="M295" s="32" t="n">
        <x:v>81300520.57549798</x:v>
      </x:c>
      <x:c r="N295" s="34" t="n">
        <x:v>0.011911821146919284</x:v>
      </x:c>
      <x:c r="O295" s="35" t="n">
        <x:v>12</x:v>
      </x:c>
      <x:c r="P295" s="34" t="n">
        <x:v>0.9906775400914813</x:v>
      </x:c>
    </x:row>
    <x:row r="296" ht="18" customHeight="1">
      <x:c r="A296" s="25" t="str">
        <x:v>HS_031</x:v>
      </x:c>
      <x:c r="B296" s="25" t="str">
        <x:v>Atlantic, Western Central</x:v>
      </x:c>
      <x:c r="C296" s="25" t="str">
        <x:v>High Seas</x:v>
      </x:c>
      <x:c r="D296" s="31" t="n">
        <x:v>2019</x:v>
      </x:c>
      <x:c r="E296" s="32" t="n">
        <x:v>16859.0112032287</x:v>
      </x:c>
      <x:c r="F296" s="32" t="n">
        <x:v>16859.0112032287</x:v>
      </x:c>
      <x:c r="G296" s="33" t="n">
        <x:v>0</x:v>
      </x:c>
      <x:c r="H296" s="34" t="n">
        <x:v>1</x:v>
      </x:c>
      <x:c r="I296" s="35" t="n">
        <x:v>32</x:v>
      </x:c>
      <x:c r="J296" s="35" t="n">
        <x:v>32</x:v>
      </x:c>
      <x:c r="K296" s="32" t="n">
        <x:v>32845718.432304144</x:v>
      </x:c>
      <x:c r="L296" s="32" t="n">
        <x:v>32332686.35082694</x:v>
      </x:c>
      <x:c r="M296" s="32" t="n">
        <x:v>32085747.063295085</x:v>
      </x:c>
      <x:c r="N296" s="34" t="n">
        <x:v>0.004453059184973611</x:v>
      </x:c>
      <x:c r="O296" s="35" t="n">
        <x:v>13</x:v>
      </x:c>
      <x:c r="P296" s="34" t="n">
        <x:v>0.9951305992764549</x:v>
      </x:c>
    </x:row>
    <x:row r="297" ht="18" customHeight="1">
      <x:c r="A297" s="25" t="str">
        <x:v>HS_048</x:v>
      </x:c>
      <x:c r="B297" s="25" t="str">
        <x:v>Atlantic, Antarctic</x:v>
      </x:c>
      <x:c r="C297" s="25" t="str">
        <x:v>High Seas</x:v>
      </x:c>
      <x:c r="D297" s="31" t="n">
        <x:v>2019</x:v>
      </x:c>
      <x:c r="E297" s="32" t="n">
        <x:v>154127.61540295082</x:v>
      </x:c>
      <x:c r="F297" s="32" t="n">
        <x:v>154127.61540295082</x:v>
      </x:c>
      <x:c r="G297" s="33" t="n">
        <x:v>0</x:v>
      </x:c>
      <x:c r="H297" s="34" t="n">
        <x:v>1</x:v>
      </x:c>
      <x:c r="I297" s="35" t="n">
        <x:v>6</x:v>
      </x:c>
      <x:c r="J297" s="35" t="n">
        <x:v>6</x:v>
      </x:c>
      <x:c r="K297" s="32" t="n">
        <x:v>29368420.19122001</x:v>
      </x:c>
      <x:c r="L297" s="32" t="n">
        <x:v>29368419.84106065</x:v>
      </x:c>
      <x:c r="M297" s="32" t="n">
        <x:v>29368420.19122001</x:v>
      </x:c>
      <x:c r="N297" s="34" t="n">
        <x:v>0.003981624379756412</x:v>
      </x:c>
      <x:c r="O297" s="35" t="n">
        <x:v>14</x:v>
      </x:c>
      <x:c r="P297" s="34" t="n">
        <x:v>0.9991122236562113</x:v>
      </x:c>
    </x:row>
    <x:row r="298" ht="18" customHeight="1">
      <x:c r="A298" s="25" t="str">
        <x:v>HS_088</x:v>
      </x:c>
      <x:c r="B298" s="25" t="str">
        <x:v>Pacific, Antarctic</x:v>
      </x:c>
      <x:c r="C298" s="25" t="str">
        <x:v>High Seas</x:v>
      </x:c>
      <x:c r="D298" s="31" t="n">
        <x:v>2019</x:v>
      </x:c>
      <x:c r="E298" s="32" t="n">
        <x:v>3559.327863</x:v>
      </x:c>
      <x:c r="F298" s="32" t="n">
        <x:v>3559.327863</x:v>
      </x:c>
      <x:c r="G298" s="33" t="n">
        <x:v>0</x:v>
      </x:c>
      <x:c r="H298" s="34" t="n">
        <x:v>1</x:v>
      </x:c>
      <x:c r="I298" s="35" t="n">
        <x:v>32</x:v>
      </x:c>
      <x:c r="J298" s="35" t="n">
        <x:v>32</x:v>
      </x:c>
      <x:c r="K298" s="32" t="n">
        <x:v>5471586.54715935</x:v>
      </x:c>
      <x:c r="L298" s="32" t="n">
        <x:v>5441171.091395552</x:v>
      </x:c>
      <x:c r="M298" s="32" t="n">
        <x:v>5471351.988849449</x:v>
      </x:c>
      <x:c r="N298" s="34" t="n">
        <x:v>0.0007418104974754467</x:v>
      </x:c>
      <x:c r="O298" s="35" t="n">
        <x:v>15</x:v>
      </x:c>
      <x:c r="P298" s="34" t="n">
        <x:v>0.9998540341536868</x:v>
      </x:c>
    </x:row>
    <x:row r="299" ht="18" customHeight="1">
      <x:c r="A299" s="25" t="str">
        <x:v>HS_067</x:v>
      </x:c>
      <x:c r="B299" s="25" t="str">
        <x:v>Pacific, Northeast</x:v>
      </x:c>
      <x:c r="C299" s="25" t="str">
        <x:v>High Seas</x:v>
      </x:c>
      <x:c r="D299" s="31" t="n">
        <x:v>2019</x:v>
      </x:c>
      <x:c r="E299" s="32" t="n">
        <x:v>402.29139540870005</x:v>
      </x:c>
      <x:c r="F299" s="32" t="n">
        <x:v>402.29139540870005</x:v>
      </x:c>
      <x:c r="G299" s="33" t="n">
        <x:v>0</x:v>
      </x:c>
      <x:c r="H299" s="34" t="n">
        <x:v>1</x:v>
      </x:c>
      <x:c r="I299" s="35" t="n">
        <x:v>16</x:v>
      </x:c>
      <x:c r="J299" s="35" t="n">
        <x:v>16</x:v>
      </x:c>
      <x:c r="K299" s="32" t="n">
        <x:v>759816.5237174243</x:v>
      </x:c>
      <x:c r="L299" s="32" t="n">
        <x:v>741062.6904888835</x:v>
      </x:c>
      <x:c r="M299" s="32" t="n">
        <x:v>736055.8992847266</x:v>
      </x:c>
      <x:c r="N299" s="34" t="n">
        <x:v>0.00010301214621954733</x:v>
      </x:c>
      <x:c r="O299" s="35" t="n">
        <x:v>16</x:v>
      </x:c>
      <x:c r="P299" s="34" t="n">
        <x:v>0.9999570462999063</x:v>
      </x:c>
    </x:row>
    <x:row r="300" ht="18" customHeight="1">
      <x:c r="A300" s="25" t="str">
        <x:v>HS_058</x:v>
      </x:c>
      <x:c r="B300" s="25" t="str">
        <x:v>Indian Ocean, Antarctic</x:v>
      </x:c>
      <x:c r="C300" s="25" t="str">
        <x:v>High Seas</x:v>
      </x:c>
      <x:c r="D300" s="31" t="n">
        <x:v>2019</x:v>
      </x:c>
      <x:c r="E300" s="32" t="n">
        <x:v>1622.2799593135005</x:v>
      </x:c>
      <x:c r="F300" s="32" t="n">
        <x:v>1622.2799593135005</x:v>
      </x:c>
      <x:c r="G300" s="33" t="n">
        <x:v>0</x:v>
      </x:c>
      <x:c r="H300" s="34" t="n">
        <x:v>1</x:v>
      </x:c>
      <x:c r="I300" s="35" t="n">
        <x:v>6</x:v>
      </x:c>
      <x:c r="J300" s="35" t="n">
        <x:v>6</x:v>
      </x:c>
      <x:c r="K300" s="32" t="n">
        <x:v>316826.047060139</x:v>
      </x:c>
      <x:c r="L300" s="32" t="n">
        <x:v>316302.392591317</x:v>
      </x:c>
      <x:c r="M300" s="32" t="n">
        <x:v>316825.92653248494</x:v>
      </x:c>
      <x:c r="N300" s="34" t="n">
        <x:v>0.000042953700093600354</x:v>
      </x:c>
      <x:c r="O300" s="35" t="n">
        <x:v>17</x:v>
      </x:c>
      <x:c r="P300" s="34" t="n">
        <x:v>0.9999999999999999</x:v>
      </x:c>
    </x:row>
    <x:row r="301" ht="18" customHeight="1">
      <x:c r="A301" s="25" t="str">
        <x:v>HS_018</x:v>
      </x:c>
      <x:c r="B301" s="25" t="str">
        <x:v>Arctic Sea</x:v>
      </x:c>
      <x:c r="C301" s="25" t="str">
        <x:v>High Seas</x:v>
      </x:c>
      <x:c r="D301" s="31" t="n">
        <x:v>2019</x:v>
      </x:c>
      <x:c r="E301" s="32" t="n">
        <x:v>0</x:v>
      </x:c>
      <x:c r="F301" s="32" t="n">
        <x:v>0</x:v>
      </x:c>
      <x:c r="G301" s="33" t="n">
        <x:v>0</x:v>
      </x:c>
      <x:c r="H301" s="34" t="str"/>
      <x:c r="I301" s="35" t="n">
        <x:v>0</x:v>
      </x:c>
      <x:c r="J301" s="35" t="n">
        <x:v>0</x:v>
      </x:c>
      <x:c r="K301" s="32" t="n">
        <x:v>0</x:v>
      </x:c>
      <x:c r="L301" s="32" t="n">
        <x:v>0</x:v>
      </x:c>
      <x:c r="M301" s="32" t="n">
        <x:v>0</x:v>
      </x:c>
      <x:c r="N301" s="34" t="n">
        <x:v>0</x:v>
      </x:c>
      <x:c r="O301" s="35" t="n">
        <x:v>18</x:v>
      </x:c>
      <x:c r="P301" s="34" t="n">
        <x:v>0.9999999999999999</x:v>
      </x:c>
    </x:row>
    <x:row r="302" ht="18" customHeight="1">
      <x:c r="A302" s="25" t="str">
        <x:v>LME_036</x:v>
      </x:c>
      <x:c r="B302" s="25" t="str">
        <x:v>South China Sea</x:v>
      </x:c>
      <x:c r="C302" s="25" t="str">
        <x:v>LME</x:v>
      </x:c>
      <x:c r="D302" s="31" t="n">
        <x:v>2019</x:v>
      </x:c>
      <x:c r="E302" s="32" t="n">
        <x:v>11101666.087778974</x:v>
      </x:c>
      <x:c r="F302" s="32" t="n">
        <x:v>11101666.087778974</x:v>
      </x:c>
      <x:c r="G302" s="33" t="n">
        <x:v>0</x:v>
      </x:c>
      <x:c r="H302" s="34" t="n">
        <x:v>1</x:v>
      </x:c>
      <x:c r="I302" s="35" t="n">
        <x:v>340</x:v>
      </x:c>
      <x:c r="J302" s="35" t="n">
        <x:v>340</x:v>
      </x:c>
      <x:c r="K302" s="32" t="n">
        <x:v>8070990713.09262</x:v>
      </x:c>
      <x:c r="L302" s="32" t="n">
        <x:v>5121239748.801037</x:v>
      </x:c>
      <x:c r="M302" s="32" t="n">
        <x:v>6177614152.066727</x:v>
      </x:c>
      <x:c r="N302" s="34" t="n">
        <x:v>0.13945148049219458</x:v>
      </x:c>
      <x:c r="O302" s="35" t="n">
        <x:v>1</x:v>
      </x:c>
      <x:c r="P302" s="34" t="n">
        <x:v>0.13945148049219458</x:v>
      </x:c>
    </x:row>
    <x:row r="303" ht="18" customHeight="1">
      <x:c r="A303" s="25" t="str">
        <x:v>LME_032</x:v>
      </x:c>
      <x:c r="B303" s="25" t="str">
        <x:v>Arabian Sea</x:v>
      </x:c>
      <x:c r="C303" s="25" t="str">
        <x:v>LME</x:v>
      </x:c>
      <x:c r="D303" s="31" t="n">
        <x:v>2019</x:v>
      </x:c>
      <x:c r="E303" s="32" t="n">
        <x:v>5436428.793803818</x:v>
      </x:c>
      <x:c r="F303" s="32" t="n">
        <x:v>5436428.793803818</x:v>
      </x:c>
      <x:c r="G303" s="33" t="n">
        <x:v>0</x:v>
      </x:c>
      <x:c r="H303" s="34" t="n">
        <x:v>1</x:v>
      </x:c>
      <x:c r="I303" s="35" t="n">
        <x:v>393</x:v>
      </x:c>
      <x:c r="J303" s="35" t="n">
        <x:v>393</x:v>
      </x:c>
      <x:c r="K303" s="32" t="n">
        <x:v>4734727053.1209135</x:v>
      </x:c>
      <x:c r="L303" s="32" t="n">
        <x:v>3513410168.9238224</x:v>
      </x:c>
      <x:c r="M303" s="32" t="n">
        <x:v>3986670658.279414</x:v>
      </x:c>
      <x:c r="N303" s="34" t="n">
        <x:v>0.08180714372686455</x:v>
      </x:c>
      <x:c r="O303" s="35" t="n">
        <x:v>2</x:v>
      </x:c>
      <x:c r="P303" s="34" t="n">
        <x:v>0.22125862421905912</x:v>
      </x:c>
    </x:row>
    <x:row r="304" ht="18" customHeight="1">
      <x:c r="A304" s="25" t="str">
        <x:v>LME_034</x:v>
      </x:c>
      <x:c r="B304" s="25" t="str">
        <x:v>Bay of Bengal</x:v>
      </x:c>
      <x:c r="C304" s="25" t="str">
        <x:v>LME</x:v>
      </x:c>
      <x:c r="D304" s="31" t="n">
        <x:v>2019</x:v>
      </x:c>
      <x:c r="E304" s="32" t="n">
        <x:v>6697725.785375867</x:v>
      </x:c>
      <x:c r="F304" s="32" t="n">
        <x:v>6697725.785375867</x:v>
      </x:c>
      <x:c r="G304" s="33" t="n">
        <x:v>0</x:v>
      </x:c>
      <x:c r="H304" s="34" t="n">
        <x:v>1</x:v>
      </x:c>
      <x:c r="I304" s="35" t="n">
        <x:v>288</x:v>
      </x:c>
      <x:c r="J304" s="35" t="n">
        <x:v>288</x:v>
      </x:c>
      <x:c r="K304" s="32" t="n">
        <x:v>3525461853.606897</x:v>
      </x:c>
      <x:c r="L304" s="32" t="n">
        <x:v>2348434942.0634265</x:v>
      </x:c>
      <x:c r="M304" s="32" t="n">
        <x:v>2527044613.979731</x:v>
      </x:c>
      <x:c r="N304" s="34" t="n">
        <x:v>0.06091332432172464</x:v>
      </x:c>
      <x:c r="O304" s="35" t="n">
        <x:v>3</x:v>
      </x:c>
      <x:c r="P304" s="34" t="n">
        <x:v>0.28217194854078376</x:v>
      </x:c>
    </x:row>
    <x:row r="305" ht="18" customHeight="1">
      <x:c r="A305" s="25" t="str">
        <x:v>LME_047</x:v>
      </x:c>
      <x:c r="B305" s="25" t="str">
        <x:v>East China Sea</x:v>
      </x:c>
      <x:c r="C305" s="25" t="str">
        <x:v>LME</x:v>
      </x:c>
      <x:c r="D305" s="31" t="n">
        <x:v>2019</x:v>
      </x:c>
      <x:c r="E305" s="32" t="n">
        <x:v>5649829.984210193</x:v>
      </x:c>
      <x:c r="F305" s="32" t="n">
        <x:v>5649829.984210193</x:v>
      </x:c>
      <x:c r="G305" s="33" t="n">
        <x:v>0</x:v>
      </x:c>
      <x:c r="H305" s="34" t="n">
        <x:v>1</x:v>
      </x:c>
      <x:c r="I305" s="35" t="n">
        <x:v>254</x:v>
      </x:c>
      <x:c r="J305" s="35" t="n">
        <x:v>254</x:v>
      </x:c>
      <x:c r="K305" s="32" t="n">
        <x:v>3396644855.555232</x:v>
      </x:c>
      <x:c r="L305" s="32" t="n">
        <x:v>2016011352.6502063</x:v>
      </x:c>
      <x:c r="M305" s="32" t="n">
        <x:v>2784351281.529257</x:v>
      </x:c>
      <x:c r="N305" s="34" t="n">
        <x:v>0.05868760981783797</x:v>
      </x:c>
      <x:c r="O305" s="35" t="n">
        <x:v>4</x:v>
      </x:c>
      <x:c r="P305" s="34" t="n">
        <x:v>0.34085955835862175</x:v>
      </x:c>
    </x:row>
    <x:row r="306" ht="18" customHeight="1">
      <x:c r="A306" s="25" t="str">
        <x:v>LME_052</x:v>
      </x:c>
      <x:c r="B306" s="25" t="str">
        <x:v>Sea of Okhotsk</x:v>
      </x:c>
      <x:c r="C306" s="25" t="str">
        <x:v>LME</x:v>
      </x:c>
      <x:c r="D306" s="31" t="n">
        <x:v>2019</x:v>
      </x:c>
      <x:c r="E306" s="32" t="n">
        <x:v>4800852.125625119</x:v>
      </x:c>
      <x:c r="F306" s="32" t="n">
        <x:v>4800852.125625119</x:v>
      </x:c>
      <x:c r="G306" s="33" t="n">
        <x:v>0</x:v>
      </x:c>
      <x:c r="H306" s="34" t="n">
        <x:v>1</x:v>
      </x:c>
      <x:c r="I306" s="35" t="n">
        <x:v>131</x:v>
      </x:c>
      <x:c r="J306" s="35" t="n">
        <x:v>131</x:v>
      </x:c>
      <x:c r="K306" s="32" t="n">
        <x:v>2799543440.981204</x:v>
      </x:c>
      <x:c r="L306" s="32" t="n">
        <x:v>2242784197.569399</x:v>
      </x:c>
      <x:c r="M306" s="32" t="n">
        <x:v>2131158646.726793</x:v>
      </x:c>
      <x:c r="N306" s="34" t="n">
        <x:v>0.04837082477541956</x:v>
      </x:c>
      <x:c r="O306" s="35" t="n">
        <x:v>5</x:v>
      </x:c>
      <x:c r="P306" s="34" t="n">
        <x:v>0.3892303831340413</x:v>
      </x:c>
    </x:row>
    <x:row r="307" ht="18" customHeight="1">
      <x:c r="A307" s="25" t="str">
        <x:v>LME_013</x:v>
      </x:c>
      <x:c r="B307" s="25" t="str">
        <x:v>Humboldt Current</x:v>
      </x:c>
      <x:c r="C307" s="25" t="str">
        <x:v>LME</x:v>
      </x:c>
      <x:c r="D307" s="31" t="n">
        <x:v>2019</x:v>
      </x:c>
      <x:c r="E307" s="32" t="n">
        <x:v>7390380.680601614</x:v>
      </x:c>
      <x:c r="F307" s="32" t="n">
        <x:v>7390380.680601614</x:v>
      </x:c>
      <x:c r="G307" s="33" t="n">
        <x:v>0</x:v>
      </x:c>
      <x:c r="H307" s="34" t="n">
        <x:v>1</x:v>
      </x:c>
      <x:c r="I307" s="35" t="n">
        <x:v>184</x:v>
      </x:c>
      <x:c r="J307" s="35" t="n">
        <x:v>184</x:v>
      </x:c>
      <x:c r="K307" s="32" t="n">
        <x:v>2612052520.143484</x:v>
      </x:c>
      <x:c r="L307" s="32" t="n">
        <x:v>2058671336.4057276</x:v>
      </x:c>
      <x:c r="M307" s="32" t="n">
        <x:v>2239918376.137161</x:v>
      </x:c>
      <x:c r="N307" s="34" t="n">
        <x:v>0.045131335669422755</x:v>
      </x:c>
      <x:c r="O307" s="35" t="n">
        <x:v>6</x:v>
      </x:c>
      <x:c r="P307" s="34" t="n">
        <x:v>0.4343617188034641</x:v>
      </x:c>
    </x:row>
    <x:row r="308" ht="18" customHeight="1">
      <x:c r="A308" s="25" t="str">
        <x:v>LME_027</x:v>
      </x:c>
      <x:c r="B308" s="25" t="str">
        <x:v>Canary Current</x:v>
      </x:c>
      <x:c r="C308" s="25" t="str">
        <x:v>LME</x:v>
      </x:c>
      <x:c r="D308" s="31" t="n">
        <x:v>2019</x:v>
      </x:c>
      <x:c r="E308" s="32" t="n">
        <x:v>5771015.257329415</x:v>
      </x:c>
      <x:c r="F308" s="32" t="n">
        <x:v>5771015.257329415</x:v>
      </x:c>
      <x:c r="G308" s="33" t="n">
        <x:v>0</x:v>
      </x:c>
      <x:c r="H308" s="34" t="n">
        <x:v>1</x:v>
      </x:c>
      <x:c r="I308" s="35" t="n">
        <x:v>412</x:v>
      </x:c>
      <x:c r="J308" s="35" t="n">
        <x:v>412</x:v>
      </x:c>
      <x:c r="K308" s="32" t="n">
        <x:v>2359485422.816173</x:v>
      </x:c>
      <x:c r="L308" s="32" t="n">
        <x:v>1988040059.996524</x:v>
      </x:c>
      <x:c r="M308" s="32" t="n">
        <x:v>1932746132.292241</x:v>
      </x:c>
      <x:c r="N308" s="34" t="n">
        <x:v>0.04076745310556662</x:v>
      </x:c>
      <x:c r="O308" s="35" t="n">
        <x:v>7</x:v>
      </x:c>
      <x:c r="P308" s="34" t="n">
        <x:v>0.4751291719090307</x:v>
      </x:c>
    </x:row>
    <x:row r="309" ht="18" customHeight="1">
      <x:c r="A309" s="25" t="str">
        <x:v>LME_028</x:v>
      </x:c>
      <x:c r="B309" s="25" t="str">
        <x:v>Guinea Current</x:v>
      </x:c>
      <x:c r="C309" s="25" t="str">
        <x:v>LME</x:v>
      </x:c>
      <x:c r="D309" s="31" t="n">
        <x:v>2019</x:v>
      </x:c>
      <x:c r="E309" s="32" t="n">
        <x:v>4469154.981144243</x:v>
      </x:c>
      <x:c r="F309" s="32" t="n">
        <x:v>4469154.981144243</x:v>
      </x:c>
      <x:c r="G309" s="33" t="n">
        <x:v>0</x:v>
      </x:c>
      <x:c r="H309" s="34" t="n">
        <x:v>1</x:v>
      </x:c>
      <x:c r="I309" s="35" t="n">
        <x:v>325</x:v>
      </x:c>
      <x:c r="J309" s="35" t="n">
        <x:v>325</x:v>
      </x:c>
      <x:c r="K309" s="32" t="n">
        <x:v>2256398879.66561</x:v>
      </x:c>
      <x:c r="L309" s="32" t="n">
        <x:v>1724262907.9504876</x:v>
      </x:c>
      <x:c r="M309" s="32" t="n">
        <x:v>1769169841.9924123</x:v>
      </x:c>
      <x:c r="N309" s="34" t="n">
        <x:v>0.03898631228008546</x:v>
      </x:c>
      <x:c r="O309" s="35" t="n">
        <x:v>8</x:v>
      </x:c>
      <x:c r="P309" s="34" t="n">
        <x:v>0.5141154841891161</x:v>
      </x:c>
    </x:row>
    <x:row r="310" ht="18" customHeight="1">
      <x:c r="A310" s="25" t="str">
        <x:v>LME_035</x:v>
      </x:c>
      <x:c r="B310" s="25" t="str">
        <x:v>Gulf of Thailand</x:v>
      </x:c>
      <x:c r="C310" s="25" t="str">
        <x:v>LME</x:v>
      </x:c>
      <x:c r="D310" s="31" t="n">
        <x:v>2019</x:v>
      </x:c>
      <x:c r="E310" s="32" t="n">
        <x:v>2615825.0568618225</x:v>
      </x:c>
      <x:c r="F310" s="32" t="n">
        <x:v>2615825.0568618225</x:v>
      </x:c>
      <x:c r="G310" s="33" t="n">
        <x:v>0</x:v>
      </x:c>
      <x:c r="H310" s="34" t="n">
        <x:v>1</x:v>
      </x:c>
      <x:c r="I310" s="35" t="n">
        <x:v>214</x:v>
      </x:c>
      <x:c r="J310" s="35" t="n">
        <x:v>214</x:v>
      </x:c>
      <x:c r="K310" s="32" t="n">
        <x:v>1868893899.8381803</x:v>
      </x:c>
      <x:c r="L310" s="32" t="n">
        <x:v>1321291448.1609046</x:v>
      </x:c>
      <x:c r="M310" s="32" t="n">
        <x:v>1470605570.760545</x:v>
      </x:c>
      <x:c r="N310" s="34" t="n">
        <x:v>0.032290957886061275</x:v>
      </x:c>
      <x:c r="O310" s="35" t="n">
        <x:v>9</x:v>
      </x:c>
      <x:c r="P310" s="34" t="n">
        <x:v>0.5464064420751774</x:v>
      </x:c>
    </x:row>
    <x:row r="311" ht="18" customHeight="1">
      <x:c r="A311" s="25" t="str">
        <x:v>LME_022</x:v>
      </x:c>
      <x:c r="B311" s="25" t="str">
        <x:v>North Sea</x:v>
      </x:c>
      <x:c r="C311" s="25" t="str">
        <x:v>LME</x:v>
      </x:c>
      <x:c r="D311" s="31" t="n">
        <x:v>2019</x:v>
      </x:c>
      <x:c r="E311" s="32" t="n">
        <x:v>2717260.698205171</x:v>
      </x:c>
      <x:c r="F311" s="32" t="n">
        <x:v>2717260.698205171</x:v>
      </x:c>
      <x:c r="G311" s="33" t="n">
        <x:v>0</x:v>
      </x:c>
      <x:c r="H311" s="34" t="n">
        <x:v>1</x:v>
      </x:c>
      <x:c r="I311" s="35" t="n">
        <x:v>312</x:v>
      </x:c>
      <x:c r="J311" s="35" t="n">
        <x:v>312</x:v>
      </x:c>
      <x:c r="K311" s="32" t="n">
        <x:v>1700184787.4627526</x:v>
      </x:c>
      <x:c r="L311" s="32" t="n">
        <x:v>1461271647.0493312</x:v>
      </x:c>
      <x:c r="M311" s="32" t="n">
        <x:v>1529129228.171731</x:v>
      </x:c>
      <x:c r="N311" s="34" t="n">
        <x:v>0.02937598296791241</x:v>
      </x:c>
      <x:c r="O311" s="35" t="n">
        <x:v>10</x:v>
      </x:c>
      <x:c r="P311" s="34" t="n">
        <x:v>0.5757824250430899</x:v>
      </x:c>
    </x:row>
    <x:row r="312" ht="18" customHeight="1">
      <x:c r="A312" s="25" t="str">
        <x:v>LME_049</x:v>
      </x:c>
      <x:c r="B312" s="25" t="str">
        <x:v>Kuroshio Current</x:v>
      </x:c>
      <x:c r="C312" s="25" t="str">
        <x:v>LME</x:v>
      </x:c>
      <x:c r="D312" s="31" t="n">
        <x:v>2019</x:v>
      </x:c>
      <x:c r="E312" s="32" t="n">
        <x:v>3090456.265124474</x:v>
      </x:c>
      <x:c r="F312" s="32" t="n">
        <x:v>3090456.265124474</x:v>
      </x:c>
      <x:c r="G312" s="33" t="n">
        <x:v>0</x:v>
      </x:c>
      <x:c r="H312" s="34" t="n">
        <x:v>1</x:v>
      </x:c>
      <x:c r="I312" s="35" t="n">
        <x:v>229</x:v>
      </x:c>
      <x:c r="J312" s="35" t="n">
        <x:v>229</x:v>
      </x:c>
      <x:c r="K312" s="32" t="n">
        <x:v>1682486180.5803435</x:v>
      </x:c>
      <x:c r="L312" s="32" t="n">
        <x:v>1229429462.9598556</x:v>
      </x:c>
      <x:c r="M312" s="32" t="n">
        <x:v>1479014398.4195943</x:v>
      </x:c>
      <x:c r="N312" s="34" t="n">
        <x:v>0.02907018445814612</x:v>
      </x:c>
      <x:c r="O312" s="35" t="n">
        <x:v>11</x:v>
      </x:c>
      <x:c r="P312" s="34" t="n">
        <x:v>0.604852609501236</x:v>
      </x:c>
    </x:row>
    <x:row r="313" ht="18" customHeight="1">
      <x:c r="A313" s="25" t="str">
        <x:v>LME_038</x:v>
      </x:c>
      <x:c r="B313" s="25" t="str">
        <x:v>Indonesian Sea</x:v>
      </x:c>
      <x:c r="C313" s="25" t="str">
        <x:v>LME</x:v>
      </x:c>
      <x:c r="D313" s="31" t="n">
        <x:v>2019</x:v>
      </x:c>
      <x:c r="E313" s="32" t="n">
        <x:v>2883541.953754092</x:v>
      </x:c>
      <x:c r="F313" s="32" t="n">
        <x:v>2883541.953754092</x:v>
      </x:c>
      <x:c r="G313" s="33" t="n">
        <x:v>0</x:v>
      </x:c>
      <x:c r="H313" s="34" t="n">
        <x:v>1</x:v>
      </x:c>
      <x:c r="I313" s="35" t="n">
        <x:v>142</x:v>
      </x:c>
      <x:c r="J313" s="35" t="n">
        <x:v>142</x:v>
      </x:c>
      <x:c r="K313" s="32" t="n">
        <x:v>1678212214.8416104</x:v>
      </x:c>
      <x:c r="L313" s="32" t="n">
        <x:v>1110962513.3774147</x:v>
      </x:c>
      <x:c r="M313" s="32" t="n">
        <x:v>1252314766.816485</x:v>
      </x:c>
      <x:c r="N313" s="34" t="n">
        <x:v>0.028996338399957453</x:v>
      </x:c>
      <x:c r="O313" s="35" t="n">
        <x:v>12</x:v>
      </x:c>
      <x:c r="P313" s="34" t="n">
        <x:v>0.6338489479011934</x:v>
      </x:c>
    </x:row>
    <x:row r="314" ht="18" customHeight="1">
      <x:c r="A314" s="25" t="str">
        <x:v>LME_048</x:v>
      </x:c>
      <x:c r="B314" s="25" t="str">
        <x:v>Yellow Sea</x:v>
      </x:c>
      <x:c r="C314" s="25" t="str">
        <x:v>LME</x:v>
      </x:c>
      <x:c r="D314" s="31" t="n">
        <x:v>2019</x:v>
      </x:c>
      <x:c r="E314" s="32" t="n">
        <x:v>2658977.968899307</x:v>
      </x:c>
      <x:c r="F314" s="32" t="n">
        <x:v>2658977.968899307</x:v>
      </x:c>
      <x:c r="G314" s="33" t="n">
        <x:v>0</x:v>
      </x:c>
      <x:c r="H314" s="34" t="n">
        <x:v>1</x:v>
      </x:c>
      <x:c r="I314" s="35" t="n">
        <x:v>175</x:v>
      </x:c>
      <x:c r="J314" s="35" t="n">
        <x:v>175</x:v>
      </x:c>
      <x:c r="K314" s="32" t="n">
        <x:v>1554214509.6068287</x:v>
      </x:c>
      <x:c r="L314" s="32" t="n">
        <x:v>939968038.6418488</x:v>
      </x:c>
      <x:c r="M314" s="32" t="n">
        <x:v>1272167957.9722326</x:v>
      </x:c>
      <x:c r="N314" s="34" t="n">
        <x:v>0.026853892176524827</x:v>
      </x:c>
      <x:c r="O314" s="35" t="n">
        <x:v>13</x:v>
      </x:c>
      <x:c r="P314" s="34" t="n">
        <x:v>0.6607028400777182</x:v>
      </x:c>
    </x:row>
    <x:row r="315" ht="18" customHeight="1">
      <x:c r="A315" s="25" t="str">
        <x:v>LME_050</x:v>
      </x:c>
      <x:c r="B315" s="25" t="str">
        <x:v>Sea of Japan / East Sea</x:v>
      </x:c>
      <x:c r="C315" s="25" t="str">
        <x:v>LME</x:v>
      </x:c>
      <x:c r="D315" s="31" t="n">
        <x:v>2019</x:v>
      </x:c>
      <x:c r="E315" s="32" t="n">
        <x:v>2586941.83669577</x:v>
      </x:c>
      <x:c r="F315" s="32" t="n">
        <x:v>2586941.83669577</x:v>
      </x:c>
      <x:c r="G315" s="33" t="n">
        <x:v>0</x:v>
      </x:c>
      <x:c r="H315" s="34" t="n">
        <x:v>1</x:v>
      </x:c>
      <x:c r="I315" s="35" t="n">
        <x:v>218</x:v>
      </x:c>
      <x:c r="J315" s="35" t="n">
        <x:v>218</x:v>
      </x:c>
      <x:c r="K315" s="32" t="n">
        <x:v>1439195574.078298</x:v>
      </x:c>
      <x:c r="L315" s="32" t="n">
        <x:v>1036169699.9564208</x:v>
      </x:c>
      <x:c r="M315" s="32" t="n">
        <x:v>1161227971.5261807</x:v>
      </x:c>
      <x:c r="N315" s="34" t="n">
        <x:v>0.024866582140587012</x:v>
      </x:c>
      <x:c r="O315" s="35" t="n">
        <x:v>14</x:v>
      </x:c>
      <x:c r="P315" s="34" t="n">
        <x:v>0.6855694222183052</x:v>
      </x:c>
    </x:row>
    <x:row r="316" ht="18" customHeight="1">
      <x:c r="A316" s="25" t="str">
        <x:v>LME_014</x:v>
      </x:c>
      <x:c r="B316" s="25" t="str">
        <x:v>Patagonian Shelf</x:v>
      </x:c>
      <x:c r="C316" s="25" t="str">
        <x:v>LME</x:v>
      </x:c>
      <x:c r="D316" s="31" t="n">
        <x:v>2019</x:v>
      </x:c>
      <x:c r="E316" s="32" t="n">
        <x:v>1589890.9385366847</x:v>
      </x:c>
      <x:c r="F316" s="32" t="n">
        <x:v>1589890.9385366847</x:v>
      </x:c>
      <x:c r="G316" s="33" t="n">
        <x:v>0</x:v>
      </x:c>
      <x:c r="H316" s="34" t="n">
        <x:v>1</x:v>
      </x:c>
      <x:c r="I316" s="35" t="n">
        <x:v>195</x:v>
      </x:c>
      <x:c r="J316" s="35" t="n">
        <x:v>195</x:v>
      </x:c>
      <x:c r="K316" s="32" t="n">
        <x:v>1391657718.08254</x:v>
      </x:c>
      <x:c r="L316" s="32" t="n">
        <x:v>1272373321.7534766</x:v>
      </x:c>
      <x:c r="M316" s="32" t="n">
        <x:v>1310989991.8158207</x:v>
      </x:c>
      <x:c r="N316" s="34" t="n">
        <x:v>0.02404521774633992</x:v>
      </x:c>
      <x:c r="O316" s="35" t="n">
        <x:v>15</x:v>
      </x:c>
      <x:c r="P316" s="34" t="n">
        <x:v>0.7096146399646451</x:v>
      </x:c>
    </x:row>
    <x:row r="317" ht="18" customHeight="1">
      <x:c r="A317" s="25" t="str">
        <x:v>LME_003</x:v>
      </x:c>
      <x:c r="B317" s="25" t="str">
        <x:v>California Current</x:v>
      </x:c>
      <x:c r="C317" s="25" t="str">
        <x:v>LME</x:v>
      </x:c>
      <x:c r="D317" s="31" t="n">
        <x:v>2019</x:v>
      </x:c>
      <x:c r="E317" s="32" t="n">
        <x:v>1037537.6190575528</x:v>
      </x:c>
      <x:c r="F317" s="32" t="n">
        <x:v>1037537.6190575528</x:v>
      </x:c>
      <x:c r="G317" s="33" t="n">
        <x:v>0</x:v>
      </x:c>
      <x:c r="H317" s="34" t="n">
        <x:v>1</x:v>
      </x:c>
      <x:c r="I317" s="35" t="n">
        <x:v>277</x:v>
      </x:c>
      <x:c r="J317" s="35" t="n">
        <x:v>277</x:v>
      </x:c>
      <x:c r="K317" s="32" t="n">
        <x:v>1028923753.764416</x:v>
      </x:c>
      <x:c r="L317" s="32" t="n">
        <x:v>948325445.2391396</x:v>
      </x:c>
      <x:c r="M317" s="32" t="n">
        <x:v>956158720.3224782</x:v>
      </x:c>
      <x:c r="N317" s="34" t="n">
        <x:v>0.017777859729571403</x:v>
      </x:c>
      <x:c r="O317" s="35" t="n">
        <x:v>16</x:v>
      </x:c>
      <x:c r="P317" s="34" t="n">
        <x:v>0.7273924996942166</x:v>
      </x:c>
    </x:row>
    <x:row r="318" ht="18" customHeight="1">
      <x:c r="A318" s="25" t="str">
        <x:v>LME_024</x:v>
      </x:c>
      <x:c r="B318" s="25" t="str">
        <x:v>Celtic-Biscay Shelf</x:v>
      </x:c>
      <x:c r="C318" s="25" t="str">
        <x:v>LME</x:v>
      </x:c>
      <x:c r="D318" s="31" t="n">
        <x:v>2019</x:v>
      </x:c>
      <x:c r="E318" s="32" t="n">
        <x:v>1139679.567089067</x:v>
      </x:c>
      <x:c r="F318" s="32" t="n">
        <x:v>1139679.567089067</x:v>
      </x:c>
      <x:c r="G318" s="33" t="n">
        <x:v>0</x:v>
      </x:c>
      <x:c r="H318" s="34" t="n">
        <x:v>1</x:v>
      </x:c>
      <x:c r="I318" s="35" t="n">
        <x:v>383</x:v>
      </x:c>
      <x:c r="J318" s="35" t="n">
        <x:v>383</x:v>
      </x:c>
      <x:c r="K318" s="32" t="n">
        <x:v>1010255322.176562</x:v>
      </x:c>
      <x:c r="L318" s="32" t="n">
        <x:v>875614821.1777916</x:v>
      </x:c>
      <x:c r="M318" s="32" t="n">
        <x:v>905533467.1732024</x:v>
      </x:c>
      <x:c r="N318" s="34" t="n">
        <x:v>0.01745530448004418</x:v>
      </x:c>
      <x:c r="O318" s="35" t="n">
        <x:v>17</x:v>
      </x:c>
      <x:c r="P318" s="34" t="n">
        <x:v>0.7448478041742608</x:v>
      </x:c>
    </x:row>
    <x:row r="319" ht="18" customHeight="1">
      <x:c r="A319" s="25" t="str">
        <x:v>LME_026</x:v>
      </x:c>
      <x:c r="B319" s="25" t="str">
        <x:v>Mediterranean Sea</x:v>
      </x:c>
      <x:c r="C319" s="25" t="str">
        <x:v>LME</x:v>
      </x:c>
      <x:c r="D319" s="31" t="n">
        <x:v>2019</x:v>
      </x:c>
      <x:c r="E319" s="32" t="n">
        <x:v>1487741.6269238535</x:v>
      </x:c>
      <x:c r="F319" s="32" t="n">
        <x:v>1487741.6269238535</x:v>
      </x:c>
      <x:c r="G319" s="33" t="n">
        <x:v>0</x:v>
      </x:c>
      <x:c r="H319" s="34" t="n">
        <x:v>1</x:v>
      </x:c>
      <x:c r="I319" s="35" t="n">
        <x:v>482</x:v>
      </x:c>
      <x:c r="J319" s="35" t="n">
        <x:v>482</x:v>
      </x:c>
      <x:c r="K319" s="32" t="n">
        <x:v>1007915797.3835726</x:v>
      </x:c>
      <x:c r="L319" s="32" t="n">
        <x:v>777778177.4549513</x:v>
      </x:c>
      <x:c r="M319" s="32" t="n">
        <x:v>818089702.4134529</x:v>
      </x:c>
      <x:c r="N319" s="34" t="n">
        <x:v>0.01741488190893388</x:v>
      </x:c>
      <x:c r="O319" s="35" t="n">
        <x:v>18</x:v>
      </x:c>
      <x:c r="P319" s="34" t="n">
        <x:v>0.7622626860831946</x:v>
      </x:c>
    </x:row>
    <x:row r="320" ht="18" customHeight="1">
      <x:c r="A320" s="25" t="str">
        <x:v>LME_029</x:v>
      </x:c>
      <x:c r="B320" s="25" t="str">
        <x:v>Benguela Current</x:v>
      </x:c>
      <x:c r="C320" s="25" t="str">
        <x:v>LME</x:v>
      </x:c>
      <x:c r="D320" s="31" t="n">
        <x:v>2019</x:v>
      </x:c>
      <x:c r="E320" s="32" t="n">
        <x:v>1592518.0818040825</x:v>
      </x:c>
      <x:c r="F320" s="32" t="n">
        <x:v>1592518.0818040825</x:v>
      </x:c>
      <x:c r="G320" s="33" t="n">
        <x:v>0</x:v>
      </x:c>
      <x:c r="H320" s="34" t="n">
        <x:v>1</x:v>
      </x:c>
      <x:c r="I320" s="35" t="n">
        <x:v>147</x:v>
      </x:c>
      <x:c r="J320" s="35" t="n">
        <x:v>147</x:v>
      </x:c>
      <x:c r="K320" s="32" t="n">
        <x:v>997757338.2466872</x:v>
      </x:c>
      <x:c r="L320" s="32" t="n">
        <x:v>874219072.3241919</x:v>
      </x:c>
      <x:c r="M320" s="32" t="n">
        <x:v>905698527.5872976</x:v>
      </x:c>
      <x:c r="N320" s="34" t="n">
        <x:v>0.01723936291547746</x:v>
      </x:c>
      <x:c r="O320" s="35" t="n">
        <x:v>19</x:v>
      </x:c>
      <x:c r="P320" s="34" t="n">
        <x:v>0.779502048998672</x:v>
      </x:c>
    </x:row>
    <x:row r="321" ht="18" customHeight="1">
      <x:c r="A321" s="25" t="str">
        <x:v>LME_037</x:v>
      </x:c>
      <x:c r="B321" s="25" t="str">
        <x:v>Sulu-Celebes Sea</x:v>
      </x:c>
      <x:c r="C321" s="25" t="str">
        <x:v>LME</x:v>
      </x:c>
      <x:c r="D321" s="31" t="n">
        <x:v>2019</x:v>
      </x:c>
      <x:c r="E321" s="32" t="n">
        <x:v>1731971.9673227614</x:v>
      </x:c>
      <x:c r="F321" s="32" t="n">
        <x:v>1731971.9673227614</x:v>
      </x:c>
      <x:c r="G321" s="33" t="n">
        <x:v>0</x:v>
      </x:c>
      <x:c r="H321" s="34" t="n">
        <x:v>1</x:v>
      </x:c>
      <x:c r="I321" s="35" t="n">
        <x:v>219</x:v>
      </x:c>
      <x:c r="J321" s="35" t="n">
        <x:v>219</x:v>
      </x:c>
      <x:c r="K321" s="32" t="n">
        <x:v>990198790.8703026</x:v>
      </x:c>
      <x:c r="L321" s="32" t="n">
        <x:v>668224367.6583638</x:v>
      </x:c>
      <x:c r="M321" s="32" t="n">
        <x:v>731176308.5367349</x:v>
      </x:c>
      <x:c r="N321" s="34" t="n">
        <x:v>0.017108765488287093</x:v>
      </x:c>
      <x:c r="O321" s="35" t="n">
        <x:v>20</x:v>
      </x:c>
      <x:c r="P321" s="34" t="n">
        <x:v>0.7966108144869591</x:v>
      </x:c>
    </x:row>
    <x:row r="322" ht="18" customHeight="1">
      <x:c r="A322" s="25" t="str">
        <x:v>LME_002</x:v>
      </x:c>
      <x:c r="B322" s="25" t="str">
        <x:v>Gulf of Alaska</x:v>
      </x:c>
      <x:c r="C322" s="25" t="str">
        <x:v>LME</x:v>
      </x:c>
      <x:c r="D322" s="31" t="n">
        <x:v>2019</x:v>
      </x:c>
      <x:c r="E322" s="32" t="n">
        <x:v>1102866.6258441233</x:v>
      </x:c>
      <x:c r="F322" s="32" t="n">
        <x:v>1102866.6258441233</x:v>
      </x:c>
      <x:c r="G322" s="33" t="n">
        <x:v>0</x:v>
      </x:c>
      <x:c r="H322" s="34" t="n">
        <x:v>1</x:v>
      </x:c>
      <x:c r="I322" s="35" t="n">
        <x:v>170</x:v>
      </x:c>
      <x:c r="J322" s="35" t="n">
        <x:v>170</x:v>
      </x:c>
      <x:c r="K322" s="32" t="n">
        <x:v>967218747.5530664</x:v>
      </x:c>
      <x:c r="L322" s="32" t="n">
        <x:v>688947934.142388</x:v>
      </x:c>
      <x:c r="M322" s="32" t="n">
        <x:v>696280979.0165482</x:v>
      </x:c>
      <x:c r="N322" s="34" t="n">
        <x:v>0.01671171372893308</x:v>
      </x:c>
      <x:c r="O322" s="35" t="n">
        <x:v>21</x:v>
      </x:c>
      <x:c r="P322" s="34" t="n">
        <x:v>0.8133225282158922</x:v>
      </x:c>
    </x:row>
    <x:row r="323" ht="18" customHeight="1">
      <x:c r="A323" s="25" t="str">
        <x:v>LME_001</x:v>
      </x:c>
      <x:c r="B323" s="25" t="str">
        <x:v>East Bering Sea</x:v>
      </x:c>
      <x:c r="C323" s="25" t="str">
        <x:v>LME</x:v>
      </x:c>
      <x:c r="D323" s="31" t="n">
        <x:v>2019</x:v>
      </x:c>
      <x:c r="E323" s="32" t="n">
        <x:v>1300999.7714510453</x:v>
      </x:c>
      <x:c r="F323" s="32" t="n">
        <x:v>1300999.7714510453</x:v>
      </x:c>
      <x:c r="G323" s="33" t="n">
        <x:v>0</x:v>
      </x:c>
      <x:c r="H323" s="34" t="n">
        <x:v>1</x:v>
      </x:c>
      <x:c r="I323" s="35" t="n">
        <x:v>73</x:v>
      </x:c>
      <x:c r="J323" s="35" t="n">
        <x:v>73</x:v>
      </x:c>
      <x:c r="K323" s="32" t="n">
        <x:v>816435933.9124104</x:v>
      </x:c>
      <x:c r="L323" s="32" t="n">
        <x:v>651544945.5261025</x:v>
      </x:c>
      <x:c r="M323" s="32" t="n">
        <x:v>689600284.1461229</x:v>
      </x:c>
      <x:c r="N323" s="34" t="n">
        <x:v>0.014106471405848912</x:v>
      </x:c>
      <x:c r="O323" s="35" t="n">
        <x:v>22</x:v>
      </x:c>
      <x:c r="P323" s="34" t="n">
        <x:v>0.8274289996217412</x:v>
      </x:c>
    </x:row>
    <x:row r="324" ht="18" customHeight="1">
      <x:c r="A324" s="25" t="str">
        <x:v>LME_011</x:v>
      </x:c>
      <x:c r="B324" s="25" t="str">
        <x:v>Pacific Central-American Coastal</x:v>
      </x:c>
      <x:c r="C324" s="25" t="str">
        <x:v>LME</x:v>
      </x:c>
      <x:c r="D324" s="31" t="n">
        <x:v>2019</x:v>
      </x:c>
      <x:c r="E324" s="32" t="n">
        <x:v>1587670.713519913</x:v>
      </x:c>
      <x:c r="F324" s="32" t="n">
        <x:v>1587670.713519913</x:v>
      </x:c>
      <x:c r="G324" s="33" t="n">
        <x:v>0</x:v>
      </x:c>
      <x:c r="H324" s="34" t="n">
        <x:v>1</x:v>
      </x:c>
      <x:c r="I324" s="35" t="n">
        <x:v>270</x:v>
      </x:c>
      <x:c r="J324" s="35" t="n">
        <x:v>270</x:v>
      </x:c>
      <x:c r="K324" s="32" t="n">
        <x:v>748768977.2026196</x:v>
      </x:c>
      <x:c r="L324" s="32" t="n">
        <x:v>571582336.2211993</x:v>
      </x:c>
      <x:c r="M324" s="32" t="n">
        <x:v>616011177.0694925</x:v>
      </x:c>
      <x:c r="N324" s="34" t="n">
        <x:v>0.012937314157498441</x:v>
      </x:c>
      <x:c r="O324" s="35" t="n">
        <x:v>23</x:v>
      </x:c>
      <x:c r="P324" s="34" t="n">
        <x:v>0.8403663137792396</x:v>
      </x:c>
    </x:row>
    <x:row r="325" ht="18" customHeight="1">
      <x:c r="A325" s="25" t="str">
        <x:v>LME_046</x:v>
      </x:c>
      <x:c r="B325" s="25" t="str">
        <x:v>New Zealand Shelf</x:v>
      </x:c>
      <x:c r="C325" s="25" t="str">
        <x:v>LME</x:v>
      </x:c>
      <x:c r="D325" s="31" t="n">
        <x:v>2019</x:v>
      </x:c>
      <x:c r="E325" s="32" t="n">
        <x:v>431127.77716673305</x:v>
      </x:c>
      <x:c r="F325" s="32" t="n">
        <x:v>431127.77716673305</x:v>
      </x:c>
      <x:c r="G325" s="33" t="n">
        <x:v>0</x:v>
      </x:c>
      <x:c r="H325" s="34" t="n">
        <x:v>1</x:v>
      </x:c>
      <x:c r="I325" s="35" t="n">
        <x:v>197</x:v>
      </x:c>
      <x:c r="J325" s="35" t="n">
        <x:v>197</x:v>
      </x:c>
      <x:c r="K325" s="32" t="n">
        <x:v>722610291.6356041</x:v>
      </x:c>
      <x:c r="L325" s="32" t="n">
        <x:v>625979302.9233905</x:v>
      </x:c>
      <x:c r="M325" s="32" t="n">
        <x:v>640351591.0568204</x:v>
      </x:c>
      <x:c r="N325" s="34" t="n">
        <x:v>0.012485341461738478</x:v>
      </x:c>
      <x:c r="O325" s="35" t="n">
        <x:v>24</x:v>
      </x:c>
      <x:c r="P325" s="34" t="n">
        <x:v>0.8528516552409781</x:v>
      </x:c>
    </x:row>
    <x:row r="326" ht="18" customHeight="1">
      <x:c r="A326" s="25" t="str">
        <x:v>LME_059</x:v>
      </x:c>
      <x:c r="B326" s="25" t="str">
        <x:v>Iceland Shelf and Sea</x:v>
      </x:c>
      <x:c r="C326" s="25" t="str">
        <x:v>LME</x:v>
      </x:c>
      <x:c r="D326" s="31" t="n">
        <x:v>2019</x:v>
      </x:c>
      <x:c r="E326" s="32" t="n">
        <x:v>697974.9116856114</x:v>
      </x:c>
      <x:c r="F326" s="32" t="n">
        <x:v>697974.9116856114</x:v>
      </x:c>
      <x:c r="G326" s="33" t="n">
        <x:v>0</x:v>
      </x:c>
      <x:c r="H326" s="34" t="n">
        <x:v>1</x:v>
      </x:c>
      <x:c r="I326" s="35" t="n">
        <x:v>74</x:v>
      </x:c>
      <x:c r="J326" s="35" t="n">
        <x:v>74</x:v>
      </x:c>
      <x:c r="K326" s="32" t="n">
        <x:v>707135211.9152755</x:v>
      </x:c>
      <x:c r="L326" s="32" t="n">
        <x:v>670516995.6658894</x:v>
      </x:c>
      <x:c r="M326" s="32" t="n">
        <x:v>648512955.9012274</x:v>
      </x:c>
      <x:c r="N326" s="34" t="n">
        <x:v>0.012217961303038274</x:v>
      </x:c>
      <x:c r="O326" s="35" t="n">
        <x:v>25</x:v>
      </x:c>
      <x:c r="P326" s="34" t="n">
        <x:v>0.8650696165440164</x:v>
      </x:c>
    </x:row>
    <x:row r="327" ht="18" customHeight="1">
      <x:c r="A327" s="25" t="str">
        <x:v>LME_020</x:v>
      </x:c>
      <x:c r="B327" s="25" t="str">
        <x:v>Barents Sea</x:v>
      </x:c>
      <x:c r="C327" s="25" t="str">
        <x:v>LME</x:v>
      </x:c>
      <x:c r="D327" s="31" t="n">
        <x:v>2019</x:v>
      </x:c>
      <x:c r="E327" s="32" t="n">
        <x:v>675569.0179631643</x:v>
      </x:c>
      <x:c r="F327" s="32" t="n">
        <x:v>675569.0179631643</x:v>
      </x:c>
      <x:c r="G327" s="33" t="n">
        <x:v>0</x:v>
      </x:c>
      <x:c r="H327" s="34" t="n">
        <x:v>1</x:v>
      </x:c>
      <x:c r="I327" s="35" t="n">
        <x:v>138</x:v>
      </x:c>
      <x:c r="J327" s="35" t="n">
        <x:v>138</x:v>
      </x:c>
      <x:c r="K327" s="32" t="n">
        <x:v>661277433.8131701</x:v>
      </x:c>
      <x:c r="L327" s="32" t="n">
        <x:v>631761250.3934948</x:v>
      </x:c>
      <x:c r="M327" s="32" t="n">
        <x:v>611750577.6098361</x:v>
      </x:c>
      <x:c r="N327" s="34" t="n">
        <x:v>0.011425625482598364</x:v>
      </x:c>
      <x:c r="O327" s="35" t="n">
        <x:v>26</x:v>
      </x:c>
      <x:c r="P327" s="34" t="n">
        <x:v>0.8764952420266148</x:v>
      </x:c>
    </x:row>
    <x:row r="328" ht="18" customHeight="1">
      <x:c r="A328" s="25" t="str">
        <x:v>LME_005</x:v>
      </x:c>
      <x:c r="B328" s="25" t="str">
        <x:v>Gulf of Mexico</x:v>
      </x:c>
      <x:c r="C328" s="25" t="str">
        <x:v>LME</x:v>
      </x:c>
      <x:c r="D328" s="31" t="n">
        <x:v>2019</x:v>
      </x:c>
      <x:c r="E328" s="32" t="n">
        <x:v>1549275.8254257175</x:v>
      </x:c>
      <x:c r="F328" s="32" t="n">
        <x:v>1549275.8254257175</x:v>
      </x:c>
      <x:c r="G328" s="33" t="n">
        <x:v>0</x:v>
      </x:c>
      <x:c r="H328" s="34" t="n">
        <x:v>1</x:v>
      </x:c>
      <x:c r="I328" s="35" t="n">
        <x:v>418</x:v>
      </x:c>
      <x:c r="J328" s="35" t="n">
        <x:v>418</x:v>
      </x:c>
      <x:c r="K328" s="32" t="n">
        <x:v>558361747.8475869</x:v>
      </x:c>
      <x:c r="L328" s="32" t="n">
        <x:v>352850227.10518026</x:v>
      </x:c>
      <x:c r="M328" s="32" t="n">
        <x:v>421891503.6612591</x:v>
      </x:c>
      <x:c r="N328" s="34" t="n">
        <x:v>0.009647436746674136</x:v>
      </x:c>
      <x:c r="O328" s="35" t="n">
        <x:v>27</x:v>
      </x:c>
      <x:c r="P328" s="34" t="n">
        <x:v>0.8861426787732889</x:v>
      </x:c>
    </x:row>
    <x:row r="329" ht="18" customHeight="1">
      <x:c r="A329" s="25" t="str">
        <x:v>LME_051</x:v>
      </x:c>
      <x:c r="B329" s="25" t="str">
        <x:v>Oyashio Current</x:v>
      </x:c>
      <x:c r="C329" s="25" t="str">
        <x:v>LME</x:v>
      </x:c>
      <x:c r="D329" s="31" t="n">
        <x:v>2019</x:v>
      </x:c>
      <x:c r="E329" s="32" t="n">
        <x:v>1092021.8374498228</x:v>
      </x:c>
      <x:c r="F329" s="32" t="n">
        <x:v>1092021.8374498228</x:v>
      </x:c>
      <x:c r="G329" s="33" t="n">
        <x:v>0</x:v>
      </x:c>
      <x:c r="H329" s="34" t="n">
        <x:v>1</x:v>
      </x:c>
      <x:c r="I329" s="35" t="n">
        <x:v>143</x:v>
      </x:c>
      <x:c r="J329" s="35" t="n">
        <x:v>143</x:v>
      </x:c>
      <x:c r="K329" s="32" t="n">
        <x:v>528421987.24496377</x:v>
      </x:c>
      <x:c r="L329" s="32" t="n">
        <x:v>405330451.30796736</x:v>
      </x:c>
      <x:c r="M329" s="32" t="n">
        <x:v>415171646.0100482</x:v>
      </x:c>
      <x:c r="N329" s="34" t="n">
        <x:v>0.009130134213436818</x:v>
      </x:c>
      <x:c r="O329" s="35" t="n">
        <x:v>28</x:v>
      </x:c>
      <x:c r="P329" s="34" t="n">
        <x:v>0.8952728129867257</x:v>
      </x:c>
    </x:row>
    <x:row r="330" ht="18" customHeight="1">
      <x:c r="A330" s="25" t="str">
        <x:v>LME_053</x:v>
      </x:c>
      <x:c r="B330" s="25" t="str">
        <x:v>West Bering Sea</x:v>
      </x:c>
      <x:c r="C330" s="25" t="str">
        <x:v>LME</x:v>
      </x:c>
      <x:c r="D330" s="31" t="n">
        <x:v>2019</x:v>
      </x:c>
      <x:c r="E330" s="32" t="n">
        <x:v>705687.5220776038</x:v>
      </x:c>
      <x:c r="F330" s="32" t="n">
        <x:v>705687.5220776038</x:v>
      </x:c>
      <x:c r="G330" s="33" t="n">
        <x:v>0</x:v>
      </x:c>
      <x:c r="H330" s="34" t="n">
        <x:v>1</x:v>
      </x:c>
      <x:c r="I330" s="35" t="n">
        <x:v>63</x:v>
      </x:c>
      <x:c r="J330" s="35" t="n">
        <x:v>63</x:v>
      </x:c>
      <x:c r="K330" s="32" t="n">
        <x:v>511445832.0549839</x:v>
      </x:c>
      <x:c r="L330" s="32" t="n">
        <x:v>392569072.9745421</x:v>
      </x:c>
      <x:c r="M330" s="32" t="n">
        <x:v>341774720.3779067</x:v>
      </x:c>
      <x:c r="N330" s="34" t="n">
        <x:v>0.008836818304837436</x:v>
      </x:c>
      <x:c r="O330" s="35" t="n">
        <x:v>29</x:v>
      </x:c>
      <x:c r="P330" s="34" t="n">
        <x:v>0.9041096312915631</x:v>
      </x:c>
    </x:row>
    <x:row r="331" ht="18" customHeight="1">
      <x:c r="A331" s="25" t="str">
        <x:v>LME_030</x:v>
      </x:c>
      <x:c r="B331" s="25" t="str">
        <x:v>Agulhas Current</x:v>
      </x:c>
      <x:c r="C331" s="25" t="str">
        <x:v>LME</x:v>
      </x:c>
      <x:c r="D331" s="31" t="n">
        <x:v>2019</x:v>
      </x:c>
      <x:c r="E331" s="32" t="n">
        <x:v>794215.4259763142</x:v>
      </x:c>
      <x:c r="F331" s="32" t="n">
        <x:v>794215.4259763142</x:v>
      </x:c>
      <x:c r="G331" s="33" t="n">
        <x:v>0</x:v>
      </x:c>
      <x:c r="H331" s="34" t="n">
        <x:v>1</x:v>
      </x:c>
      <x:c r="I331" s="35" t="n">
        <x:v>272</x:v>
      </x:c>
      <x:c r="J331" s="35" t="n">
        <x:v>272</x:v>
      </x:c>
      <x:c r="K331" s="32" t="n">
        <x:v>482169734.53988993</x:v>
      </x:c>
      <x:c r="L331" s="32" t="n">
        <x:v>371322087.2743511</x:v>
      </x:c>
      <x:c r="M331" s="32" t="n">
        <x:v>404858007.0563225</x:v>
      </x:c>
      <x:c r="N331" s="34" t="n">
        <x:v>0.00833098261667452</x:v>
      </x:c>
      <x:c r="O331" s="35" t="n">
        <x:v>30</x:v>
      </x:c>
      <x:c r="P331" s="34" t="n">
        <x:v>0.9124406139082376</x:v>
      </x:c>
    </x:row>
    <x:row r="332" ht="18" customHeight="1">
      <x:c r="A332" s="25" t="str">
        <x:v>LME_060</x:v>
      </x:c>
      <x:c r="B332" s="25" t="str">
        <x:v>Faroe Plateau</x:v>
      </x:c>
      <x:c r="C332" s="25" t="str">
        <x:v>LME</x:v>
      </x:c>
      <x:c r="D332" s="31" t="n">
        <x:v>2019</x:v>
      </x:c>
      <x:c r="E332" s="32" t="n">
        <x:v>420222.2010145741</x:v>
      </x:c>
      <x:c r="F332" s="32" t="n">
        <x:v>420222.2010145741</x:v>
      </x:c>
      <x:c r="G332" s="33" t="n">
        <x:v>0</x:v>
      </x:c>
      <x:c r="H332" s="34" t="n">
        <x:v>1</x:v>
      </x:c>
      <x:c r="I332" s="35" t="n">
        <x:v>114</x:v>
      </x:c>
      <x:c r="J332" s="35" t="n">
        <x:v>114</x:v>
      </x:c>
      <x:c r="K332" s="32" t="n">
        <x:v>476451437.8234684</x:v>
      </x:c>
      <x:c r="L332" s="32" t="n">
        <x:v>464921354.3871538</x:v>
      </x:c>
      <x:c r="M332" s="32" t="n">
        <x:v>468250278.9980398</x:v>
      </x:c>
      <x:c r="N332" s="34" t="n">
        <x:v>0.008232181246267158</x:v>
      </x:c>
      <x:c r="O332" s="35" t="n">
        <x:v>31</x:v>
      </x:c>
      <x:c r="P332" s="34" t="n">
        <x:v>0.9206727951545048</x:v>
      </x:c>
    </x:row>
    <x:row r="333" ht="18" customHeight="1">
      <x:c r="A333" s="25" t="str">
        <x:v>LME_007</x:v>
      </x:c>
      <x:c r="B333" s="25" t="str">
        <x:v>Northeast U.S. Continental Shelf</x:v>
      </x:c>
      <x:c r="C333" s="25" t="str">
        <x:v>LME</x:v>
      </x:c>
      <x:c r="D333" s="31" t="n">
        <x:v>2019</x:v>
      </x:c>
      <x:c r="E333" s="32" t="n">
        <x:v>700878.7473042159</x:v>
      </x:c>
      <x:c r="F333" s="32" t="n">
        <x:v>700878.7473042159</x:v>
      </x:c>
      <x:c r="G333" s="33" t="n">
        <x:v>0</x:v>
      </x:c>
      <x:c r="H333" s="34" t="n">
        <x:v>1</x:v>
      </x:c>
      <x:c r="I333" s="35" t="n">
        <x:v>232</x:v>
      </x:c>
      <x:c r="J333" s="35" t="n">
        <x:v>232</x:v>
      </x:c>
      <x:c r="K333" s="32" t="n">
        <x:v>432863601.0788216</x:v>
      </x:c>
      <x:c r="L333" s="32" t="n">
        <x:v>318789633.10278773</x:v>
      </x:c>
      <x:c r="M333" s="32" t="n">
        <x:v>363980234.12803376</x:v>
      </x:c>
      <x:c r="N333" s="34" t="n">
        <x:v>0.007479065726553721</x:v>
      </x:c>
      <x:c r="O333" s="35" t="n">
        <x:v>32</x:v>
      </x:c>
      <x:c r="P333" s="34" t="n">
        <x:v>0.9281518608810585</x:v>
      </x:c>
    </x:row>
    <x:row r="334" ht="18" customHeight="1">
      <x:c r="A334" s="25" t="str">
        <x:v>LME_012</x:v>
      </x:c>
      <x:c r="B334" s="25" t="str">
        <x:v>Caribbean Sea</x:v>
      </x:c>
      <x:c r="C334" s="25" t="str">
        <x:v>LME</x:v>
      </x:c>
      <x:c r="D334" s="31" t="n">
        <x:v>2019</x:v>
      </x:c>
      <x:c r="E334" s="32" t="n">
        <x:v>625707.9632201534</x:v>
      </x:c>
      <x:c r="F334" s="32" t="n">
        <x:v>625707.9632201534</x:v>
      </x:c>
      <x:c r="G334" s="33" t="n">
        <x:v>0</x:v>
      </x:c>
      <x:c r="H334" s="34" t="n">
        <x:v>1</x:v>
      </x:c>
      <x:c r="I334" s="35" t="n">
        <x:v>507</x:v>
      </x:c>
      <x:c r="J334" s="35" t="n">
        <x:v>507</x:v>
      </x:c>
      <x:c r="K334" s="32" t="n">
        <x:v>398459551.5651003</x:v>
      </x:c>
      <x:c r="L334" s="32" t="n">
        <x:v>269270898.9438963</x:v>
      </x:c>
      <x:c r="M334" s="32" t="n">
        <x:v>318302383.71405965</x:v>
      </x:c>
      <x:c r="N334" s="34" t="n">
        <x:v>0.006884628710062987</x:v>
      </x:c>
      <x:c r="O334" s="35" t="n">
        <x:v>33</x:v>
      </x:c>
      <x:c r="P334" s="34" t="n">
        <x:v>0.9350364895911215</x:v>
      </x:c>
    </x:row>
    <x:row r="335" ht="18" customHeight="1">
      <x:c r="A335" s="25" t="str">
        <x:v>LME_025</x:v>
      </x:c>
      <x:c r="B335" s="25" t="str">
        <x:v>Iberian Coastal</x:v>
      </x:c>
      <x:c r="C335" s="25" t="str">
        <x:v>LME</x:v>
      </x:c>
      <x:c r="D335" s="31" t="n">
        <x:v>2019</x:v>
      </x:c>
      <x:c r="E335" s="32" t="n">
        <x:v>429516.3330948258</x:v>
      </x:c>
      <x:c r="F335" s="32" t="n">
        <x:v>429516.3330948258</x:v>
      </x:c>
      <x:c r="G335" s="33" t="n">
        <x:v>0</x:v>
      </x:c>
      <x:c r="H335" s="34" t="n">
        <x:v>1</x:v>
      </x:c>
      <x:c r="I335" s="35" t="n">
        <x:v>432</x:v>
      </x:c>
      <x:c r="J335" s="35" t="n">
        <x:v>432</x:v>
      </x:c>
      <x:c r="K335" s="32" t="n">
        <x:v>350502389.2247894</x:v>
      </x:c>
      <x:c r="L335" s="32" t="n">
        <x:v>290052892.74702895</x:v>
      </x:c>
      <x:c r="M335" s="32" t="n">
        <x:v>317576506.32073075</x:v>
      </x:c>
      <x:c r="N335" s="34" t="n">
        <x:v>0.006056019493884332</x:v>
      </x:c>
      <x:c r="O335" s="35" t="n">
        <x:v>34</x:v>
      </x:c>
      <x:c r="P335" s="34" t="n">
        <x:v>0.9410925090850059</x:v>
      </x:c>
    </x:row>
    <x:row r="336" ht="18" customHeight="1">
      <x:c r="A336" s="25" t="str">
        <x:v>LME_021</x:v>
      </x:c>
      <x:c r="B336" s="25" t="str">
        <x:v>Norwegian Sea</x:v>
      </x:c>
      <x:c r="C336" s="25" t="str">
        <x:v>LME</x:v>
      </x:c>
      <x:c r="D336" s="31" t="n">
        <x:v>2019</x:v>
      </x:c>
      <x:c r="E336" s="32" t="n">
        <x:v>707251.5165434971</x:v>
      </x:c>
      <x:c r="F336" s="32" t="n">
        <x:v>707251.5165434971</x:v>
      </x:c>
      <x:c r="G336" s="33" t="n">
        <x:v>0</x:v>
      </x:c>
      <x:c r="H336" s="34" t="n">
        <x:v>1</x:v>
      </x:c>
      <x:c r="I336" s="35" t="n">
        <x:v>162</x:v>
      </x:c>
      <x:c r="J336" s="35" t="n">
        <x:v>162</x:v>
      </x:c>
      <x:c r="K336" s="32" t="n">
        <x:v>338234665.9022903</x:v>
      </x:c>
      <x:c r="L336" s="32" t="n">
        <x:v>335085397.39012265</x:v>
      </x:c>
      <x:c r="M336" s="32" t="n">
        <x:v>329594728.18682873</x:v>
      </x:c>
      <x:c r="N336" s="34" t="n">
        <x:v>0.0058440563978525185</x:v>
      </x:c>
      <x:c r="O336" s="35" t="n">
        <x:v>35</x:v>
      </x:c>
      <x:c r="P336" s="34" t="n">
        <x:v>0.9469365654828583</x:v>
      </x:c>
    </x:row>
    <x:row r="337" ht="18" customHeight="1">
      <x:c r="A337" s="25" t="str">
        <x:v>LME_017</x:v>
      </x:c>
      <x:c r="B337" s="25" t="str">
        <x:v>North Brazil Shelf</x:v>
      </x:c>
      <x:c r="C337" s="25" t="str">
        <x:v>LME</x:v>
      </x:c>
      <x:c r="D337" s="31" t="n">
        <x:v>2019</x:v>
      </x:c>
      <x:c r="E337" s="32" t="n">
        <x:v>453226.0308527972</x:v>
      </x:c>
      <x:c r="F337" s="32" t="n">
        <x:v>453226.0308527972</x:v>
      </x:c>
      <x:c r="G337" s="33" t="n">
        <x:v>0</x:v>
      </x:c>
      <x:c r="H337" s="34" t="n">
        <x:v>1</x:v>
      </x:c>
      <x:c r="I337" s="35" t="n">
        <x:v>311</x:v>
      </x:c>
      <x:c r="J337" s="35" t="n">
        <x:v>311</x:v>
      </x:c>
      <x:c r="K337" s="32" t="n">
        <x:v>292573328.34463125</x:v>
      </x:c>
      <x:c r="L337" s="32" t="n">
        <x:v>189166998.1074495</x:v>
      </x:c>
      <x:c r="M337" s="32" t="n">
        <x:v>222989340.40242</x:v>
      </x:c>
      <x:c r="N337" s="34" t="n">
        <x:v>0.005055114699116564</x:v>
      </x:c>
      <x:c r="O337" s="35" t="n">
        <x:v>36</x:v>
      </x:c>
      <x:c r="P337" s="34" t="n">
        <x:v>0.9519916801819749</x:v>
      </x:c>
    </x:row>
    <x:row r="338" ht="18" customHeight="1">
      <x:c r="A338" s="25" t="str">
        <x:v>LME_062</x:v>
      </x:c>
      <x:c r="B338" s="25" t="str">
        <x:v>Black Sea</x:v>
      </x:c>
      <x:c r="C338" s="25" t="str">
        <x:v>LME</x:v>
      </x:c>
      <x:c r="D338" s="31" t="n">
        <x:v>2019</x:v>
      </x:c>
      <x:c r="E338" s="32" t="n">
        <x:v>1145168.1859547235</x:v>
      </x:c>
      <x:c r="F338" s="32" t="n">
        <x:v>1145168.1859547235</x:v>
      </x:c>
      <x:c r="G338" s="33" t="n">
        <x:v>0</x:v>
      </x:c>
      <x:c r="H338" s="34" t="n">
        <x:v>1</x:v>
      </x:c>
      <x:c r="I338" s="35" t="n">
        <x:v>120</x:v>
      </x:c>
      <x:c r="J338" s="35" t="n">
        <x:v>120</x:v>
      </x:c>
      <x:c r="K338" s="32" t="n">
        <x:v>287609386.6659423</x:v>
      </x:c>
      <x:c r="L338" s="32" t="n">
        <x:v>257887285.0977705</x:v>
      </x:c>
      <x:c r="M338" s="32" t="n">
        <x:v>257454061.90611705</x:v>
      </x:c>
      <x:c r="N338" s="34" t="n">
        <x:v>0.004969347159445485</x:v>
      </x:c>
      <x:c r="O338" s="35" t="n">
        <x:v>37</x:v>
      </x:c>
      <x:c r="P338" s="34" t="n">
        <x:v>0.9569610273414204</x:v>
      </x:c>
    </x:row>
    <x:row r="339" ht="18" customHeight="1">
      <x:c r="A339" s="25" t="str">
        <x:v>LME_009</x:v>
      </x:c>
      <x:c r="B339" s="25" t="str">
        <x:v>Newfoundland-Labrador Shelf</x:v>
      </x:c>
      <x:c r="C339" s="25" t="str">
        <x:v>LME</x:v>
      </x:c>
      <x:c r="D339" s="31" t="n">
        <x:v>2019</x:v>
      </x:c>
      <x:c r="E339" s="32" t="n">
        <x:v>506689.9940610079</x:v>
      </x:c>
      <x:c r="F339" s="32" t="n">
        <x:v>506689.9940610079</x:v>
      </x:c>
      <x:c r="G339" s="33" t="n">
        <x:v>0</x:v>
      </x:c>
      <x:c r="H339" s="34" t="n">
        <x:v>1</x:v>
      </x:c>
      <x:c r="I339" s="35" t="n">
        <x:v>111</x:v>
      </x:c>
      <x:c r="J339" s="35" t="n">
        <x:v>111</x:v>
      </x:c>
      <x:c r="K339" s="32" t="n">
        <x:v>272326949.8167368</x:v>
      </x:c>
      <x:c r="L339" s="32" t="n">
        <x:v>222909537.7389832</x:v>
      </x:c>
      <x:c r="M339" s="32" t="n">
        <x:v>248795200.32622927</x:v>
      </x:c>
      <x:c r="N339" s="34" t="n">
        <x:v>0.004705295505824692</x:v>
      </x:c>
      <x:c r="O339" s="35" t="n">
        <x:v>38</x:v>
      </x:c>
      <x:c r="P339" s="34" t="n">
        <x:v>0.9616663228472451</x:v>
      </x:c>
    </x:row>
    <x:row r="340" ht="18" customHeight="1">
      <x:c r="A340" s="25" t="str">
        <x:v>LME_004</x:v>
      </x:c>
      <x:c r="B340" s="25" t="str">
        <x:v>Gulf of California</x:v>
      </x:c>
      <x:c r="C340" s="25" t="str">
        <x:v>LME</x:v>
      </x:c>
      <x:c r="D340" s="31" t="n">
        <x:v>2019</x:v>
      </x:c>
      <x:c r="E340" s="32" t="n">
        <x:v>664877.8552277525</x:v>
      </x:c>
      <x:c r="F340" s="32" t="n">
        <x:v>664877.8552277525</x:v>
      </x:c>
      <x:c r="G340" s="33" t="n">
        <x:v>0</x:v>
      </x:c>
      <x:c r="H340" s="34" t="n">
        <x:v>1</x:v>
      </x:c>
      <x:c r="I340" s="35" t="n">
        <x:v>129</x:v>
      </x:c>
      <x:c r="J340" s="35" t="n">
        <x:v>129</x:v>
      </x:c>
      <x:c r="K340" s="32" t="n">
        <x:v>254257319.8187799</x:v>
      </x:c>
      <x:c r="L340" s="32" t="n">
        <x:v>187669905.16739705</x:v>
      </x:c>
      <x:c r="M340" s="32" t="n">
        <x:v>193115605.2914297</x:v>
      </x:c>
      <x:c r="N340" s="34" t="n">
        <x:v>0.004393086417159327</x:v>
      </x:c>
      <x:c r="O340" s="35" t="n">
        <x:v>39</x:v>
      </x:c>
      <x:c r="P340" s="34" t="n">
        <x:v>0.9660594092644044</x:v>
      </x:c>
    </x:row>
    <x:row r="341" ht="18" customHeight="1">
      <x:c r="A341" s="25" t="str">
        <x:v>LME_023</x:v>
      </x:c>
      <x:c r="B341" s="25" t="str">
        <x:v>Baltic Sea</x:v>
      </x:c>
      <x:c r="C341" s="25" t="str">
        <x:v>LME</x:v>
      </x:c>
      <x:c r="D341" s="31" t="n">
        <x:v>2019</x:v>
      </x:c>
      <x:c r="E341" s="32" t="n">
        <x:v>937172.6469930056</x:v>
      </x:c>
      <x:c r="F341" s="32" t="n">
        <x:v>937172.6469930056</x:v>
      </x:c>
      <x:c r="G341" s="33" t="n">
        <x:v>0</x:v>
      </x:c>
      <x:c r="H341" s="34" t="n">
        <x:v>1</x:v>
      </x:c>
      <x:c r="I341" s="35" t="n">
        <x:v>117</x:v>
      </x:c>
      <x:c r="J341" s="35" t="n">
        <x:v>117</x:v>
      </x:c>
      <x:c r="K341" s="32" t="n">
        <x:v>250346631.3759637</x:v>
      </x:c>
      <x:c r="L341" s="32" t="n">
        <x:v>225670148.64899933</x:v>
      </x:c>
      <x:c r="M341" s="32" t="n">
        <x:v>229959848.8100546</x:v>
      </x:c>
      <x:c r="N341" s="34" t="n">
        <x:v>0.004325517104731576</x:v>
      </x:c>
      <x:c r="O341" s="35" t="n">
        <x:v>40</x:v>
      </x:c>
      <x:c r="P341" s="34" t="n">
        <x:v>0.970384926369136</x:v>
      </x:c>
    </x:row>
    <x:row r="342" ht="18" customHeight="1">
      <x:c r="A342" s="25" t="str">
        <x:v>LME_015</x:v>
      </x:c>
      <x:c r="B342" s="25" t="str">
        <x:v>South Brazil Shelf</x:v>
      </x:c>
      <x:c r="C342" s="25" t="str">
        <x:v>LME</x:v>
      </x:c>
      <x:c r="D342" s="31" t="n">
        <x:v>2019</x:v>
      </x:c>
      <x:c r="E342" s="32" t="n">
        <x:v>292432.0999772061</x:v>
      </x:c>
      <x:c r="F342" s="32" t="n">
        <x:v>292432.0999772061</x:v>
      </x:c>
      <x:c r="G342" s="33" t="n">
        <x:v>0</x:v>
      </x:c>
      <x:c r="H342" s="34" t="n">
        <x:v>1</x:v>
      </x:c>
      <x:c r="I342" s="35" t="n">
        <x:v>264</x:v>
      </x:c>
      <x:c r="J342" s="35" t="n">
        <x:v>264</x:v>
      </x:c>
      <x:c r="K342" s="32" t="n">
        <x:v>226590038.89243436</x:v>
      </x:c>
      <x:c r="L342" s="32" t="n">
        <x:v>177610722.1212687</x:v>
      </x:c>
      <x:c r="M342" s="32" t="n">
        <x:v>192161835.32496005</x:v>
      </x:c>
      <x:c r="N342" s="34" t="n">
        <x:v>0.003915048042005015</x:v>
      </x:c>
      <x:c r="O342" s="35" t="n">
        <x:v>41</x:v>
      </x:c>
      <x:c r="P342" s="34" t="n">
        <x:v>0.974299974411141</x:v>
      </x:c>
    </x:row>
    <x:row r="343" ht="18" customHeight="1">
      <x:c r="A343" s="25" t="str">
        <x:v>LME_031</x:v>
      </x:c>
      <x:c r="B343" s="25" t="str">
        <x:v>Somali Coastal Current</x:v>
      </x:c>
      <x:c r="C343" s="25" t="str">
        <x:v>LME</x:v>
      </x:c>
      <x:c r="D343" s="31" t="n">
        <x:v>2019</x:v>
      </x:c>
      <x:c r="E343" s="32" t="n">
        <x:v>237379.0786316204</x:v>
      </x:c>
      <x:c r="F343" s="32" t="n">
        <x:v>237379.0786316204</x:v>
      </x:c>
      <x:c r="G343" s="33" t="n">
        <x:v>0</x:v>
      </x:c>
      <x:c r="H343" s="34" t="n">
        <x:v>1</x:v>
      </x:c>
      <x:c r="I343" s="35" t="n">
        <x:v>205</x:v>
      </x:c>
      <x:c r="J343" s="35" t="n">
        <x:v>205</x:v>
      </x:c>
      <x:c r="K343" s="32" t="n">
        <x:v>220033882.6044375</x:v>
      </x:c>
      <x:c r="L343" s="32" t="n">
        <x:v>156501852.68740436</x:v>
      </x:c>
      <x:c r="M343" s="32" t="n">
        <x:v>180797899.8177598</x:v>
      </x:c>
      <x:c r="N343" s="34" t="n">
        <x:v>0.003801770040183471</x:v>
      </x:c>
      <x:c r="O343" s="35" t="n">
        <x:v>42</x:v>
      </x:c>
      <x:c r="P343" s="34" t="n">
        <x:v>0.9781017444513245</x:v>
      </x:c>
    </x:row>
    <x:row r="344" ht="18" customHeight="1">
      <x:c r="A344" s="25" t="str">
        <x:v>LME_018</x:v>
      </x:c>
      <x:c r="B344" s="25" t="str">
        <x:v>Canadian Eastern Arctic -West Greenland</x:v>
      </x:c>
      <x:c r="C344" s="25" t="str">
        <x:v>LME</x:v>
      </x:c>
      <x:c r="D344" s="31" t="n">
        <x:v>2019</x:v>
      </x:c>
      <x:c r="E344" s="32" t="n">
        <x:v>219045.62416918145</x:v>
      </x:c>
      <x:c r="F344" s="32" t="n">
        <x:v>219045.62416918145</x:v>
      </x:c>
      <x:c r="G344" s="33" t="n">
        <x:v>0</x:v>
      </x:c>
      <x:c r="H344" s="34" t="n">
        <x:v>1</x:v>
      </x:c>
      <x:c r="I344" s="35" t="n">
        <x:v>61</x:v>
      </x:c>
      <x:c r="J344" s="35" t="n">
        <x:v>61</x:v>
      </x:c>
      <x:c r="K344" s="32" t="n">
        <x:v>208696707.97660503</x:v>
      </x:c>
      <x:c r="L344" s="32" t="n">
        <x:v>207626199.1110932</x:v>
      </x:c>
      <x:c r="M344" s="32" t="n">
        <x:v>208407100.77841595</x:v>
      </x:c>
      <x:c r="N344" s="34" t="n">
        <x:v>0.0036058850686043146</x:v>
      </x:c>
      <x:c r="O344" s="35" t="n">
        <x:v>43</x:v>
      </x:c>
      <x:c r="P344" s="34" t="n">
        <x:v>0.9817076295199287</x:v>
      </x:c>
    </x:row>
    <x:row r="345" ht="18" customHeight="1">
      <x:c r="A345" s="25" t="str">
        <x:v>LME_016</x:v>
      </x:c>
      <x:c r="B345" s="25" t="str">
        <x:v>East Brazil Shelf</x:v>
      </x:c>
      <x:c r="C345" s="25" t="str">
        <x:v>LME</x:v>
      </x:c>
      <x:c r="D345" s="31" t="n">
        <x:v>2019</x:v>
      </x:c>
      <x:c r="E345" s="32" t="n">
        <x:v>306003.2887419415</x:v>
      </x:c>
      <x:c r="F345" s="32" t="n">
        <x:v>306003.2887419415</x:v>
      </x:c>
      <x:c r="G345" s="33" t="n">
        <x:v>0</x:v>
      </x:c>
      <x:c r="H345" s="34" t="n">
        <x:v>1</x:v>
      </x:c>
      <x:c r="I345" s="35" t="n">
        <x:v>254</x:v>
      </x:c>
      <x:c r="J345" s="35" t="n">
        <x:v>254</x:v>
      </x:c>
      <x:c r="K345" s="32" t="n">
        <x:v>201658143.7250421</x:v>
      </x:c>
      <x:c r="L345" s="32" t="n">
        <x:v>132379802.06755418</x:v>
      </x:c>
      <x:c r="M345" s="32" t="n">
        <x:v>154874390.16322204</x:v>
      </x:c>
      <x:c r="N345" s="34" t="n">
        <x:v>0.0034842719680183293</x:v>
      </x:c>
      <x:c r="O345" s="35" t="n">
        <x:v>44</x:v>
      </x:c>
      <x:c r="P345" s="34" t="n">
        <x:v>0.9851919014879471</x:v>
      </x:c>
    </x:row>
    <x:row r="346" ht="18" customHeight="1">
      <x:c r="A346" s="25" t="str">
        <x:v>LME_054</x:v>
      </x:c>
      <x:c r="B346" s="25" t="str">
        <x:v>Northern Bering - Chukchi Seas</x:v>
      </x:c>
      <x:c r="C346" s="25" t="str">
        <x:v>LME</x:v>
      </x:c>
      <x:c r="D346" s="31" t="n">
        <x:v>2019</x:v>
      </x:c>
      <x:c r="E346" s="32" t="n">
        <x:v>348828.221273396</x:v>
      </x:c>
      <x:c r="F346" s="32" t="n">
        <x:v>348828.221273396</x:v>
      </x:c>
      <x:c r="G346" s="33" t="n">
        <x:v>0</x:v>
      </x:c>
      <x:c r="H346" s="34" t="n">
        <x:v>1</x:v>
      </x:c>
      <x:c r="I346" s="35" t="n">
        <x:v>93</x:v>
      </x:c>
      <x:c r="J346" s="35" t="n">
        <x:v>93</x:v>
      </x:c>
      <x:c r="K346" s="32" t="n">
        <x:v>188778895.78178987</x:v>
      </x:c>
      <x:c r="L346" s="32" t="n">
        <x:v>152040929.93117216</x:v>
      </x:c>
      <x:c r="M346" s="32" t="n">
        <x:v>138060768.34332538</x:v>
      </x:c>
      <x:c r="N346" s="34" t="n">
        <x:v>0.003261742881174122</x:v>
      </x:c>
      <x:c r="O346" s="35" t="n">
        <x:v>45</x:v>
      </x:c>
      <x:c r="P346" s="34" t="n">
        <x:v>0.9884536443691212</x:v>
      </x:c>
    </x:row>
    <x:row r="347" ht="18" customHeight="1">
      <x:c r="A347" s="25" t="str">
        <x:v>LME_033</x:v>
      </x:c>
      <x:c r="B347" s="25" t="str">
        <x:v>Red Sea</x:v>
      </x:c>
      <x:c r="C347" s="25" t="str">
        <x:v>LME</x:v>
      </x:c>
      <x:c r="D347" s="31" t="n">
        <x:v>2019</x:v>
      </x:c>
      <x:c r="E347" s="32" t="n">
        <x:v>147100.3417814472</x:v>
      </x:c>
      <x:c r="F347" s="32" t="n">
        <x:v>147100.3417814472</x:v>
      </x:c>
      <x:c r="G347" s="33" t="n">
        <x:v>0</x:v>
      </x:c>
      <x:c r="H347" s="34" t="n">
        <x:v>1</x:v>
      </x:c>
      <x:c r="I347" s="35" t="n">
        <x:v>193</x:v>
      </x:c>
      <x:c r="J347" s="35" t="n">
        <x:v>193</x:v>
      </x:c>
      <x:c r="K347" s="32" t="n">
        <x:v>114071139.38229904</x:v>
      </x:c>
      <x:c r="L347" s="32" t="n">
        <x:v>74674605.88945664</x:v>
      </x:c>
      <x:c r="M347" s="32" t="n">
        <x:v>87236027.58411431</x:v>
      </x:c>
      <x:c r="N347" s="34" t="n">
        <x:v>0.0019709339080874414</x:v>
      </x:c>
      <x:c r="O347" s="35" t="n">
        <x:v>46</x:v>
      </x:c>
      <x:c r="P347" s="34" t="n">
        <x:v>0.9904245782772086</x:v>
      </x:c>
    </x:row>
    <x:row r="348" ht="18" customHeight="1">
      <x:c r="A348" s="25" t="str">
        <x:v>LME_006</x:v>
      </x:c>
      <x:c r="B348" s="25" t="str">
        <x:v>Southeast U.S. Continental Shelf</x:v>
      </x:c>
      <x:c r="C348" s="25" t="str">
        <x:v>LME</x:v>
      </x:c>
      <x:c r="D348" s="31" t="n">
        <x:v>2019</x:v>
      </x:c>
      <x:c r="E348" s="32" t="n">
        <x:v>115599.570034811</x:v>
      </x:c>
      <x:c r="F348" s="32" t="n">
        <x:v>115599.570034811</x:v>
      </x:c>
      <x:c r="G348" s="33" t="n">
        <x:v>0</x:v>
      </x:c>
      <x:c r="H348" s="34" t="n">
        <x:v>1</x:v>
      </x:c>
      <x:c r="I348" s="35" t="n">
        <x:v>283</x:v>
      </x:c>
      <x:c r="J348" s="35" t="n">
        <x:v>283</x:v>
      </x:c>
      <x:c r="K348" s="32" t="n">
        <x:v>104438774.10426636</x:v>
      </x:c>
      <x:c r="L348" s="32" t="n">
        <x:v>65622920.65646398</x:v>
      </x:c>
      <x:c r="M348" s="32" t="n">
        <x:v>91125601.58560155</x:v>
      </x:c>
      <x:c r="N348" s="34" t="n">
        <x:v>0.0018045048231816352</x:v>
      </x:c>
      <x:c r="O348" s="35" t="n">
        <x:v>47</x:v>
      </x:c>
      <x:c r="P348" s="34" t="n">
        <x:v>0.9922290831003903</x:v>
      </x:c>
    </x:row>
    <x:row r="349" ht="18" customHeight="1">
      <x:c r="A349" s="25" t="str">
        <x:v>LME_065</x:v>
      </x:c>
      <x:c r="B349" s="25" t="str">
        <x:v>Aleutian Islands</x:v>
      </x:c>
      <x:c r="C349" s="25" t="str">
        <x:v>LME</x:v>
      </x:c>
      <x:c r="D349" s="31" t="n">
        <x:v>2019</x:v>
      </x:c>
      <x:c r="E349" s="32" t="n">
        <x:v>151507.6717909796</x:v>
      </x:c>
      <x:c r="F349" s="32" t="n">
        <x:v>151507.6717909796</x:v>
      </x:c>
      <x:c r="G349" s="33" t="n">
        <x:v>0</x:v>
      </x:c>
      <x:c r="H349" s="34" t="n">
        <x:v>1</x:v>
      </x:c>
      <x:c r="I349" s="35" t="n">
        <x:v>68</x:v>
      </x:c>
      <x:c r="J349" s="35" t="n">
        <x:v>68</x:v>
      </x:c>
      <x:c r="K349" s="32" t="n">
        <x:v>85526381.4039745</x:v>
      </x:c>
      <x:c r="L349" s="32" t="n">
        <x:v>70379109.37733433</x:v>
      </x:c>
      <x:c r="M349" s="32" t="n">
        <x:v>75180854.1365574</x:v>
      </x:c>
      <x:c r="N349" s="34" t="n">
        <x:v>0.0014777343862602801</x:v>
      </x:c>
      <x:c r="O349" s="35" t="n">
        <x:v>48</x:v>
      </x:c>
      <x:c r="P349" s="34" t="n">
        <x:v>0.9937068174866506</x:v>
      </x:c>
    </x:row>
    <x:row r="350" ht="18" customHeight="1">
      <x:c r="A350" s="25" t="str">
        <x:v>LME_019</x:v>
      </x:c>
      <x:c r="B350" s="25" t="str">
        <x:v>Greenland Sea</x:v>
      </x:c>
      <x:c r="C350" s="25" t="str">
        <x:v>LME</x:v>
      </x:c>
      <x:c r="D350" s="31" t="n">
        <x:v>2019</x:v>
      </x:c>
      <x:c r="E350" s="32" t="n">
        <x:v>87093.8235737202</x:v>
      </x:c>
      <x:c r="F350" s="32" t="n">
        <x:v>87093.8235737202</x:v>
      </x:c>
      <x:c r="G350" s="33" t="n">
        <x:v>0</x:v>
      </x:c>
      <x:c r="H350" s="34" t="n">
        <x:v>1</x:v>
      </x:c>
      <x:c r="I350" s="35" t="n">
        <x:v>64</x:v>
      </x:c>
      <x:c r="J350" s="35" t="n">
        <x:v>64</x:v>
      </x:c>
      <x:c r="K350" s="32" t="n">
        <x:v>76279788.78654897</x:v>
      </x:c>
      <x:c r="L350" s="32" t="n">
        <x:v>74591467.5388397</x:v>
      </x:c>
      <x:c r="M350" s="32" t="n">
        <x:v>75872029.19055331</x:v>
      </x:c>
      <x:c r="N350" s="34" t="n">
        <x:v>0.0013179707245432049</x:v>
      </x:c>
      <x:c r="O350" s="35" t="n">
        <x:v>49</x:v>
      </x:c>
      <x:c r="P350" s="34" t="n">
        <x:v>0.9950247882111938</x:v>
      </x:c>
    </x:row>
    <x:row r="351" ht="18" customHeight="1">
      <x:c r="A351" s="25" t="str">
        <x:v>LME_008</x:v>
      </x:c>
      <x:c r="B351" s="25" t="str">
        <x:v>Scotian Shelf</x:v>
      </x:c>
      <x:c r="C351" s="25" t="str">
        <x:v>LME</x:v>
      </x:c>
      <x:c r="D351" s="31" t="n">
        <x:v>2019</x:v>
      </x:c>
      <x:c r="E351" s="32" t="n">
        <x:v>148680.26073080715</x:v>
      </x:c>
      <x:c r="F351" s="32" t="n">
        <x:v>148680.26073080715</x:v>
      </x:c>
      <x:c r="G351" s="33" t="n">
        <x:v>0</x:v>
      </x:c>
      <x:c r="H351" s="34" t="n">
        <x:v>1</x:v>
      </x:c>
      <x:c r="I351" s="35" t="n">
        <x:v>92</x:v>
      </x:c>
      <x:c r="J351" s="35" t="n">
        <x:v>92</x:v>
      </x:c>
      <x:c r="K351" s="32" t="n">
        <x:v>75212513.43069898</x:v>
      </x:c>
      <x:c r="L351" s="32" t="n">
        <x:v>64517927.31064559</x:v>
      </x:c>
      <x:c r="M351" s="32" t="n">
        <x:v>61782823.81142751</x:v>
      </x:c>
      <x:c r="N351" s="34" t="n">
        <x:v>0.001299530221542169</x:v>
      </x:c>
      <x:c r="O351" s="35" t="n">
        <x:v>50</x:v>
      </x:c>
      <x:c r="P351" s="34" t="n">
        <x:v>0.996324318432736</x:v>
      </x:c>
    </x:row>
    <x:row r="352" ht="18" customHeight="1">
      <x:c r="A352" s="25" t="str">
        <x:v>LME_010</x:v>
      </x:c>
      <x:c r="B352" s="25" t="str">
        <x:v>Insular Pacific-Hawaiian</x:v>
      </x:c>
      <x:c r="C352" s="25" t="str">
        <x:v>LME</x:v>
      </x:c>
      <x:c r="D352" s="31" t="n">
        <x:v>2019</x:v>
      </x:c>
      <x:c r="E352" s="32" t="n">
        <x:v>21171.9533963985</x:v>
      </x:c>
      <x:c r="F352" s="32" t="n">
        <x:v>21171.9533963985</x:v>
      </x:c>
      <x:c r="G352" s="33" t="n">
        <x:v>0</x:v>
      </x:c>
      <x:c r="H352" s="34" t="n">
        <x:v>1</x:v>
      </x:c>
      <x:c r="I352" s="35" t="n">
        <x:v>140</x:v>
      </x:c>
      <x:c r="J352" s="35" t="n">
        <x:v>140</x:v>
      </x:c>
      <x:c r="K352" s="32" t="n">
        <x:v>44813494.47199182</x:v>
      </x:c>
      <x:c r="L352" s="32" t="n">
        <x:v>40663775.27641271</x:v>
      </x:c>
      <x:c r="M352" s="32" t="n">
        <x:v>43231826.719544135</x:v>
      </x:c>
      <x:c r="N352" s="34" t="n">
        <x:v>0.0007742925710483744</x:v>
      </x:c>
      <x:c r="O352" s="35" t="n">
        <x:v>51</x:v>
      </x:c>
      <x:c r="P352" s="34" t="n">
        <x:v>0.9970986110037844</x:v>
      </x:c>
    </x:row>
    <x:row r="353" ht="18" customHeight="1">
      <x:c r="A353" s="25" t="str">
        <x:v>LME_039</x:v>
      </x:c>
      <x:c r="B353" s="25" t="str">
        <x:v>North Australian Shelf</x:v>
      </x:c>
      <x:c r="C353" s="25" t="str">
        <x:v>LME</x:v>
      </x:c>
      <x:c r="D353" s="31" t="n">
        <x:v>2019</x:v>
      </x:c>
      <x:c r="E353" s="32" t="n">
        <x:v>44872.4444403339</x:v>
      </x:c>
      <x:c r="F353" s="32" t="n">
        <x:v>44872.4444403339</x:v>
      </x:c>
      <x:c r="G353" s="33" t="n">
        <x:v>0</x:v>
      </x:c>
      <x:c r="H353" s="34" t="n">
        <x:v>1</x:v>
      </x:c>
      <x:c r="I353" s="35" t="n">
        <x:v>452</x:v>
      </x:c>
      <x:c r="J353" s="35" t="n">
        <x:v>452</x:v>
      </x:c>
      <x:c r="K353" s="32" t="n">
        <x:v>32609919.10129194</x:v>
      </x:c>
      <x:c r="L353" s="32" t="n">
        <x:v>21306232.562969238</x:v>
      </x:c>
      <x:c r="M353" s="32" t="n">
        <x:v>23668195.99001727</x:v>
      </x:c>
      <x:c r="N353" s="34" t="n">
        <x:v>0.000563437830504374</x:v>
      </x:c>
      <x:c r="O353" s="35" t="n">
        <x:v>52</x:v>
      </x:c>
      <x:c r="P353" s="34" t="n">
        <x:v>0.9976620488342888</x:v>
      </x:c>
    </x:row>
    <x:row r="354" ht="18" customHeight="1">
      <x:c r="A354" s="25" t="str">
        <x:v>LME_041</x:v>
      </x:c>
      <x:c r="B354" s="25" t="str">
        <x:v>East-Central Australian Shelf</x:v>
      </x:c>
      <x:c r="C354" s="25" t="str">
        <x:v>LME</x:v>
      </x:c>
      <x:c r="D354" s="31" t="n">
        <x:v>2019</x:v>
      </x:c>
      <x:c r="E354" s="32" t="n">
        <x:v>39281.024733703096</x:v>
      </x:c>
      <x:c r="F354" s="32" t="n">
        <x:v>39281.024733703096</x:v>
      </x:c>
      <x:c r="G354" s="33" t="n">
        <x:v>0</x:v>
      </x:c>
      <x:c r="H354" s="34" t="n">
        <x:v>1</x:v>
      </x:c>
      <x:c r="I354" s="35" t="n">
        <x:v>382</x:v>
      </x:c>
      <x:c r="J354" s="35" t="n">
        <x:v>382</x:v>
      </x:c>
      <x:c r="K354" s="32" t="n">
        <x:v>32154354.584904723</x:v>
      </x:c>
      <x:c r="L354" s="32" t="n">
        <x:v>21227256.672829352</x:v>
      </x:c>
      <x:c r="M354" s="32" t="n">
        <x:v>27004717.00709983</x:v>
      </x:c>
      <x:c r="N354" s="34" t="n">
        <x:v>0.0005555665358234308</x:v>
      </x:c>
      <x:c r="O354" s="35" t="n">
        <x:v>53</x:v>
      </x:c>
      <x:c r="P354" s="34" t="n">
        <x:v>0.9982176153701121</x:v>
      </x:c>
    </x:row>
    <x:row r="355" ht="18" customHeight="1">
      <x:c r="A355" s="25" t="str">
        <x:v>LME_040</x:v>
      </x:c>
      <x:c r="B355" s="25" t="str">
        <x:v>Northeast Australian Shelf-Great Barrier Reef</x:v>
      </x:c>
      <x:c r="C355" s="25" t="str">
        <x:v>LME</x:v>
      </x:c>
      <x:c r="D355" s="31" t="n">
        <x:v>2019</x:v>
      </x:c>
      <x:c r="E355" s="32" t="n">
        <x:v>22842.5316976432</x:v>
      </x:c>
      <x:c r="F355" s="32" t="n">
        <x:v>22842.5316976432</x:v>
      </x:c>
      <x:c r="G355" s="33" t="n">
        <x:v>0</x:v>
      </x:c>
      <x:c r="H355" s="34" t="n">
        <x:v>1</x:v>
      </x:c>
      <x:c r="I355" s="35" t="n">
        <x:v>332</x:v>
      </x:c>
      <x:c r="J355" s="35" t="n">
        <x:v>332</x:v>
      </x:c>
      <x:c r="K355" s="32" t="n">
        <x:v>27661702.09258175</x:v>
      </x:c>
      <x:c r="L355" s="32" t="n">
        <x:v>20349298.75019292</x:v>
      </x:c>
      <x:c r="M355" s="32" t="n">
        <x:v>24055117.92563951</x:v>
      </x:c>
      <x:c r="N355" s="34" t="n">
        <x:v>0.00047794198344040334</x:v>
      </x:c>
      <x:c r="O355" s="35" t="n">
        <x:v>54</x:v>
      </x:c>
      <x:c r="P355" s="34" t="n">
        <x:v>0.9986955573535525</x:v>
      </x:c>
    </x:row>
    <x:row r="356" ht="18" customHeight="1">
      <x:c r="A356" s="25" t="str">
        <x:v>LME_042</x:v>
      </x:c>
      <x:c r="B356" s="25" t="str">
        <x:v>Southeast Australian Shelf</x:v>
      </x:c>
      <x:c r="C356" s="25" t="str">
        <x:v>LME</x:v>
      </x:c>
      <x:c r="D356" s="31" t="n">
        <x:v>2019</x:v>
      </x:c>
      <x:c r="E356" s="32" t="n">
        <x:v>32645.7543579061</x:v>
      </x:c>
      <x:c r="F356" s="32" t="n">
        <x:v>32645.7543579061</x:v>
      </x:c>
      <x:c r="G356" s="33" t="n">
        <x:v>0</x:v>
      </x:c>
      <x:c r="H356" s="34" t="n">
        <x:v>1</x:v>
      </x:c>
      <x:c r="I356" s="35" t="n">
        <x:v>246</x:v>
      </x:c>
      <x:c r="J356" s="35" t="n">
        <x:v>246</x:v>
      </x:c>
      <x:c r="K356" s="32" t="n">
        <x:v>22122834.47721025</x:v>
      </x:c>
      <x:c r="L356" s="32" t="n">
        <x:v>16994442.064237066</x:v>
      </x:c>
      <x:c r="M356" s="32" t="n">
        <x:v>17411902.077911425</x:v>
      </x:c>
      <x:c r="N356" s="34" t="n">
        <x:v>0.0003822408091148217</x:v>
      </x:c>
      <x:c r="O356" s="35" t="n">
        <x:v>55</x:v>
      </x:c>
      <x:c r="P356" s="34" t="n">
        <x:v>0.9990777981626674</x:v>
      </x:c>
    </x:row>
    <x:row r="357" ht="18" customHeight="1">
      <x:c r="A357" s="25" t="str">
        <x:v>LME_043</x:v>
      </x:c>
      <x:c r="B357" s="25" t="str">
        <x:v>Southwest Australian Shelf</x:v>
      </x:c>
      <x:c r="C357" s="25" t="str">
        <x:v>LME</x:v>
      </x:c>
      <x:c r="D357" s="31" t="n">
        <x:v>2019</x:v>
      </x:c>
      <x:c r="E357" s="32" t="n">
        <x:v>30450.9174249122</x:v>
      </x:c>
      <x:c r="F357" s="32" t="n">
        <x:v>30450.9174249122</x:v>
      </x:c>
      <x:c r="G357" s="33" t="n">
        <x:v>0</x:v>
      </x:c>
      <x:c r="H357" s="34" t="n">
        <x:v>1</x:v>
      </x:c>
      <x:c r="I357" s="35" t="n">
        <x:v>245</x:v>
      </x:c>
      <x:c r="J357" s="35" t="n">
        <x:v>245</x:v>
      </x:c>
      <x:c r="K357" s="32" t="n">
        <x:v>21615913.49973341</x:v>
      </x:c>
      <x:c r="L357" s="32" t="n">
        <x:v>17708395.819334067</x:v>
      </x:c>
      <x:c r="M357" s="32" t="n">
        <x:v>17052177.81094027</x:v>
      </x:c>
      <x:c r="N357" s="34" t="n">
        <x:v>0.0003734821717536088</x:v>
      </x:c>
      <x:c r="O357" s="35" t="n">
        <x:v>56</x:v>
      </x:c>
      <x:c r="P357" s="34" t="n">
        <x:v>0.999451280334421</x:v>
      </x:c>
    </x:row>
    <x:row r="358" ht="18" customHeight="1">
      <x:c r="A358" s="25" t="str">
        <x:v>LME_045</x:v>
      </x:c>
      <x:c r="B358" s="25" t="str">
        <x:v>Northwest Australian Shelf</x:v>
      </x:c>
      <x:c r="C358" s="25" t="str">
        <x:v>LME</x:v>
      </x:c>
      <x:c r="D358" s="31" t="n">
        <x:v>2019</x:v>
      </x:c>
      <x:c r="E358" s="32" t="n">
        <x:v>44647.94498142931</x:v>
      </x:c>
      <x:c r="F358" s="32" t="n">
        <x:v>44647.94498142931</x:v>
      </x:c>
      <x:c r="G358" s="33" t="n">
        <x:v>0</x:v>
      </x:c>
      <x:c r="H358" s="34" t="n">
        <x:v>1</x:v>
      </x:c>
      <x:c r="I358" s="35" t="n">
        <x:v>410</x:v>
      </x:c>
      <x:c r="J358" s="35" t="n">
        <x:v>410</x:v>
      </x:c>
      <x:c r="K358" s="32" t="n">
        <x:v>19198827.203371964</x:v>
      </x:c>
      <x:c r="L358" s="32" t="n">
        <x:v>14488054.060753897</x:v>
      </x:c>
      <x:c r="M358" s="32" t="n">
        <x:v>15071326.5809076</x:v>
      </x:c>
      <x:c r="N358" s="34" t="n">
        <x:v>0.0003317194843107629</x:v>
      </x:c>
      <x:c r="O358" s="35" t="n">
        <x:v>57</x:v>
      </x:c>
      <x:c r="P358" s="34" t="n">
        <x:v>0.9997829998187318</x:v>
      </x:c>
    </x:row>
    <x:row r="359" ht="18" customHeight="1">
      <x:c r="A359" s="25" t="str">
        <x:v>LME_044</x:v>
      </x:c>
      <x:c r="B359" s="25" t="str">
        <x:v>West-Central Australian Shelf</x:v>
      </x:c>
      <x:c r="C359" s="25" t="str">
        <x:v>LME</x:v>
      </x:c>
      <x:c r="D359" s="31" t="n">
        <x:v>2019</x:v>
      </x:c>
      <x:c r="E359" s="32" t="n">
        <x:v>19839.072931287603</x:v>
      </x:c>
      <x:c r="F359" s="32" t="n">
        <x:v>19839.072931287603</x:v>
      </x:c>
      <x:c r="G359" s="33" t="n">
        <x:v>0</x:v>
      </x:c>
      <x:c r="H359" s="34" t="n">
        <x:v>1</x:v>
      </x:c>
      <x:c r="I359" s="35" t="n">
        <x:v>411</x:v>
      </x:c>
      <x:c r="J359" s="35" t="n">
        <x:v>411</x:v>
      </x:c>
      <x:c r="K359" s="32" t="n">
        <x:v>8269244.800308174</x:v>
      </x:c>
      <x:c r="L359" s="32" t="n">
        <x:v>6187071.010985136</x:v>
      </x:c>
      <x:c r="M359" s="32" t="n">
        <x:v>5984450.086611022</x:v>
      </x:c>
      <x:c r="N359" s="34" t="n">
        <x:v>0.00014287693679100925</x:v>
      </x:c>
      <x:c r="O359" s="35" t="n">
        <x:v>58</x:v>
      </x:c>
      <x:c r="P359" s="34" t="n">
        <x:v>0.9999258767555228</x:v>
      </x:c>
    </x:row>
    <x:row r="360" ht="18" customHeight="1">
      <x:c r="A360" s="25" t="str">
        <x:v>LME_063</x:v>
      </x:c>
      <x:c r="B360" s="25" t="str">
        <x:v>Hudson Bay Complex</x:v>
      </x:c>
      <x:c r="C360" s="25" t="str">
        <x:v>LME</x:v>
      </x:c>
      <x:c r="D360" s="31" t="n">
        <x:v>2019</x:v>
      </x:c>
      <x:c r="E360" s="32" t="n">
        <x:v>1269.735630608</x:v>
      </x:c>
      <x:c r="F360" s="32" t="n">
        <x:v>1269.735630608</x:v>
      </x:c>
      <x:c r="G360" s="33" t="n">
        <x:v>0</x:v>
      </x:c>
      <x:c r="H360" s="34" t="n">
        <x:v>1</x:v>
      </x:c>
      <x:c r="I360" s="35" t="n">
        <x:v>44</x:v>
      </x:c>
      <x:c r="J360" s="35" t="n">
        <x:v>44</x:v>
      </x:c>
      <x:c r="K360" s="32" t="n">
        <x:v>2919836.946188949</x:v>
      </x:c>
      <x:c r="L360" s="32" t="n">
        <x:v>2767953.6523262</x:v>
      </x:c>
      <x:c r="M360" s="32" t="n">
        <x:v>2896761.9589186287</x:v>
      </x:c>
      <x:c r="N360" s="34" t="n">
        <x:v>0.0000504492694163734</x:v>
      </x:c>
      <x:c r="O360" s="35" t="n">
        <x:v>59</x:v>
      </x:c>
      <x:c r="P360" s="34" t="n">
        <x:v>0.9999763260249391</x:v>
      </x:c>
    </x:row>
    <x:row r="361" ht="18" customHeight="1">
      <x:c r="A361" s="25" t="str">
        <x:v>LME_057</x:v>
      </x:c>
      <x:c r="B361" s="25" t="str">
        <x:v>Laptev Sea</x:v>
      </x:c>
      <x:c r="C361" s="25" t="str">
        <x:v>LME</x:v>
      </x:c>
      <x:c r="D361" s="31" t="n">
        <x:v>2019</x:v>
      </x:c>
      <x:c r="E361" s="32" t="n">
        <x:v>2616.1834162357</x:v>
      </x:c>
      <x:c r="F361" s="32" t="n">
        <x:v>2616.1834162357</x:v>
      </x:c>
      <x:c r="G361" s="33" t="n">
        <x:v>0</x:v>
      </x:c>
      <x:c r="H361" s="34" t="n">
        <x:v>1</x:v>
      </x:c>
      <x:c r="I361" s="35" t="n">
        <x:v>5</x:v>
      </x:c>
      <x:c r="J361" s="35" t="n">
        <x:v>5</x:v>
      </x:c>
      <x:c r="K361" s="32" t="n">
        <x:v>507104.9804889677</x:v>
      </x:c>
      <x:c r="L361" s="32" t="n">
        <x:v>494176.8628170198</x:v>
      </x:c>
      <x:c r="M361" s="32" t="n">
        <x:v>494181.0890332617</x:v>
      </x:c>
      <x:c r="N361" s="34" t="n">
        <x:v>0.00000876181658584204</x:v>
      </x:c>
      <x:c r="O361" s="35" t="n">
        <x:v>60</x:v>
      </x:c>
      <x:c r="P361" s="34" t="n">
        <x:v>0.999985087841525</x:v>
      </x:c>
    </x:row>
    <x:row r="362" ht="18" customHeight="1">
      <x:c r="A362" s="25" t="str">
        <x:v>LME_055</x:v>
      </x:c>
      <x:c r="B362" s="25" t="str">
        <x:v>Beaufort Sea</x:v>
      </x:c>
      <x:c r="C362" s="25" t="str">
        <x:v>LME</x:v>
      </x:c>
      <x:c r="D362" s="31" t="n">
        <x:v>2019</x:v>
      </x:c>
      <x:c r="E362" s="32" t="n">
        <x:v>212.788523028</x:v>
      </x:c>
      <x:c r="F362" s="32" t="n">
        <x:v>212.788523028</x:v>
      </x:c>
      <x:c r="G362" s="33" t="n">
        <x:v>0</x:v>
      </x:c>
      <x:c r="H362" s="34" t="n">
        <x:v>1</x:v>
      </x:c>
      <x:c r="I362" s="35" t="n">
        <x:v>19</x:v>
      </x:c>
      <x:c r="J362" s="35" t="n">
        <x:v>19</x:v>
      </x:c>
      <x:c r="K362" s="32" t="n">
        <x:v>439874.5102465751</x:v>
      </x:c>
      <x:c r="L362" s="32" t="n">
        <x:v>381706.2485704526</x:v>
      </x:c>
      <x:c r="M362" s="32" t="n">
        <x:v>438573.7452643022</x:v>
      </x:c>
      <x:c r="N362" s="34" t="n">
        <x:v>0.000007600200999507703</x:v>
      </x:c>
      <x:c r="O362" s="35" t="n">
        <x:v>61</x:v>
      </x:c>
      <x:c r="P362" s="34" t="n">
        <x:v>0.9999926880425245</x:v>
      </x:c>
    </x:row>
    <x:row r="363" ht="18" customHeight="1">
      <x:c r="A363" s="25" t="str">
        <x:v>LME_056</x:v>
      </x:c>
      <x:c r="B363" s="25" t="str">
        <x:v>East Siberian Sea</x:v>
      </x:c>
      <x:c r="C363" s="25" t="str">
        <x:v>LME</x:v>
      </x:c>
      <x:c r="D363" s="31" t="n">
        <x:v>2019</x:v>
      </x:c>
      <x:c r="E363" s="32" t="n">
        <x:v>1304.0687744917002</x:v>
      </x:c>
      <x:c r="F363" s="32" t="n">
        <x:v>1304.0687744917002</x:v>
      </x:c>
      <x:c r="G363" s="33" t="n">
        <x:v>0</x:v>
      </x:c>
      <x:c r="H363" s="34" t="n">
        <x:v>1</x:v>
      </x:c>
      <x:c r="I363" s="35" t="n">
        <x:v>4</x:v>
      </x:c>
      <x:c r="J363" s="35" t="n">
        <x:v>4</x:v>
      </x:c>
      <x:c r="K363" s="32" t="n">
        <x:v>275429.0625472164</x:v>
      </x:c>
      <x:c r="L363" s="32" t="n">
        <x:v>257076.62225567215</x:v>
      </x:c>
      <x:c r="M363" s="32" t="n">
        <x:v>257076.62225567215</x:v>
      </x:c>
      <x:c r="N363" s="34" t="n">
        <x:v>0.000004758894156634352</x:v>
      </x:c>
      <x:c r="O363" s="35" t="n">
        <x:v>62</x:v>
      </x:c>
      <x:c r="P363" s="34" t="n">
        <x:v>0.9999974469366811</x:v>
      </x:c>
    </x:row>
    <x:row r="364" ht="18" customHeight="1">
      <x:c r="A364" s="25" t="str">
        <x:v>LME_058</x:v>
      </x:c>
      <x:c r="B364" s="25" t="str">
        <x:v>Kara Sea</x:v>
      </x:c>
      <x:c r="C364" s="25" t="str">
        <x:v>LME</x:v>
      </x:c>
      <x:c r="D364" s="31" t="n">
        <x:v>2019</x:v>
      </x:c>
      <x:c r="E364" s="32" t="n">
        <x:v>719.2892019078</x:v>
      </x:c>
      <x:c r="F364" s="32" t="n">
        <x:v>719.2892019078</x:v>
      </x:c>
      <x:c r="G364" s="33" t="n">
        <x:v>0</x:v>
      </x:c>
      <x:c r="H364" s="34" t="n">
        <x:v>1</x:v>
      </x:c>
      <x:c r="I364" s="35" t="n">
        <x:v>5</x:v>
      </x:c>
      <x:c r="J364" s="35" t="n">
        <x:v>5</x:v>
      </x:c>
      <x:c r="K364" s="32" t="n">
        <x:v>137138.92556169763</x:v>
      </x:c>
      <x:c r="L364" s="32" t="n">
        <x:v>135651.10448002513</x:v>
      </x:c>
      <x:c r="M364" s="32" t="n">
        <x:v>135652.11223848525</x:v>
      </x:c>
      <x:c r="N364" s="34" t="n">
        <x:v>0.0000023695016984302334</x:v>
      </x:c>
      <x:c r="O364" s="35" t="n">
        <x:v>63</x:v>
      </x:c>
      <x:c r="P364" s="34" t="n">
        <x:v>0.9999998164383795</x:v>
      </x:c>
    </x:row>
    <x:row r="365" ht="18" customHeight="1">
      <x:c r="A365" s="25" t="str">
        <x:v>LME_066</x:v>
      </x:c>
      <x:c r="B365" s="25" t="str">
        <x:v>Canadian High Arctic - North Greenland</x:v>
      </x:c>
      <x:c r="C365" s="25" t="str">
        <x:v>LME</x:v>
      </x:c>
      <x:c r="D365" s="31" t="n">
        <x:v>2019</x:v>
      </x:c>
      <x:c r="E365" s="32" t="n">
        <x:v>53.5919340839</x:v>
      </x:c>
      <x:c r="F365" s="32" t="n">
        <x:v>53.5919340839</x:v>
      </x:c>
      <x:c r="G365" s="33" t="n">
        <x:v>0</x:v>
      </x:c>
      <x:c r="H365" s="34" t="n">
        <x:v>1</x:v>
      </x:c>
      <x:c r="I365" s="35" t="n">
        <x:v>21</x:v>
      </x:c>
      <x:c r="J365" s="35" t="n">
        <x:v>21</x:v>
      </x:c>
      <x:c r="K365" s="32" t="n">
        <x:v>10566.2070599438</x:v>
      </x:c>
      <x:c r="L365" s="32" t="n">
        <x:v>10565.421006259996</x:v>
      </x:c>
      <x:c r="M365" s="32" t="n">
        <x:v>10565.54572055186</x:v>
      </x:c>
      <x:c r="N365" s="34" t="n">
        <x:v>1.8256410768829147e-7</x:v>
      </x:c>
      <x:c r="O365" s="35" t="n">
        <x:v>64</x:v>
      </x:c>
      <x:c r="P365" s="34" t="n">
        <x:v>0.9999999990024873</x:v>
      </x:c>
    </x:row>
    <x:row r="366" ht="18" customHeight="1">
      <x:c r="A366" s="25" t="str">
        <x:v>LME_061</x:v>
      </x:c>
      <x:c r="B366" s="25" t="str">
        <x:v>Antarctic</x:v>
      </x:c>
      <x:c r="C366" s="25" t="str">
        <x:v>LME</x:v>
      </x:c>
      <x:c r="D366" s="31" t="n">
        <x:v>2019</x:v>
      </x:c>
      <x:c r="E366" s="32" t="n">
        <x:v>0.2496140134</x:v>
      </x:c>
      <x:c r="F366" s="32" t="n">
        <x:v>0.2496140134</x:v>
      </x:c>
      <x:c r="G366" s="33" t="n">
        <x:v>0</x:v>
      </x:c>
      <x:c r="H366" s="34" t="n">
        <x:v>1</x:v>
      </x:c>
      <x:c r="I366" s="35" t="n">
        <x:v>10</x:v>
      </x:c>
      <x:c r="J366" s="35" t="n">
        <x:v>10</x:v>
      </x:c>
      <x:c r="K366" s="32" t="n">
        <x:v>57.73274163591119</x:v>
      </x:c>
      <x:c r="L366" s="32" t="n">
        <x:v>57.58283522606718</x:v>
      </x:c>
      <x:c r="M366" s="32" t="n">
        <x:v>57.732498833181225</x:v>
      </x:c>
      <x:c r="N366" s="34" t="n">
        <x:v>9.97512768902227e-10</x:v>
      </x:c>
      <x:c r="O366" s="35" t="n">
        <x:v>65</x:v>
      </x:c>
      <x:c r="P366" s="34" t="n">
        <x:v>1</x:v>
      </x:c>
    </x:row>
    <x:row r="367" ht="18" customHeight="1">
      <x:c r="A367" s="25" t="str">
        <x:v>LME_064</x:v>
      </x:c>
      <x:c r="B367" s="25" t="str">
        <x:v>Central Arctic Ocean</x:v>
      </x:c>
      <x:c r="C367" s="25" t="str">
        <x:v>LME</x:v>
      </x:c>
      <x:c r="D367" s="31" t="n">
        <x:v>2019</x:v>
      </x:c>
      <x:c r="E367" s="32" t="n">
        <x:v>0</x:v>
      </x:c>
      <x:c r="F367" s="32" t="n">
        <x:v>0</x:v>
      </x:c>
      <x:c r="G367" s="33" t="n">
        <x:v>0</x:v>
      </x:c>
      <x:c r="H367" s="34" t="str"/>
      <x:c r="I367" s="35" t="n">
        <x:v>0</x:v>
      </x:c>
      <x:c r="J367" s="35" t="n">
        <x:v>0</x:v>
      </x:c>
      <x:c r="K367" s="32" t="n">
        <x:v>0</x:v>
      </x:c>
      <x:c r="L367" s="32" t="n">
        <x:v>0</x:v>
      </x:c>
      <x:c r="M367" s="32" t="n">
        <x:v>0</x:v>
      </x:c>
      <x:c r="N367" s="34" t="n">
        <x:v>0</x:v>
      </x:c>
      <x:c r="O367" s="35" t="n">
        <x:v>66</x:v>
      </x:c>
      <x:c r="P367" s="3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9c2cf45fe4342d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</x:cols>
  <x:sheetData>
    <x:row r="1" ht="32" customHeight="1">
      <x:c r="A1" s="30" t="str">
        <x:v>unit_id</x:v>
      </x:c>
      <x:c r="B1" s="30" t="str">
        <x:v>region_name</x:v>
      </x:c>
      <x:c r="C1" s="30" t="str">
        <x:v>region_type</x:v>
      </x:c>
      <x:c r="D1" s="30" t="str">
        <x:v>total_catch_tonnes</x:v>
      </x:c>
      <x:c r="E1" s="30" t="str">
        <x:v>ppr_species</x:v>
      </x:c>
      <x:c r="F1" s="30" t="str">
        <x:v>fraction_type_ppr</x:v>
      </x:c>
      <x:c r="G1" s="30" t="str">
        <x:v>rank_type_ppr</x:v>
      </x:c>
      <x:c r="H1" s="30" t="str">
        <x:v>accumulated fraction</x:v>
      </x:c>
    </x:row>
    <x:row r="2" ht="18" customHeight="1">
      <x:c r="A2" s="25" t="str">
        <x:f>'All Areas Data'!A2</x:f>
        <x:v>EEZ_156</x:v>
      </x:c>
      <x:c r="B2" s="25" t="str">
        <x:f>'All Areas Data'!B2</x:f>
        <x:v>China</x:v>
      </x:c>
      <x:c r="C2" s="25" t="str">
        <x:f>'All Areas Data'!C2</x:f>
        <x:v>EEZ</x:v>
      </x:c>
      <x:c r="D2" s="32" t="n">
        <x:f>'All Areas Data'!E2</x:f>
        <x:v>9568140.59773029</x:v>
      </x:c>
      <x:c r="E2" s="32" t="n">
        <x:f>'All Areas Data'!K2</x:f>
        <x:v>6165828606.948386</x:v>
      </x:c>
      <x:c r="F2" s="34" t="n">
        <x:f>IF(SUMIF($C$2:$C$367,C2,$E$2:$E$367)=0,"",E2/SUMIF($C$2:$C$367,C2,$E$2:$E$367))</x:f>
        <x:v>0.0927999203958866</x:v>
      </x:c>
      <x:c r="G2" s="35" t="n">
        <x:f>COUNTIFS($C$2:$C$367,C2,$E$2:$E$367,"&gt;"&amp;E2)+COUNTIFS($C$2:C2,C2,$E$2:E2,E2)</x:f>
        <x:v>1</x:v>
      </x:c>
      <x:c r="H2" s="34" t="n">
        <x:f>IF(SUMIF($C$2:$C$367,C2,$E$2:$E$367)=0,"",SUMIF($C$2:C2,C2,$F$2:F2))</x:f>
        <x:v>0.0927999203958866</x:v>
      </x:c>
    </x:row>
    <x:row r="3" ht="18" customHeight="1">
      <x:c r="A3" s="25" t="str">
        <x:f>'All Areas Data'!A3</x:f>
        <x:v>EEZ_649</x:v>
      </x:c>
      <x:c r="B3" s="25" t="str">
        <x:f>'All Areas Data'!B3</x:f>
        <x:v>Russia (Far East)</x:v>
      </x:c>
      <x:c r="C3" s="25" t="str">
        <x:f>'All Areas Data'!C3</x:f>
        <x:v>EEZ</x:v>
      </x:c>
      <x:c r="D3" s="32" t="n">
        <x:f>'All Areas Data'!E3</x:f>
        <x:v>7341976.862507814</x:v>
      </x:c>
      <x:c r="E3" s="32" t="n">
        <x:f>'All Areas Data'!K3</x:f>
        <x:v>4411197893.890587</x:v>
      </x:c>
      <x:c r="F3" s="34" t="n">
        <x:f>IF(SUMIF($C$2:$C$367,C3,$E$2:$E$367)=0,"",E3/SUMIF($C$2:$C$367,C3,$E$2:$E$367))</x:f>
        <x:v>0.0663915329956196</x:v>
      </x:c>
      <x:c r="G3" s="35" t="n">
        <x:f>COUNTIFS($C$2:$C$367,C3,$E$2:$E$367,"&gt;"&amp;E3)+COUNTIFS($C$2:C3,C3,$E$2:E3,E3)</x:f>
        <x:v>2</x:v>
      </x:c>
      <x:c r="H3" s="34" t="n">
        <x:f>IF(SUMIF($C$2:$C$367,C3,$E$2:$E$367)=0,"",SUMIF($C$2:C3,C3,$F$2:F3))</x:f>
        <x:v>0.1591914533915062</x:v>
      </x:c>
    </x:row>
    <x:row r="4" ht="18" customHeight="1">
      <x:c r="A4" s="25" t="str">
        <x:f>'All Areas Data'!A4</x:f>
        <x:v>EEZ_704</x:v>
      </x:c>
      <x:c r="B4" s="25" t="str">
        <x:f>'All Areas Data'!B4</x:f>
        <x:v>Viet Nam</x:v>
      </x:c>
      <x:c r="C4" s="25" t="str">
        <x:f>'All Areas Data'!C4</x:f>
        <x:v>EEZ</x:v>
      </x:c>
      <x:c r="D4" s="32" t="n">
        <x:f>'All Areas Data'!E4</x:f>
        <x:v>5148305.1369901</x:v>
      </x:c>
      <x:c r="E4" s="32" t="n">
        <x:f>'All Areas Data'!K4</x:f>
        <x:v>4395854129.781088</x:v>
      </x:c>
      <x:c r="F4" s="34" t="n">
        <x:f>IF(SUMIF($C$2:$C$367,C4,$E$2:$E$367)=0,"",E4/SUMIF($C$2:$C$367,C4,$E$2:$E$367))</x:f>
        <x:v>0.06616059889434892</x:v>
      </x:c>
      <x:c r="G4" s="35" t="n">
        <x:f>COUNTIFS($C$2:$C$367,C4,$E$2:$E$367,"&gt;"&amp;E4)+COUNTIFS($C$2:C4,C4,$E$2:E4,E4)</x:f>
        <x:v>3</x:v>
      </x:c>
      <x:c r="H4" s="34" t="n">
        <x:f>IF(SUMIF($C$2:$C$367,C4,$E$2:$E$367)=0,"",SUMIF($C$2:C4,C4,$F$2:F4))</x:f>
        <x:v>0.22535205228585511</x:v>
      </x:c>
    </x:row>
    <x:row r="5" ht="18" customHeight="1">
      <x:c r="A5" s="25" t="str">
        <x:f>'All Areas Data'!A5</x:f>
        <x:v>EEZ_390</x:v>
      </x:c>
      <x:c r="B5" s="25" t="str">
        <x:f>'All Areas Data'!B5</x:f>
        <x:v>Japan (main islands)</x:v>
      </x:c>
      <x:c r="C5" s="25" t="str">
        <x:f>'All Areas Data'!C5</x:f>
        <x:v>EEZ</x:v>
      </x:c>
      <x:c r="D5" s="32" t="n">
        <x:f>'All Areas Data'!E5</x:f>
        <x:v>5962290.328495036</x:v>
      </x:c>
      <x:c r="E5" s="32" t="n">
        <x:f>'All Areas Data'!K5</x:f>
        <x:v>2997127073.3582215</x:v>
      </x:c>
      <x:c r="F5" s="34" t="n">
        <x:f>IF(SUMIF($C$2:$C$367,C5,$E$2:$E$367)=0,"",E5/SUMIF($C$2:$C$367,C5,$E$2:$E$367))</x:f>
        <x:v>0.04510880395062654</x:v>
      </x:c>
      <x:c r="G5" s="35" t="n">
        <x:f>COUNTIFS($C$2:$C$367,C5,$E$2:$E$367,"&gt;"&amp;E5)+COUNTIFS($C$2:C5,C5,$E$2:E5,E5)</x:f>
        <x:v>4</x:v>
      </x:c>
      <x:c r="H5" s="34" t="n">
        <x:f>IF(SUMIF($C$2:$C$367,C5,$E$2:$E$367)=0,"",SUMIF($C$2:C5,C5,$F$2:F5))</x:f>
        <x:v>0.27046085623648164</x:v>
      </x:c>
    </x:row>
    <x:row r="6" ht="18" customHeight="1">
      <x:c r="A6" s="25" t="str">
        <x:f>'All Areas Data'!A6</x:f>
        <x:v>EEZ_604</x:v>
      </x:c>
      <x:c r="B6" s="25" t="str">
        <x:f>'All Areas Data'!B6</x:f>
        <x:v>Peru</x:v>
      </x:c>
      <x:c r="C6" s="25" t="str">
        <x:f>'All Areas Data'!C6</x:f>
        <x:v>EEZ</x:v>
      </x:c>
      <x:c r="D6" s="32" t="n">
        <x:f>'All Areas Data'!E6</x:f>
        <x:v>6008753.148833272</x:v>
      </x:c>
      <x:c r="E6" s="32" t="n">
        <x:f>'All Areas Data'!K6</x:f>
        <x:v>2417258362.672758</x:v>
      </x:c>
      <x:c r="F6" s="34" t="n">
        <x:f>IF(SUMIF($C$2:$C$367,C6,$E$2:$E$367)=0,"",E6/SUMIF($C$2:$C$367,C6,$E$2:$E$367))</x:f>
        <x:v>0.03638138487656488</x:v>
      </x:c>
      <x:c r="G6" s="35" t="n">
        <x:f>COUNTIFS($C$2:$C$367,C6,$E$2:$E$367,"&gt;"&amp;E6)+COUNTIFS($C$2:C6,C6,$E$2:E6,E6)</x:f>
        <x:v>5</x:v>
      </x:c>
      <x:c r="H6" s="34" t="n">
        <x:f>IF(SUMIF($C$2:$C$367,C6,$E$2:$E$367)=0,"",SUMIF($C$2:C6,C6,$F$2:F6))</x:f>
        <x:v>0.30684224111304653</x:v>
      </x:c>
    </x:row>
    <x:row r="7" ht="18" customHeight="1">
      <x:c r="A7" s="25" t="str">
        <x:f>'All Areas Data'!A7</x:f>
        <x:v>EEZ_356</x:v>
      </x:c>
      <x:c r="B7" s="25" t="str">
        <x:f>'All Areas Data'!B7</x:f>
        <x:v>India (mainland)</x:v>
      </x:c>
      <x:c r="C7" s="25" t="str">
        <x:f>'All Areas Data'!C7</x:f>
        <x:v>EEZ</x:v>
      </x:c>
      <x:c r="D7" s="32" t="n">
        <x:f>'All Areas Data'!E7</x:f>
        <x:v>4344032.198932858</x:v>
      </x:c>
      <x:c r="E7" s="32" t="n">
        <x:f>'All Areas Data'!K7</x:f>
        <x:v>2254375093.1762247</x:v>
      </x:c>
      <x:c r="F7" s="34" t="n">
        <x:f>IF(SUMIF($C$2:$C$367,C7,$E$2:$E$367)=0,"",E7/SUMIF($C$2:$C$367,C7,$E$2:$E$367))</x:f>
        <x:v>0.03392988072251395</x:v>
      </x:c>
      <x:c r="G7" s="35" t="n">
        <x:f>COUNTIFS($C$2:$C$367,C7,$E$2:$E$367,"&gt;"&amp;E7)+COUNTIFS($C$2:C7,C7,$E$2:E7,E7)</x:f>
        <x:v>6</x:v>
      </x:c>
      <x:c r="H7" s="34" t="n">
        <x:f>IF(SUMIF($C$2:$C$367,C7,$E$2:$E$367)=0,"",SUMIF($C$2:C7,C7,$F$2:F7))</x:f>
        <x:v>0.3407721218355605</x:v>
      </x:c>
    </x:row>
    <x:row r="8" ht="18" customHeight="1">
      <x:c r="A8" s="25" t="str">
        <x:f>'All Areas Data'!A8</x:f>
        <x:v>EEZ_361</x:v>
      </x:c>
      <x:c r="B8" s="25" t="str">
        <x:f>'All Areas Data'!B8</x:f>
        <x:v>Indonesia (Eastern)</x:v>
      </x:c>
      <x:c r="C8" s="25" t="str">
        <x:f>'All Areas Data'!C8</x:f>
        <x:v>EEZ</x:v>
      </x:c>
      <x:c r="D8" s="32" t="n">
        <x:f>'All Areas Data'!E8</x:f>
        <x:v>3382553.5340884444</x:v>
      </x:c>
      <x:c r="E8" s="32" t="n">
        <x:f>'All Areas Data'!K8</x:f>
        <x:v>2093542875.0827374</x:v>
      </x:c>
      <x:c r="F8" s="34" t="n">
        <x:f>IF(SUMIF($C$2:$C$367,C8,$E$2:$E$367)=0,"",E8/SUMIF($C$2:$C$367,C8,$E$2:$E$367))</x:f>
        <x:v>0.0315092462891549</x:v>
      </x:c>
      <x:c r="G8" s="35" t="n">
        <x:f>COUNTIFS($C$2:$C$367,C8,$E$2:$E$367,"&gt;"&amp;E8)+COUNTIFS($C$2:C8,C8,$E$2:E8,E8)</x:f>
        <x:v>7</x:v>
      </x:c>
      <x:c r="H8" s="34" t="n">
        <x:f>IF(SUMIF($C$2:$C$367,C8,$E$2:$E$367)=0,"",SUMIF($C$2:C8,C8,$F$2:F8))</x:f>
        <x:v>0.3722813681247154</x:v>
      </x:c>
    </x:row>
    <x:row r="9" ht="18" customHeight="1">
      <x:c r="A9" s="25" t="str">
        <x:f>'All Areas Data'!A9</x:f>
        <x:v>EEZ_959</x:v>
      </x:c>
      <x:c r="B9" s="25" t="str">
        <x:f>'All Areas Data'!B9</x:f>
        <x:v>USA (Alaska, Subarctic)</x:v>
      </x:c>
      <x:c r="C9" s="25" t="str">
        <x:f>'All Areas Data'!C9</x:f>
        <x:v>EEZ</x:v>
      </x:c>
      <x:c r="D9" s="32" t="n">
        <x:f>'All Areas Data'!E9</x:f>
        <x:v>2640185.1931024343</x:v>
      </x:c>
      <x:c r="E9" s="32" t="n">
        <x:f>'All Areas Data'!K9</x:f>
        <x:v>1781327374.0574036</x:v>
      </x:c>
      <x:c r="F9" s="34" t="n">
        <x:f>IF(SUMIF($C$2:$C$367,C9,$E$2:$E$367)=0,"",E9/SUMIF($C$2:$C$367,C9,$E$2:$E$367))</x:f>
        <x:v>0.02681019033277266</x:v>
      </x:c>
      <x:c r="G9" s="35" t="n">
        <x:f>COUNTIFS($C$2:$C$367,C9,$E$2:$E$367,"&gt;"&amp;E9)+COUNTIFS($C$2:C9,C9,$E$2:E9,E9)</x:f>
        <x:v>8</x:v>
      </x:c>
      <x:c r="H9" s="34" t="n">
        <x:f>IF(SUMIF($C$2:$C$367,C9,$E$2:$E$367)=0,"",SUMIF($C$2:C9,C9,$F$2:F9))</x:f>
        <x:v>0.39909155845748806</x:v>
      </x:c>
    </x:row>
    <x:row r="10" ht="18" customHeight="1">
      <x:c r="A10" s="25" t="str">
        <x:f>'All Areas Data'!A10</x:f>
        <x:v>EEZ_941</x:v>
      </x:c>
      <x:c r="B10" s="25" t="str">
        <x:f>'All Areas Data'!B10</x:f>
        <x:v>Kiribati (Gilbert Islands)</x:v>
      </x:c>
      <x:c r="C10" s="25" t="str">
        <x:f>'All Areas Data'!C10</x:f>
        <x:v>EEZ</x:v>
      </x:c>
      <x:c r="D10" s="32" t="n">
        <x:f>'All Areas Data'!E10</x:f>
        <x:v>599962.7992743407</x:v>
      </x:c>
      <x:c r="E10" s="32" t="n">
        <x:f>'All Areas Data'!K10</x:f>
        <x:v>1552445784.5398905</x:v>
      </x:c>
      <x:c r="F10" s="34" t="n">
        <x:f>IF(SUMIF($C$2:$C$367,C10,$E$2:$E$367)=0,"",E10/SUMIF($C$2:$C$367,C10,$E$2:$E$367))</x:f>
        <x:v>0.023365366507573686</x:v>
      </x:c>
      <x:c r="G10" s="35" t="n">
        <x:f>COUNTIFS($C$2:$C$367,C10,$E$2:$E$367,"&gt;"&amp;E10)+COUNTIFS($C$2:C10,C10,$E$2:E10,E10)</x:f>
        <x:v>9</x:v>
      </x:c>
      <x:c r="H10" s="34" t="n">
        <x:f>IF(SUMIF($C$2:$C$367,C10,$E$2:$E$367)=0,"",SUMIF($C$2:C10,C10,$F$2:F10))</x:f>
        <x:v>0.42245692496506176</x:v>
      </x:c>
    </x:row>
    <x:row r="11" ht="18" customHeight="1">
      <x:c r="A11" s="25" t="str">
        <x:f>'All Areas Data'!A11</x:f>
        <x:v>EEZ_938</x:v>
      </x:c>
      <x:c r="B11" s="25" t="str">
        <x:f>'All Areas Data'!B11</x:f>
        <x:v>Indonesia (Indian Ocean)</x:v>
      </x:c>
      <x:c r="C11" s="25" t="str">
        <x:f>'All Areas Data'!C11</x:f>
        <x:v>EEZ</x:v>
      </x:c>
      <x:c r="D11" s="32" t="n">
        <x:f>'All Areas Data'!E11</x:f>
        <x:v>2112707.572524511</x:v>
      </x:c>
      <x:c r="E11" s="32" t="n">
        <x:f>'All Areas Data'!K11</x:f>
        <x:v>1549538383.7711182</x:v>
      </x:c>
      <x:c r="F11" s="34" t="n">
        <x:f>IF(SUMIF($C$2:$C$367,C11,$E$2:$E$367)=0,"",E11/SUMIF($C$2:$C$367,C11,$E$2:$E$367))</x:f>
        <x:v>0.023321608145624253</x:v>
      </x:c>
      <x:c r="G11" s="35" t="n">
        <x:f>COUNTIFS($C$2:$C$367,C11,$E$2:$E$367,"&gt;"&amp;E11)+COUNTIFS($C$2:C11,C11,$E$2:E11,E11)</x:f>
        <x:v>10</x:v>
      </x:c>
      <x:c r="H11" s="34" t="n">
        <x:f>IF(SUMIF($C$2:$C$367,C11,$E$2:$E$367)=0,"",SUMIF($C$2:C11,C11,$F$2:F11))</x:f>
        <x:v>0.445778533110686</x:v>
      </x:c>
    </x:row>
    <x:row r="12" ht="18" customHeight="1">
      <x:c r="A12" s="25" t="str">
        <x:f>'All Areas Data'!A12</x:f>
        <x:v>EEZ_578</x:v>
      </x:c>
      <x:c r="B12" s="25" t="str">
        <x:f>'All Areas Data'!B12</x:f>
        <x:v>Norway</x:v>
      </x:c>
      <x:c r="C12" s="25" t="str">
        <x:f>'All Areas Data'!C12</x:f>
        <x:v>EEZ</x:v>
      </x:c>
      <x:c r="D12" s="32" t="n">
        <x:f>'All Areas Data'!E12</x:f>
        <x:v>1710313.5041625751</x:v>
      </x:c>
      <x:c r="E12" s="32" t="n">
        <x:f>'All Areas Data'!K12</x:f>
        <x:v>1486385233.701386</x:v>
      </x:c>
      <x:c r="F12" s="34" t="n">
        <x:f>IF(SUMIF($C$2:$C$367,C12,$E$2:$E$367)=0,"",E12/SUMIF($C$2:$C$367,C12,$E$2:$E$367))</x:f>
        <x:v>0.022371110220233303</x:v>
      </x:c>
      <x:c r="G12" s="35" t="n">
        <x:f>COUNTIFS($C$2:$C$367,C12,$E$2:$E$367,"&gt;"&amp;E12)+COUNTIFS($C$2:C12,C12,$E$2:E12,E12)</x:f>
        <x:v>11</x:v>
      </x:c>
      <x:c r="H12" s="34" t="n">
        <x:f>IF(SUMIF($C$2:$C$367,C12,$E$2:$E$367)=0,"",SUMIF($C$2:C12,C12,$F$2:F12))</x:f>
        <x:v>0.4681496433309193</x:v>
      </x:c>
    </x:row>
    <x:row r="13" ht="18" customHeight="1">
      <x:c r="A13" s="25" t="str">
        <x:f>'All Areas Data'!A13</x:f>
        <x:v>EEZ_598</x:v>
      </x:c>
      <x:c r="B13" s="25" t="str">
        <x:f>'All Areas Data'!B13</x:f>
        <x:v>Papua New Guinea</x:v>
      </x:c>
      <x:c r="C13" s="25" t="str">
        <x:f>'All Areas Data'!C13</x:f>
        <x:v>EEZ</x:v>
      </x:c>
      <x:c r="D13" s="32" t="n">
        <x:f>'All Areas Data'!E13</x:f>
        <x:v>536763.5433324721</x:v>
      </x:c>
      <x:c r="E13" s="32" t="n">
        <x:f>'All Areas Data'!K13</x:f>
        <x:v>1304961504.0343719</x:v>
      </x:c>
      <x:c r="F13" s="34" t="n">
        <x:f>IF(SUMIF($C$2:$C$367,C13,$E$2:$E$367)=0,"",E13/SUMIF($C$2:$C$367,C13,$E$2:$E$367))</x:f>
        <x:v>0.019640559511760667</x:v>
      </x:c>
      <x:c r="G13" s="35" t="n">
        <x:f>COUNTIFS($C$2:$C$367,C13,$E$2:$E$367,"&gt;"&amp;E13)+COUNTIFS($C$2:C13,C13,$E$2:E13,E13)</x:f>
        <x:v>12</x:v>
      </x:c>
      <x:c r="H13" s="34" t="n">
        <x:f>IF(SUMIF($C$2:$C$367,C13,$E$2:$E$367)=0,"",SUMIF($C$2:C13,C13,$F$2:F13))</x:f>
        <x:v>0.48779020284268</x:v>
      </x:c>
    </x:row>
    <x:row r="14" ht="18" customHeight="1">
      <x:c r="A14" s="25" t="str">
        <x:f>'All Areas Data'!A14</x:f>
        <x:v>EEZ_032</x:v>
      </x:c>
      <x:c r="B14" s="25" t="str">
        <x:f>'All Areas Data'!B14</x:f>
        <x:v>Argentina</x:v>
      </x:c>
      <x:c r="C14" s="25" t="str">
        <x:f>'All Areas Data'!C14</x:f>
        <x:v>EEZ</x:v>
      </x:c>
      <x:c r="D14" s="32" t="n">
        <x:f>'All Areas Data'!E14</x:f>
        <x:v>1455579.158848894</x:v>
      </x:c>
      <x:c r="E14" s="32" t="n">
        <x:f>'All Areas Data'!K14</x:f>
        <x:v>1272031530.1874146</x:v>
      </x:c>
      <x:c r="F14" s="34" t="n">
        <x:f>IF(SUMIF($C$2:$C$367,C14,$E$2:$E$367)=0,"",E14/SUMIF($C$2:$C$367,C14,$E$2:$E$367))</x:f>
        <x:v>0.01914494097507405</x:v>
      </x:c>
      <x:c r="G14" s="35" t="n">
        <x:f>COUNTIFS($C$2:$C$367,C14,$E$2:$E$367,"&gt;"&amp;E14)+COUNTIFS($C$2:C14,C14,$E$2:E14,E14)</x:f>
        <x:v>13</x:v>
      </x:c>
      <x:c r="H14" s="34" t="n">
        <x:f>IF(SUMIF($C$2:$C$367,C14,$E$2:$E$367)=0,"",SUMIF($C$2:C14,C14,$F$2:F14))</x:f>
        <x:v>0.5069351438177541</x:v>
      </x:c>
    </x:row>
    <x:row r="15" ht="18" customHeight="1">
      <x:c r="A15" s="25" t="str">
        <x:f>'All Areas Data'!A15</x:f>
        <x:v>EEZ_608</x:v>
      </x:c>
      <x:c r="B15" s="25" t="str">
        <x:f>'All Areas Data'!B15</x:f>
        <x:v>Philippines</x:v>
      </x:c>
      <x:c r="C15" s="25" t="str">
        <x:f>'All Areas Data'!C15</x:f>
        <x:v>EEZ</x:v>
      </x:c>
      <x:c r="D15" s="32" t="n">
        <x:f>'All Areas Data'!E15</x:f>
        <x:v>2152202.04182738</x:v>
      </x:c>
      <x:c r="E15" s="32" t="n">
        <x:f>'All Areas Data'!K15</x:f>
        <x:v>1117733410.478486</x:v>
      </x:c>
      <x:c r="F15" s="34" t="n">
        <x:f>IF(SUMIF($C$2:$C$367,C15,$E$2:$E$367)=0,"",E15/SUMIF($C$2:$C$367,C15,$E$2:$E$367))</x:f>
        <x:v>0.016822649173111312</x:v>
      </x:c>
      <x:c r="G15" s="35" t="n">
        <x:f>COUNTIFS($C$2:$C$367,C15,$E$2:$E$367,"&gt;"&amp;E15)+COUNTIFS($C$2:C15,C15,$E$2:E15,E15)</x:f>
        <x:v>14</x:v>
      </x:c>
      <x:c r="H15" s="34" t="n">
        <x:f>IF(SUMIF($C$2:$C$367,C15,$E$2:$E$367)=0,"",SUMIF($C$2:C15,C15,$F$2:F15))</x:f>
        <x:v>0.5237577929908653</x:v>
      </x:c>
    </x:row>
    <x:row r="16" ht="18" customHeight="1">
      <x:c r="A16" s="25" t="str">
        <x:f>'All Areas Data'!A16</x:f>
        <x:v>EEZ_478</x:v>
      </x:c>
      <x:c r="B16" s="25" t="str">
        <x:f>'All Areas Data'!B16</x:f>
        <x:v>Mauritania</x:v>
      </x:c>
      <x:c r="C16" s="25" t="str">
        <x:f>'All Areas Data'!C16</x:f>
        <x:v>EEZ</x:v>
      </x:c>
      <x:c r="D16" s="32" t="n">
        <x:f>'All Areas Data'!E16</x:f>
        <x:v>2210253.937882072</x:v>
      </x:c>
      <x:c r="E16" s="32" t="n">
        <x:f>'All Areas Data'!K16</x:f>
        <x:v>1032601351.4376887</x:v>
      </x:c>
      <x:c r="F16" s="34" t="n">
        <x:f>IF(SUMIF($C$2:$C$367,C16,$E$2:$E$367)=0,"",E16/SUMIF($C$2:$C$367,C16,$E$2:$E$367))</x:f>
        <x:v>0.015541353696746469</x:v>
      </x:c>
      <x:c r="G16" s="35" t="n">
        <x:f>COUNTIFS($C$2:$C$367,C16,$E$2:$E$367,"&gt;"&amp;E16)+COUNTIFS($C$2:C16,C16,$E$2:E16,E16)</x:f>
        <x:v>15</x:v>
      </x:c>
      <x:c r="H16" s="34" t="n">
        <x:f>IF(SUMIF($C$2:$C$367,C16,$E$2:$E$367)=0,"",SUMIF($C$2:C16,C16,$F$2:F16))</x:f>
        <x:v>0.5392991466876118</x:v>
      </x:c>
    </x:row>
    <x:row r="17" ht="18" customHeight="1">
      <x:c r="A17" s="25" t="str">
        <x:f>'All Areas Data'!A17</x:f>
        <x:v>EEZ_937</x:v>
      </x:c>
      <x:c r="B17" s="25" t="str">
        <x:f>'All Areas Data'!B17</x:f>
        <x:v>Indonesia (Central)</x:v>
      </x:c>
      <x:c r="C17" s="25" t="str">
        <x:f>'All Areas Data'!C17</x:f>
        <x:v>EEZ</x:v>
      </x:c>
      <x:c r="D17" s="32" t="n">
        <x:f>'All Areas Data'!E17</x:f>
        <x:v>1876235.8826732747</x:v>
      </x:c>
      <x:c r="E17" s="32" t="n">
        <x:f>'All Areas Data'!K17</x:f>
        <x:v>1028177964.8470863</x:v>
      </x:c>
      <x:c r="F17" s="34" t="n">
        <x:f>IF(SUMIF($C$2:$C$367,C17,$E$2:$E$367)=0,"",E17/SUMIF($C$2:$C$367,C17,$E$2:$E$367))</x:f>
        <x:v>0.01547477871556299</x:v>
      </x:c>
      <x:c r="G17" s="35" t="n">
        <x:f>COUNTIFS($C$2:$C$367,C17,$E$2:$E$367,"&gt;"&amp;E17)+COUNTIFS($C$2:C17,C17,$E$2:E17,E17)</x:f>
        <x:v>16</x:v>
      </x:c>
      <x:c r="H17" s="34" t="n">
        <x:f>IF(SUMIF($C$2:$C$367,C17,$E$2:$E$367)=0,"",SUMIF($C$2:C17,C17,$F$2:F17))</x:f>
        <x:v>0.5547739254031748</x:v>
      </x:c>
    </x:row>
    <x:row r="18" ht="18" customHeight="1">
      <x:c r="A18" s="25" t="str">
        <x:f>'All Areas Data'!A18</x:f>
        <x:v>EEZ_410</x:v>
      </x:c>
      <x:c r="B18" s="25" t="str">
        <x:f>'All Areas Data'!B18</x:f>
        <x:v>Korea (South)</x:v>
      </x:c>
      <x:c r="C18" s="25" t="str">
        <x:f>'All Areas Data'!C18</x:f>
        <x:v>EEZ</x:v>
      </x:c>
      <x:c r="D18" s="32" t="n">
        <x:f>'All Areas Data'!E18</x:f>
        <x:v>1692138.9147849004</x:v>
      </x:c>
      <x:c r="E18" s="32" t="n">
        <x:f>'All Areas Data'!K18</x:f>
        <x:v>1001424147.7179294</x:v>
      </x:c>
      <x:c r="F18" s="34" t="n">
        <x:f>IF(SUMIF($C$2:$C$367,C18,$E$2:$E$367)=0,"",E18/SUMIF($C$2:$C$367,C18,$E$2:$E$367))</x:f>
        <x:v>0.015072115544375583</x:v>
      </x:c>
      <x:c r="G18" s="35" t="n">
        <x:f>COUNTIFS($C$2:$C$367,C18,$E$2:$E$367,"&gt;"&amp;E18)+COUNTIFS($C$2:C18,C18,$E$2:E18,E18)</x:f>
        <x:v>17</x:v>
      </x:c>
      <x:c r="H18" s="34" t="n">
        <x:f>IF(SUMIF($C$2:$C$367,C18,$E$2:$E$367)=0,"",SUMIF($C$2:C18,C18,$F$2:F18))</x:f>
        <x:v>0.5698460409475504</x:v>
      </x:c>
    </x:row>
    <x:row r="19" ht="18" customHeight="1">
      <x:c r="A19" s="25" t="str">
        <x:f>'All Areas Data'!A19</x:f>
        <x:v>EEZ_826</x:v>
      </x:c>
      <x:c r="B19" s="25" t="str">
        <x:f>'All Areas Data'!B19</x:f>
        <x:v>United Kingdom (UK)</x:v>
      </x:c>
      <x:c r="C19" s="25" t="str">
        <x:f>'All Areas Data'!C19</x:f>
        <x:v>EEZ</x:v>
      </x:c>
      <x:c r="D19" s="32" t="n">
        <x:f>'All Areas Data'!E19</x:f>
        <x:v>1714264.7493178481</x:v>
      </x:c>
      <x:c r="E19" s="32" t="n">
        <x:f>'All Areas Data'!K19</x:f>
        <x:v>1000014407.7534399</x:v>
      </x:c>
      <x:c r="F19" s="34" t="n">
        <x:f>IF(SUMIF($C$2:$C$367,C19,$E$2:$E$367)=0,"",E19/SUMIF($C$2:$C$367,C19,$E$2:$E$367))</x:f>
        <x:v>0.015050897997664004</x:v>
      </x:c>
      <x:c r="G19" s="35" t="n">
        <x:f>COUNTIFS($C$2:$C$367,C19,$E$2:$E$367,"&gt;"&amp;E19)+COUNTIFS($C$2:C19,C19,$E$2:E19,E19)</x:f>
        <x:v>18</x:v>
      </x:c>
      <x:c r="H19" s="34" t="n">
        <x:f>IF(SUMIF($C$2:$C$367,C19,$E$2:$E$367)=0,"",SUMIF($C$2:C19,C19,$F$2:F19))</x:f>
        <x:v>0.5848969389452144</x:v>
      </x:c>
    </x:row>
    <x:row r="20" ht="18" customHeight="1">
      <x:c r="A20" s="25" t="str">
        <x:f>'All Areas Data'!A20</x:f>
        <x:v>EEZ_945</x:v>
      </x:c>
      <x:c r="B20" s="25" t="str">
        <x:f>'All Areas Data'!B20</x:f>
        <x:v>Mexico (Pacific)</x:v>
      </x:c>
      <x:c r="C20" s="25" t="str">
        <x:f>'All Areas Data'!C20</x:f>
        <x:v>EEZ</x:v>
      </x:c>
      <x:c r="D20" s="32" t="n">
        <x:f>'All Areas Data'!E20</x:f>
        <x:v>2162472.018004568</x:v>
      </x:c>
      <x:c r="E20" s="32" t="n">
        <x:f>'All Areas Data'!K20</x:f>
        <x:v>903902972.1574702</x:v>
      </x:c>
      <x:c r="F20" s="34" t="n">
        <x:f>IF(SUMIF($C$2:$C$367,C20,$E$2:$E$367)=0,"",E20/SUMIF($C$2:$C$367,C20,$E$2:$E$367))</x:f>
        <x:v>0.01360435542552873</x:v>
      </x:c>
      <x:c r="G20" s="35" t="n">
        <x:f>COUNTIFS($C$2:$C$367,C20,$E$2:$E$367,"&gt;"&amp;E20)+COUNTIFS($C$2:C20,C20,$E$2:E20,E20)</x:f>
        <x:v>19</x:v>
      </x:c>
      <x:c r="H20" s="34" t="n">
        <x:f>IF(SUMIF($C$2:$C$367,C20,$E$2:$E$367)=0,"",SUMIF($C$2:C20,C20,$F$2:F20))</x:f>
        <x:v>0.5985012943707432</x:v>
      </x:c>
    </x:row>
    <x:row r="21" ht="18" customHeight="1">
      <x:c r="A21" s="25" t="str">
        <x:f>'All Areas Data'!A21</x:f>
        <x:v>EEZ_848</x:v>
      </x:c>
      <x:c r="B21" s="25" t="str">
        <x:f>'All Areas Data'!B21</x:f>
        <x:v>USA (West Coast)</x:v>
      </x:c>
      <x:c r="C21" s="25" t="str">
        <x:f>'All Areas Data'!C21</x:f>
        <x:v>EEZ</x:v>
      </x:c>
      <x:c r="D21" s="32" t="n">
        <x:f>'All Areas Data'!E21</x:f>
        <x:v>480242.05511345976</x:v>
      </x:c>
      <x:c r="E21" s="32" t="n">
        <x:f>'All Areas Data'!K21</x:f>
        <x:v>855756640.2092203</x:v>
      </x:c>
      <x:c r="F21" s="34" t="n">
        <x:f>IF(SUMIF($C$2:$C$367,C21,$E$2:$E$367)=0,"",E21/SUMIF($C$2:$C$367,C21,$E$2:$E$367))</x:f>
        <x:v>0.01287972033477767</x:v>
      </x:c>
      <x:c r="G21" s="35" t="n">
        <x:f>COUNTIFS($C$2:$C$367,C21,$E$2:$E$367,"&gt;"&amp;E21)+COUNTIFS($C$2:C21,C21,$E$2:E21,E21)</x:f>
        <x:v>20</x:v>
      </x:c>
      <x:c r="H21" s="34" t="n">
        <x:f>IF(SUMIF($C$2:$C$367,C21,$E$2:$E$367)=0,"",SUMIF($C$2:C21,C21,$F$2:F21))</x:f>
        <x:v>0.6113810147055209</x:v>
      </x:c>
    </x:row>
    <x:row r="22" ht="18" customHeight="1">
      <x:c r="A22" s="25" t="str">
        <x:f>'All Areas Data'!A22</x:f>
        <x:v>EEZ_554</x:v>
      </x:c>
      <x:c r="B22" s="25" t="str">
        <x:f>'All Areas Data'!B22</x:f>
        <x:v>New Zealand</x:v>
      </x:c>
      <x:c r="C22" s="25" t="str">
        <x:f>'All Areas Data'!C22</x:f>
        <x:v>EEZ</x:v>
      </x:c>
      <x:c r="D22" s="32" t="n">
        <x:f>'All Areas Data'!E22</x:f>
        <x:v>536634.0092869516</x:v>
      </x:c>
      <x:c r="E22" s="32" t="n">
        <x:f>'All Areas Data'!K22</x:f>
        <x:v>844346453.6499316</x:v>
      </x:c>
      <x:c r="F22" s="34" t="n">
        <x:f>IF(SUMIF($C$2:$C$367,C22,$E$2:$E$367)=0,"",E22/SUMIF($C$2:$C$367,C22,$E$2:$E$367))</x:f>
        <x:v>0.012707989254998555</x:v>
      </x:c>
      <x:c r="G22" s="35" t="n">
        <x:f>COUNTIFS($C$2:$C$367,C22,$E$2:$E$367,"&gt;"&amp;E22)+COUNTIFS($C$2:C22,C22,$E$2:E22,E22)</x:f>
        <x:v>21</x:v>
      </x:c>
      <x:c r="H22" s="34" t="n">
        <x:f>IF(SUMIF($C$2:$C$367,C22,$E$2:$E$367)=0,"",SUMIF($C$2:C22,C22,$F$2:F22))</x:f>
        <x:v>0.6240890039605195</x:v>
      </x:c>
    </x:row>
    <x:row r="23" ht="18" customHeight="1">
      <x:c r="A23" s="25" t="str">
        <x:f>'All Areas Data'!A23</x:f>
        <x:v>EEZ_586</x:v>
      </x:c>
      <x:c r="B23" s="25" t="str">
        <x:f>'All Areas Data'!B23</x:f>
        <x:v>Pakistan</x:v>
      </x:c>
      <x:c r="C23" s="25" t="str">
        <x:f>'All Areas Data'!C23</x:f>
        <x:v>EEZ</x:v>
      </x:c>
      <x:c r="D23" s="32" t="n">
        <x:f>'All Areas Data'!E23</x:f>
        <x:v>930340.2931580818</x:v>
      </x:c>
      <x:c r="E23" s="32" t="n">
        <x:f>'All Areas Data'!K23</x:f>
        <x:v>790261291.1785368</x:v>
      </x:c>
      <x:c r="F23" s="34" t="n">
        <x:f>IF(SUMIF($C$2:$C$367,C23,$E$2:$E$367)=0,"",E23/SUMIF($C$2:$C$367,C23,$E$2:$E$367))</x:f>
        <x:v>0.011893970719632859</x:v>
      </x:c>
      <x:c r="G23" s="35" t="n">
        <x:f>COUNTIFS($C$2:$C$367,C23,$E$2:$E$367,"&gt;"&amp;E23)+COUNTIFS($C$2:C23,C23,$E$2:E23,E23)</x:f>
        <x:v>22</x:v>
      </x:c>
      <x:c r="H23" s="34" t="n">
        <x:f>IF(SUMIF($C$2:$C$367,C23,$E$2:$E$367)=0,"",SUMIF($C$2:C23,C23,$F$2:F23))</x:f>
        <x:v>0.6359829746801523</x:v>
      </x:c>
    </x:row>
    <x:row r="24" ht="18" customHeight="1">
      <x:c r="A24" s="25" t="str">
        <x:f>'All Areas Data'!A24</x:f>
        <x:v>EEZ_352</x:v>
      </x:c>
      <x:c r="B24" s="25" t="str">
        <x:f>'All Areas Data'!B24</x:f>
        <x:v>Iceland</x:v>
      </x:c>
      <x:c r="C24" s="25" t="str">
        <x:f>'All Areas Data'!C24</x:f>
        <x:v>EEZ</x:v>
      </x:c>
      <x:c r="D24" s="32" t="n">
        <x:f>'All Areas Data'!E24</x:f>
        <x:v>755890.0550702651</x:v>
      </x:c>
      <x:c r="E24" s="32" t="n">
        <x:f>'All Areas Data'!K24</x:f>
        <x:v>746373735.3016173</x:v>
      </x:c>
      <x:c r="F24" s="34" t="n">
        <x:f>IF(SUMIF($C$2:$C$367,C24,$E$2:$E$367)=0,"",E24/SUMIF($C$2:$C$367,C24,$E$2:$E$367))</x:f>
        <x:v>0.011233433109625587</x:v>
      </x:c>
      <x:c r="G24" s="35" t="n">
        <x:f>COUNTIFS($C$2:$C$367,C24,$E$2:$E$367,"&gt;"&amp;E24)+COUNTIFS($C$2:C24,C24,$E$2:E24,E24)</x:f>
        <x:v>23</x:v>
      </x:c>
      <x:c r="H24" s="34" t="n">
        <x:f>IF(SUMIF($C$2:$C$367,C24,$E$2:$E$367)=0,"",SUMIF($C$2:C24,C24,$F$2:F24))</x:f>
        <x:v>0.6472164077897778</x:v>
      </x:c>
    </x:row>
    <x:row r="25" ht="18" customHeight="1">
      <x:c r="A25" s="25" t="str">
        <x:f>'All Areas Data'!A25</x:f>
        <x:v>EEZ_957</x:v>
      </x:c>
      <x:c r="B25" s="25" t="str">
        <x:f>'All Areas Data'!B25</x:f>
        <x:v>Thailand (Gulf of Thailand)</x:v>
      </x:c>
      <x:c r="C25" s="25" t="str">
        <x:f>'All Areas Data'!C25</x:f>
        <x:v>EEZ</x:v>
      </x:c>
      <x:c r="D25" s="32" t="n">
        <x:f>'All Areas Data'!E25</x:f>
        <x:v>1326966.3114427112</x:v>
      </x:c>
      <x:c r="E25" s="32" t="n">
        <x:f>'All Areas Data'!K25</x:f>
        <x:v>739082508.1879923</x:v>
      </x:c>
      <x:c r="F25" s="34" t="n">
        <x:f>IF(SUMIF($C$2:$C$367,C25,$E$2:$E$367)=0,"",E25/SUMIF($C$2:$C$367,C25,$E$2:$E$367))</x:f>
        <x:v>0.01112369517513772</x:v>
      </x:c>
      <x:c r="G25" s="35" t="n">
        <x:f>COUNTIFS($C$2:$C$367,C25,$E$2:$E$367,"&gt;"&amp;E25)+COUNTIFS($C$2:C25,C25,$E$2:E25,E25)</x:f>
        <x:v>24</x:v>
      </x:c>
      <x:c r="H25" s="34" t="n">
        <x:f>IF(SUMIF($C$2:$C$367,C25,$E$2:$E$367)=0,"",SUMIF($C$2:C25,C25,$F$2:F25))</x:f>
        <x:v>0.6583401029649155</x:v>
      </x:c>
    </x:row>
    <x:row r="26" ht="18" customHeight="1">
      <x:c r="A26" s="25" t="str">
        <x:f>'All Areas Data'!A26</x:f>
        <x:v>EEZ_104</x:v>
      </x:c>
      <x:c r="B26" s="25" t="str">
        <x:f>'All Areas Data'!B26</x:f>
        <x:v>Myanmar</x:v>
      </x:c>
      <x:c r="C26" s="25" t="str">
        <x:f>'All Areas Data'!C26</x:f>
        <x:v>EEZ</x:v>
      </x:c>
      <x:c r="D26" s="32" t="n">
        <x:f>'All Areas Data'!E26</x:f>
        <x:v>1333934.8992368777</x:v>
      </x:c>
      <x:c r="E26" s="32" t="n">
        <x:f>'All Areas Data'!K26</x:f>
        <x:v>719846370.2034029</x:v>
      </x:c>
      <x:c r="F26" s="34" t="n">
        <x:f>IF(SUMIF($C$2:$C$367,C26,$E$2:$E$367)=0,"",E26/SUMIF($C$2:$C$367,C26,$E$2:$E$367))</x:f>
        <x:v>0.010834178195751928</x:v>
      </x:c>
      <x:c r="G26" s="35" t="n">
        <x:f>COUNTIFS($C$2:$C$367,C26,$E$2:$E$367,"&gt;"&amp;E26)+COUNTIFS($C$2:C26,C26,$E$2:E26,E26)</x:f>
        <x:v>25</x:v>
      </x:c>
      <x:c r="H26" s="34" t="n">
        <x:f>IF(SUMIF($C$2:$C$367,C26,$E$2:$E$367)=0,"",SUMIF($C$2:C26,C26,$F$2:F26))</x:f>
        <x:v>0.6691742811606675</x:v>
      </x:c>
    </x:row>
    <x:row r="27" ht="18" customHeight="1">
      <x:c r="A27" s="25" t="str">
        <x:f>'All Areas Data'!A27</x:f>
        <x:v>EEZ_157</x:v>
      </x:c>
      <x:c r="B27" s="25" t="str">
        <x:f>'All Areas Data'!B27</x:f>
        <x:v>Taiwan</x:v>
      </x:c>
      <x:c r="C27" s="25" t="str">
        <x:f>'All Areas Data'!C27</x:f>
        <x:v>EEZ</x:v>
      </x:c>
      <x:c r="D27" s="32" t="n">
        <x:f>'All Areas Data'!E27</x:f>
        <x:v>974842.5837373973</x:v>
      </x:c>
      <x:c r="E27" s="32" t="n">
        <x:f>'All Areas Data'!K27</x:f>
        <x:v>651770218.0518247</x:v>
      </x:c>
      <x:c r="F27" s="34" t="n">
        <x:f>IF(SUMIF($C$2:$C$367,C27,$E$2:$E$367)=0,"",E27/SUMIF($C$2:$C$367,C27,$E$2:$E$367))</x:f>
        <x:v>0.009809585735720612</x:v>
      </x:c>
      <x:c r="G27" s="35" t="n">
        <x:f>COUNTIFS($C$2:$C$367,C27,$E$2:$E$367,"&gt;"&amp;E27)+COUNTIFS($C$2:C27,C27,$E$2:E27,E27)</x:f>
        <x:v>26</x:v>
      </x:c>
      <x:c r="H27" s="34" t="n">
        <x:f>IF(SUMIF($C$2:$C$367,C27,$E$2:$E$367)=0,"",SUMIF($C$2:C27,C27,$F$2:F27))</x:f>
        <x:v>0.6789838668963881</x:v>
      </x:c>
    </x:row>
    <x:row r="28" ht="18" customHeight="1">
      <x:c r="A28" s="25" t="str">
        <x:f>'All Areas Data'!A28</x:f>
        <x:v>EEZ_076</x:v>
      </x:c>
      <x:c r="B28" s="25" t="str">
        <x:f>'All Areas Data'!B28</x:f>
        <x:v>Brazil (mainland)</x:v>
      </x:c>
      <x:c r="C28" s="25" t="str">
        <x:f>'All Areas Data'!C28</x:f>
        <x:v>EEZ</x:v>
      </x:c>
      <x:c r="D28" s="32" t="n">
        <x:f>'All Areas Data'!E28</x:f>
        <x:v>904109.1796290667</x:v>
      </x:c>
      <x:c r="E28" s="32" t="n">
        <x:f>'All Areas Data'!K28</x:f>
        <x:v>632611601.862448</x:v>
      </x:c>
      <x:c r="F28" s="34" t="n">
        <x:f>IF(SUMIF($C$2:$C$367,C28,$E$2:$E$367)=0,"",E28/SUMIF($C$2:$C$367,C28,$E$2:$E$367))</x:f>
        <x:v>0.009521235512156834</x:v>
      </x:c>
      <x:c r="G28" s="35" t="n">
        <x:f>COUNTIFS($C$2:$C$367,C28,$E$2:$E$367,"&gt;"&amp;E28)+COUNTIFS($C$2:C28,C28,$E$2:E28,E28)</x:f>
        <x:v>27</x:v>
      </x:c>
      <x:c r="H28" s="34" t="n">
        <x:f>IF(SUMIF($C$2:$C$367,C28,$E$2:$E$367)=0,"",SUMIF($C$2:C28,C28,$F$2:F28))</x:f>
        <x:v>0.6885051024085449</x:v>
      </x:c>
    </x:row>
    <x:row r="29" ht="18" customHeight="1">
      <x:c r="A29" s="25" t="str">
        <x:f>'All Areas Data'!A29</x:f>
        <x:v>EEZ_851</x:v>
      </x:c>
      <x:c r="B29" s="25" t="str">
        <x:f>'All Areas Data'!B29</x:f>
        <x:v>USA (East Coast)</x:v>
      </x:c>
      <x:c r="C29" s="25" t="str">
        <x:f>'All Areas Data'!C29</x:f>
        <x:v>EEZ</x:v>
      </x:c>
      <x:c r="D29" s="32" t="n">
        <x:f>'All Areas Data'!E29</x:f>
        <x:v>1002996.0875079746</x:v>
      </x:c>
      <x:c r="E29" s="32" t="n">
        <x:f>'All Areas Data'!K29</x:f>
        <x:v>625895294.1062337</x:v>
      </x:c>
      <x:c r="F29" s="34" t="n">
        <x:f>IF(SUMIF($C$2:$C$367,C29,$E$2:$E$367)=0,"",E29/SUMIF($C$2:$C$367,C29,$E$2:$E$367))</x:f>
        <x:v>0.009420150505604984</x:v>
      </x:c>
      <x:c r="G29" s="35" t="n">
        <x:f>COUNTIFS($C$2:$C$367,C29,$E$2:$E$367,"&gt;"&amp;E29)+COUNTIFS($C$2:C29,C29,$E$2:E29,E29)</x:f>
        <x:v>28</x:v>
      </x:c>
      <x:c r="H29" s="34" t="n">
        <x:f>IF(SUMIF($C$2:$C$367,C29,$E$2:$E$367)=0,"",SUMIF($C$2:C29,C29,$F$2:F29))</x:f>
        <x:v>0.6979252529141499</x:v>
      </x:c>
    </x:row>
    <x:row r="30" ht="18" customHeight="1">
      <x:c r="A30" s="25" t="str">
        <x:f>'All Areas Data'!A30</x:f>
        <x:v>EEZ_624</x:v>
      </x:c>
      <x:c r="B30" s="25" t="str">
        <x:f>'All Areas Data'!B30</x:f>
        <x:v>Guinea-Bissau</x:v>
      </x:c>
      <x:c r="C30" s="25" t="str">
        <x:f>'All Areas Data'!C30</x:f>
        <x:v>EEZ</x:v>
      </x:c>
      <x:c r="D30" s="32" t="n">
        <x:f>'All Areas Data'!E30</x:f>
        <x:v>1133937.8605595871</x:v>
      </x:c>
      <x:c r="E30" s="32" t="n">
        <x:f>'All Areas Data'!K30</x:f>
        <x:v>583910166.0894275</x:v>
      </x:c>
      <x:c r="F30" s="34" t="n">
        <x:f>IF(SUMIF($C$2:$C$367,C30,$E$2:$E$367)=0,"",E30/SUMIF($C$2:$C$367,C30,$E$2:$E$367))</x:f>
        <x:v>0.008788245730733361</x:v>
      </x:c>
      <x:c r="G30" s="35" t="n">
        <x:f>COUNTIFS($C$2:$C$367,C30,$E$2:$E$367,"&gt;"&amp;E30)+COUNTIFS($C$2:C30,C30,$E$2:E30,E30)</x:f>
        <x:v>29</x:v>
      </x:c>
      <x:c r="H30" s="34" t="n">
        <x:f>IF(SUMIF($C$2:$C$367,C30,$E$2:$E$367)=0,"",SUMIF($C$2:C30,C30,$F$2:F30))</x:f>
        <x:v>0.7067134986448832</x:v>
      </x:c>
    </x:row>
    <x:row r="31" ht="18" customHeight="1">
      <x:c r="A31" s="25" t="str">
        <x:f>'All Areas Data'!A31</x:f>
        <x:v>EEZ_583</x:v>
      </x:c>
      <x:c r="B31" s="25" t="str">
        <x:f>'All Areas Data'!B31</x:f>
        <x:v>Micronesia (Federated States of)</x:v>
      </x:c>
      <x:c r="C31" s="25" t="str">
        <x:f>'All Areas Data'!C31</x:f>
        <x:v>EEZ</x:v>
      </x:c>
      <x:c r="D31" s="32" t="n">
        <x:f>'All Areas Data'!E31</x:f>
        <x:v>227502.48946383104</x:v>
      </x:c>
      <x:c r="E31" s="32" t="n">
        <x:f>'All Areas Data'!K31</x:f>
        <x:v>577443311.7451106</x:v>
      </x:c>
      <x:c r="F31" s="34" t="n">
        <x:f>IF(SUMIF($C$2:$C$367,C31,$E$2:$E$367)=0,"",E31/SUMIF($C$2:$C$367,C31,$E$2:$E$367))</x:f>
        <x:v>0.00869091516794605</x:v>
      </x:c>
      <x:c r="G31" s="35" t="n">
        <x:f>COUNTIFS($C$2:$C$367,C31,$E$2:$E$367,"&gt;"&amp;E31)+COUNTIFS($C$2:C31,C31,$E$2:E31,E31)</x:f>
        <x:v>30</x:v>
      </x:c>
      <x:c r="H31" s="34" t="n">
        <x:f>IF(SUMIF($C$2:$C$367,C31,$E$2:$E$367)=0,"",SUMIF($C$2:C31,C31,$F$2:F31))</x:f>
        <x:v>0.7154044138128293</x:v>
      </x:c>
    </x:row>
    <x:row r="32" ht="18" customHeight="1">
      <x:c r="A32" s="25" t="str">
        <x:f>'All Areas Data'!A32</x:f>
        <x:v>EEZ_234</x:v>
      </x:c>
      <x:c r="B32" s="25" t="str">
        <x:f>'All Areas Data'!B32</x:f>
        <x:v>Faeroe Isl. (Denmark)</x:v>
      </x:c>
      <x:c r="C32" s="25" t="str">
        <x:f>'All Areas Data'!C32</x:f>
        <x:v>EEZ</x:v>
      </x:c>
      <x:c r="D32" s="32" t="n">
        <x:f>'All Areas Data'!E32</x:f>
        <x:v>573325.9947069994</x:v>
      </x:c>
      <x:c r="E32" s="32" t="n">
        <x:f>'All Areas Data'!K32</x:f>
        <x:v>566189494.4616262</x:v>
      </x:c>
      <x:c r="F32" s="34" t="n">
        <x:f>IF(SUMIF($C$2:$C$367,C32,$E$2:$E$367)=0,"",E32/SUMIF($C$2:$C$367,C32,$E$2:$E$367))</x:f>
        <x:v>0.008521537552278902</x:v>
      </x:c>
      <x:c r="G32" s="35" t="n">
        <x:f>COUNTIFS($C$2:$C$367,C32,$E$2:$E$367,"&gt;"&amp;E32)+COUNTIFS($C$2:C32,C32,$E$2:E32,E32)</x:f>
        <x:v>31</x:v>
      </x:c>
      <x:c r="H32" s="34" t="n">
        <x:f>IF(SUMIF($C$2:$C$367,C32,$E$2:$E$367)=0,"",SUMIF($C$2:C32,C32,$F$2:F32))</x:f>
        <x:v>0.7239259513651082</x:v>
      </x:c>
    </x:row>
    <x:row r="33" ht="18" customHeight="1">
      <x:c r="A33" s="25" t="str">
        <x:f>'All Areas Data'!A33</x:f>
        <x:v>EEZ_459</x:v>
      </x:c>
      <x:c r="B33" s="25" t="str">
        <x:f>'All Areas Data'!B33</x:f>
        <x:v>Malaysia (Peninsula West)</x:v>
      </x:c>
      <x:c r="C33" s="25" t="str">
        <x:f>'All Areas Data'!C33</x:f>
        <x:v>EEZ</x:v>
      </x:c>
      <x:c r="D33" s="32" t="n">
        <x:f>'All Areas Data'!E33</x:f>
        <x:v>1109839.2864373184</x:v>
      </x:c>
      <x:c r="E33" s="32" t="n">
        <x:f>'All Areas Data'!K33</x:f>
        <x:v>545876685.8837115</x:v>
      </x:c>
      <x:c r="F33" s="34" t="n">
        <x:f>IF(SUMIF($C$2:$C$367,C33,$E$2:$E$367)=0,"",E33/SUMIF($C$2:$C$367,C33,$E$2:$E$367))</x:f>
        <x:v>0.008215815947088142</x:v>
      </x:c>
      <x:c r="G33" s="35" t="n">
        <x:f>COUNTIFS($C$2:$C$367,C33,$E$2:$E$367,"&gt;"&amp;E33)+COUNTIFS($C$2:C33,C33,$E$2:E33,E33)</x:f>
        <x:v>32</x:v>
      </x:c>
      <x:c r="H33" s="34" t="n">
        <x:f>IF(SUMIF($C$2:$C$367,C33,$E$2:$E$367)=0,"",SUMIF($C$2:C33,C33,$F$2:F33))</x:f>
        <x:v>0.7321417673121963</x:v>
      </x:c>
    </x:row>
    <x:row r="34" ht="18" customHeight="1">
      <x:c r="A34" s="25" t="str">
        <x:f>'All Areas Data'!A34</x:f>
        <x:v>EEZ_948</x:v>
      </x:c>
      <x:c r="B34" s="25" t="str">
        <x:f>'All Areas Data'!B34</x:f>
        <x:v>Morocco (South)</x:v>
      </x:c>
      <x:c r="C34" s="25" t="str">
        <x:f>'All Areas Data'!C34</x:f>
        <x:v>EEZ</x:v>
      </x:c>
      <x:c r="D34" s="32" t="n">
        <x:f>'All Areas Data'!E34</x:f>
        <x:v>1708699.3094834066</x:v>
      </x:c>
      <x:c r="E34" s="32" t="n">
        <x:f>'All Areas Data'!K34</x:f>
        <x:v>544607108.7029006</x:v>
      </x:c>
      <x:c r="F34" s="34" t="n">
        <x:f>IF(SUMIF($C$2:$C$367,C34,$E$2:$E$367)=0,"",E34/SUMIF($C$2:$C$367,C34,$E$2:$E$367))</x:f>
        <x:v>0.00819670794574297</x:v>
      </x:c>
      <x:c r="G34" s="35" t="n">
        <x:f>COUNTIFS($C$2:$C$367,C34,$E$2:$E$367,"&gt;"&amp;E34)+COUNTIFS($C$2:C34,C34,$E$2:E34,E34)</x:f>
        <x:v>33</x:v>
      </x:c>
      <x:c r="H34" s="34" t="n">
        <x:f>IF(SUMIF($C$2:$C$367,C34,$E$2:$E$367)=0,"",SUMIF($C$2:C34,C34,$F$2:F34))</x:f>
        <x:v>0.7403384752579393</x:v>
      </x:c>
    </x:row>
    <x:row r="35" ht="18" customHeight="1">
      <x:c r="A35" s="25" t="str">
        <x:f>'All Areas Data'!A35</x:f>
        <x:v>EEZ_516</x:v>
      </x:c>
      <x:c r="B35" s="25" t="str">
        <x:f>'All Areas Data'!B35</x:f>
        <x:v>Namibia</x:v>
      </x:c>
      <x:c r="C35" s="25" t="str">
        <x:f>'All Areas Data'!C35</x:f>
        <x:v>EEZ</x:v>
      </x:c>
      <x:c r="D35" s="32" t="n">
        <x:f>'All Areas Data'!E35</x:f>
        <x:v>687243.3923951921</x:v>
      </x:c>
      <x:c r="E35" s="32" t="n">
        <x:f>'All Areas Data'!K35</x:f>
        <x:v>508372691.890099</x:v>
      </x:c>
      <x:c r="F35" s="34" t="n">
        <x:f>IF(SUMIF($C$2:$C$367,C35,$E$2:$E$367)=0,"",E35/SUMIF($C$2:$C$367,C35,$E$2:$E$367))</x:f>
        <x:v>0.0076513552915952274</x:v>
      </x:c>
      <x:c r="G35" s="35" t="n">
        <x:f>COUNTIFS($C$2:$C$367,C35,$E$2:$E$367,"&gt;"&amp;E35)+COUNTIFS($C$2:C35,C35,$E$2:E35,E35)</x:f>
        <x:v>34</x:v>
      </x:c>
      <x:c r="H35" s="34" t="n">
        <x:f>IF(SUMIF($C$2:$C$367,C35,$E$2:$E$367)=0,"",SUMIF($C$2:C35,C35,$F$2:F35))</x:f>
        <x:v>0.7479898305495345</x:v>
      </x:c>
    </x:row>
    <x:row r="36" ht="18" customHeight="1">
      <x:c r="A36" s="25" t="str">
        <x:f>'All Areas Data'!A36</x:f>
        <x:v>EEZ_923</x:v>
      </x:c>
      <x:c r="B36" s="25" t="str">
        <x:f>'All Areas Data'!B36</x:f>
        <x:v>Iran (Sea of Oman)</x:v>
      </x:c>
      <x:c r="C36" s="25" t="str">
        <x:f>'All Areas Data'!C36</x:f>
        <x:v>EEZ</x:v>
      </x:c>
      <x:c r="D36" s="32" t="n">
        <x:f>'All Areas Data'!E36</x:f>
        <x:v>367466.85709092283</x:v>
      </x:c>
      <x:c r="E36" s="32" t="n">
        <x:f>'All Areas Data'!K36</x:f>
        <x:v>498970402.0793729</x:v>
      </x:c>
      <x:c r="F36" s="34" t="n">
        <x:f>IF(SUMIF($C$2:$C$367,C36,$E$2:$E$367)=0,"",E36/SUMIF($C$2:$C$367,C36,$E$2:$E$367))</x:f>
        <x:v>0.00750984442556318</x:v>
      </x:c>
      <x:c r="G36" s="35" t="n">
        <x:f>COUNTIFS($C$2:$C$367,C36,$E$2:$E$367,"&gt;"&amp;E36)+COUNTIFS($C$2:C36,C36,$E$2:E36,E36)</x:f>
        <x:v>35</x:v>
      </x:c>
      <x:c r="H36" s="34" t="n">
        <x:f>IF(SUMIF($C$2:$C$367,C36,$E$2:$E$367)=0,"",SUMIF($C$2:C36,C36,$F$2:F36))</x:f>
        <x:v>0.7554996749750976</x:v>
      </x:c>
    </x:row>
    <x:row r="37" ht="18" customHeight="1">
      <x:c r="A37" s="25" t="str">
        <x:f>'All Areas Data'!A37</x:f>
        <x:v>EEZ_922</x:v>
      </x:c>
      <x:c r="B37" s="25" t="str">
        <x:f>'All Areas Data'!B37</x:f>
        <x:v>Iran (Persian Gulf)</x:v>
      </x:c>
      <x:c r="C37" s="25" t="str">
        <x:f>'All Areas Data'!C37</x:f>
        <x:v>EEZ</x:v>
      </x:c>
      <x:c r="D37" s="32" t="n">
        <x:f>'All Areas Data'!E37</x:f>
        <x:v>441683.33469723596</x:v>
      </x:c>
      <x:c r="E37" s="32" t="n">
        <x:f>'All Areas Data'!K37</x:f>
        <x:v>497624044.3117129</x:v>
      </x:c>
      <x:c r="F37" s="34" t="n">
        <x:f>IF(SUMIF($C$2:$C$367,C37,$E$2:$E$367)=0,"",E37/SUMIF($C$2:$C$367,C37,$E$2:$E$367))</x:f>
        <x:v>0.007489580824086742</x:v>
      </x:c>
      <x:c r="G37" s="35" t="n">
        <x:f>COUNTIFS($C$2:$C$367,C37,$E$2:$E$367,"&gt;"&amp;E37)+COUNTIFS($C$2:C37,C37,$E$2:E37,E37)</x:f>
        <x:v>36</x:v>
      </x:c>
      <x:c r="H37" s="34" t="n">
        <x:f>IF(SUMIF($C$2:$C$367,C37,$E$2:$E$367)=0,"",SUMIF($C$2:C37,C37,$F$2:F37))</x:f>
        <x:v>0.7629892557991844</x:v>
      </x:c>
    </x:row>
    <x:row r="38" ht="18" customHeight="1">
      <x:c r="A38" s="25" t="str">
        <x:f>'All Areas Data'!A38</x:f>
        <x:v>EEZ_372</x:v>
      </x:c>
      <x:c r="B38" s="25" t="str">
        <x:f>'All Areas Data'!B38</x:f>
        <x:v>Ireland</x:v>
      </x:c>
      <x:c r="C38" s="25" t="str">
        <x:f>'All Areas Data'!C38</x:f>
        <x:v>EEZ</x:v>
      </x:c>
      <x:c r="D38" s="32" t="n">
        <x:f>'All Areas Data'!E38</x:f>
        <x:v>408364.4619338022</x:v>
      </x:c>
      <x:c r="E38" s="32" t="n">
        <x:f>'All Areas Data'!K38</x:f>
        <x:v>466342206.9327241</x:v>
      </x:c>
      <x:c r="F38" s="34" t="n">
        <x:f>IF(SUMIF($C$2:$C$367,C38,$E$2:$E$367)=0,"",E38/SUMIF($C$2:$C$367,C38,$E$2:$E$367))</x:f>
        <x:v>0.007018767863873115</x:v>
      </x:c>
      <x:c r="G38" s="35" t="n">
        <x:f>COUNTIFS($C$2:$C$367,C38,$E$2:$E$367,"&gt;"&amp;E38)+COUNTIFS($C$2:C38,C38,$E$2:E38,E38)</x:f>
        <x:v>37</x:v>
      </x:c>
      <x:c r="H38" s="34" t="n">
        <x:f>IF(SUMIF($C$2:$C$367,C38,$E$2:$E$367)=0,"",SUMIF($C$2:C38,C38,$F$2:F38))</x:f>
        <x:v>0.7700080236630575</x:v>
      </x:c>
    </x:row>
    <x:row r="39" ht="18" customHeight="1">
      <x:c r="A39" s="25" t="str">
        <x:f>'All Areas Data'!A39</x:f>
        <x:v>EEZ_461</x:v>
      </x:c>
      <x:c r="B39" s="25" t="str">
        <x:f>'All Areas Data'!B39</x:f>
        <x:v>Malaysia (Sabah)</x:v>
      </x:c>
      <x:c r="C39" s="25" t="str">
        <x:f>'All Areas Data'!C39</x:f>
        <x:v>EEZ</x:v>
      </x:c>
      <x:c r="D39" s="32" t="n">
        <x:f>'All Areas Data'!E39</x:f>
        <x:v>490558.95726488077</x:v>
      </x:c>
      <x:c r="E39" s="32" t="n">
        <x:f>'All Areas Data'!K39</x:f>
        <x:v>463737305.0889255</x:v>
      </x:c>
      <x:c r="F39" s="34" t="n">
        <x:f>IF(SUMIF($C$2:$C$367,C39,$E$2:$E$367)=0,"",E39/SUMIF($C$2:$C$367,C39,$E$2:$E$367))</x:f>
        <x:v>0.006979562316792031</x:v>
      </x:c>
      <x:c r="G39" s="35" t="n">
        <x:f>COUNTIFS($C$2:$C$367,C39,$E$2:$E$367,"&gt;"&amp;E39)+COUNTIFS($C$2:C39,C39,$E$2:E39,E39)</x:f>
        <x:v>38</x:v>
      </x:c>
      <x:c r="H39" s="34" t="n">
        <x:f>IF(SUMIF($C$2:$C$367,C39,$E$2:$E$367)=0,"",SUMIF($C$2:C39,C39,$F$2:F39))</x:f>
        <x:v>0.7769875859798495</x:v>
      </x:c>
    </x:row>
    <x:row r="40" ht="18" customHeight="1">
      <x:c r="A40" s="25" t="str">
        <x:f>'All Areas Data'!A40</x:f>
        <x:v>EEZ_953</x:v>
      </x:c>
      <x:c r="B40" s="25" t="str">
        <x:f>'All Areas Data'!B40</x:f>
        <x:v>South Africa (Atlantic and Cape)</x:v>
      </x:c>
      <x:c r="C40" s="25" t="str">
        <x:f>'All Areas Data'!C40</x:f>
        <x:v>EEZ</x:v>
      </x:c>
      <x:c r="D40" s="32" t="n">
        <x:f>'All Areas Data'!E40</x:f>
        <x:v>649172.6258836817</x:v>
      </x:c>
      <x:c r="E40" s="32" t="n">
        <x:f>'All Areas Data'!K40</x:f>
        <x:v>448581864.5071265</x:v>
      </x:c>
      <x:c r="F40" s="34" t="n">
        <x:f>IF(SUMIF($C$2:$C$367,C40,$E$2:$E$367)=0,"",E40/SUMIF($C$2:$C$367,C40,$E$2:$E$367))</x:f>
        <x:v>0.00675146261289001</x:v>
      </x:c>
      <x:c r="G40" s="35" t="n">
        <x:f>COUNTIFS($C$2:$C$367,C40,$E$2:$E$367,"&gt;"&amp;E40)+COUNTIFS($C$2:C40,C40,$E$2:E40,E40)</x:f>
        <x:v>39</x:v>
      </x:c>
      <x:c r="H40" s="34" t="n">
        <x:f>IF(SUMIF($C$2:$C$367,C40,$E$2:$E$367)=0,"",SUMIF($C$2:C40,C40,$F$2:F40))</x:f>
        <x:v>0.7837390485927396</x:v>
      </x:c>
    </x:row>
    <x:row r="41" ht="18" customHeight="1">
      <x:c r="A41" s="25" t="str">
        <x:f>'All Areas Data'!A41</x:f>
        <x:v>EEZ_798</x:v>
      </x:c>
      <x:c r="B41" s="25" t="str">
        <x:f>'All Areas Data'!B41</x:f>
        <x:v>Tuvalu</x:v>
      </x:c>
      <x:c r="C41" s="25" t="str">
        <x:f>'All Areas Data'!C41</x:f>
        <x:v>EEZ</x:v>
      </x:c>
      <x:c r="D41" s="32" t="n">
        <x:f>'All Areas Data'!E41</x:f>
        <x:v>145109.2872791087</x:v>
      </x:c>
      <x:c r="E41" s="32" t="n">
        <x:f>'All Areas Data'!K41</x:f>
        <x:v>371273439.1947608</x:v>
      </x:c>
      <x:c r="F41" s="34" t="n">
        <x:f>IF(SUMIF($C$2:$C$367,C41,$E$2:$E$367)=0,"",E41/SUMIF($C$2:$C$367,C41,$E$2:$E$367))</x:f>
        <x:v>0.00558791815321526</x:v>
      </x:c>
      <x:c r="G41" s="35" t="n">
        <x:f>COUNTIFS($C$2:$C$367,C41,$E$2:$E$367,"&gt;"&amp;E41)+COUNTIFS($C$2:C41,C41,$E$2:E41,E41)</x:f>
        <x:v>40</x:v>
      </x:c>
      <x:c r="H41" s="34" t="n">
        <x:f>IF(SUMIF($C$2:$C$367,C41,$E$2:$E$367)=0,"",SUMIF($C$2:C41,C41,$F$2:F41))</x:f>
        <x:v>0.7893269667459548</x:v>
      </x:c>
    </x:row>
    <x:row r="42" ht="18" customHeight="1">
      <x:c r="A42" s="25" t="str">
        <x:f>'All Areas Data'!A42</x:f>
        <x:v>EEZ_050</x:v>
      </x:c>
      <x:c r="B42" s="25" t="str">
        <x:f>'All Areas Data'!B42</x:f>
        <x:v>Bangladesh</x:v>
      </x:c>
      <x:c r="C42" s="25" t="str">
        <x:f>'All Areas Data'!C42</x:f>
        <x:v>EEZ</x:v>
      </x:c>
      <x:c r="D42" s="32" t="n">
        <x:f>'All Areas Data'!E42</x:f>
        <x:v>1114582.7199230574</x:v>
      </x:c>
      <x:c r="E42" s="32" t="n">
        <x:f>'All Areas Data'!K42</x:f>
        <x:v>360072715.7005182</x:v>
      </x:c>
      <x:c r="F42" s="34" t="n">
        <x:f>IF(SUMIF($C$2:$C$367,C42,$E$2:$E$367)=0,"",E42/SUMIF($C$2:$C$367,C42,$E$2:$E$367))</x:f>
        <x:v>0.005419339635241097</x:v>
      </x:c>
      <x:c r="G42" s="35" t="n">
        <x:f>COUNTIFS($C$2:$C$367,C42,$E$2:$E$367,"&gt;"&amp;E42)+COUNTIFS($C$2:C42,C42,$E$2:E42,E42)</x:f>
        <x:v>41</x:v>
      </x:c>
      <x:c r="H42" s="34" t="n">
        <x:f>IF(SUMIF($C$2:$C$367,C42,$E$2:$E$367)=0,"",SUMIF($C$2:C42,C42,$F$2:F42))</x:f>
        <x:v>0.7947463063811959</x:v>
      </x:c>
    </x:row>
    <x:row r="43" ht="18" customHeight="1">
      <x:c r="A43" s="25" t="str">
        <x:f>'All Areas Data'!A43</x:f>
        <x:v>EEZ_926</x:v>
      </x:c>
      <x:c r="B43" s="25" t="str">
        <x:f>'All Areas Data'!B43</x:f>
        <x:v>Canada (East Coast)</x:v>
      </x:c>
      <x:c r="C43" s="25" t="str">
        <x:f>'All Areas Data'!C43</x:f>
        <x:v>EEZ</x:v>
      </x:c>
      <x:c r="D43" s="32" t="n">
        <x:f>'All Areas Data'!E43</x:f>
        <x:v>694924.7188260402</x:v>
      </x:c>
      <x:c r="E43" s="32" t="n">
        <x:f>'All Areas Data'!K43</x:f>
        <x:v>358887702.9263927</x:v>
      </x:c>
      <x:c r="F43" s="34" t="n">
        <x:f>IF(SUMIF($C$2:$C$367,C43,$E$2:$E$367)=0,"",E43/SUMIF($C$2:$C$367,C43,$E$2:$E$367))</x:f>
        <x:v>0.005401504385817682</x:v>
      </x:c>
      <x:c r="G43" s="35" t="n">
        <x:f>COUNTIFS($C$2:$C$367,C43,$E$2:$E$367,"&gt;"&amp;E43)+COUNTIFS($C$2:C43,C43,$E$2:E43,E43)</x:f>
        <x:v>42</x:v>
      </x:c>
      <x:c r="H43" s="34" t="n">
        <x:f>IF(SUMIF($C$2:$C$367,C43,$E$2:$E$367)=0,"",SUMIF($C$2:C43,C43,$F$2:F43))</x:f>
        <x:v>0.8001478107670136</x:v>
      </x:c>
    </x:row>
    <x:row r="44" ht="18" customHeight="1">
      <x:c r="A44" s="25" t="str">
        <x:f>'All Areas Data'!A44</x:f>
        <x:v>EEZ_152</x:v>
      </x:c>
      <x:c r="B44" s="25" t="str">
        <x:f>'All Areas Data'!B44</x:f>
        <x:v>Chile (mainland)</x:v>
      </x:c>
      <x:c r="C44" s="25" t="str">
        <x:f>'All Areas Data'!C44</x:f>
        <x:v>EEZ</x:v>
      </x:c>
      <x:c r="D44" s="32" t="n">
        <x:f>'All Areas Data'!E44</x:f>
        <x:v>1654215.540126388</x:v>
      </x:c>
      <x:c r="E44" s="32" t="n">
        <x:f>'All Areas Data'!K44</x:f>
        <x:v>345575776.78016967</x:v>
      </x:c>
      <x:c r="F44" s="34" t="n">
        <x:f>IF(SUMIF($C$2:$C$367,C44,$E$2:$E$367)=0,"",E44/SUMIF($C$2:$C$367,C44,$E$2:$E$367))</x:f>
        <x:v>0.005201150829883078</x:v>
      </x:c>
      <x:c r="G44" s="35" t="n">
        <x:f>COUNTIFS($C$2:$C$367,C44,$E$2:$E$367,"&gt;"&amp;E44)+COUNTIFS($C$2:C44,C44,$E$2:E44,E44)</x:f>
        <x:v>43</x:v>
      </x:c>
      <x:c r="H44" s="34" t="n">
        <x:f>IF(SUMIF($C$2:$C$367,C44,$E$2:$E$367)=0,"",SUMIF($C$2:C44,C44,$F$2:F44))</x:f>
        <x:v>0.8053489615968966</x:v>
      </x:c>
    </x:row>
    <x:row r="45" ht="18" customHeight="1">
      <x:c r="A45" s="25" t="str">
        <x:f>'All Areas Data'!A45</x:f>
        <x:v>EEZ_324</x:v>
      </x:c>
      <x:c r="B45" s="25" t="str">
        <x:f>'All Areas Data'!B45</x:f>
        <x:v>Guinea</x:v>
      </x:c>
      <x:c r="C45" s="25" t="str">
        <x:f>'All Areas Data'!C45</x:f>
        <x:v>EEZ</x:v>
      </x:c>
      <x:c r="D45" s="32" t="n">
        <x:f>'All Areas Data'!E45</x:f>
        <x:v>1012636.6535959236</x:v>
      </x:c>
      <x:c r="E45" s="32" t="n">
        <x:f>'All Areas Data'!K45</x:f>
        <x:v>336296938.66161853</x:v>
      </x:c>
      <x:c r="F45" s="34" t="n">
        <x:f>IF(SUMIF($C$2:$C$367,C45,$E$2:$E$367)=0,"",E45/SUMIF($C$2:$C$367,C45,$E$2:$E$367))</x:f>
        <x:v>0.005061497995907527</x:v>
      </x:c>
      <x:c r="G45" s="35" t="n">
        <x:f>COUNTIFS($C$2:$C$367,C45,$E$2:$E$367,"&gt;"&amp;E45)+COUNTIFS($C$2:C45,C45,$E$2:E45,E45)</x:f>
        <x:v>44</x:v>
      </x:c>
      <x:c r="H45" s="34" t="n">
        <x:f>IF(SUMIF($C$2:$C$367,C45,$E$2:$E$367)=0,"",SUMIF($C$2:C45,C45,$F$2:F45))</x:f>
        <x:v>0.8104104595928041</x:v>
      </x:c>
    </x:row>
    <x:row r="46" ht="18" customHeight="1">
      <x:c r="A46" s="25" t="str">
        <x:f>'All Areas Data'!A46</x:f>
        <x:v>EEZ_917</x:v>
      </x:c>
      <x:c r="B46" s="25" t="str">
        <x:f>'All Areas Data'!B46</x:f>
        <x:v>Yemen (Arabian Sea)</x:v>
      </x:c>
      <x:c r="C46" s="25" t="str">
        <x:f>'All Areas Data'!C46</x:f>
        <x:v>EEZ</x:v>
      </x:c>
      <x:c r="D46" s="32" t="n">
        <x:f>'All Areas Data'!E46</x:f>
        <x:v>324367.1527000878</x:v>
      </x:c>
      <x:c r="E46" s="32" t="n">
        <x:f>'All Areas Data'!K46</x:f>
        <x:v>331675839.9836948</x:v>
      </x:c>
      <x:c r="F46" s="34" t="n">
        <x:f>IF(SUMIF($C$2:$C$367,C46,$E$2:$E$367)=0,"",E46/SUMIF($C$2:$C$367,C46,$E$2:$E$367))</x:f>
        <x:v>0.004991947313138046</x:v>
      </x:c>
      <x:c r="G46" s="35" t="n">
        <x:f>COUNTIFS($C$2:$C$367,C46,$E$2:$E$367,"&gt;"&amp;E46)+COUNTIFS($C$2:C46,C46,$E$2:E46,E46)</x:f>
        <x:v>45</x:v>
      </x:c>
      <x:c r="H46" s="34" t="n">
        <x:f>IF(SUMIF($C$2:$C$367,C46,$E$2:$E$367)=0,"",SUMIF($C$2:C46,C46,$F$2:F46))</x:f>
        <x:v>0.8154024069059421</x:v>
      </x:c>
    </x:row>
    <x:row r="47" ht="18" customHeight="1">
      <x:c r="A47" s="25" t="str">
        <x:f>'All Areas Data'!A47</x:f>
        <x:v>EEZ_460</x:v>
      </x:c>
      <x:c r="B47" s="25" t="str">
        <x:f>'All Areas Data'!B47</x:f>
        <x:v>Malaysia (Peninsula East)</x:v>
      </x:c>
      <x:c r="C47" s="25" t="str">
        <x:f>'All Areas Data'!C47</x:f>
        <x:v>EEZ</x:v>
      </x:c>
      <x:c r="D47" s="32" t="n">
        <x:f>'All Areas Data'!E47</x:f>
        <x:v>493489.5345653823</x:v>
      </x:c>
      <x:c r="E47" s="32" t="n">
        <x:f>'All Areas Data'!K47</x:f>
        <x:v>326099085.0836484</x:v>
      </x:c>
      <x:c r="F47" s="34" t="n">
        <x:f>IF(SUMIF($C$2:$C$367,C47,$E$2:$E$367)=0,"",E47/SUMIF($C$2:$C$367,C47,$E$2:$E$367))</x:f>
        <x:v>0.004908013353279273</x:v>
      </x:c>
      <x:c r="G47" s="35" t="n">
        <x:f>COUNTIFS($C$2:$C$367,C47,$E$2:$E$367,"&gt;"&amp;E47)+COUNTIFS($C$2:C47,C47,$E$2:E47,E47)</x:f>
        <x:v>46</x:v>
      </x:c>
      <x:c r="H47" s="34" t="n">
        <x:f>IF(SUMIF($C$2:$C$367,C47,$E$2:$E$367)=0,"",SUMIF($C$2:C47,C47,$F$2:F47))</x:f>
        <x:v>0.8203104202592214</x:v>
      </x:c>
    </x:row>
    <x:row r="48" ht="18" customHeight="1">
      <x:c r="A48" s="25" t="str">
        <x:f>'All Areas Data'!A48</x:f>
        <x:v>EEZ_288</x:v>
      </x:c>
      <x:c r="B48" s="25" t="str">
        <x:f>'All Areas Data'!B48</x:f>
        <x:v>Ghana</x:v>
      </x:c>
      <x:c r="C48" s="25" t="str">
        <x:f>'All Areas Data'!C48</x:f>
        <x:v>EEZ</x:v>
      </x:c>
      <x:c r="D48" s="32" t="n">
        <x:f>'All Areas Data'!E48</x:f>
        <x:v>476804.00802107295</x:v>
      </x:c>
      <x:c r="E48" s="32" t="n">
        <x:f>'All Areas Data'!K48</x:f>
        <x:v>324126100.9393173</x:v>
      </x:c>
      <x:c r="F48" s="34" t="n">
        <x:f>IF(SUMIF($C$2:$C$367,C48,$E$2:$E$367)=0,"",E48/SUMIF($C$2:$C$367,C48,$E$2:$E$367))</x:f>
        <x:v>0.00487831859800665</x:v>
      </x:c>
      <x:c r="G48" s="35" t="n">
        <x:f>COUNTIFS($C$2:$C$367,C48,$E$2:$E$367,"&gt;"&amp;E48)+COUNTIFS($C$2:C48,C48,$E$2:E48,E48)</x:f>
        <x:v>47</x:v>
      </x:c>
      <x:c r="H48" s="34" t="n">
        <x:f>IF(SUMIF($C$2:$C$367,C48,$E$2:$E$367)=0,"",SUMIF($C$2:C48,C48,$F$2:F48))</x:f>
        <x:v>0.8251887388572281</x:v>
      </x:c>
    </x:row>
    <x:row r="49" ht="18" customHeight="1">
      <x:c r="A49" s="25" t="str">
        <x:f>'All Areas Data'!A49</x:f>
        <x:v>EEZ_946</x:v>
      </x:c>
      <x:c r="B49" s="25" t="str">
        <x:f>'All Areas Data'!B49</x:f>
        <x:v>Morocco (Central)</x:v>
      </x:c>
      <x:c r="C49" s="25" t="str">
        <x:f>'All Areas Data'!C49</x:f>
        <x:v>EEZ</x:v>
      </x:c>
      <x:c r="D49" s="32" t="n">
        <x:f>'All Areas Data'!E49</x:f>
        <x:v>947648.9249708244</x:v>
      </x:c>
      <x:c r="E49" s="32" t="n">
        <x:f>'All Areas Data'!K49</x:f>
        <x:v>316140800.3054868</x:v>
      </x:c>
      <x:c r="F49" s="34" t="n">
        <x:f>IF(SUMIF($C$2:$C$367,C49,$E$2:$E$367)=0,"",E49/SUMIF($C$2:$C$367,C49,$E$2:$E$367))</x:f>
        <x:v>0.0047581343842707045</x:v>
      </x:c>
      <x:c r="G49" s="35" t="n">
        <x:f>COUNTIFS($C$2:$C$367,C49,$E$2:$E$367,"&gt;"&amp;E49)+COUNTIFS($C$2:C49,C49,$E$2:E49,E49)</x:f>
        <x:v>48</x:v>
      </x:c>
      <x:c r="H49" s="34" t="n">
        <x:f>IF(SUMIF($C$2:$C$367,C49,$E$2:$E$367)=0,"",SUMIF($C$2:C49,C49,$F$2:F49))</x:f>
        <x:v>0.8299468732414989</x:v>
      </x:c>
    </x:row>
    <x:row r="50" ht="18" customHeight="1">
      <x:c r="A50" s="25" t="str">
        <x:f>'All Areas Data'!A50</x:f>
        <x:v>EEZ_956</x:v>
      </x:c>
      <x:c r="B50" s="25" t="str">
        <x:f>'All Areas Data'!B50</x:f>
        <x:v>Thailand (Andaman Sea)</x:v>
      </x:c>
      <x:c r="C50" s="25" t="str">
        <x:f>'All Areas Data'!C50</x:f>
        <x:v>EEZ</x:v>
      </x:c>
      <x:c r="D50" s="32" t="n">
        <x:f>'All Areas Data'!E50</x:f>
        <x:v>421454.11553944217</x:v>
      </x:c>
      <x:c r="E50" s="32" t="n">
        <x:f>'All Areas Data'!K50</x:f>
        <x:v>313495011.23728895</x:v>
      </x:c>
      <x:c r="F50" s="34" t="n">
        <x:f>IF(SUMIF($C$2:$C$367,C50,$E$2:$E$367)=0,"",E50/SUMIF($C$2:$C$367,C50,$E$2:$E$367))</x:f>
        <x:v>0.004718313456612031</x:v>
      </x:c>
      <x:c r="G50" s="35" t="n">
        <x:f>COUNTIFS($C$2:$C$367,C50,$E$2:$E$367,"&gt;"&amp;E50)+COUNTIFS($C$2:C50,C50,$E$2:E50,E50)</x:f>
        <x:v>49</x:v>
      </x:c>
      <x:c r="H50" s="34" t="n">
        <x:f>IF(SUMIF($C$2:$C$367,C50,$E$2:$E$367)=0,"",SUMIF($C$2:C50,C50,$F$2:F50))</x:f>
        <x:v>0.8346651866981109</x:v>
      </x:c>
    </x:row>
    <x:row r="51" ht="18" customHeight="1">
      <x:c r="A51" s="25" t="str">
        <x:f>'All Areas Data'!A51</x:f>
        <x:v>EEZ_944</x:v>
      </x:c>
      <x:c r="B51" s="25" t="str">
        <x:f>'All Areas Data'!B51</x:f>
        <x:v>Mexico (Atlantic)</x:v>
      </x:c>
      <x:c r="C51" s="25" t="str">
        <x:f>'All Areas Data'!C51</x:f>
        <x:v>EEZ</x:v>
      </x:c>
      <x:c r="D51" s="32" t="n">
        <x:f>'All Areas Data'!E51</x:f>
        <x:v>513071.273739008</x:v>
      </x:c>
      <x:c r="E51" s="32" t="n">
        <x:f>'All Areas Data'!K51</x:f>
        <x:v>306325336.4678513</x:v>
      </x:c>
      <x:c r="F51" s="34" t="n">
        <x:f>IF(SUMIF($C$2:$C$367,C51,$E$2:$E$367)=0,"",E51/SUMIF($C$2:$C$367,C51,$E$2:$E$367))</x:f>
        <x:v>0.004610404967699702</x:v>
      </x:c>
      <x:c r="G51" s="35" t="n">
        <x:f>COUNTIFS($C$2:$C$367,C51,$E$2:$E$367,"&gt;"&amp;E51)+COUNTIFS($C$2:C51,C51,$E$2:E51,E51)</x:f>
        <x:v>50</x:v>
      </x:c>
      <x:c r="H51" s="34" t="n">
        <x:f>IF(SUMIF($C$2:$C$367,C51,$E$2:$E$367)=0,"",SUMIF($C$2:C51,C51,$F$2:F51))</x:f>
        <x:v>0.8392755916658106</x:v>
      </x:c>
    </x:row>
    <x:row r="52" ht="18" customHeight="1">
      <x:c r="A52" s="25" t="str">
        <x:f>'All Areas Data'!A52</x:f>
        <x:v>EEZ_090</x:v>
      </x:c>
      <x:c r="B52" s="25" t="str">
        <x:f>'All Areas Data'!B52</x:f>
        <x:v>Solomon Isl.</x:v>
      </x:c>
      <x:c r="C52" s="25" t="str">
        <x:f>'All Areas Data'!C52</x:f>
        <x:v>EEZ</x:v>
      </x:c>
      <x:c r="D52" s="32" t="n">
        <x:f>'All Areas Data'!E52</x:f>
        <x:v>142760.9815038889</x:v>
      </x:c>
      <x:c r="E52" s="32" t="n">
        <x:f>'All Areas Data'!K52</x:f>
        <x:v>304737248.27830005</x:v>
      </x:c>
      <x:c r="F52" s="34" t="n">
        <x:f>IF(SUMIF($C$2:$C$367,C52,$E$2:$E$367)=0,"",E52/SUMIF($C$2:$C$367,C52,$E$2:$E$367))</x:f>
        <x:v>0.004586503158718842</x:v>
      </x:c>
      <x:c r="G52" s="35" t="n">
        <x:f>COUNTIFS($C$2:$C$367,C52,$E$2:$E$367,"&gt;"&amp;E52)+COUNTIFS($C$2:C52,C52,$E$2:E52,E52)</x:f>
        <x:v>51</x:v>
      </x:c>
      <x:c r="H52" s="34" t="n">
        <x:f>IF(SUMIF($C$2:$C$367,C52,$E$2:$E$367)=0,"",SUMIF($C$2:C52,C52,$F$2:F52))</x:f>
        <x:v>0.8438620948245295</x:v>
      </x:c>
    </x:row>
    <x:row r="53" ht="18" customHeight="1">
      <x:c r="A53" s="25" t="str">
        <x:f>'All Areas Data'!A53</x:f>
        <x:v>EEZ_566</x:v>
      </x:c>
      <x:c r="B53" s="25" t="str">
        <x:f>'All Areas Data'!B53</x:f>
        <x:v>Nigeria</x:v>
      </x:c>
      <x:c r="C53" s="25" t="str">
        <x:f>'All Areas Data'!C53</x:f>
        <x:v>EEZ</x:v>
      </x:c>
      <x:c r="D53" s="32" t="n">
        <x:f>'All Areas Data'!E53</x:f>
        <x:v>532269.8890131604</x:v>
      </x:c>
      <x:c r="E53" s="32" t="n">
        <x:f>'All Areas Data'!K53</x:f>
        <x:v>304675912.1204597</x:v>
      </x:c>
      <x:c r="F53" s="34" t="n">
        <x:f>IF(SUMIF($C$2:$C$367,C53,$E$2:$E$367)=0,"",E53/SUMIF($C$2:$C$367,C53,$E$2:$E$367))</x:f>
        <x:v>0.004585580007764149</x:v>
      </x:c>
      <x:c r="G53" s="35" t="n">
        <x:f>COUNTIFS($C$2:$C$367,C53,$E$2:$E$367,"&gt;"&amp;E53)+COUNTIFS($C$2:C53,C53,$E$2:E53,E53)</x:f>
        <x:v>52</x:v>
      </x:c>
      <x:c r="H53" s="34" t="n">
        <x:f>IF(SUMIF($C$2:$C$367,C53,$E$2:$E$367)=0,"",SUMIF($C$2:C53,C53,$F$2:F53))</x:f>
        <x:v>0.8484476748322936</x:v>
      </x:c>
    </x:row>
    <x:row r="54" ht="18" customHeight="1">
      <x:c r="A54" s="25" t="str">
        <x:f>'All Areas Data'!A54</x:f>
        <x:v>EEZ_852</x:v>
      </x:c>
      <x:c r="B54" s="25" t="str">
        <x:f>'All Areas Data'!B54</x:f>
        <x:v>USA (Gulf of Mexico)</x:v>
      </x:c>
      <x:c r="C54" s="25" t="str">
        <x:f>'All Areas Data'!C54</x:f>
        <x:v>EEZ</x:v>
      </x:c>
      <x:c r="D54" s="32" t="n">
        <x:f>'All Areas Data'!E54</x:f>
        <x:v>1104194.026503118</x:v>
      </x:c>
      <x:c r="E54" s="32" t="n">
        <x:f>'All Areas Data'!K54</x:f>
        <x:v>288829700.6693002</x:v>
      </x:c>
      <x:c r="F54" s="34" t="n">
        <x:f>IF(SUMIF($C$2:$C$367,C54,$E$2:$E$367)=0,"",E54/SUMIF($C$2:$C$367,C54,$E$2:$E$367))</x:f>
        <x:v>0.004347083731758874</x:v>
      </x:c>
      <x:c r="G54" s="35" t="n">
        <x:f>COUNTIFS($C$2:$C$367,C54,$E$2:$E$367,"&gt;"&amp;E54)+COUNTIFS($C$2:C54,C54,$E$2:E54,E54)</x:f>
        <x:v>53</x:v>
      </x:c>
      <x:c r="H54" s="34" t="n">
        <x:f>IF(SUMIF($C$2:$C$367,C54,$E$2:$E$367)=0,"",SUMIF($C$2:C54,C54,$F$2:F54))</x:f>
        <x:v>0.8527947585640524</x:v>
      </x:c>
    </x:row>
    <x:row r="55" ht="18" customHeight="1">
      <x:c r="A55" s="25" t="str">
        <x:f>'All Areas Data'!A55</x:f>
        <x:v>EEZ_925</x:v>
      </x:c>
      <x:c r="B55" s="25" t="str">
        <x:f>'All Areas Data'!B55</x:f>
        <x:v>Canada (Pacific)</x:v>
      </x:c>
      <x:c r="C55" s="25" t="str">
        <x:f>'All Areas Data'!C55</x:f>
        <x:v>EEZ</x:v>
      </x:c>
      <x:c r="D55" s="32" t="n">
        <x:f>'All Areas Data'!E55</x:f>
        <x:v>198174.6028298108</x:v>
      </x:c>
      <x:c r="E55" s="32" t="n">
        <x:f>'All Areas Data'!K55</x:f>
        <x:v>276796938.98617065</x:v>
      </x:c>
      <x:c r="F55" s="34" t="n">
        <x:f>IF(SUMIF($C$2:$C$367,C55,$E$2:$E$367)=0,"",E55/SUMIF($C$2:$C$367,C55,$E$2:$E$367))</x:f>
        <x:v>0.004165982472298185</x:v>
      </x:c>
      <x:c r="G55" s="35" t="n">
        <x:f>COUNTIFS($C$2:$C$367,C55,$E$2:$E$367,"&gt;"&amp;E55)+COUNTIFS($C$2:C55,C55,$E$2:E55,E55)</x:f>
        <x:v>54</x:v>
      </x:c>
      <x:c r="H55" s="34" t="n">
        <x:f>IF(SUMIF($C$2:$C$367,C55,$E$2:$E$367)=0,"",SUMIF($C$2:C55,C55,$F$2:F55))</x:f>
        <x:v>0.8569607410363506</x:v>
      </x:c>
    </x:row>
    <x:row r="56" ht="18" customHeight="1">
      <x:c r="A56" s="25" t="str">
        <x:f>'All Areas Data'!A56</x:f>
        <x:v>EEZ_942</x:v>
      </x:c>
      <x:c r="B56" s="25" t="str">
        <x:f>'All Areas Data'!B56</x:f>
        <x:v>Kiribati (Line Islands)</x:v>
      </x:c>
      <x:c r="C56" s="25" t="str">
        <x:f>'All Areas Data'!C56</x:f>
        <x:v>EEZ</x:v>
      </x:c>
      <x:c r="D56" s="32" t="n">
        <x:f>'All Areas Data'!E56</x:f>
        <x:v>110424.34936910501</x:v>
      </x:c>
      <x:c r="E56" s="32" t="n">
        <x:f>'All Areas Data'!K56</x:f>
        <x:v>275077618.8439184</x:v>
      </x:c>
      <x:c r="F56" s="34" t="n">
        <x:f>IF(SUMIF($C$2:$C$367,C56,$E$2:$E$367)=0,"",E56/SUMIF($C$2:$C$367,C56,$E$2:$E$367))</x:f>
        <x:v>0.004140105533040378</x:v>
      </x:c>
      <x:c r="G56" s="35" t="n">
        <x:f>COUNTIFS($C$2:$C$367,C56,$E$2:$E$367,"&gt;"&amp;E56)+COUNTIFS($C$2:C56,C56,$E$2:E56,E56)</x:f>
        <x:v>55</x:v>
      </x:c>
      <x:c r="H56" s="34" t="n">
        <x:f>IF(SUMIF($C$2:$C$367,C56,$E$2:$E$367)=0,"",SUMIF($C$2:C56,C56,$F$2:F56))</x:f>
        <x:v>0.8611008465693909</x:v>
      </x:c>
    </x:row>
    <x:row r="57" ht="18" customHeight="1">
      <x:c r="A57" s="25" t="str">
        <x:f>'All Areas Data'!A57</x:f>
        <x:v>EEZ_686</x:v>
      </x:c>
      <x:c r="B57" s="25" t="str">
        <x:f>'All Areas Data'!B57</x:f>
        <x:v>Senegal</x:v>
      </x:c>
      <x:c r="C57" s="25" t="str">
        <x:f>'All Areas Data'!C57</x:f>
        <x:v>EEZ</x:v>
      </x:c>
      <x:c r="D57" s="32" t="n">
        <x:f>'All Areas Data'!E57</x:f>
        <x:v>542145.3642563997</x:v>
      </x:c>
      <x:c r="E57" s="32" t="n">
        <x:f>'All Areas Data'!K57</x:f>
        <x:v>263403378.0497803</x:v>
      </x:c>
      <x:c r="F57" s="34" t="n">
        <x:f>IF(SUMIF($C$2:$C$367,C57,$E$2:$E$367)=0,"",E57/SUMIF($C$2:$C$367,C57,$E$2:$E$367))</x:f>
        <x:v>0.003964400257165931</x:v>
      </x:c>
      <x:c r="G57" s="35" t="n">
        <x:f>COUNTIFS($C$2:$C$367,C57,$E$2:$E$367,"&gt;"&amp;E57)+COUNTIFS($C$2:C57,C57,$E$2:E57,E57)</x:f>
        <x:v>56</x:v>
      </x:c>
      <x:c r="H57" s="34" t="n">
        <x:f>IF(SUMIF($C$2:$C$367,C57,$E$2:$E$367)=0,"",SUMIF($C$2:C57,C57,$F$2:F57))</x:f>
        <x:v>0.8650652468265568</x:v>
      </x:c>
    </x:row>
    <x:row r="58" ht="18" customHeight="1">
      <x:c r="A58" s="25" t="str">
        <x:f>'All Areas Data'!A58</x:f>
        <x:v>EEZ_645</x:v>
      </x:c>
      <x:c r="B58" s="25" t="str">
        <x:f>'All Areas Data'!B58</x:f>
        <x:v>Russia (Barents Sea)</x:v>
      </x:c>
      <x:c r="C58" s="25" t="str">
        <x:f>'All Areas Data'!C58</x:f>
        <x:v>EEZ</x:v>
      </x:c>
      <x:c r="D58" s="32" t="n">
        <x:f>'All Areas Data'!E58</x:f>
        <x:v>257638.50382026174</x:v>
      </x:c>
      <x:c r="E58" s="32" t="n">
        <x:f>'All Areas Data'!K58</x:f>
        <x:v>256304293.92408934</x:v>
      </x:c>
      <x:c r="F58" s="34" t="n">
        <x:f>IF(SUMIF($C$2:$C$367,C58,$E$2:$E$367)=0,"",E58/SUMIF($C$2:$C$367,C58,$E$2:$E$367))</x:f>
        <x:v>0.0038575542055248884</x:v>
      </x:c>
      <x:c r="G58" s="35" t="n">
        <x:f>COUNTIFS($C$2:$C$367,C58,$E$2:$E$367,"&gt;"&amp;E58)+COUNTIFS($C$2:C58,C58,$E$2:E58,E58)</x:f>
        <x:v>57</x:v>
      </x:c>
      <x:c r="H58" s="34" t="n">
        <x:f>IF(SUMIF($C$2:$C$367,C58,$E$2:$E$367)=0,"",SUMIF($C$2:C58,C58,$F$2:F58))</x:f>
        <x:v>0.8689228010320817</x:v>
      </x:c>
    </x:row>
    <x:row r="59" ht="18" customHeight="1">
      <x:c r="A59" s="25" t="str">
        <x:f>'All Areas Data'!A59</x:f>
        <x:v>EEZ_304</x:v>
      </x:c>
      <x:c r="B59" s="25" t="str">
        <x:f>'All Areas Data'!B59</x:f>
        <x:v>Greenland (Denmark)</x:v>
      </x:c>
      <x:c r="C59" s="25" t="str">
        <x:f>'All Areas Data'!C59</x:f>
        <x:v>EEZ</x:v>
      </x:c>
      <x:c r="D59" s="32" t="n">
        <x:f>'All Areas Data'!E59</x:f>
        <x:v>262286.0841378048</x:v>
      </x:c>
      <x:c r="E59" s="32" t="n">
        <x:f>'All Areas Data'!K59</x:f>
        <x:v>248197559.24175024</x:v>
      </x:c>
      <x:c r="F59" s="34" t="n">
        <x:f>IF(SUMIF($C$2:$C$367,C59,$E$2:$E$367)=0,"",E59/SUMIF($C$2:$C$367,C59,$E$2:$E$367))</x:f>
        <x:v>0.003735542326643945</x:v>
      </x:c>
      <x:c r="G59" s="35" t="n">
        <x:f>COUNTIFS($C$2:$C$367,C59,$E$2:$E$367,"&gt;"&amp;E59)+COUNTIFS($C$2:C59,C59,$E$2:E59,E59)</x:f>
        <x:v>58</x:v>
      </x:c>
      <x:c r="H59" s="34" t="n">
        <x:f>IF(SUMIF($C$2:$C$367,C59,$E$2:$E$367)=0,"",SUMIF($C$2:C59,C59,$F$2:F59))</x:f>
        <x:v>0.8726583433587257</x:v>
      </x:c>
    </x:row>
    <x:row r="60" ht="18" customHeight="1">
      <x:c r="A60" s="25" t="str">
        <x:f>'All Areas Data'!A60</x:f>
        <x:v>EEZ_238</x:v>
      </x:c>
      <x:c r="B60" s="25" t="str">
        <x:f>'All Areas Data'!B60</x:f>
        <x:v>Falkland Isl. (UK)</x:v>
      </x:c>
      <x:c r="C60" s="25" t="str">
        <x:f>'All Areas Data'!C60</x:f>
        <x:v>EEZ</x:v>
      </x:c>
      <x:c r="D60" s="32" t="n">
        <x:f>'All Areas Data'!E60</x:f>
        <x:v>278214.9808580502</x:v>
      </x:c>
      <x:c r="E60" s="32" t="n">
        <x:f>'All Areas Data'!K60</x:f>
        <x:v>240475941.02839914</x:v>
      </x:c>
      <x:c r="F60" s="34" t="n">
        <x:f>IF(SUMIF($C$2:$C$367,C60,$E$2:$E$367)=0,"",E60/SUMIF($C$2:$C$367,C60,$E$2:$E$367))</x:f>
        <x:v>0.003619326712943801</x:v>
      </x:c>
      <x:c r="G60" s="35" t="n">
        <x:f>COUNTIFS($C$2:$C$367,C60,$E$2:$E$367,"&gt;"&amp;E60)+COUNTIFS($C$2:C60,C60,$E$2:E60,E60)</x:f>
        <x:v>59</x:v>
      </x:c>
      <x:c r="H60" s="34" t="n">
        <x:f>IF(SUMIF($C$2:$C$367,C60,$E$2:$E$367)=0,"",SUMIF($C$2:C60,C60,$F$2:F60))</x:f>
        <x:v>0.8762776700716696</x:v>
      </x:c>
    </x:row>
    <x:row r="61" ht="18" customHeight="1">
      <x:c r="A61" s="25" t="str">
        <x:f>'All Areas Data'!A61</x:f>
        <x:v>EEZ_024</x:v>
      </x:c>
      <x:c r="B61" s="25" t="str">
        <x:f>'All Areas Data'!B61</x:f>
        <x:v>Angola</x:v>
      </x:c>
      <x:c r="C61" s="25" t="str">
        <x:f>'All Areas Data'!C61</x:f>
        <x:v>EEZ</x:v>
      </x:c>
      <x:c r="D61" s="32" t="n">
        <x:f>'All Areas Data'!E61</x:f>
        <x:v>619737.0070171056</x:v>
      </x:c>
      <x:c r="E61" s="32" t="n">
        <x:f>'All Areas Data'!K61</x:f>
        <x:v>238291043.5932122</x:v>
      </x:c>
      <x:c r="F61" s="34" t="n">
        <x:f>IF(SUMIF($C$2:$C$367,C61,$E$2:$E$367)=0,"",E61/SUMIF($C$2:$C$367,C61,$E$2:$E$367))</x:f>
        <x:v>0.003586442518298813</x:v>
      </x:c>
      <x:c r="G61" s="35" t="n">
        <x:f>COUNTIFS($C$2:$C$367,C61,$E$2:$E$367,"&gt;"&amp;E61)+COUNTIFS($C$2:C61,C61,$E$2:E61,E61)</x:f>
        <x:v>60</x:v>
      </x:c>
      <x:c r="H61" s="34" t="n">
        <x:f>IF(SUMIF($C$2:$C$367,C61,$E$2:$E$367)=0,"",SUMIF($C$2:C61,C61,$F$2:F61))</x:f>
        <x:v>0.8798641125899683</x:v>
      </x:c>
    </x:row>
    <x:row r="62" ht="18" customHeight="1">
      <x:c r="A62" s="25" t="str">
        <x:f>'All Areas Data'!A62</x:f>
        <x:v>EEZ_919</x:v>
      </x:c>
      <x:c r="B62" s="25" t="str">
        <x:f>'All Areas Data'!B62</x:f>
        <x:v>France (Atlantic Coast)</x:v>
      </x:c>
      <x:c r="C62" s="25" t="str">
        <x:f>'All Areas Data'!C62</x:f>
        <x:v>EEZ</x:v>
      </x:c>
      <x:c r="D62" s="32" t="n">
        <x:f>'All Areas Data'!E62</x:f>
        <x:v>270826.2519812341</x:v>
      </x:c>
      <x:c r="E62" s="32" t="n">
        <x:f>'All Areas Data'!K62</x:f>
        <x:v>220204619.0813137</x:v>
      </x:c>
      <x:c r="F62" s="34" t="n">
        <x:f>IF(SUMIF($C$2:$C$367,C62,$E$2:$E$367)=0,"",E62/SUMIF($C$2:$C$367,C62,$E$2:$E$367))</x:f>
        <x:v>0.0033142295098056882</x:v>
      </x:c>
      <x:c r="G62" s="35" t="n">
        <x:f>COUNTIFS($C$2:$C$367,C62,$E$2:$E$367,"&gt;"&amp;E62)+COUNTIFS($C$2:C62,C62,$E$2:E62,E62)</x:f>
        <x:v>61</x:v>
      </x:c>
      <x:c r="H62" s="34" t="n">
        <x:f>IF(SUMIF($C$2:$C$367,C62,$E$2:$E$367)=0,"",SUMIF($C$2:C62,C62,$F$2:F62))</x:f>
        <x:v>0.883178342099774</x:v>
      </x:c>
    </x:row>
    <x:row r="63" ht="18" customHeight="1">
      <x:c r="A63" s="25" t="str">
        <x:f>'All Areas Data'!A63</x:f>
        <x:v>EEZ_744</x:v>
      </x:c>
      <x:c r="B63" s="25" t="str">
        <x:f>'All Areas Data'!B63</x:f>
        <x:v>Svalbard Isl. (Norway)</x:v>
      </x:c>
      <x:c r="C63" s="25" t="str">
        <x:f>'All Areas Data'!C63</x:f>
        <x:v>EEZ</x:v>
      </x:c>
      <x:c r="D63" s="32" t="n">
        <x:f>'All Areas Data'!E63</x:f>
        <x:v>219891.4498277699</x:v>
      </x:c>
      <x:c r="E63" s="32" t="n">
        <x:f>'All Areas Data'!K63</x:f>
        <x:v>218315950.64442787</x:v>
      </x:c>
      <x:c r="F63" s="34" t="n">
        <x:f>IF(SUMIF($C$2:$C$367,C63,$E$2:$E$367)=0,"",E63/SUMIF($C$2:$C$367,C63,$E$2:$E$367))</x:f>
        <x:v>0.0032858037633618584</x:v>
      </x:c>
      <x:c r="G63" s="35" t="n">
        <x:f>COUNTIFS($C$2:$C$367,C63,$E$2:$E$367,"&gt;"&amp;E63)+COUNTIFS($C$2:C63,C63,$E$2:E63,E63)</x:f>
        <x:v>62</x:v>
      </x:c>
      <x:c r="H63" s="34" t="n">
        <x:f>IF(SUMIF($C$2:$C$367,C63,$E$2:$E$367)=0,"",SUMIF($C$2:C63,C63,$F$2:F63))</x:f>
        <x:v>0.8864641458631358</x:v>
      </x:c>
    </x:row>
    <x:row r="64" ht="18" customHeight="1">
      <x:c r="A64" s="25" t="str">
        <x:f>'All Areas Data'!A64</x:f>
        <x:v>EEZ_963</x:v>
      </x:c>
      <x:c r="B64" s="25" t="str">
        <x:f>'All Areas Data'!B64</x:f>
        <x:v>Spain (Northwest)</x:v>
      </x:c>
      <x:c r="C64" s="25" t="str">
        <x:f>'All Areas Data'!C64</x:f>
        <x:v>EEZ</x:v>
      </x:c>
      <x:c r="D64" s="32" t="n">
        <x:f>'All Areas Data'!E64</x:f>
        <x:v>194491.9853032628</x:v>
      </x:c>
      <x:c r="E64" s="32" t="n">
        <x:f>'All Areas Data'!K64</x:f>
        <x:v>218230163.06143558</x:v>
      </x:c>
      <x:c r="F64" s="34" t="n">
        <x:f>IF(SUMIF($C$2:$C$367,C64,$E$2:$E$367)=0,"",E64/SUMIF($C$2:$C$367,C64,$E$2:$E$367))</x:f>
        <x:v>0.0032845126018035127</x:v>
      </x:c>
      <x:c r="G64" s="35" t="n">
        <x:f>COUNTIFS($C$2:$C$367,C64,$E$2:$E$367,"&gt;"&amp;E64)+COUNTIFS($C$2:C64,C64,$E$2:E64,E64)</x:f>
        <x:v>63</x:v>
      </x:c>
      <x:c r="H64" s="34" t="n">
        <x:f>IF(SUMIF($C$2:$C$367,C64,$E$2:$E$367)=0,"",SUMIF($C$2:C64,C64,$F$2:F64))</x:f>
        <x:v>0.8897486584649393</x:v>
      </x:c>
    </x:row>
    <x:row r="65" ht="18" customHeight="1">
      <x:c r="A65" s="25" t="str">
        <x:f>'All Areas Data'!A65</x:f>
        <x:v>EEZ_520</x:v>
      </x:c>
      <x:c r="B65" s="25" t="str">
        <x:f>'All Areas Data'!B65</x:f>
        <x:v>Nauru</x:v>
      </x:c>
      <x:c r="C65" s="25" t="str">
        <x:f>'All Areas Data'!C65</x:f>
        <x:v>EEZ</x:v>
      </x:c>
      <x:c r="D65" s="32" t="n">
        <x:f>'All Areas Data'!E65</x:f>
        <x:v>81729.3484479404</x:v>
      </x:c>
      <x:c r="E65" s="32" t="n">
        <x:f>'All Areas Data'!K65</x:f>
        <x:v>211818272.35681504</x:v>
      </x:c>
      <x:c r="F65" s="34" t="n">
        <x:f>IF(SUMIF($C$2:$C$367,C65,$E$2:$E$367)=0,"",E65/SUMIF($C$2:$C$367,C65,$E$2:$E$367))</x:f>
        <x:v>0.0031880092792321768</x:v>
      </x:c>
      <x:c r="G65" s="35" t="n">
        <x:f>COUNTIFS($C$2:$C$367,C65,$E$2:$E$367,"&gt;"&amp;E65)+COUNTIFS($C$2:C65,C65,$E$2:E65,E65)</x:f>
        <x:v>64</x:v>
      </x:c>
      <x:c r="H65" s="34" t="n">
        <x:f>IF(SUMIF($C$2:$C$367,C65,$E$2:$E$367)=0,"",SUMIF($C$2:C65,C65,$F$2:F65))</x:f>
        <x:v>0.8929366677441715</x:v>
      </x:c>
    </x:row>
    <x:row r="66" ht="18" customHeight="1">
      <x:c r="A66" s="25" t="str">
        <x:f>'All Areas Data'!A66</x:f>
        <x:v>EEZ_943</x:v>
      </x:c>
      <x:c r="B66" s="25" t="str">
        <x:f>'All Areas Data'!B66</x:f>
        <x:v>Kiribati (Phoenix Islands)</x:v>
      </x:c>
      <x:c r="C66" s="25" t="str">
        <x:f>'All Areas Data'!C66</x:f>
        <x:v>EEZ</x:v>
      </x:c>
      <x:c r="D66" s="32" t="n">
        <x:f>'All Areas Data'!E66</x:f>
        <x:v>77760.627954773</x:v>
      </x:c>
      <x:c r="E66" s="32" t="n">
        <x:f>'All Areas Data'!K66</x:f>
        <x:v>197891389.7807206</x:v>
      </x:c>
      <x:c r="F66" s="34" t="n">
        <x:f>IF(SUMIF($C$2:$C$367,C66,$E$2:$E$367)=0,"",E66/SUMIF($C$2:$C$367,C66,$E$2:$E$367))</x:f>
        <x:v>0.0029784002101497214</x:v>
      </x:c>
      <x:c r="G66" s="35" t="n">
        <x:f>COUNTIFS($C$2:$C$367,C66,$E$2:$E$367,"&gt;"&amp;E66)+COUNTIFS($C$2:C66,C66,$E$2:E66,E66)</x:f>
        <x:v>65</x:v>
      </x:c>
      <x:c r="H66" s="34" t="n">
        <x:f>IF(SUMIF($C$2:$C$367,C66,$E$2:$E$367)=0,"",SUMIF($C$2:C66,C66,$F$2:F66))</x:f>
        <x:v>0.8959150679543212</x:v>
      </x:c>
    </x:row>
    <x:row r="67" ht="18" customHeight="1">
      <x:c r="A67" s="25" t="str">
        <x:f>'All Areas Data'!A67</x:f>
        <x:v>EEZ_694</x:v>
      </x:c>
      <x:c r="B67" s="25" t="str">
        <x:f>'All Areas Data'!B67</x:f>
        <x:v>Sierra Leone</x:v>
      </x:c>
      <x:c r="C67" s="25" t="str">
        <x:f>'All Areas Data'!C67</x:f>
        <x:v>EEZ</x:v>
      </x:c>
      <x:c r="D67" s="32" t="n">
        <x:f>'All Areas Data'!E67</x:f>
        <x:v>442517.00676733244</x:v>
      </x:c>
      <x:c r="E67" s="32" t="n">
        <x:f>'All Areas Data'!K67</x:f>
        <x:v>188913523.83892518</x:v>
      </x:c>
      <x:c r="F67" s="34" t="n">
        <x:f>IF(SUMIF($C$2:$C$367,C67,$E$2:$E$367)=0,"",E67/SUMIF($C$2:$C$367,C67,$E$2:$E$367))</x:f>
        <x:v>0.0028432772124418917</x:v>
      </x:c>
      <x:c r="G67" s="35" t="n">
        <x:f>COUNTIFS($C$2:$C$367,C67,$E$2:$E$367,"&gt;"&amp;E67)+COUNTIFS($C$2:C67,C67,$E$2:E67,E67)</x:f>
        <x:v>66</x:v>
      </x:c>
      <x:c r="H67" s="34" t="n">
        <x:f>IF(SUMIF($C$2:$C$367,C67,$E$2:$E$367)=0,"",SUMIF($C$2:C67,C67,$F$2:F67))</x:f>
        <x:v>0.8987583451667631</x:v>
      </x:c>
    </x:row>
    <x:row r="68" ht="18" customHeight="1">
      <x:c r="A68" s="25" t="str">
        <x:f>'All Areas Data'!A68</x:f>
        <x:v>EEZ_512</x:v>
      </x:c>
      <x:c r="B68" s="25" t="str">
        <x:f>'All Areas Data'!B68</x:f>
        <x:v>Oman</x:v>
      </x:c>
      <x:c r="C68" s="25" t="str">
        <x:f>'All Areas Data'!C68</x:f>
        <x:v>EEZ</x:v>
      </x:c>
      <x:c r="D68" s="32" t="n">
        <x:f>'All Areas Data'!E68</x:f>
        <x:v>304318.44171610783</x:v>
      </x:c>
      <x:c r="E68" s="32" t="n">
        <x:f>'All Areas Data'!K68</x:f>
        <x:v>187008419.87587023</x:v>
      </x:c>
      <x:c r="F68" s="34" t="n">
        <x:f>IF(SUMIF($C$2:$C$367,C68,$E$2:$E$367)=0,"",E68/SUMIF($C$2:$C$367,C68,$E$2:$E$367))</x:f>
        <x:v>0.002814604100134139</x:v>
      </x:c>
      <x:c r="G68" s="35" t="n">
        <x:f>COUNTIFS($C$2:$C$367,C68,$E$2:$E$367,"&gt;"&amp;E68)+COUNTIFS($C$2:C68,C68,$E$2:E68,E68)</x:f>
        <x:v>67</x:v>
      </x:c>
      <x:c r="H68" s="34" t="n">
        <x:f>IF(SUMIF($C$2:$C$367,C68,$E$2:$E$367)=0,"",SUMIF($C$2:C68,C68,$F$2:F68))</x:f>
        <x:v>0.9015729492668972</x:v>
      </x:c>
    </x:row>
    <x:row r="69" ht="18" customHeight="1">
      <x:c r="A69" s="25" t="str">
        <x:f>'All Areas Data'!A69</x:f>
        <x:v>EEZ_219</x:v>
      </x:c>
      <x:c r="B69" s="25" t="str">
        <x:f>'All Areas Data'!B69</x:f>
        <x:v>Galapagos Isl. (Ecuador)</x:v>
      </x:c>
      <x:c r="C69" s="25" t="str">
        <x:f>'All Areas Data'!C69</x:f>
        <x:v>EEZ</x:v>
      </x:c>
      <x:c r="D69" s="32" t="n">
        <x:f>'All Areas Data'!E69</x:f>
        <x:v>68947.83335948801</x:v>
      </x:c>
      <x:c r="E69" s="32" t="n">
        <x:f>'All Areas Data'!K69</x:f>
        <x:v>178171427.7951421</x:v>
      </x:c>
      <x:c r="F69" s="34" t="n">
        <x:f>IF(SUMIF($C$2:$C$367,C69,$E$2:$E$367)=0,"",E69/SUMIF($C$2:$C$367,C69,$E$2:$E$367))</x:f>
        <x:v>0.002681601349991766</x:v>
      </x:c>
      <x:c r="G69" s="35" t="n">
        <x:f>COUNTIFS($C$2:$C$367,C69,$E$2:$E$367,"&gt;"&amp;E69)+COUNTIFS($C$2:C69,C69,$E$2:E69,E69)</x:f>
        <x:v>68</x:v>
      </x:c>
      <x:c r="H69" s="34" t="n">
        <x:f>IF(SUMIF($C$2:$C$367,C69,$E$2:$E$367)=0,"",SUMIF($C$2:C69,C69,$F$2:F69))</x:f>
        <x:v>0.904254550616889</x:v>
      </x:c>
    </x:row>
    <x:row r="70" ht="18" customHeight="1">
      <x:c r="A70" s="25" t="str">
        <x:f>'All Areas Data'!A70</x:f>
        <x:v>EEZ_862</x:v>
      </x:c>
      <x:c r="B70" s="25" t="str">
        <x:f>'All Areas Data'!B70</x:f>
        <x:v>Venezuela</x:v>
      </x:c>
      <x:c r="C70" s="25" t="str">
        <x:f>'All Areas Data'!C70</x:f>
        <x:v>EEZ</x:v>
      </x:c>
      <x:c r="D70" s="32" t="n">
        <x:f>'All Areas Data'!E70</x:f>
        <x:v>306380.438267835</x:v>
      </x:c>
      <x:c r="E70" s="32" t="n">
        <x:f>'All Areas Data'!K70</x:f>
        <x:v>172576491.72799766</x:v>
      </x:c>
      <x:c r="F70" s="34" t="n">
        <x:f>IF(SUMIF($C$2:$C$367,C70,$E$2:$E$367)=0,"",E70/SUMIF($C$2:$C$367,C70,$E$2:$E$367))</x:f>
        <x:v>0.002597393751184045</x:v>
      </x:c>
      <x:c r="G70" s="35" t="n">
        <x:f>COUNTIFS($C$2:$C$367,C70,$E$2:$E$367,"&gt;"&amp;E70)+COUNTIFS($C$2:C70,C70,$E$2:E70,E70)</x:f>
        <x:v>69</x:v>
      </x:c>
      <x:c r="H70" s="34" t="n">
        <x:f>IF(SUMIF($C$2:$C$367,C70,$E$2:$E$367)=0,"",SUMIF($C$2:C70,C70,$F$2:F70))</x:f>
        <x:v>0.906851944368073</x:v>
      </x:c>
    </x:row>
    <x:row r="71" ht="18" customHeight="1">
      <x:c r="A71" s="25" t="str">
        <x:f>'All Areas Data'!A71</x:f>
        <x:v>EEZ_380</x:v>
      </x:c>
      <x:c r="B71" s="25" t="str">
        <x:f>'All Areas Data'!B71</x:f>
        <x:v>Italy (mainland)</x:v>
      </x:c>
      <x:c r="C71" s="25" t="str">
        <x:f>'All Areas Data'!C71</x:f>
        <x:v>EEZ</x:v>
      </x:c>
      <x:c r="D71" s="32" t="n">
        <x:f>'All Areas Data'!E71</x:f>
        <x:v>234477.5946714614</x:v>
      </x:c>
      <x:c r="E71" s="32" t="n">
        <x:f>'All Areas Data'!K71</x:f>
        <x:v>166295145.49936318</x:v>
      </x:c>
      <x:c r="F71" s="34" t="n">
        <x:f>IF(SUMIF($C$2:$C$367,C71,$E$2:$E$367)=0,"",E71/SUMIF($C$2:$C$367,C71,$E$2:$E$367))</x:f>
        <x:v>0.002502855211896821</x:v>
      </x:c>
      <x:c r="G71" s="35" t="n">
        <x:f>COUNTIFS($C$2:$C$367,C71,$E$2:$E$367,"&gt;"&amp;E71)+COUNTIFS($C$2:C71,C71,$E$2:E71,E71)</x:f>
        <x:v>70</x:v>
      </x:c>
      <x:c r="H71" s="34" t="n">
        <x:f>IF(SUMIF($C$2:$C$367,C71,$E$2:$E$367)=0,"",SUMIF($C$2:C71,C71,$F$2:F71))</x:f>
        <x:v>0.9093547995799699</x:v>
      </x:c>
    </x:row>
    <x:row r="72" ht="18" customHeight="1">
      <x:c r="A72" s="25" t="str">
        <x:f>'All Areas Data'!A72</x:f>
        <x:v>EEZ_706</x:v>
      </x:c>
      <x:c r="B72" s="25" t="str">
        <x:f>'All Areas Data'!B72</x:f>
        <x:v>Somalia</x:v>
      </x:c>
      <x:c r="C72" s="25" t="str">
        <x:f>'All Areas Data'!C72</x:f>
        <x:v>EEZ</x:v>
      </x:c>
      <x:c r="D72" s="32" t="n">
        <x:f>'All Areas Data'!E72</x:f>
        <x:v>139703.8091832829</x:v>
      </x:c>
      <x:c r="E72" s="32" t="n">
        <x:f>'All Areas Data'!K72</x:f>
        <x:v>166015194.26696122</x:v>
      </x:c>
      <x:c r="F72" s="34" t="n">
        <x:f>IF(SUMIF($C$2:$C$367,C72,$E$2:$E$367)=0,"",E72/SUMIF($C$2:$C$367,C72,$E$2:$E$367))</x:f>
        <x:v>0.002498641755160064</x:v>
      </x:c>
      <x:c r="G72" s="35" t="n">
        <x:f>COUNTIFS($C$2:$C$367,C72,$E$2:$E$367,"&gt;"&amp;E72)+COUNTIFS($C$2:C72,C72,$E$2:E72,E72)</x:f>
        <x:v>71</x:v>
      </x:c>
      <x:c r="H72" s="34" t="n">
        <x:f>IF(SUMIF($C$2:$C$367,C72,$E$2:$E$367)=0,"",SUMIF($C$2:C72,C72,$F$2:F72))</x:f>
        <x:v>0.9118534413351299</x:v>
      </x:c>
    </x:row>
    <x:row r="73" ht="18" customHeight="1">
      <x:c r="A73" s="25" t="str">
        <x:f>'All Areas Data'!A73</x:f>
        <x:v>EEZ_794</x:v>
      </x:c>
      <x:c r="B73" s="25" t="str">
        <x:f>'All Areas Data'!B73</x:f>
        <x:v>Turkey (Black Sea)</x:v>
      </x:c>
      <x:c r="C73" s="25" t="str">
        <x:f>'All Areas Data'!C73</x:f>
        <x:v>EEZ</x:v>
      </x:c>
      <x:c r="D73" s="32" t="n">
        <x:f>'All Areas Data'!E73</x:f>
        <x:v>557210.7803783925</x:v>
      </x:c>
      <x:c r="E73" s="32" t="n">
        <x:f>'All Areas Data'!K73</x:f>
        <x:v>164051844.8986375</x:v>
      </x:c>
      <x:c r="F73" s="34" t="n">
        <x:f>IF(SUMIF($C$2:$C$367,C73,$E$2:$E$367)=0,"",E73/SUMIF($C$2:$C$367,C73,$E$2:$E$367))</x:f>
        <x:v>0.0024690920098290907</x:v>
      </x:c>
      <x:c r="G73" s="35" t="n">
        <x:f>COUNTIFS($C$2:$C$367,C73,$E$2:$E$367,"&gt;"&amp;E73)+COUNTIFS($C$2:C73,C73,$E$2:E73,E73)</x:f>
        <x:v>72</x:v>
      </x:c>
      <x:c r="H73" s="34" t="n">
        <x:f>IF(SUMIF($C$2:$C$367,C73,$E$2:$E$367)=0,"",SUMIF($C$2:C73,C73,$F$2:F73))</x:f>
        <x:v>0.914322533344959</x:v>
      </x:c>
    </x:row>
    <x:row r="74" ht="18" customHeight="1">
      <x:c r="A74" s="25" t="str">
        <x:f>'All Areas Data'!A74</x:f>
        <x:v>EEZ_962</x:v>
      </x:c>
      <x:c r="B74" s="25" t="str">
        <x:f>'All Areas Data'!B74</x:f>
        <x:v>Spain (mainland, Med and Gulf of Cadiz)</x:v>
      </x:c>
      <x:c r="C74" s="25" t="str">
        <x:f>'All Areas Data'!C74</x:f>
        <x:v>EEZ</x:v>
      </x:c>
      <x:c r="D74" s="32" t="n">
        <x:f>'All Areas Data'!E74</x:f>
        <x:v>200667.8299873407</x:v>
      </x:c>
      <x:c r="E74" s="32" t="n">
        <x:f>'All Areas Data'!K74</x:f>
        <x:v>161337945.08672658</x:v>
      </x:c>
      <x:c r="F74" s="34" t="n">
        <x:f>IF(SUMIF($C$2:$C$367,C74,$E$2:$E$367)=0,"",E74/SUMIF($C$2:$C$367,C74,$E$2:$E$367))</x:f>
        <x:v>0.002428245969083824</x:v>
      </x:c>
      <x:c r="G74" s="35" t="n">
        <x:f>COUNTIFS($C$2:$C$367,C74,$E$2:$E$367,"&gt;"&amp;E74)+COUNTIFS($C$2:C74,C74,$E$2:E74,E74)</x:f>
        <x:v>73</x:v>
      </x:c>
      <x:c r="H74" s="34" t="n">
        <x:f>IF(SUMIF($C$2:$C$367,C74,$E$2:$E$367)=0,"",SUMIF($C$2:C74,C74,$F$2:F74))</x:f>
        <x:v>0.9167507793140429</x:v>
      </x:c>
    </x:row>
    <x:row r="75" ht="18" customHeight="1">
      <x:c r="A75" s="25" t="str">
        <x:f>'All Areas Data'!A75</x:f>
        <x:v>EEZ_036</x:v>
      </x:c>
      <x:c r="B75" s="25" t="str">
        <x:f>'All Areas Data'!B75</x:f>
        <x:v>Australia</x:v>
      </x:c>
      <x:c r="C75" s="25" t="str">
        <x:f>'All Areas Data'!C75</x:f>
        <x:v>EEZ</x:v>
      </x:c>
      <x:c r="D75" s="32" t="n">
        <x:f>'All Areas Data'!E75</x:f>
        <x:v>228804.7535442354</x:v>
      </x:c>
      <x:c r="E75" s="32" t="n">
        <x:f>'All Areas Data'!K75</x:f>
        <x:v>159135782.88848543</x:v>
      </x:c>
      <x:c r="F75" s="34" t="n">
        <x:f>IF(SUMIF($C$2:$C$367,C75,$E$2:$E$367)=0,"",E75/SUMIF($C$2:$C$367,C75,$E$2:$E$367))</x:f>
        <x:v>0.002395101927994957</x:v>
      </x:c>
      <x:c r="G75" s="35" t="n">
        <x:f>COUNTIFS($C$2:$C$367,C75,$E$2:$E$367,"&gt;"&amp;E75)+COUNTIFS($C$2:C75,C75,$E$2:E75,E75)</x:f>
        <x:v>74</x:v>
      </x:c>
      <x:c r="H75" s="34" t="n">
        <x:f>IF(SUMIF($C$2:$C$367,C75,$E$2:$E$367)=0,"",SUMIF($C$2:C75,C75,$F$2:F75))</x:f>
        <x:v>0.9191458812420379</x:v>
      </x:c>
    </x:row>
    <x:row r="76" ht="18" customHeight="1">
      <x:c r="A76" s="25" t="str">
        <x:f>'All Areas Data'!A76</x:f>
        <x:v>EEZ_116</x:v>
      </x:c>
      <x:c r="B76" s="25" t="str">
        <x:f>'All Areas Data'!B76</x:f>
        <x:v>Cambodia</x:v>
      </x:c>
      <x:c r="C76" s="25" t="str">
        <x:f>'All Areas Data'!C76</x:f>
        <x:v>EEZ</x:v>
      </x:c>
      <x:c r="D76" s="32" t="n">
        <x:f>'All Areas Data'!E76</x:f>
        <x:v>211746.984487642</x:v>
      </x:c>
      <x:c r="E76" s="32" t="n">
        <x:f>'All Areas Data'!K76</x:f>
        <x:v>157736807.02534643</x:v>
      </x:c>
      <x:c r="F76" s="34" t="n">
        <x:f>IF(SUMIF($C$2:$C$367,C76,$E$2:$E$367)=0,"",E76/SUMIF($C$2:$C$367,C76,$E$2:$E$367))</x:f>
        <x:v>0.0023740463883406815</x:v>
      </x:c>
      <x:c r="G76" s="35" t="n">
        <x:f>COUNTIFS($C$2:$C$367,C76,$E$2:$E$367,"&gt;"&amp;E76)+COUNTIFS($C$2:C76,C76,$E$2:E76,E76)</x:f>
        <x:v>75</x:v>
      </x:c>
      <x:c r="H76" s="34" t="n">
        <x:f>IF(SUMIF($C$2:$C$367,C76,$E$2:$E$367)=0,"",SUMIF($C$2:C76,C76,$F$2:F76))</x:f>
        <x:v>0.9215199276303786</x:v>
      </x:c>
    </x:row>
    <x:row r="77" ht="18" customHeight="1">
      <x:c r="A77" s="25" t="str">
        <x:f>'All Areas Data'!A77</x:f>
        <x:v>EEZ_218</x:v>
      </x:c>
      <x:c r="B77" s="25" t="str">
        <x:f>'All Areas Data'!B77</x:f>
        <x:v>Ecuador (mainland)</x:v>
      </x:c>
      <x:c r="C77" s="25" t="str">
        <x:f>'All Areas Data'!C77</x:f>
        <x:v>EEZ</x:v>
      </x:c>
      <x:c r="D77" s="32" t="n">
        <x:f>'All Areas Data'!E77</x:f>
        <x:v>227592.59662859532</x:v>
      </x:c>
      <x:c r="E77" s="32" t="n">
        <x:f>'All Areas Data'!K77</x:f>
        <x:v>156635027.49107185</x:v>
      </x:c>
      <x:c r="F77" s="34" t="n">
        <x:f>IF(SUMIF($C$2:$C$367,C77,$E$2:$E$367)=0,"",E77/SUMIF($C$2:$C$367,C77,$E$2:$E$367))</x:f>
        <x:v>0.0023574638558714407</x:v>
      </x:c>
      <x:c r="G77" s="35" t="n">
        <x:f>COUNTIFS($C$2:$C$367,C77,$E$2:$E$367,"&gt;"&amp;E77)+COUNTIFS($C$2:C77,C77,$E$2:E77,E77)</x:f>
        <x:v>76</x:v>
      </x:c>
      <x:c r="H77" s="34" t="n">
        <x:f>IF(SUMIF($C$2:$C$367,C77,$E$2:$E$367)=0,"",SUMIF($C$2:C77,C77,$F$2:F77))</x:f>
        <x:v>0.92387739148625</x:v>
      </x:c>
    </x:row>
    <x:row r="78" ht="18" customHeight="1">
      <x:c r="A78" s="25" t="str">
        <x:f>'All Areas Data'!A78</x:f>
        <x:v>EEZ_508</x:v>
      </x:c>
      <x:c r="B78" s="25" t="str">
        <x:f>'All Areas Data'!B78</x:f>
        <x:v>Mozambique</x:v>
      </x:c>
      <x:c r="C78" s="25" t="str">
        <x:f>'All Areas Data'!C78</x:f>
        <x:v>EEZ</x:v>
      </x:c>
      <x:c r="D78" s="32" t="n">
        <x:f>'All Areas Data'!E78</x:f>
        <x:v>296238.55412247276</x:v>
      </x:c>
      <x:c r="E78" s="32" t="n">
        <x:f>'All Areas Data'!K78</x:f>
        <x:v>155171497.13322508</x:v>
      </x:c>
      <x:c r="F78" s="34" t="n">
        <x:f>IF(SUMIF($C$2:$C$367,C78,$E$2:$E$367)=0,"",E78/SUMIF($C$2:$C$367,C78,$E$2:$E$367))</x:f>
        <x:v>0.0023354367271004443</x:v>
      </x:c>
      <x:c r="G78" s="35" t="n">
        <x:f>COUNTIFS($C$2:$C$367,C78,$E$2:$E$367,"&gt;"&amp;E78)+COUNTIFS($C$2:C78,C78,$E$2:E78,E78)</x:f>
        <x:v>77</x:v>
      </x:c>
      <x:c r="H78" s="34" t="n">
        <x:f>IF(SUMIF($C$2:$C$367,C78,$E$2:$E$367)=0,"",SUMIF($C$2:C78,C78,$F$2:F78))</x:f>
        <x:v>0.9262128282133505</x:v>
      </x:c>
    </x:row>
    <x:row r="79" ht="18" customHeight="1">
      <x:c r="A79" s="25" t="str">
        <x:f>'All Areas Data'!A79</x:f>
        <x:v>EEZ_012</x:v>
      </x:c>
      <x:c r="B79" s="25" t="str">
        <x:f>'All Areas Data'!B79</x:f>
        <x:v>Algeria</x:v>
      </x:c>
      <x:c r="C79" s="25" t="str">
        <x:f>'All Areas Data'!C79</x:f>
        <x:v>EEZ</x:v>
      </x:c>
      <x:c r="D79" s="32" t="n">
        <x:f>'All Areas Data'!E79</x:f>
        <x:v>236644.15639922052</x:v>
      </x:c>
      <x:c r="E79" s="32" t="n">
        <x:f>'All Areas Data'!K79</x:f>
        <x:v>153457037.5384049</x:v>
      </x:c>
      <x:c r="F79" s="34" t="n">
        <x:f>IF(SUMIF($C$2:$C$367,C79,$E$2:$E$367)=0,"",E79/SUMIF($C$2:$C$367,C79,$E$2:$E$367))</x:f>
        <x:v>0.002309632942392258</x:v>
      </x:c>
      <x:c r="G79" s="35" t="n">
        <x:f>COUNTIFS($C$2:$C$367,C79,$E$2:$E$367,"&gt;"&amp;E79)+COUNTIFS($C$2:C79,C79,$E$2:E79,E79)</x:f>
        <x:v>78</x:v>
      </x:c>
      <x:c r="H79" s="34" t="n">
        <x:f>IF(SUMIF($C$2:$C$367,C79,$E$2:$E$367)=0,"",SUMIF($C$2:C79,C79,$F$2:F79))</x:f>
        <x:v>0.9285224611557428</x:v>
      </x:c>
    </x:row>
    <x:row r="80" ht="18" customHeight="1">
      <x:c r="A80" s="25" t="str">
        <x:f>'All Areas Data'!A80</x:f>
        <x:v>EEZ_463</x:v>
      </x:c>
      <x:c r="B80" s="25" t="str">
        <x:f>'All Areas Data'!B80</x:f>
        <x:v>Malaysia (Sarawak)</x:v>
      </x:c>
      <x:c r="C80" s="25" t="str">
        <x:f>'All Areas Data'!C80</x:f>
        <x:v>EEZ</x:v>
      </x:c>
      <x:c r="D80" s="32" t="n">
        <x:f>'All Areas Data'!E80</x:f>
        <x:v>172418.003123827</x:v>
      </x:c>
      <x:c r="E80" s="32" t="n">
        <x:f>'All Areas Data'!K80</x:f>
        <x:v>142871346.13405973</x:v>
      </x:c>
      <x:c r="F80" s="34" t="n">
        <x:f>IF(SUMIF($C$2:$C$367,C80,$E$2:$E$367)=0,"",E80/SUMIF($C$2:$C$367,C80,$E$2:$E$367))</x:f>
        <x:v>0.002150311076300874</x:v>
      </x:c>
      <x:c r="G80" s="35" t="n">
        <x:f>COUNTIFS($C$2:$C$367,C80,$E$2:$E$367,"&gt;"&amp;E80)+COUNTIFS($C$2:C80,C80,$E$2:E80,E80)</x:f>
        <x:v>79</x:v>
      </x:c>
      <x:c r="H80" s="34" t="n">
        <x:f>IF(SUMIF($C$2:$C$367,C80,$E$2:$E$367)=0,"",SUMIF($C$2:C80,C80,$F$2:F80))</x:f>
        <x:v>0.9306727722320437</x:v>
      </x:c>
    </x:row>
    <x:row r="81" ht="18" customHeight="1">
      <x:c r="A81" s="25" t="str">
        <x:f>'All Areas Data'!A81</x:f>
        <x:v>EEZ_184</x:v>
      </x:c>
      <x:c r="B81" s="25" t="str">
        <x:f>'All Areas Data'!B81</x:f>
        <x:v>Cook Islands</x:v>
      </x:c>
      <x:c r="C81" s="25" t="str">
        <x:f>'All Areas Data'!C81</x:f>
        <x:v>EEZ</x:v>
      </x:c>
      <x:c r="D81" s="32" t="n">
        <x:f>'All Areas Data'!E81</x:f>
        <x:v>57850.209005275494</x:v>
      </x:c>
      <x:c r="E81" s="32" t="n">
        <x:f>'All Areas Data'!K81</x:f>
        <x:v>137382390.5661584</x:v>
      </x:c>
      <x:c r="F81" s="34" t="n">
        <x:f>IF(SUMIF($C$2:$C$367,C81,$E$2:$E$367)=0,"",E81/SUMIF($C$2:$C$367,C81,$E$2:$E$367))</x:f>
        <x:v>0.002067698556195502</x:v>
      </x:c>
      <x:c r="G81" s="35" t="n">
        <x:f>COUNTIFS($C$2:$C$367,C81,$E$2:$E$367,"&gt;"&amp;E81)+COUNTIFS($C$2:C81,C81,$E$2:E81,E81)</x:f>
        <x:v>80</x:v>
      </x:c>
      <x:c r="H81" s="34" t="n">
        <x:f>IF(SUMIF($C$2:$C$367,C81,$E$2:$E$367)=0,"",SUMIF($C$2:C81,C81,$F$2:F81))</x:f>
        <x:v>0.9327404707882392</x:v>
      </x:c>
    </x:row>
    <x:row r="82" ht="18" customHeight="1">
      <x:c r="A82" s="25" t="str">
        <x:f>'All Areas Data'!A82</x:f>
        <x:v>EEZ_384</x:v>
      </x:c>
      <x:c r="B82" s="25" t="str">
        <x:f>'All Areas Data'!B82</x:f>
        <x:v>Côte d'Ivoire</x:v>
      </x:c>
      <x:c r="C82" s="25" t="str">
        <x:f>'All Areas Data'!C82</x:f>
        <x:v>EEZ</x:v>
      </x:c>
      <x:c r="D82" s="32" t="n">
        <x:f>'All Areas Data'!E82</x:f>
        <x:v>239562.63863203014</x:v>
      </x:c>
      <x:c r="E82" s="32" t="n">
        <x:f>'All Areas Data'!K82</x:f>
        <x:v>133414622.3409288</x:v>
      </x:c>
      <x:c r="F82" s="34" t="n">
        <x:f>IF(SUMIF($C$2:$C$367,C82,$E$2:$E$367)=0,"",E82/SUMIF($C$2:$C$367,C82,$E$2:$E$367))</x:f>
        <x:v>0.0020079809417558638</x:v>
      </x:c>
      <x:c r="G82" s="35" t="n">
        <x:f>COUNTIFS($C$2:$C$367,C82,$E$2:$E$367,"&gt;"&amp;E82)+COUNTIFS($C$2:C82,C82,$E$2:E82,E82)</x:f>
        <x:v>81</x:v>
      </x:c>
      <x:c r="H82" s="34" t="n">
        <x:f>IF(SUMIF($C$2:$C$367,C82,$E$2:$E$367)=0,"",SUMIF($C$2:C82,C82,$F$2:F82))</x:f>
        <x:v>0.9347484517299951</x:v>
      </x:c>
    </x:row>
    <x:row r="83" ht="18" customHeight="1">
      <x:c r="A83" s="25" t="str">
        <x:f>'All Areas Data'!A83</x:f>
        <x:v>EEZ_584</x:v>
      </x:c>
      <x:c r="B83" s="25" t="str">
        <x:f>'All Areas Data'!B83</x:f>
        <x:v>Marshall Isl.</x:v>
      </x:c>
      <x:c r="C83" s="25" t="str">
        <x:f>'All Areas Data'!C83</x:f>
        <x:v>EEZ</x:v>
      </x:c>
      <x:c r="D83" s="32" t="n">
        <x:f>'All Areas Data'!E83</x:f>
        <x:v>56340.9448327468</x:v>
      </x:c>
      <x:c r="E83" s="32" t="n">
        <x:f>'All Areas Data'!K83</x:f>
        <x:v>133348178.67679022</x:v>
      </x:c>
      <x:c r="F83" s="34" t="n">
        <x:f>IF(SUMIF($C$2:$C$367,C83,$E$2:$E$367)=0,"",E83/SUMIF($C$2:$C$367,C83,$E$2:$E$367))</x:f>
        <x:v>0.002006980919352399</x:v>
      </x:c>
      <x:c r="G83" s="35" t="n">
        <x:f>COUNTIFS($C$2:$C$367,C83,$E$2:$E$367,"&gt;"&amp;E83)+COUNTIFS($C$2:C83,C83,$E$2:E83,E83)</x:f>
        <x:v>82</x:v>
      </x:c>
      <x:c r="H83" s="34" t="n">
        <x:f>IF(SUMIF($C$2:$C$367,C83,$E$2:$E$367)=0,"",SUMIF($C$2:C83,C83,$F$2:F83))</x:f>
        <x:v>0.9367554326493475</x:v>
      </x:c>
    </x:row>
    <x:row r="84" ht="18" customHeight="1">
      <x:c r="A84" s="25" t="str">
        <x:f>'All Areas Data'!A84</x:f>
        <x:v>EEZ_144</x:v>
      </x:c>
      <x:c r="B84" s="25" t="str">
        <x:f>'All Areas Data'!B84</x:f>
        <x:v>Sri Lanka</x:v>
      </x:c>
      <x:c r="C84" s="25" t="str">
        <x:f>'All Areas Data'!C84</x:f>
        <x:v>EEZ</x:v>
      </x:c>
      <x:c r="D84" s="32" t="n">
        <x:f>'All Areas Data'!E84</x:f>
        <x:v>312721.78206485976</x:v>
      </x:c>
      <x:c r="E84" s="32" t="n">
        <x:f>'All Areas Data'!K84</x:f>
        <x:v>124000252.48143452</x:v>
      </x:c>
      <x:c r="F84" s="34" t="n">
        <x:f>IF(SUMIF($C$2:$C$367,C84,$E$2:$E$367)=0,"",E84/SUMIF($C$2:$C$367,C84,$E$2:$E$367))</x:f>
        <x:v>0.0018662882627615161</x:v>
      </x:c>
      <x:c r="G84" s="35" t="n">
        <x:f>COUNTIFS($C$2:$C$367,C84,$E$2:$E$367,"&gt;"&amp;E84)+COUNTIFS($C$2:C84,C84,$E$2:E84,E84)</x:f>
        <x:v>83</x:v>
      </x:c>
      <x:c r="H84" s="34" t="n">
        <x:f>IF(SUMIF($C$2:$C$367,C84,$E$2:$E$367)=0,"",SUMIF($C$2:C84,C84,$F$2:F84))</x:f>
        <x:v>0.9386217209121089</x:v>
      </x:c>
    </x:row>
    <x:row r="85" ht="18" customHeight="1">
      <x:c r="A85" s="25" t="str">
        <x:f>'All Areas Data'!A85</x:f>
        <x:v>EEZ_462</x:v>
      </x:c>
      <x:c r="B85" s="25" t="str">
        <x:f>'All Areas Data'!B85</x:f>
        <x:v>Maldives</x:v>
      </x:c>
      <x:c r="C85" s="25" t="str">
        <x:f>'All Areas Data'!C85</x:f>
        <x:v>EEZ</x:v>
      </x:c>
      <x:c r="D85" s="32" t="n">
        <x:f>'All Areas Data'!E85</x:f>
        <x:v>51028.4249362374</x:v>
      </x:c>
      <x:c r="E85" s="32" t="n">
        <x:f>'All Areas Data'!K85</x:f>
        <x:v>122606801.38745148</x:v>
      </x:c>
      <x:c r="F85" s="34" t="n">
        <x:f>IF(SUMIF($C$2:$C$367,C85,$E$2:$E$367)=0,"",E85/SUMIF($C$2:$C$367,C85,$E$2:$E$367))</x:f>
        <x:v>0.001845315874646241</x:v>
      </x:c>
      <x:c r="G85" s="35" t="n">
        <x:f>COUNTIFS($C$2:$C$367,C85,$E$2:$E$367,"&gt;"&amp;E85)+COUNTIFS($C$2:C85,C85,$E$2:E85,E85)</x:f>
        <x:v>84</x:v>
      </x:c>
      <x:c r="H85" s="34" t="n">
        <x:f>IF(SUMIF($C$2:$C$367,C85,$E$2:$E$367)=0,"",SUMIF($C$2:C85,C85,$F$2:F85))</x:f>
        <x:v>0.9404670367867551</x:v>
      </x:c>
    </x:row>
    <x:row r="86" ht="18" customHeight="1">
      <x:c r="A86" s="25" t="str">
        <x:f>'All Areas Data'!A86</x:f>
        <x:v>EEZ_620</x:v>
      </x:c>
      <x:c r="B86" s="25" t="str">
        <x:f>'All Areas Data'!B86</x:f>
        <x:v>Portugal (mainland)</x:v>
      </x:c>
      <x:c r="C86" s="25" t="str">
        <x:f>'All Areas Data'!C86</x:f>
        <x:v>EEZ</x:v>
      </x:c>
      <x:c r="D86" s="32" t="n">
        <x:f>'All Areas Data'!E86</x:f>
        <x:v>208342.58846173977</x:v>
      </x:c>
      <x:c r="E86" s="32" t="n">
        <x:f>'All Areas Data'!K86</x:f>
        <x:v>114209964.99740621</x:v>
      </x:c>
      <x:c r="F86" s="34" t="n">
        <x:f>IF(SUMIF($C$2:$C$367,C86,$E$2:$E$367)=0,"",E86/SUMIF($C$2:$C$367,C86,$E$2:$E$367))</x:f>
        <x:v>0.001718937767461205</x:v>
      </x:c>
      <x:c r="G86" s="35" t="n">
        <x:f>COUNTIFS($C$2:$C$367,C86,$E$2:$E$367,"&gt;"&amp;E86)+COUNTIFS($C$2:C86,C86,$E$2:E86,E86)</x:f>
        <x:v>85</x:v>
      </x:c>
      <x:c r="H86" s="34" t="n">
        <x:f>IF(SUMIF($C$2:$C$367,C86,$E$2:$E$367)=0,"",SUMIF($C$2:C86,C86,$F$2:F86))</x:f>
        <x:v>0.9421859745542164</x:v>
      </x:c>
    </x:row>
    <x:row r="87" ht="18" customHeight="1">
      <x:c r="A87" s="25" t="str">
        <x:f>'All Areas Data'!A87</x:f>
        <x:v>EEZ_266</x:v>
      </x:c>
      <x:c r="B87" s="25" t="str">
        <x:f>'All Areas Data'!B87</x:f>
        <x:v>Gabon</x:v>
      </x:c>
      <x:c r="C87" s="25" t="str">
        <x:f>'All Areas Data'!C87</x:f>
        <x:v>EEZ</x:v>
      </x:c>
      <x:c r="D87" s="32" t="n">
        <x:f>'All Areas Data'!E87</x:f>
        <x:v>158907.53279788652</x:v>
      </x:c>
      <x:c r="E87" s="32" t="n">
        <x:f>'All Areas Data'!K87</x:f>
        <x:v>113127683.75920805</x:v>
      </x:c>
      <x:c r="F87" s="34" t="n">
        <x:f>IF(SUMIF($C$2:$C$367,C87,$E$2:$E$367)=0,"",E87/SUMIF($C$2:$C$367,C87,$E$2:$E$367))</x:f>
        <x:v>0.001702648697629201</x:v>
      </x:c>
      <x:c r="G87" s="35" t="n">
        <x:f>COUNTIFS($C$2:$C$367,C87,$E$2:$E$367,"&gt;"&amp;E87)+COUNTIFS($C$2:C87,C87,$E$2:E87,E87)</x:f>
        <x:v>86</x:v>
      </x:c>
      <x:c r="H87" s="34" t="n">
        <x:f>IF(SUMIF($C$2:$C$367,C87,$E$2:$E$367)=0,"",SUMIF($C$2:C87,C87,$F$2:F87))</x:f>
        <x:v>0.9438886232518455</x:v>
      </x:c>
    </x:row>
    <x:row r="88" ht="18" customHeight="1">
      <x:c r="A88" s="25" t="str">
        <x:f>'All Areas Data'!A88</x:f>
        <x:v>EEZ_834</x:v>
      </x:c>
      <x:c r="B88" s="25" t="str">
        <x:f>'All Areas Data'!B88</x:f>
        <x:v>Tanzania</x:v>
      </x:c>
      <x:c r="C88" s="25" t="str">
        <x:f>'All Areas Data'!C88</x:f>
        <x:v>EEZ</x:v>
      </x:c>
      <x:c r="D88" s="32" t="n">
        <x:f>'All Areas Data'!E88</x:f>
        <x:v>129515.23121131358</x:v>
      </x:c>
      <x:c r="E88" s="32" t="n">
        <x:f>'All Areas Data'!K88</x:f>
        <x:v>108837946.14807098</x:v>
      </x:c>
      <x:c r="F88" s="34" t="n">
        <x:f>IF(SUMIF($C$2:$C$367,C88,$E$2:$E$367)=0,"",E88/SUMIF($C$2:$C$367,C88,$E$2:$E$367))</x:f>
        <x:v>0.0016380852246218342</x:v>
      </x:c>
      <x:c r="G88" s="35" t="n">
        <x:f>COUNTIFS($C$2:$C$367,C88,$E$2:$E$367,"&gt;"&amp;E88)+COUNTIFS($C$2:C88,C88,$E$2:E88,E88)</x:f>
        <x:v>87</x:v>
      </x:c>
      <x:c r="H88" s="34" t="n">
        <x:f>IF(SUMIF($C$2:$C$367,C88,$E$2:$E$367)=0,"",SUMIF($C$2:C88,C88,$F$2:F88))</x:f>
        <x:v>0.9455267084764674</x:v>
      </x:c>
    </x:row>
    <x:row r="89" ht="18" customHeight="1">
      <x:c r="A89" s="25" t="str">
        <x:f>'All Areas Data'!A89</x:f>
        <x:v>EEZ_723</x:v>
      </x:c>
      <x:c r="B89" s="25" t="str">
        <x:f>'All Areas Data'!B89</x:f>
        <x:v>Canary Isl. (Spain)</x:v>
      </x:c>
      <x:c r="C89" s="25" t="str">
        <x:f>'All Areas Data'!C89</x:f>
        <x:v>EEZ</x:v>
      </x:c>
      <x:c r="D89" s="32" t="n">
        <x:f>'All Areas Data'!E89</x:f>
        <x:v>92826.4650597252</x:v>
      </x:c>
      <x:c r="E89" s="32" t="n">
        <x:f>'All Areas Data'!K89</x:f>
        <x:v>101920689.58241549</x:v>
      </x:c>
      <x:c r="F89" s="34" t="n">
        <x:f>IF(SUMIF($C$2:$C$367,C89,$E$2:$E$367)=0,"",E89/SUMIF($C$2:$C$367,C89,$E$2:$E$367))</x:f>
        <x:v>0.0015339758016113794</x:v>
      </x:c>
      <x:c r="G89" s="35" t="n">
        <x:f>COUNTIFS($C$2:$C$367,C89,$E$2:$E$367,"&gt;"&amp;E89)+COUNTIFS($C$2:C89,C89,$E$2:E89,E89)</x:f>
        <x:v>88</x:v>
      </x:c>
      <x:c r="H89" s="34" t="n">
        <x:f>IF(SUMIF($C$2:$C$367,C89,$E$2:$E$367)=0,"",SUMIF($C$2:C89,C89,$F$2:F89))</x:f>
        <x:v>0.9470606842780788</x:v>
      </x:c>
    </x:row>
    <x:row r="90" ht="18" customHeight="1">
      <x:c r="A90" s="25" t="str">
        <x:f>'All Areas Data'!A90</x:f>
        <x:v>EEZ_120</x:v>
      </x:c>
      <x:c r="B90" s="25" t="str">
        <x:f>'All Areas Data'!B90</x:f>
        <x:v>Cameroon</x:v>
      </x:c>
      <x:c r="C90" s="25" t="str">
        <x:f>'All Areas Data'!C90</x:f>
        <x:v>EEZ</x:v>
      </x:c>
      <x:c r="D90" s="32" t="n">
        <x:f>'All Areas Data'!E90</x:f>
        <x:v>280509.9182943578</x:v>
      </x:c>
      <x:c r="E90" s="32" t="n">
        <x:f>'All Areas Data'!K90</x:f>
        <x:v>101123441.33925112</x:v>
      </x:c>
      <x:c r="F90" s="34" t="n">
        <x:f>IF(SUMIF($C$2:$C$367,C90,$E$2:$E$367)=0,"",E90/SUMIF($C$2:$C$367,C90,$E$2:$E$367))</x:f>
        <x:v>0.001521976672505189</x:v>
      </x:c>
      <x:c r="G90" s="35" t="n">
        <x:f>COUNTIFS($C$2:$C$367,C90,$E$2:$E$367,"&gt;"&amp;E90)+COUNTIFS($C$2:C90,C90,$E$2:E90,E90)</x:f>
        <x:v>89</x:v>
      </x:c>
      <x:c r="H90" s="34" t="n">
        <x:f>IF(SUMIF($C$2:$C$367,C90,$E$2:$E$367)=0,"",SUMIF($C$2:C90,C90,$F$2:F90))</x:f>
        <x:v>0.948582660950584</x:v>
      </x:c>
    </x:row>
    <x:row r="91" ht="18" customHeight="1">
      <x:c r="A91" s="25" t="str">
        <x:f>'All Areas Data'!A91</x:f>
        <x:v>EEZ_430</x:v>
      </x:c>
      <x:c r="B91" s="25" t="str">
        <x:f>'All Areas Data'!B91</x:f>
        <x:v>Liberia</x:v>
      </x:c>
      <x:c r="C91" s="25" t="str">
        <x:f>'All Areas Data'!C91</x:f>
        <x:v>EEZ</x:v>
      </x:c>
      <x:c r="D91" s="32" t="n">
        <x:f>'All Areas Data'!E91</x:f>
        <x:v>179043.09265420676</x:v>
      </x:c>
      <x:c r="E91" s="32" t="n">
        <x:f>'All Areas Data'!K91</x:f>
        <x:v>96290641.00214319</x:v>
      </x:c>
      <x:c r="F91" s="34" t="n">
        <x:f>IF(SUMIF($C$2:$C$367,C91,$E$2:$E$367)=0,"",E91/SUMIF($C$2:$C$367,C91,$E$2:$E$367))</x:f>
        <x:v>0.001449239735564155</x:v>
      </x:c>
      <x:c r="G91" s="35" t="n">
        <x:f>COUNTIFS($C$2:$C$367,C91,$E$2:$E$367,"&gt;"&amp;E91)+COUNTIFS($C$2:C91,C91,$E$2:E91,E91)</x:f>
        <x:v>90</x:v>
      </x:c>
      <x:c r="H91" s="34" t="n">
        <x:f>IF(SUMIF($C$2:$C$367,C91,$E$2:$E$367)=0,"",SUMIF($C$2:C91,C91,$F$2:F91))</x:f>
        <x:v>0.9500319006861481</x:v>
      </x:c>
    </x:row>
    <x:row r="92" ht="18" customHeight="1">
      <x:c r="A92" s="25" t="str">
        <x:f>'All Areas Data'!A92</x:f>
        <x:v>EEZ_966</x:v>
      </x:c>
      <x:c r="B92" s="25" t="str">
        <x:f>'All Areas Data'!B92</x:f>
        <x:v>Turkey (Marmara Sea)</x:v>
      </x:c>
      <x:c r="C92" s="25" t="str">
        <x:f>'All Areas Data'!C92</x:f>
        <x:v>EEZ</x:v>
      </x:c>
      <x:c r="D92" s="32" t="n">
        <x:f>'All Areas Data'!E92</x:f>
        <x:v>135279.24224138368</x:v>
      </x:c>
      <x:c r="E92" s="32" t="n">
        <x:f>'All Areas Data'!K92</x:f>
        <x:v>93378447.55892137</x:v>
      </x:c>
      <x:c r="F92" s="34" t="n">
        <x:f>IF(SUMIF($C$2:$C$367,C92,$E$2:$E$367)=0,"",E92/SUMIF($C$2:$C$367,C92,$E$2:$E$367))</x:f>
        <x:v>0.001405409240599722</x:v>
      </x:c>
      <x:c r="G92" s="35" t="n">
        <x:f>COUNTIFS($C$2:$C$367,C92,$E$2:$E$367,"&gt;"&amp;E92)+COUNTIFS($C$2:C92,C92,$E$2:E92,E92)</x:f>
        <x:v>91</x:v>
      </x:c>
      <x:c r="H92" s="34" t="n">
        <x:f>IF(SUMIF($C$2:$C$367,C92,$E$2:$E$367)=0,"",SUMIF($C$2:C92,C92,$F$2:F92))</x:f>
        <x:v>0.9514373099267478</x:v>
      </x:c>
    </x:row>
    <x:row r="93" ht="18" customHeight="1">
      <x:c r="A93" s="25" t="str">
        <x:f>'All Areas Data'!A93</x:f>
        <x:v>EEZ_974</x:v>
      </x:c>
      <x:c r="B93" s="25" t="str">
        <x:f>'All Areas Data'!B93</x:f>
        <x:v>Korea (North, Sea of Japan)</x:v>
      </x:c>
      <x:c r="C93" s="25" t="str">
        <x:f>'All Areas Data'!C93</x:f>
        <x:v>EEZ</x:v>
      </x:c>
      <x:c r="D93" s="32" t="n">
        <x:f>'All Areas Data'!E93</x:f>
        <x:v>177084.68732310578</x:v>
      </x:c>
      <x:c r="E93" s="32" t="n">
        <x:f>'All Areas Data'!K93</x:f>
        <x:v>88730291.34530385</x:v>
      </x:c>
      <x:c r="F93" s="34" t="n">
        <x:f>IF(SUMIF($C$2:$C$367,C93,$E$2:$E$367)=0,"",E93/SUMIF($C$2:$C$367,C93,$E$2:$E$367))</x:f>
        <x:v>0.0013354513234877774</x:v>
      </x:c>
      <x:c r="G93" s="35" t="n">
        <x:f>COUNTIFS($C$2:$C$367,C93,$E$2:$E$367,"&gt;"&amp;E93)+COUNTIFS($C$2:C93,C93,$E$2:E93,E93)</x:f>
        <x:v>92</x:v>
      </x:c>
      <x:c r="H93" s="34" t="n">
        <x:f>IF(SUMIF($C$2:$C$367,C93,$E$2:$E$367)=0,"",SUMIF($C$2:C93,C93,$F$2:F93))</x:f>
        <x:v>0.9527727612502356</x:v>
      </x:c>
    </x:row>
    <x:row r="94" ht="18" customHeight="1">
      <x:c r="A94" s="25" t="str">
        <x:f>'All Areas Data'!A94</x:f>
        <x:v>EEZ_450</x:v>
      </x:c>
      <x:c r="B94" s="25" t="str">
        <x:f>'All Areas Data'!B94</x:f>
        <x:v>Madagascar</x:v>
      </x:c>
      <x:c r="C94" s="25" t="str">
        <x:f>'All Areas Data'!C94</x:f>
        <x:v>EEZ</x:v>
      </x:c>
      <x:c r="D94" s="32" t="n">
        <x:f>'All Areas Data'!E94</x:f>
        <x:v>159996.68620932242</x:v>
      </x:c>
      <x:c r="E94" s="32" t="n">
        <x:f>'All Areas Data'!K94</x:f>
        <x:v>87751516.13578317</x:v>
      </x:c>
      <x:c r="F94" s="34" t="n">
        <x:f>IF(SUMIF($C$2:$C$367,C94,$E$2:$E$367)=0,"",E94/SUMIF($C$2:$C$367,C94,$E$2:$E$367))</x:f>
        <x:v>0.001320720089890621</x:v>
      </x:c>
      <x:c r="G94" s="35" t="n">
        <x:f>COUNTIFS($C$2:$C$367,C94,$E$2:$E$367,"&gt;"&amp;E94)+COUNTIFS($C$2:C94,C94,$E$2:E94,E94)</x:f>
        <x:v>93</x:v>
      </x:c>
      <x:c r="H94" s="34" t="n">
        <x:f>IF(SUMIF($C$2:$C$367,C94,$E$2:$E$367)=0,"",SUMIF($C$2:C94,C94,$F$2:F94))</x:f>
        <x:v>0.9540934813401262</x:v>
      </x:c>
    </x:row>
    <x:row r="95" ht="18" customHeight="1">
      <x:c r="A95" s="25" t="str">
        <x:f>'All Areas Data'!A95</x:f>
        <x:v>EEZ_928</x:v>
      </x:c>
      <x:c r="B95" s="25" t="str">
        <x:f>'All Areas Data'!B95</x:f>
        <x:v>Colombia (Pacific)</x:v>
      </x:c>
      <x:c r="C95" s="25" t="str">
        <x:f>'All Areas Data'!C95</x:f>
        <x:v>EEZ</x:v>
      </x:c>
      <x:c r="D95" s="32" t="n">
        <x:f>'All Areas Data'!E95</x:f>
        <x:v>54847.9752029435</x:v>
      </x:c>
      <x:c r="E95" s="32" t="n">
        <x:f>'All Areas Data'!K95</x:f>
        <x:v>82458630.09635389</x:v>
      </x:c>
      <x:c r="F95" s="34" t="n">
        <x:f>IF(SUMIF($C$2:$C$367,C95,$E$2:$E$367)=0,"",E95/SUMIF($C$2:$C$367,C95,$E$2:$E$367))</x:f>
        <x:v>0.0012410585497417404</x:v>
      </x:c>
      <x:c r="G95" s="35" t="n">
        <x:f>COUNTIFS($C$2:$C$367,C95,$E$2:$E$367,"&gt;"&amp;E95)+COUNTIFS($C$2:C95,C95,$E$2:E95,E95)</x:f>
        <x:v>94</x:v>
      </x:c>
      <x:c r="H95" s="34" t="n">
        <x:f>IF(SUMIF($C$2:$C$367,C95,$E$2:$E$367)=0,"",SUMIF($C$2:C95,C95,$F$2:F95))</x:f>
        <x:v>0.9553345398898679</x:v>
      </x:c>
    </x:row>
    <x:row r="96" ht="18" customHeight="1">
      <x:c r="A96" s="25" t="str">
        <x:f>'All Areas Data'!A96</x:f>
        <x:v>EEZ_930</x:v>
      </x:c>
      <x:c r="B96" s="25" t="str">
        <x:f>'All Areas Data'!B96</x:f>
        <x:v>Costa Rica (Pacific)</x:v>
      </x:c>
      <x:c r="C96" s="25" t="str">
        <x:f>'All Areas Data'!C96</x:f>
        <x:v>EEZ</x:v>
      </x:c>
      <x:c r="D96" s="32" t="n">
        <x:f>'All Areas Data'!E96</x:f>
        <x:v>53716.993195901494</x:v>
      </x:c>
      <x:c r="E96" s="32" t="n">
        <x:f>'All Areas Data'!K96</x:f>
        <x:v>80279567.24893846</x:v>
      </x:c>
      <x:c r="F96" s="34" t="n">
        <x:f>IF(SUMIF($C$2:$C$367,C96,$E$2:$E$367)=0,"",E96/SUMIF($C$2:$C$367,C96,$E$2:$E$367))</x:f>
        <x:v>0.00120826216961695</x:v>
      </x:c>
      <x:c r="G96" s="35" t="n">
        <x:f>COUNTIFS($C$2:$C$367,C96,$E$2:$E$367,"&gt;"&amp;E96)+COUNTIFS($C$2:C96,C96,$E$2:E96,E96)</x:f>
        <x:v>95</x:v>
      </x:c>
      <x:c r="H96" s="34" t="n">
        <x:f>IF(SUMIF($C$2:$C$367,C96,$E$2:$E$367)=0,"",SUMIF($C$2:C96,C96,$F$2:F96))</x:f>
        <x:v>0.9565428020594849</x:v>
      </x:c>
    </x:row>
    <x:row r="97" ht="18" customHeight="1">
      <x:c r="A97" s="25" t="str">
        <x:f>'All Areas Data'!A97</x:f>
        <x:v>EEZ_242</x:v>
      </x:c>
      <x:c r="B97" s="25" t="str">
        <x:f>'All Areas Data'!B97</x:f>
        <x:v>Fiji</x:v>
      </x:c>
      <x:c r="C97" s="25" t="str">
        <x:f>'All Areas Data'!C97</x:f>
        <x:v>EEZ</x:v>
      </x:c>
      <x:c r="D97" s="32" t="n">
        <x:f>'All Areas Data'!E97</x:f>
        <x:v>57561.8277487637</x:v>
      </x:c>
      <x:c r="E97" s="32" t="n">
        <x:f>'All Areas Data'!K97</x:f>
        <x:v>79413036.45710625</x:v>
      </x:c>
      <x:c r="F97" s="34" t="n">
        <x:f>IF(SUMIF($C$2:$C$367,C97,$E$2:$E$367)=0,"",E97/SUMIF($C$2:$C$367,C97,$E$2:$E$367))</x:f>
        <x:v>0.0011952202909614204</x:v>
      </x:c>
      <x:c r="G97" s="35" t="n">
        <x:f>COUNTIFS($C$2:$C$367,C97,$E$2:$E$367,"&gt;"&amp;E97)+COUNTIFS($C$2:C97,C97,$E$2:E97,E97)</x:f>
        <x:v>96</x:v>
      </x:c>
      <x:c r="H97" s="34" t="n">
        <x:f>IF(SUMIF($C$2:$C$367,C97,$E$2:$E$367)=0,"",SUMIF($C$2:C97,C97,$F$2:F97))</x:f>
        <x:v>0.9577380223504464</x:v>
      </x:c>
    </x:row>
    <x:row r="98" ht="18" customHeight="1">
      <x:c r="A98" s="25" t="str">
        <x:f>'All Areas Data'!A98</x:f>
        <x:v>EEZ_204</x:v>
      </x:c>
      <x:c r="B98" s="25" t="str">
        <x:f>'All Areas Data'!B98</x:f>
        <x:v>Benin</x:v>
      </x:c>
      <x:c r="C98" s="25" t="str">
        <x:f>'All Areas Data'!C98</x:f>
        <x:v>EEZ</x:v>
      </x:c>
      <x:c r="D98" s="32" t="n">
        <x:f>'All Areas Data'!E98</x:f>
        <x:v>83987.6435485869</x:v>
      </x:c>
      <x:c r="E98" s="32" t="n">
        <x:f>'All Areas Data'!K98</x:f>
        <x:v>78537967.78151909</x:v>
      </x:c>
      <x:c r="F98" s="34" t="n">
        <x:f>IF(SUMIF($C$2:$C$367,C98,$E$2:$E$367)=0,"",E98/SUMIF($C$2:$C$367,C98,$E$2:$E$367))</x:f>
        <x:v>0.0011820499113397893</x:v>
      </x:c>
      <x:c r="G98" s="35" t="n">
        <x:f>COUNTIFS($C$2:$C$367,C98,$E$2:$E$367,"&gt;"&amp;E98)+COUNTIFS($C$2:C98,C98,$E$2:E98,E98)</x:f>
        <x:v>97</x:v>
      </x:c>
      <x:c r="H98" s="34" t="n">
        <x:f>IF(SUMIF($C$2:$C$367,C98,$E$2:$E$367)=0,"",SUMIF($C$2:C98,C98,$F$2:F98))</x:f>
        <x:v>0.9589200722617861</x:v>
      </x:c>
    </x:row>
    <x:row r="99" ht="18" customHeight="1">
      <x:c r="A99" s="25" t="str">
        <x:f>'All Areas Data'!A99</x:f>
        <x:v>EEZ_784</x:v>
      </x:c>
      <x:c r="B99" s="25" t="str">
        <x:f>'All Areas Data'!B99</x:f>
        <x:v>United Arab Emirates</x:v>
      </x:c>
      <x:c r="C99" s="25" t="str">
        <x:f>'All Areas Data'!C99</x:f>
        <x:v>EEZ</x:v>
      </x:c>
      <x:c r="D99" s="32" t="n">
        <x:f>'All Areas Data'!E99</x:f>
        <x:v>49925.3333488044</x:v>
      </x:c>
      <x:c r="E99" s="32" t="n">
        <x:f>'All Areas Data'!K99</x:f>
        <x:v>78213745.6926087</x:v>
      </x:c>
      <x:c r="F99" s="34" t="n">
        <x:f>IF(SUMIF($C$2:$C$367,C99,$E$2:$E$367)=0,"",E99/SUMIF($C$2:$C$367,C99,$E$2:$E$367))</x:f>
        <x:v>0.0011771701480574358</x:v>
      </x:c>
      <x:c r="G99" s="35" t="n">
        <x:f>COUNTIFS($C$2:$C$367,C99,$E$2:$E$367,"&gt;"&amp;E99)+COUNTIFS($C$2:C99,C99,$E$2:E99,E99)</x:f>
        <x:v>98</x:v>
      </x:c>
      <x:c r="H99" s="34" t="n">
        <x:f>IF(SUMIF($C$2:$C$367,C99,$E$2:$E$367)=0,"",SUMIF($C$2:C99,C99,$F$2:F99))</x:f>
        <x:v>0.9600972424098435</x:v>
      </x:c>
    </x:row>
    <x:row r="100" ht="18" customHeight="1">
      <x:c r="A100" s="25" t="str">
        <x:f>'All Areas Data'!A100</x:f>
        <x:v>EEZ_788</x:v>
      </x:c>
      <x:c r="B100" s="25" t="str">
        <x:f>'All Areas Data'!B100</x:f>
        <x:v>Tunisia</x:v>
      </x:c>
      <x:c r="C100" s="25" t="str">
        <x:f>'All Areas Data'!C100</x:f>
        <x:v>EEZ</x:v>
      </x:c>
      <x:c r="D100" s="32" t="n">
        <x:f>'All Areas Data'!E100</x:f>
        <x:v>133288.5662711512</x:v>
      </x:c>
      <x:c r="E100" s="32" t="n">
        <x:f>'All Areas Data'!K100</x:f>
        <x:v>74633904.02001323</x:v>
      </x:c>
      <x:c r="F100" s="34" t="n">
        <x:f>IF(SUMIF($C$2:$C$367,C100,$E$2:$E$367)=0,"",E100/SUMIF($C$2:$C$367,C100,$E$2:$E$367))</x:f>
        <x:v>0.001123291092471563</x:v>
      </x:c>
      <x:c r="G100" s="35" t="n">
        <x:f>COUNTIFS($C$2:$C$367,C100,$E$2:$E$367,"&gt;"&amp;E100)+COUNTIFS($C$2:C100,C100,$E$2:E100,E100)</x:f>
        <x:v>99</x:v>
      </x:c>
      <x:c r="H100" s="34" t="n">
        <x:f>IF(SUMIF($C$2:$C$367,C100,$E$2:$E$367)=0,"",SUMIF($C$2:C100,C100,$F$2:F100))</x:f>
        <x:v>0.9612205335023151</x:v>
      </x:c>
    </x:row>
    <x:row r="101" ht="18" customHeight="1">
      <x:c r="A101" s="25" t="str">
        <x:f>'All Areas Data'!A101</x:f>
        <x:v>EEZ_357</x:v>
      </x:c>
      <x:c r="B101" s="25" t="str">
        <x:f>'All Areas Data'!B101</x:f>
        <x:v>Andaman &amp; Nicobar Isl. (India)</x:v>
      </x:c>
      <x:c r="C101" s="25" t="str">
        <x:f>'All Areas Data'!C101</x:f>
        <x:v>EEZ</x:v>
      </x:c>
      <x:c r="D101" s="32" t="n">
        <x:f>'All Areas Data'!E101</x:f>
        <x:v>61303.310995657</x:v>
      </x:c>
      <x:c r="E101" s="32" t="n">
        <x:f>'All Areas Data'!K101</x:f>
        <x:v>69444286.60999125</x:v>
      </x:c>
      <x:c r="F101" s="34" t="n">
        <x:f>IF(SUMIF($C$2:$C$367,C101,$E$2:$E$367)=0,"",E101/SUMIF($C$2:$C$367,C101,$E$2:$E$367))</x:f>
        <x:v>0.001045183815536809</x:v>
      </x:c>
      <x:c r="G101" s="35" t="n">
        <x:f>COUNTIFS($C$2:$C$367,C101,$E$2:$E$367,"&gt;"&amp;E101)+COUNTIFS($C$2:C101,C101,$E$2:E101,E101)</x:f>
        <x:v>100</x:v>
      </x:c>
      <x:c r="H101" s="34" t="n">
        <x:f>IF(SUMIF($C$2:$C$367,C101,$E$2:$E$367)=0,"",SUMIF($C$2:C101,C101,$F$2:F101))</x:f>
        <x:v>0.9622657173178518</x:v>
      </x:c>
    </x:row>
    <x:row r="102" ht="18" customHeight="1">
      <x:c r="A102" s="25" t="str">
        <x:f>'All Areas Data'!A102</x:f>
        <x:v>EEZ_132</x:v>
      </x:c>
      <x:c r="B102" s="25" t="str">
        <x:f>'All Areas Data'!B102</x:f>
        <x:v>Cape Verde</x:v>
      </x:c>
      <x:c r="C102" s="25" t="str">
        <x:f>'All Areas Data'!C102</x:f>
        <x:v>EEZ</x:v>
      </x:c>
      <x:c r="D102" s="32" t="n">
        <x:f>'All Areas Data'!E102</x:f>
        <x:v>41113.6989825735</x:v>
      </x:c>
      <x:c r="E102" s="32" t="n">
        <x:f>'All Areas Data'!K102</x:f>
        <x:v>68290801.75380284</x:v>
      </x:c>
      <x:c r="F102" s="34" t="n">
        <x:f>IF(SUMIF($C$2:$C$367,C102,$E$2:$E$367)=0,"",E102/SUMIF($C$2:$C$367,C102,$E$2:$E$367))</x:f>
        <x:v>0.0010278230827536245</x:v>
      </x:c>
      <x:c r="G102" s="35" t="n">
        <x:f>COUNTIFS($C$2:$C$367,C102,$E$2:$E$367,"&gt;"&amp;E102)+COUNTIFS($C$2:C102,C102,$E$2:E102,E102)</x:f>
        <x:v>101</x:v>
      </x:c>
      <x:c r="H102" s="34" t="n">
        <x:f>IF(SUMIF($C$2:$C$367,C102,$E$2:$E$367)=0,"",SUMIF($C$2:C102,C102,$F$2:F102))</x:f>
        <x:v>0.9632935404006054</x:v>
      </x:c>
    </x:row>
    <x:row r="103" ht="18" customHeight="1">
      <x:c r="A103" s="25" t="str">
        <x:f>'All Areas Data'!A103</x:f>
        <x:v>EEZ_858</x:v>
      </x:c>
      <x:c r="B103" s="25" t="str">
        <x:f>'All Areas Data'!B103</x:f>
        <x:v>Uruguay</x:v>
      </x:c>
      <x:c r="C103" s="25" t="str">
        <x:f>'All Areas Data'!C103</x:f>
        <x:v>EEZ</x:v>
      </x:c>
      <x:c r="D103" s="32" t="n">
        <x:f>'All Areas Data'!E103</x:f>
        <x:v>107838.9938680954</x:v>
      </x:c>
      <x:c r="E103" s="32" t="n">
        <x:f>'All Areas Data'!K103</x:f>
        <x:v>66273884.30512683</x:v>
      </x:c>
      <x:c r="F103" s="34" t="n">
        <x:f>IF(SUMIF($C$2:$C$367,C103,$E$2:$E$367)=0,"",E103/SUMIF($C$2:$C$367,C103,$E$2:$E$367))</x:f>
        <x:v>0.000997467101325389</x:v>
      </x:c>
      <x:c r="G103" s="35" t="n">
        <x:f>COUNTIFS($C$2:$C$367,C103,$E$2:$E$367,"&gt;"&amp;E103)+COUNTIFS($C$2:C103,C103,$E$2:E103,E103)</x:f>
        <x:v>102</x:v>
      </x:c>
      <x:c r="H103" s="34" t="n">
        <x:f>IF(SUMIF($C$2:$C$367,C103,$E$2:$E$367)=0,"",SUMIF($C$2:C103,C103,$F$2:F103))</x:f>
        <x:v>0.9642910075019309</x:v>
      </x:c>
    </x:row>
    <x:row r="104" ht="18" customHeight="1">
      <x:c r="A104" s="25" t="str">
        <x:f>'All Areas Data'!A104</x:f>
        <x:v>EEZ_914</x:v>
      </x:c>
      <x:c r="B104" s="25" t="str">
        <x:f>'All Areas Data'!B104</x:f>
        <x:v>Sweden (Baltic)</x:v>
      </x:c>
      <x:c r="C104" s="25" t="str">
        <x:f>'All Areas Data'!C104</x:f>
        <x:v>EEZ</x:v>
      </x:c>
      <x:c r="D104" s="32" t="n">
        <x:f>'All Areas Data'!E104</x:f>
        <x:v>258009.42244459942</x:v>
      </x:c>
      <x:c r="E104" s="32" t="n">
        <x:f>'All Areas Data'!K104</x:f>
        <x:v>65614786.95071074</x:v>
      </x:c>
      <x:c r="F104" s="34" t="n">
        <x:f>IF(SUMIF($C$2:$C$367,C104,$E$2:$E$367)=0,"",E104/SUMIF($C$2:$C$367,C104,$E$2:$E$367))</x:f>
        <x:v>0.0009875472371964986</x:v>
      </x:c>
      <x:c r="G104" s="35" t="n">
        <x:f>COUNTIFS($C$2:$C$367,C104,$E$2:$E$367,"&gt;"&amp;E104)+COUNTIFS($C$2:C104,C104,$E$2:E104,E104)</x:f>
        <x:v>103</x:v>
      </x:c>
      <x:c r="H104" s="34" t="n">
        <x:f>IF(SUMIF($C$2:$C$367,C104,$E$2:$E$367)=0,"",SUMIF($C$2:C104,C104,$F$2:F104))</x:f>
        <x:v>0.9652785547391274</x:v>
      </x:c>
    </x:row>
    <x:row r="105" ht="18" customHeight="1">
      <x:c r="A105" s="25" t="str">
        <x:f>'All Areas Data'!A105</x:f>
        <x:v>EEZ_947</x:v>
      </x:c>
      <x:c r="B105" s="25" t="str">
        <x:f>'All Areas Data'!B105</x:f>
        <x:v>Morocco (Mediterranean)</x:v>
      </x:c>
      <x:c r="C105" s="25" t="str">
        <x:f>'All Areas Data'!C105</x:f>
        <x:v>EEZ</x:v>
      </x:c>
      <x:c r="D105" s="32" t="n">
        <x:f>'All Areas Data'!E105</x:f>
        <x:v>66046.14815490438</x:v>
      </x:c>
      <x:c r="E105" s="32" t="n">
        <x:f>'All Areas Data'!K105</x:f>
        <x:v>64564291.36796549</x:v>
      </x:c>
      <x:c r="F105" s="34" t="n">
        <x:f>IF(SUMIF($C$2:$C$367,C105,$E$2:$E$367)=0,"",E105/SUMIF($C$2:$C$367,C105,$E$2:$E$367))</x:f>
        <x:v>0.0009717365631298969</x:v>
      </x:c>
      <x:c r="G105" s="35" t="n">
        <x:f>COUNTIFS($C$2:$C$367,C105,$E$2:$E$367,"&gt;"&amp;E105)+COUNTIFS($C$2:C105,C105,$E$2:E105,E105)</x:f>
        <x:v>104</x:v>
      </x:c>
      <x:c r="H105" s="34" t="n">
        <x:f>IF(SUMIF($C$2:$C$367,C105,$E$2:$E$367)=0,"",SUMIF($C$2:C105,C105,$F$2:F105))</x:f>
        <x:v>0.9662502913022573</x:v>
      </x:c>
    </x:row>
    <x:row r="106" ht="18" customHeight="1">
      <x:c r="A106" s="25" t="str">
        <x:f>'All Areas Data'!A106</x:f>
        <x:v>EEZ_268</x:v>
      </x:c>
      <x:c r="B106" s="25" t="str">
        <x:f>'All Areas Data'!B106</x:f>
        <x:v>Georgia</x:v>
      </x:c>
      <x:c r="C106" s="25" t="str">
        <x:f>'All Areas Data'!C106</x:f>
        <x:v>EEZ</x:v>
      </x:c>
      <x:c r="D106" s="32" t="n">
        <x:f>'All Areas Data'!E106</x:f>
        <x:v>350092.2854428537</x:v>
      </x:c>
      <x:c r="E106" s="32" t="n">
        <x:f>'All Areas Data'!K106</x:f>
        <x:v>62582880.30789505</x:v>
      </x:c>
      <x:c r="F106" s="34" t="n">
        <x:f>IF(SUMIF($C$2:$C$367,C106,$E$2:$E$367)=0,"",E106/SUMIF($C$2:$C$367,C106,$E$2:$E$367))</x:f>
        <x:v>0.0009419149770353931</x:v>
      </x:c>
      <x:c r="G106" s="35" t="n">
        <x:f>COUNTIFS($C$2:$C$367,C106,$E$2:$E$367,"&gt;"&amp;E106)+COUNTIFS($C$2:C106,C106,$E$2:E106,E106)</x:f>
        <x:v>105</x:v>
      </x:c>
      <x:c r="H106" s="34" t="n">
        <x:f>IF(SUMIF($C$2:$C$367,C106,$E$2:$E$367)=0,"",SUMIF($C$2:C106,C106,$F$2:F106))</x:f>
        <x:v>0.9671922062792927</x:v>
      </x:c>
    </x:row>
    <x:row r="107" ht="18" customHeight="1">
      <x:c r="A107" s="25" t="str">
        <x:f>'All Areas Data'!A107</x:f>
        <x:v>EEZ_300</x:v>
      </x:c>
      <x:c r="B107" s="25" t="str">
        <x:f>'All Areas Data'!B107</x:f>
        <x:v>Greece (without Crete)</x:v>
      </x:c>
      <x:c r="C107" s="25" t="str">
        <x:f>'All Areas Data'!C107</x:f>
        <x:v>EEZ</x:v>
      </x:c>
      <x:c r="D107" s="32" t="n">
        <x:f>'All Areas Data'!E107</x:f>
        <x:v>108516.7645129038</x:v>
      </x:c>
      <x:c r="E107" s="32" t="n">
        <x:f>'All Areas Data'!K107</x:f>
        <x:v>60672881.10444955</x:v>
      </x:c>
      <x:c r="F107" s="34" t="n">
        <x:f>IF(SUMIF($C$2:$C$367,C107,$E$2:$E$367)=0,"",E107/SUMIF($C$2:$C$367,C107,$E$2:$E$367))</x:f>
        <x:v>0.0009131681880253636</x:v>
      </x:c>
      <x:c r="G107" s="35" t="n">
        <x:f>COUNTIFS($C$2:$C$367,C107,$E$2:$E$367,"&gt;"&amp;E107)+COUNTIFS($C$2:C107,C107,$E$2:E107,E107)</x:f>
        <x:v>106</x:v>
      </x:c>
      <x:c r="H107" s="34" t="n">
        <x:f>IF(SUMIF($C$2:$C$367,C107,$E$2:$E$367)=0,"",SUMIF($C$2:C107,C107,$F$2:F107))</x:f>
        <x:v>0.968105374467318</x:v>
      </x:c>
    </x:row>
    <x:row r="108" ht="18" customHeight="1">
      <x:c r="A108" s="25" t="str">
        <x:f>'All Areas Data'!A108</x:f>
        <x:v>EEZ_973</x:v>
      </x:c>
      <x:c r="B108" s="25" t="str">
        <x:f>'All Areas Data'!B108</x:f>
        <x:v>Korea (North, Yellow Sea)</x:v>
      </x:c>
      <x:c r="C108" s="25" t="str">
        <x:f>'All Areas Data'!C108</x:f>
        <x:v>EEZ</x:v>
      </x:c>
      <x:c r="D108" s="32" t="n">
        <x:f>'All Areas Data'!E108</x:f>
        <x:v>89045.48046535479</x:v>
      </x:c>
      <x:c r="E108" s="32" t="n">
        <x:f>'All Areas Data'!K108</x:f>
        <x:v>58964164.09103803</x:v>
      </x:c>
      <x:c r="F108" s="34" t="n">
        <x:f>IF(SUMIF($C$2:$C$367,C108,$E$2:$E$367)=0,"",E108/SUMIF($C$2:$C$367,C108,$E$2:$E$367))</x:f>
        <x:v>0.000887450833078943</x:v>
      </x:c>
      <x:c r="G108" s="35" t="n">
        <x:f>COUNTIFS($C$2:$C$367,C108,$E$2:$E$367,"&gt;"&amp;E108)+COUNTIFS($C$2:C108,C108,$E$2:E108,E108)</x:f>
        <x:v>107</x:v>
      </x:c>
      <x:c r="H108" s="34" t="n">
        <x:f>IF(SUMIF($C$2:$C$367,C108,$E$2:$E$367)=0,"",SUMIF($C$2:C108,C108,$F$2:F108))</x:f>
        <x:v>0.968992825300397</x:v>
      </x:c>
    </x:row>
    <x:row r="109" ht="18" customHeight="1">
      <x:c r="A109" s="25" t="str">
        <x:f>'All Areas Data'!A109</x:f>
        <x:v>EEZ_270</x:v>
      </x:c>
      <x:c r="B109" s="25" t="str">
        <x:f>'All Areas Data'!B109</x:f>
        <x:v>Gambia</x:v>
      </x:c>
      <x:c r="C109" s="25" t="str">
        <x:f>'All Areas Data'!C109</x:f>
        <x:v>EEZ</x:v>
      </x:c>
      <x:c r="D109" s="32" t="n">
        <x:f>'All Areas Data'!E109</x:f>
        <x:v>168306.30279973362</x:v>
      </x:c>
      <x:c r="E109" s="32" t="n">
        <x:f>'All Areas Data'!K109</x:f>
        <x:v>52717675.19812376</x:v>
      </x:c>
      <x:c r="F109" s="34" t="n">
        <x:f>IF(SUMIF($C$2:$C$367,C109,$E$2:$E$367)=0,"",E109/SUMIF($C$2:$C$367,C109,$E$2:$E$367))</x:f>
        <x:v>0.0007934369204374225</x:v>
      </x:c>
      <x:c r="G109" s="35" t="n">
        <x:f>COUNTIFS($C$2:$C$367,C109,$E$2:$E$367,"&gt;"&amp;E109)+COUNTIFS($C$2:C109,C109,$E$2:E109,E109)</x:f>
        <x:v>108</x:v>
      </x:c>
      <x:c r="H109" s="34" t="n">
        <x:f>IF(SUMIF($C$2:$C$367,C109,$E$2:$E$367)=0,"",SUMIF($C$2:C109,C109,$F$2:F109))</x:f>
        <x:v>0.9697862622208344</x:v>
      </x:c>
    </x:row>
    <x:row r="110" ht="18" customHeight="1">
      <x:c r="A110" s="25" t="str">
        <x:f>'All Areas Data'!A110</x:f>
        <x:v>EEZ_740</x:v>
      </x:c>
      <x:c r="B110" s="25" t="str">
        <x:f>'All Areas Data'!B110</x:f>
        <x:v>Suriname</x:v>
      </x:c>
      <x:c r="C110" s="25" t="str">
        <x:f>'All Areas Data'!C110</x:f>
        <x:v>EEZ</x:v>
      </x:c>
      <x:c r="D110" s="32" t="n">
        <x:f>'All Areas Data'!E110</x:f>
        <x:v>58397.2558737715</x:v>
      </x:c>
      <x:c r="E110" s="32" t="n">
        <x:f>'All Areas Data'!K110</x:f>
        <x:v>50180471.08869745</x:v>
      </x:c>
      <x:c r="F110" s="34" t="n">
        <x:f>IF(SUMIF($C$2:$C$367,C110,$E$2:$E$367)=0,"",E110/SUMIF($C$2:$C$367,C110,$E$2:$E$367))</x:f>
        <x:v>0.0007552502703710319</x:v>
      </x:c>
      <x:c r="G110" s="35" t="n">
        <x:f>COUNTIFS($C$2:$C$367,C110,$E$2:$E$367,"&gt;"&amp;E110)+COUNTIFS($C$2:C110,C110,$E$2:E110,E110)</x:f>
        <x:v>109</x:v>
      </x:c>
      <x:c r="H110" s="34" t="n">
        <x:f>IF(SUMIF($C$2:$C$367,C110,$E$2:$E$367)=0,"",SUMIF($C$2:C110,C110,$F$2:F110))</x:f>
        <x:v>0.9705415124912055</x:v>
      </x:c>
    </x:row>
    <x:row r="111" ht="18" customHeight="1">
      <x:c r="A111" s="25" t="str">
        <x:f>'All Areas Data'!A111</x:f>
        <x:v>EEZ_684</x:v>
      </x:c>
      <x:c r="B111" s="25" t="str">
        <x:f>'All Areas Data'!B111</x:f>
        <x:v>Saudi Arabia (Persian Gulf)</x:v>
      </x:c>
      <x:c r="C111" s="25" t="str">
        <x:f>'All Areas Data'!C111</x:f>
        <x:v>EEZ</x:v>
      </x:c>
      <x:c r="D111" s="32" t="n">
        <x:f>'All Areas Data'!E111</x:f>
        <x:v>52003.642323932094</x:v>
      </x:c>
      <x:c r="E111" s="32" t="n">
        <x:f>'All Areas Data'!K111</x:f>
        <x:v>49497257.93937051</x:v>
      </x:c>
      <x:c r="F111" s="34" t="n">
        <x:f>IF(SUMIF($C$2:$C$367,C111,$E$2:$E$367)=0,"",E111/SUMIF($C$2:$C$367,C111,$E$2:$E$367))</x:f>
        <x:v>0.0007449674471022318</x:v>
      </x:c>
      <x:c r="G111" s="35" t="n">
        <x:f>COUNTIFS($C$2:$C$367,C111,$E$2:$E$367,"&gt;"&amp;E111)+COUNTIFS($C$2:C111,C111,$E$2:E111,E111)</x:f>
        <x:v>110</x:v>
      </x:c>
      <x:c r="H111" s="34" t="n">
        <x:f>IF(SUMIF($C$2:$C$367,C111,$E$2:$E$367)=0,"",SUMIF($C$2:C111,C111,$F$2:F111))</x:f>
        <x:v>0.9712864799383077</x:v>
      </x:c>
    </x:row>
    <x:row r="112" ht="18" customHeight="1">
      <x:c r="A112" s="25" t="str">
        <x:f>'All Areas Data'!A112</x:f>
        <x:v>EEZ_616</x:v>
      </x:c>
      <x:c r="B112" s="25" t="str">
        <x:f>'All Areas Data'!B112</x:f>
        <x:v>Poland</x:v>
      </x:c>
      <x:c r="C112" s="25" t="str">
        <x:f>'All Areas Data'!C112</x:f>
        <x:v>EEZ</x:v>
      </x:c>
      <x:c r="D112" s="32" t="n">
        <x:f>'All Areas Data'!E112</x:f>
        <x:v>155232.70535576172</x:v>
      </x:c>
      <x:c r="E112" s="32" t="n">
        <x:f>'All Areas Data'!K112</x:f>
        <x:v>48709783.74274053</x:v>
      </x:c>
      <x:c r="F112" s="34" t="n">
        <x:f>IF(SUMIF($C$2:$C$367,C112,$E$2:$E$367)=0,"",E112/SUMIF($C$2:$C$367,C112,$E$2:$E$367))</x:f>
        <x:v>0.0007331154240539872</x:v>
      </x:c>
      <x:c r="G112" s="35" t="n">
        <x:f>COUNTIFS($C$2:$C$367,C112,$E$2:$E$367,"&gt;"&amp;E112)+COUNTIFS($C$2:C112,C112,$E$2:E112,E112)</x:f>
        <x:v>111</x:v>
      </x:c>
      <x:c r="H112" s="34" t="n">
        <x:f>IF(SUMIF($C$2:$C$367,C112,$E$2:$E$367)=0,"",SUMIF($C$2:C112,C112,$F$2:F112))</x:f>
        <x:v>0.9720195953623617</x:v>
      </x:c>
    </x:row>
    <x:row r="113" ht="18" customHeight="1">
      <x:c r="A113" s="25" t="str">
        <x:f>'All Areas Data'!A113</x:f>
        <x:v>EEZ_258</x:v>
      </x:c>
      <x:c r="B113" s="25" t="str">
        <x:f>'All Areas Data'!B113</x:f>
        <x:v>French Polynesia</x:v>
      </x:c>
      <x:c r="C113" s="25" t="str">
        <x:f>'All Areas Data'!C113</x:f>
        <x:v>EEZ</x:v>
      </x:c>
      <x:c r="D113" s="32" t="n">
        <x:f>'All Areas Data'!E113</x:f>
        <x:v>30503.7776851117</x:v>
      </x:c>
      <x:c r="E113" s="32" t="n">
        <x:f>'All Areas Data'!K113</x:f>
        <x:v>47721884.851591855</x:v>
      </x:c>
      <x:c r="F113" s="34" t="n">
        <x:f>IF(SUMIF($C$2:$C$367,C113,$E$2:$E$367)=0,"",E113/SUMIF($C$2:$C$367,C113,$E$2:$E$367))</x:f>
        <x:v>0.0007182468728337232</x:v>
      </x:c>
      <x:c r="G113" s="35" t="n">
        <x:f>COUNTIFS($C$2:$C$367,C113,$E$2:$E$367,"&gt;"&amp;E113)+COUNTIFS($C$2:C113,C113,$E$2:E113,E113)</x:f>
        <x:v>112</x:v>
      </x:c>
      <x:c r="H113" s="34" t="n">
        <x:f>IF(SUMIF($C$2:$C$367,C113,$E$2:$E$367)=0,"",SUMIF($C$2:C113,C113,$F$2:F113))</x:f>
        <x:v>0.9727378422351954</x:v>
      </x:c>
    </x:row>
    <x:row r="114" ht="18" customHeight="1">
      <x:c r="A114" s="25" t="str">
        <x:f>'All Areas Data'!A114</x:f>
        <x:v>EEZ_842</x:v>
      </x:c>
      <x:c r="B114" s="25" t="str">
        <x:f>'All Areas Data'!B114</x:f>
        <x:v>Hawaii Main Islands (USA)</x:v>
      </x:c>
      <x:c r="C114" s="25" t="str">
        <x:f>'All Areas Data'!C114</x:f>
        <x:v>EEZ</x:v>
      </x:c>
      <x:c r="D114" s="32" t="n">
        <x:f>'All Areas Data'!E114</x:f>
        <x:v>22486.1865752072</x:v>
      </x:c>
      <x:c r="E114" s="32" t="n">
        <x:f>'All Areas Data'!K114</x:f>
        <x:v>47556032.822993144</x:v>
      </x:c>
      <x:c r="F114" s="34" t="n">
        <x:f>IF(SUMIF($C$2:$C$367,C114,$E$2:$E$367)=0,"",E114/SUMIF($C$2:$C$367,C114,$E$2:$E$367))</x:f>
        <x:v>0.0007157506868330108</x:v>
      </x:c>
      <x:c r="G114" s="35" t="n">
        <x:f>COUNTIFS($C$2:$C$367,C114,$E$2:$E$367,"&gt;"&amp;E114)+COUNTIFS($C$2:C114,C114,$E$2:E114,E114)</x:f>
        <x:v>113</x:v>
      </x:c>
      <x:c r="H114" s="34" t="n">
        <x:f>IF(SUMIF($C$2:$C$367,C114,$E$2:$E$367)=0,"",SUMIF($C$2:C114,C114,$F$2:F114))</x:f>
        <x:v>0.9734535929220285</x:v>
      </x:c>
    </x:row>
    <x:row r="115" ht="18" customHeight="1">
      <x:c r="A115" s="25" t="str">
        <x:f>'All Areas Data'!A115</x:f>
        <x:v>EEZ_968</x:v>
      </x:c>
      <x:c r="B115" s="25" t="str">
        <x:f>'All Areas Data'!B115</x:f>
        <x:v>United Arab Emirates (Fujairah)</x:v>
      </x:c>
      <x:c r="C115" s="25" t="str">
        <x:f>'All Areas Data'!C115</x:f>
        <x:v>EEZ</x:v>
      </x:c>
      <x:c r="D115" s="32" t="n">
        <x:f>'All Areas Data'!E115</x:f>
        <x:v>34815.7976770108</x:v>
      </x:c>
      <x:c r="E115" s="32" t="n">
        <x:f>'All Areas Data'!K115</x:f>
        <x:v>46252931.13406608</x:v>
      </x:c>
      <x:c r="F115" s="34" t="n">
        <x:f>IF(SUMIF($C$2:$C$367,C115,$E$2:$E$367)=0,"",E115/SUMIF($C$2:$C$367,C115,$E$2:$E$367))</x:f>
        <x:v>0.0006961381188054303</x:v>
      </x:c>
      <x:c r="G115" s="35" t="n">
        <x:f>COUNTIFS($C$2:$C$367,C115,$E$2:$E$367,"&gt;"&amp;E115)+COUNTIFS($C$2:C115,C115,$E$2:E115,E115)</x:f>
        <x:v>114</x:v>
      </x:c>
      <x:c r="H115" s="34" t="n">
        <x:f>IF(SUMIF($C$2:$C$367,C115,$E$2:$E$367)=0,"",SUMIF($C$2:C115,C115,$F$2:F115))</x:f>
        <x:v>0.9741497310408339</x:v>
      </x:c>
    </x:row>
    <x:row r="116" ht="18" customHeight="1">
      <x:c r="A116" s="25" t="str">
        <x:f>'All Areas Data'!A116</x:f>
        <x:v>EEZ_174</x:v>
      </x:c>
      <x:c r="B116" s="25" t="str">
        <x:f>'All Areas Data'!B116</x:f>
        <x:v>Comoros Isl.</x:v>
      </x:c>
      <x:c r="C116" s="25" t="str">
        <x:f>'All Areas Data'!C116</x:f>
        <x:v>EEZ</x:v>
      </x:c>
      <x:c r="D116" s="32" t="n">
        <x:f>'All Areas Data'!E116</x:f>
        <x:v>20265.440293107604</x:v>
      </x:c>
      <x:c r="E116" s="32" t="n">
        <x:f>'All Areas Data'!K116</x:f>
        <x:v>42645896.13210497</x:v>
      </x:c>
      <x:c r="F116" s="34" t="n">
        <x:f>IF(SUMIF($C$2:$C$367,C116,$E$2:$E$367)=0,"",E116/SUMIF($C$2:$C$367,C116,$E$2:$E$367))</x:f>
        <x:v>0.0006418497850898368</x:v>
      </x:c>
      <x:c r="G116" s="35" t="n">
        <x:f>COUNTIFS($C$2:$C$367,C116,$E$2:$E$367,"&gt;"&amp;E116)+COUNTIFS($C$2:C116,C116,$E$2:E116,E116)</x:f>
        <x:v>115</x:v>
      </x:c>
      <x:c r="H116" s="34" t="n">
        <x:f>IF(SUMIF($C$2:$C$367,C116,$E$2:$E$367)=0,"",SUMIF($C$2:C116,C116,$F$2:F116))</x:f>
        <x:v>0.9747915808259238</x:v>
      </x:c>
    </x:row>
    <x:row r="117" ht="18" customHeight="1">
      <x:c r="A117" s="25" t="str">
        <x:f>'All Areas Data'!A117</x:f>
        <x:v>EEZ_932</x:v>
      </x:c>
      <x:c r="B117" s="25" t="str">
        <x:f>'All Areas Data'!B117</x:f>
        <x:v>Denmark (North Sea)</x:v>
      </x:c>
      <x:c r="C117" s="25" t="str">
        <x:f>'All Areas Data'!C117</x:f>
        <x:v>EEZ</x:v>
      </x:c>
      <x:c r="D117" s="32" t="n">
        <x:f>'All Areas Data'!E117</x:f>
        <x:v>136822.7965781429</x:v>
      </x:c>
      <x:c r="E117" s="32" t="n">
        <x:f>'All Areas Data'!K117</x:f>
        <x:v>41397655.05769295</x:v>
      </x:c>
      <x:c r="F117" s="34" t="n">
        <x:f>IF(SUMIF($C$2:$C$367,C117,$E$2:$E$367)=0,"",E117/SUMIF($C$2:$C$367,C117,$E$2:$E$367))</x:f>
        <x:v>0.000623062906679079</x:v>
      </x:c>
      <x:c r="G117" s="35" t="n">
        <x:f>COUNTIFS($C$2:$C$367,C117,$E$2:$E$367,"&gt;"&amp;E117)+COUNTIFS($C$2:C117,C117,$E$2:E117,E117)</x:f>
        <x:v>116</x:v>
      </x:c>
      <x:c r="H117" s="34" t="n">
        <x:f>IF(SUMIF($C$2:$C$367,C117,$E$2:$E$367)=0,"",SUMIF($C$2:C117,C117,$F$2:F117))</x:f>
        <x:v>0.9754146437326029</x:v>
      </x:c>
    </x:row>
    <x:row r="118" ht="18" customHeight="1">
      <x:c r="A118" s="25" t="str">
        <x:f>'All Areas Data'!A118</x:f>
        <x:v>EEZ_683</x:v>
      </x:c>
      <x:c r="B118" s="25" t="str">
        <x:f>'All Areas Data'!B118</x:f>
        <x:v>Saudi Arabia (Red Sea)</x:v>
      </x:c>
      <x:c r="C118" s="25" t="str">
        <x:f>'All Areas Data'!C118</x:f>
        <x:v>EEZ</x:v>
      </x:c>
      <x:c r="D118" s="32" t="n">
        <x:f>'All Areas Data'!E118</x:f>
        <x:v>39296.800791863905</x:v>
      </x:c>
      <x:c r="E118" s="32" t="n">
        <x:f>'All Areas Data'!K118</x:f>
        <x:v>38075252.287188336</x:v>
      </x:c>
      <x:c r="F118" s="34" t="n">
        <x:f>IF(SUMIF($C$2:$C$367,C118,$E$2:$E$367)=0,"",E118/SUMIF($C$2:$C$367,C118,$E$2:$E$367))</x:f>
        <x:v>0.0005730584819244805</x:v>
      </x:c>
      <x:c r="G118" s="35" t="n">
        <x:f>COUNTIFS($C$2:$C$367,C118,$E$2:$E$367,"&gt;"&amp;E118)+COUNTIFS($C$2:C118,C118,$E$2:E118,E118)</x:f>
        <x:v>117</x:v>
      </x:c>
      <x:c r="H118" s="34" t="n">
        <x:f>IF(SUMIF($C$2:$C$367,C118,$E$2:$E$367)=0,"",SUMIF($C$2:C118,C118,$F$2:F118))</x:f>
        <x:v>0.9759877022145274</x:v>
      </x:c>
    </x:row>
    <x:row r="119" ht="18" customHeight="1">
      <x:c r="A119" s="25" t="str">
        <x:f>'All Areas Data'!A119</x:f>
        <x:v>EEZ_918</x:v>
      </x:c>
      <x:c r="B119" s="25" t="str">
        <x:f>'All Areas Data'!B119</x:f>
        <x:v>France (Mediterranean)</x:v>
      </x:c>
      <x:c r="C119" s="25" t="str">
        <x:f>'All Areas Data'!C119</x:f>
        <x:v>EEZ</x:v>
      </x:c>
      <x:c r="D119" s="32" t="n">
        <x:f>'All Areas Data'!E119</x:f>
        <x:v>49423.4057756733</x:v>
      </x:c>
      <x:c r="E119" s="32" t="n">
        <x:f>'All Areas Data'!K119</x:f>
        <x:v>38061004.150797874</x:v>
      </x:c>
      <x:c r="F119" s="34" t="n">
        <x:f>IF(SUMIF($C$2:$C$367,C119,$E$2:$E$367)=0,"",E119/SUMIF($C$2:$C$367,C119,$E$2:$E$367))</x:f>
        <x:v>0.0005728440377666693</x:v>
      </x:c>
      <x:c r="G119" s="35" t="n">
        <x:f>COUNTIFS($C$2:$C$367,C119,$E$2:$E$367,"&gt;"&amp;E119)+COUNTIFS($C$2:C119,C119,$E$2:E119,E119)</x:f>
        <x:v>118</x:v>
      </x:c>
      <x:c r="H119" s="34" t="n">
        <x:f>IF(SUMIF($C$2:$C$367,C119,$E$2:$E$367)=0,"",SUMIF($C$2:C119,C119,$F$2:F119))</x:f>
        <x:v>0.976560546252294</x:v>
      </x:c>
    </x:row>
    <x:row r="120" ht="18" customHeight="1">
      <x:c r="A120" s="25" t="str">
        <x:f>'All Areas Data'!A120</x:f>
        <x:v>EEZ_793</x:v>
      </x:c>
      <x:c r="B120" s="25" t="str">
        <x:f>'All Areas Data'!B120</x:f>
        <x:v>Turkey (Mediterranean Sea)</x:v>
      </x:c>
      <x:c r="C120" s="25" t="str">
        <x:f>'All Areas Data'!C120</x:f>
        <x:v>EEZ</x:v>
      </x:c>
      <x:c r="D120" s="32" t="n">
        <x:f>'All Areas Data'!E120</x:f>
        <x:v>87055.4164278193</x:v>
      </x:c>
      <x:c r="E120" s="32" t="n">
        <x:f>'All Areas Data'!K120</x:f>
        <x:v>37682483.74893091</x:v>
      </x:c>
      <x:c r="F120" s="34" t="n">
        <x:f>IF(SUMIF($C$2:$C$367,C120,$E$2:$E$367)=0,"",E120/SUMIF($C$2:$C$367,C120,$E$2:$E$367))</x:f>
        <x:v>0.0005671470478889604</x:v>
      </x:c>
      <x:c r="G120" s="35" t="n">
        <x:f>COUNTIFS($C$2:$C$367,C120,$E$2:$E$367,"&gt;"&amp;E120)+COUNTIFS($C$2:C120,C120,$E$2:E120,E120)</x:f>
        <x:v>119</x:v>
      </x:c>
      <x:c r="H120" s="34" t="n">
        <x:f>IF(SUMIF($C$2:$C$367,C120,$E$2:$E$367)=0,"",SUMIF($C$2:C120,C120,$F$2:F120))</x:f>
        <x:v>0.977127693300183</x:v>
      </x:c>
    </x:row>
    <x:row r="121" ht="18" customHeight="1">
      <x:c r="A121" s="25" t="str">
        <x:f>'All Areas Data'!A121</x:f>
        <x:v>EEZ_214</x:v>
      </x:c>
      <x:c r="B121" s="25" t="str">
        <x:f>'All Areas Data'!B121</x:f>
        <x:v>Dominican Republic</x:v>
      </x:c>
      <x:c r="C121" s="25" t="str">
        <x:f>'All Areas Data'!C121</x:f>
        <x:v>EEZ</x:v>
      </x:c>
      <x:c r="D121" s="32" t="n">
        <x:f>'All Areas Data'!E121</x:f>
        <x:v>54410.016272012</x:v>
      </x:c>
      <x:c r="E121" s="32" t="n">
        <x:f>'All Areas Data'!K121</x:f>
        <x:v>37213224.13606851</x:v>
      </x:c>
      <x:c r="F121" s="34" t="n">
        <x:f>IF(SUMIF($C$2:$C$367,C121,$E$2:$E$367)=0,"",E121/SUMIF($C$2:$C$367,C121,$E$2:$E$367))</x:f>
        <x:v>0.0005600843710786512</x:v>
      </x:c>
      <x:c r="G121" s="35" t="n">
        <x:f>COUNTIFS($C$2:$C$367,C121,$E$2:$E$367,"&gt;"&amp;E121)+COUNTIFS($C$2:C121,C121,$E$2:E121,E121)</x:f>
        <x:v>120</x:v>
      </x:c>
      <x:c r="H121" s="34" t="n">
        <x:f>IF(SUMIF($C$2:$C$367,C121,$E$2:$E$367)=0,"",SUMIF($C$2:C121,C121,$F$2:F121))</x:f>
        <x:v>0.9776877776712617</x:v>
      </x:c>
    </x:row>
    <x:row r="122" ht="18" customHeight="1">
      <x:c r="A122" s="25" t="str">
        <x:f>'All Areas Data'!A122</x:f>
        <x:v>EEZ_934</x:v>
      </x:c>
      <x:c r="B122" s="25" t="str">
        <x:f>'All Areas Data'!B122</x:f>
        <x:v>Egypt (Red Sea)</x:v>
      </x:c>
      <x:c r="C122" s="25" t="str">
        <x:f>'All Areas Data'!C122</x:f>
        <x:v>EEZ</x:v>
      </x:c>
      <x:c r="D122" s="32" t="n">
        <x:f>'All Areas Data'!E122</x:f>
        <x:v>65184.46302450699</x:v>
      </x:c>
      <x:c r="E122" s="32" t="n">
        <x:f>'All Areas Data'!K122</x:f>
        <x:v>36870962.78596789</x:v>
      </x:c>
      <x:c r="F122" s="34" t="n">
        <x:f>IF(SUMIF($C$2:$C$367,C122,$E$2:$E$367)=0,"",E122/SUMIF($C$2:$C$367,C122,$E$2:$E$367))</x:f>
        <x:v>0.0005549331046279209</x:v>
      </x:c>
      <x:c r="G122" s="35" t="n">
        <x:f>COUNTIFS($C$2:$C$367,C122,$E$2:$E$367,"&gt;"&amp;E122)+COUNTIFS($C$2:C122,C122,$E$2:E122,E122)</x:f>
        <x:v>121</x:v>
      </x:c>
      <x:c r="H122" s="34" t="n">
        <x:f>IF(SUMIF($C$2:$C$367,C122,$E$2:$E$367)=0,"",SUMIF($C$2:C122,C122,$F$2:F122))</x:f>
        <x:v>0.9782427107758896</x:v>
      </x:c>
    </x:row>
    <x:row r="123" ht="18" customHeight="1">
      <x:c r="A123" s="25" t="str">
        <x:f>'All Areas Data'!A123</x:f>
        <x:v>EEZ_621</x:v>
      </x:c>
      <x:c r="B123" s="25" t="str">
        <x:f>'All Areas Data'!B123</x:f>
        <x:v>Madeira Isl. (Portugal)</x:v>
      </x:c>
      <x:c r="C123" s="25" t="str">
        <x:f>'All Areas Data'!C123</x:f>
        <x:v>EEZ</x:v>
      </x:c>
      <x:c r="D123" s="32" t="n">
        <x:f>'All Areas Data'!E123</x:f>
        <x:v>14928.145180905802</x:v>
      </x:c>
      <x:c r="E123" s="32" t="n">
        <x:f>'All Areas Data'!K123</x:f>
        <x:v>34811066.00645102</x:v>
      </x:c>
      <x:c r="F123" s="34" t="n">
        <x:f>IF(SUMIF($C$2:$C$367,C123,$E$2:$E$367)=0,"",E123/SUMIF($C$2:$C$367,C123,$E$2:$E$367))</x:f>
        <x:v>0.0005239302549951094</x:v>
      </x:c>
      <x:c r="G123" s="35" t="n">
        <x:f>COUNTIFS($C$2:$C$367,C123,$E$2:$E$367,"&gt;"&amp;E123)+COUNTIFS($C$2:C123,C123,$E$2:E123,E123)</x:f>
        <x:v>122</x:v>
      </x:c>
      <x:c r="H123" s="34" t="n">
        <x:f>IF(SUMIF($C$2:$C$367,C123,$E$2:$E$367)=0,"",SUMIF($C$2:C123,C123,$F$2:F123))</x:f>
        <x:v>0.9787666410308847</x:v>
      </x:c>
    </x:row>
    <x:row r="124" ht="18" customHeight="1">
      <x:c r="A124" s="25" t="str">
        <x:f>'All Areas Data'!A124</x:f>
        <x:v>EEZ_246</x:v>
      </x:c>
      <x:c r="B124" s="25" t="str">
        <x:f>'All Areas Data'!B124</x:f>
        <x:v>Finland</x:v>
      </x:c>
      <x:c r="C124" s="25" t="str">
        <x:f>'All Areas Data'!C124</x:f>
        <x:v>EEZ</x:v>
      </x:c>
      <x:c r="D124" s="32" t="n">
        <x:f>'All Areas Data'!E124</x:f>
        <x:v>122751.58946063148</x:v>
      </x:c>
      <x:c r="E124" s="32" t="n">
        <x:f>'All Areas Data'!K124</x:f>
        <x:v>33509013.98870027</x:v>
      </x:c>
      <x:c r="F124" s="34" t="n">
        <x:f>IF(SUMIF($C$2:$C$367,C124,$E$2:$E$367)=0,"",E124/SUMIF($C$2:$C$367,C124,$E$2:$E$367))</x:f>
        <x:v>0.0005043334852337173</x:v>
      </x:c>
      <x:c r="G124" s="35" t="n">
        <x:f>COUNTIFS($C$2:$C$367,C124,$E$2:$E$367,"&gt;"&amp;E124)+COUNTIFS($C$2:C124,C124,$E$2:E124,E124)</x:f>
        <x:v>123</x:v>
      </x:c>
      <x:c r="H124" s="34" t="n">
        <x:f>IF(SUMIF($C$2:$C$367,C124,$E$2:$E$367)=0,"",SUMIF($C$2:C124,C124,$F$2:F124))</x:f>
        <x:v>0.9792709745161184</x:v>
      </x:c>
    </x:row>
    <x:row r="125" ht="18" customHeight="1">
      <x:c r="A125" s="25" t="str">
        <x:f>'All Areas Data'!A125</x:f>
        <x:v>EEZ_690</x:v>
      </x:c>
      <x:c r="B125" s="25" t="str">
        <x:f>'All Areas Data'!B125</x:f>
        <x:v>Seychelles</x:v>
      </x:c>
      <x:c r="C125" s="25" t="str">
        <x:f>'All Areas Data'!C125</x:f>
        <x:v>EEZ</x:v>
      </x:c>
      <x:c r="D125" s="32" t="n">
        <x:f>'All Areas Data'!E125</x:f>
        <x:v>18710.237207483602</x:v>
      </x:c>
      <x:c r="E125" s="32" t="n">
        <x:f>'All Areas Data'!K125</x:f>
        <x:v>32871376.210854456</x:v>
      </x:c>
      <x:c r="F125" s="34" t="n">
        <x:f>IF(SUMIF($C$2:$C$367,C125,$E$2:$E$367)=0,"",E125/SUMIF($C$2:$C$367,C125,$E$2:$E$367))</x:f>
        <x:v>0.0004947366023494252</x:v>
      </x:c>
      <x:c r="G125" s="35" t="n">
        <x:f>COUNTIFS($C$2:$C$367,C125,$E$2:$E$367,"&gt;"&amp;E125)+COUNTIFS($C$2:C125,C125,$E$2:E125,E125)</x:f>
        <x:v>124</x:v>
      </x:c>
      <x:c r="H125" s="34" t="n">
        <x:f>IF(SUMIF($C$2:$C$367,C125,$E$2:$E$367)=0,"",SUMIF($C$2:C125,C125,$F$2:F125))</x:f>
        <x:v>0.9797657111184679</x:v>
      </x:c>
    </x:row>
    <x:row r="126" ht="18" customHeight="1">
      <x:c r="A126" s="25" t="str">
        <x:f>'All Areas Data'!A126</x:f>
        <x:v>EEZ_548</x:v>
      </x:c>
      <x:c r="B126" s="25" t="str">
        <x:f>'All Areas Data'!B126</x:f>
        <x:v>Vanuatu</x:v>
      </x:c>
      <x:c r="C126" s="25" t="str">
        <x:f>'All Areas Data'!C126</x:f>
        <x:v>EEZ</x:v>
      </x:c>
      <x:c r="D126" s="32" t="n">
        <x:f>'All Areas Data'!E126</x:f>
        <x:v>19630.861294589602</x:v>
      </x:c>
      <x:c r="E126" s="32" t="n">
        <x:f>'All Areas Data'!K126</x:f>
        <x:v>32659015.20720978</x:v>
      </x:c>
      <x:c r="F126" s="34" t="n">
        <x:f>IF(SUMIF($C$2:$C$367,C126,$E$2:$E$367)=0,"",E126/SUMIF($C$2:$C$367,C126,$E$2:$E$367))</x:f>
        <x:v>0.0004915404245946286</x:v>
      </x:c>
      <x:c r="G126" s="35" t="n">
        <x:f>COUNTIFS($C$2:$C$367,C126,$E$2:$E$367,"&gt;"&amp;E126)+COUNTIFS($C$2:C126,C126,$E$2:E126,E126)</x:f>
        <x:v>125</x:v>
      </x:c>
      <x:c r="H126" s="34" t="n">
        <x:f>IF(SUMIF($C$2:$C$367,C126,$E$2:$E$367)=0,"",SUMIF($C$2:C126,C126,$F$2:F126))</x:f>
        <x:v>0.9802572515430625</x:v>
      </x:c>
    </x:row>
    <x:row r="127" ht="18" customHeight="1">
      <x:c r="A127" s="25" t="str">
        <x:f>'All Areas Data'!A127</x:f>
        <x:v>EEZ_434</x:v>
      </x:c>
      <x:c r="B127" s="25" t="str">
        <x:f>'All Areas Data'!B127</x:f>
        <x:v>Libya</x:v>
      </x:c>
      <x:c r="C127" s="25" t="str">
        <x:f>'All Areas Data'!C127</x:f>
        <x:v>EEZ</x:v>
      </x:c>
      <x:c r="D127" s="32" t="n">
        <x:f>'All Areas Data'!E127</x:f>
        <x:v>46065.4690766525</x:v>
      </x:c>
      <x:c r="E127" s="32" t="n">
        <x:f>'All Areas Data'!K127</x:f>
        <x:v>32589026.701867957</x:v>
      </x:c>
      <x:c r="F127" s="34" t="n">
        <x:f>IF(SUMIF($C$2:$C$367,C127,$E$2:$E$367)=0,"",E127/SUMIF($C$2:$C$367,C127,$E$2:$E$367))</x:f>
        <x:v>0.0004904870499164825</x:v>
      </x:c>
      <x:c r="G127" s="35" t="n">
        <x:f>COUNTIFS($C$2:$C$367,C127,$E$2:$E$367,"&gt;"&amp;E127)+COUNTIFS($C$2:C127,C127,$E$2:E127,E127)</x:f>
        <x:v>126</x:v>
      </x:c>
      <x:c r="H127" s="34" t="n">
        <x:f>IF(SUMIF($C$2:$C$367,C127,$E$2:$E$367)=0,"",SUMIF($C$2:C127,C127,$F$2:F127))</x:f>
        <x:v>0.980747738592979</x:v>
      </x:c>
    </x:row>
    <x:row r="128" ht="18" customHeight="1">
      <x:c r="A128" s="25" t="str">
        <x:f>'All Areas Data'!A128</x:f>
        <x:v>EEZ_528</x:v>
      </x:c>
      <x:c r="B128" s="25" t="str">
        <x:f>'All Areas Data'!B128</x:f>
        <x:v>Netherlands</x:v>
      </x:c>
      <x:c r="C128" s="25" t="str">
        <x:f>'All Areas Data'!C128</x:f>
        <x:v>EEZ</x:v>
      </x:c>
      <x:c r="D128" s="32" t="n">
        <x:f>'All Areas Data'!E128</x:f>
        <x:v>101104.7566313979</x:v>
      </x:c>
      <x:c r="E128" s="32" t="n">
        <x:f>'All Areas Data'!K128</x:f>
        <x:v>32412118.312102888</x:v>
      </x:c>
      <x:c r="F128" s="34" t="n">
        <x:f>IF(SUMIF($C$2:$C$367,C128,$E$2:$E$367)=0,"",E128/SUMIF($C$2:$C$367,C128,$E$2:$E$367))</x:f>
        <x:v>0.0004878244581491632</x:v>
      </x:c>
      <x:c r="G128" s="35" t="n">
        <x:f>COUNTIFS($C$2:$C$367,C128,$E$2:$E$367,"&gt;"&amp;E128)+COUNTIFS($C$2:C128,C128,$E$2:E128,E128)</x:f>
        <x:v>127</x:v>
      </x:c>
      <x:c r="H128" s="34" t="n">
        <x:f>IF(SUMIF($C$2:$C$367,C128,$E$2:$E$367)=0,"",SUMIF($C$2:C128,C128,$F$2:F128))</x:f>
        <x:v>0.9812355630511282</x:v>
      </x:c>
    </x:row>
    <x:row r="129" ht="18" customHeight="1">
      <x:c r="A129" s="25" t="str">
        <x:f>'All Areas Data'!A129</x:f>
        <x:v>EEZ_933</x:v>
      </x:c>
      <x:c r="B129" s="25" t="str">
        <x:f>'All Areas Data'!B129</x:f>
        <x:v>Egypt (Mediterranean)</x:v>
      </x:c>
      <x:c r="C129" s="25" t="str">
        <x:f>'All Areas Data'!C129</x:f>
        <x:v>EEZ</x:v>
      </x:c>
      <x:c r="D129" s="32" t="n">
        <x:f>'All Areas Data'!E129</x:f>
        <x:v>55812.690645263196</x:v>
      </x:c>
      <x:c r="E129" s="32" t="n">
        <x:f>'All Areas Data'!K129</x:f>
        <x:v>31057514.964360286</x:v>
      </x:c>
      <x:c r="F129" s="34" t="n">
        <x:f>IF(SUMIF($C$2:$C$367,C129,$E$2:$E$367)=0,"",E129/SUMIF($C$2:$C$367,C129,$E$2:$E$367))</x:f>
        <x:v>0.00046743675507599414</x:v>
      </x:c>
      <x:c r="G129" s="35" t="n">
        <x:f>COUNTIFS($C$2:$C$367,C129,$E$2:$E$367,"&gt;"&amp;E129)+COUNTIFS($C$2:C129,C129,$E$2:E129,E129)</x:f>
        <x:v>128</x:v>
      </x:c>
      <x:c r="H129" s="34" t="n">
        <x:f>IF(SUMIF($C$2:$C$367,C129,$E$2:$E$367)=0,"",SUMIF($C$2:C129,C129,$F$2:F129))</x:f>
        <x:v>0.9817029998062042</x:v>
      </x:c>
    </x:row>
    <x:row r="130" ht="18" customHeight="1">
      <x:c r="A130" s="25" t="str">
        <x:f>'All Areas Data'!A130</x:f>
        <x:v>EEZ_647</x:v>
      </x:c>
      <x:c r="B130" s="25" t="str">
        <x:f>'All Areas Data'!B130</x:f>
        <x:v>Russia (Black Sea)</x:v>
      </x:c>
      <x:c r="C130" s="25" t="str">
        <x:f>'All Areas Data'!C130</x:f>
        <x:v>EEZ</x:v>
      </x:c>
      <x:c r="D130" s="32" t="n">
        <x:f>'All Areas Data'!E130</x:f>
        <x:v>151771.4553513236</x:v>
      </x:c>
      <x:c r="E130" s="32" t="n">
        <x:f>'All Areas Data'!K130</x:f>
        <x:v>30470880.239130165</x:v>
      </x:c>
      <x:c r="F130" s="34" t="n">
        <x:f>IF(SUMIF($C$2:$C$367,C130,$E$2:$E$367)=0,"",E130/SUMIF($C$2:$C$367,C130,$E$2:$E$367))</x:f>
        <x:v>0.0004586075028743568</x:v>
      </x:c>
      <x:c r="G130" s="35" t="n">
        <x:f>COUNTIFS($C$2:$C$367,C130,$E$2:$E$367,"&gt;"&amp;E130)+COUNTIFS($C$2:C130,C130,$E$2:E130,E130)</x:f>
        <x:v>129</x:v>
      </x:c>
      <x:c r="H130" s="34" t="n">
        <x:f>IF(SUMIF($C$2:$C$367,C130,$E$2:$E$367)=0,"",SUMIF($C$2:C130,C130,$F$2:F130))</x:f>
        <x:v>0.9821616073090786</x:v>
      </x:c>
    </x:row>
    <x:row r="131" ht="18" customHeight="1">
      <x:c r="A131" s="25" t="str">
        <x:f>'All Areas Data'!A131</x:f>
        <x:v>EEZ_393</x:v>
      </x:c>
      <x:c r="B131" s="25" t="str">
        <x:f>'All Areas Data'!B131</x:f>
        <x:v>Japan (Daito Islands)</x:v>
      </x:c>
      <x:c r="C131" s="25" t="str">
        <x:f>'All Areas Data'!C131</x:f>
        <x:v>EEZ</x:v>
      </x:c>
      <x:c r="D131" s="32" t="n">
        <x:f>'All Areas Data'!E131</x:f>
        <x:v>17808.098251388197</x:v>
      </x:c>
      <x:c r="E131" s="32" t="n">
        <x:f>'All Areas Data'!K131</x:f>
        <x:v>29495755.19813662</x:v>
      </x:c>
      <x:c r="F131" s="34" t="n">
        <x:f>IF(SUMIF($C$2:$C$367,C131,$E$2:$E$367)=0,"",E131/SUMIF($C$2:$C$367,C131,$E$2:$E$367))</x:f>
        <x:v>0.00044393120679985025</x:v>
      </x:c>
      <x:c r="G131" s="35" t="n">
        <x:f>COUNTIFS($C$2:$C$367,C131,$E$2:$E$367,"&gt;"&amp;E131)+COUNTIFS($C$2:C131,C131,$E$2:E131,E131)</x:f>
        <x:v>130</x:v>
      </x:c>
      <x:c r="H131" s="34" t="n">
        <x:f>IF(SUMIF($C$2:$C$367,C131,$E$2:$E$367)=0,"",SUMIF($C$2:C131,C131,$F$2:F131))</x:f>
        <x:v>0.9826055385158785</x:v>
      </x:c>
    </x:row>
    <x:row r="132" ht="18" customHeight="1">
      <x:c r="A132" s="25" t="str">
        <x:f>'All Areas Data'!A132</x:f>
        <x:v>EEZ_952</x:v>
      </x:c>
      <x:c r="B132" s="25" t="str">
        <x:f>'All Areas Data'!B132</x:f>
        <x:v>Panama (Pacific)</x:v>
      </x:c>
      <x:c r="C132" s="25" t="str">
        <x:f>'All Areas Data'!C132</x:f>
        <x:v>EEZ</x:v>
      </x:c>
      <x:c r="D132" s="32" t="n">
        <x:f>'All Areas Data'!E132</x:f>
        <x:v>303382.62349392334</x:v>
      </x:c>
      <x:c r="E132" s="32" t="n">
        <x:f>'All Areas Data'!K132</x:f>
        <x:v>28957741.549752913</x:v>
      </x:c>
      <x:c r="F132" s="34" t="n">
        <x:f>IF(SUMIF($C$2:$C$367,C132,$E$2:$E$367)=0,"",E132/SUMIF($C$2:$C$367,C132,$E$2:$E$367))</x:f>
        <x:v>0.00043583373492305427</x:v>
      </x:c>
      <x:c r="G132" s="35" t="n">
        <x:f>COUNTIFS($C$2:$C$367,C132,$E$2:$E$367,"&gt;"&amp;E132)+COUNTIFS($C$2:C132,C132,$E$2:E132,E132)</x:f>
        <x:v>131</x:v>
      </x:c>
      <x:c r="H132" s="34" t="n">
        <x:f>IF(SUMIF($C$2:$C$367,C132,$E$2:$E$367)=0,"",SUMIF($C$2:C132,C132,$F$2:F132))</x:f>
        <x:v>0.9830413722508016</x:v>
      </x:c>
    </x:row>
    <x:row r="133" ht="18" customHeight="1">
      <x:c r="A133" s="25" t="str">
        <x:f>'All Areas Data'!A133</x:f>
        <x:v>EEZ_903</x:v>
      </x:c>
      <x:c r="B133" s="25" t="str">
        <x:f>'All Areas Data'!B133</x:f>
        <x:v>Balearic Islands (Spain)</x:v>
      </x:c>
      <x:c r="C133" s="25" t="str">
        <x:f>'All Areas Data'!C133</x:f>
        <x:v>EEZ</x:v>
      </x:c>
      <x:c r="D133" s="32" t="n">
        <x:f>'All Areas Data'!E133</x:f>
        <x:v>15335.9862376629</x:v>
      </x:c>
      <x:c r="E133" s="32" t="n">
        <x:f>'All Areas Data'!K133</x:f>
        <x:v>28287148.88364155</x:v>
      </x:c>
      <x:c r="F133" s="34" t="n">
        <x:f>IF(SUMIF($C$2:$C$367,C133,$E$2:$E$367)=0,"",E133/SUMIF($C$2:$C$367,C133,$E$2:$E$367))</x:f>
        <x:v>0.00042574085852310523</x:v>
      </x:c>
      <x:c r="G133" s="35" t="n">
        <x:f>COUNTIFS($C$2:$C$367,C133,$E$2:$E$367,"&gt;"&amp;E133)+COUNTIFS($C$2:C133,C133,$E$2:E133,E133)</x:f>
        <x:v>132</x:v>
      </x:c>
      <x:c r="H133" s="34" t="n">
        <x:f>IF(SUMIF($C$2:$C$367,C133,$E$2:$E$367)=0,"",SUMIF($C$2:C133,C133,$F$2:F133))</x:f>
        <x:v>0.9834671131093247</x:v>
      </x:c>
    </x:row>
    <x:row r="134" ht="18" customHeight="1">
      <x:c r="A134" s="25" t="str">
        <x:f>'All Areas Data'!A134</x:f>
        <x:v>EEZ_950</x:v>
      </x:c>
      <x:c r="B134" s="25" t="str">
        <x:f>'All Areas Data'!B134</x:f>
        <x:v>Nicaragua (Pacific)</x:v>
      </x:c>
      <x:c r="C134" s="25" t="str">
        <x:f>'All Areas Data'!C134</x:f>
        <x:v>EEZ</x:v>
      </x:c>
      <x:c r="D134" s="32" t="n">
        <x:f>'All Areas Data'!E134</x:f>
        <x:v>24556.3459940686</x:v>
      </x:c>
      <x:c r="E134" s="32" t="n">
        <x:f>'All Areas Data'!K134</x:f>
        <x:v>28085727.266922668</x:v>
      </x:c>
      <x:c r="F134" s="34" t="n">
        <x:f>IF(SUMIF($C$2:$C$367,C134,$E$2:$E$367)=0,"",E134/SUMIF($C$2:$C$367,C134,$E$2:$E$367))</x:f>
        <x:v>0.00042270932599291805</x:v>
      </x:c>
      <x:c r="G134" s="35" t="n">
        <x:f>COUNTIFS($C$2:$C$367,C134,$E$2:$E$367,"&gt;"&amp;E134)+COUNTIFS($C$2:C134,C134,$E$2:E134,E134)</x:f>
        <x:v>133</x:v>
      </x:c>
      <x:c r="H134" s="34" t="n">
        <x:f>IF(SUMIF($C$2:$C$367,C134,$E$2:$E$367)=0,"",SUMIF($C$2:C134,C134,$F$2:F134))</x:f>
        <x:v>0.9838898224353175</x:v>
      </x:c>
    </x:row>
    <x:row r="135" ht="18" customHeight="1">
      <x:c r="A135" s="25" t="str">
        <x:f>'All Areas Data'!A135</x:f>
        <x:v>EEZ_622</x:v>
      </x:c>
      <x:c r="B135" s="25" t="str">
        <x:f>'All Areas Data'!B135</x:f>
        <x:v>Azores Isl. (Portugal)</x:v>
      </x:c>
      <x:c r="C135" s="25" t="str">
        <x:f>'All Areas Data'!C135</x:f>
        <x:v>EEZ</x:v>
      </x:c>
      <x:c r="D135" s="32" t="n">
        <x:f>'All Areas Data'!E135</x:f>
        <x:v>21195.0352962868</x:v>
      </x:c>
      <x:c r="E135" s="32" t="n">
        <x:f>'All Areas Data'!K135</x:f>
        <x:v>27576431.66877207</x:v>
      </x:c>
      <x:c r="F135" s="34" t="n">
        <x:f>IF(SUMIF($C$2:$C$367,C135,$E$2:$E$367)=0,"",E135/SUMIF($C$2:$C$367,C135,$E$2:$E$367))</x:f>
        <x:v>0.00041504408033346367</x:v>
      </x:c>
      <x:c r="G135" s="35" t="n">
        <x:f>COUNTIFS($C$2:$C$367,C135,$E$2:$E$367,"&gt;"&amp;E135)+COUNTIFS($C$2:C135,C135,$E$2:E135,E135)</x:f>
        <x:v>134</x:v>
      </x:c>
      <x:c r="H135" s="34" t="n">
        <x:f>IF(SUMIF($C$2:$C$367,C135,$E$2:$E$367)=0,"",SUMIF($C$2:C135,C135,$F$2:F135))</x:f>
        <x:v>0.984304866515651</x:v>
      </x:c>
    </x:row>
    <x:row r="136" ht="18" customHeight="1">
      <x:c r="A136" s="25" t="str">
        <x:f>'All Areas Data'!A136</x:f>
        <x:v>EEZ_328</x:v>
      </x:c>
      <x:c r="B136" s="25" t="str">
        <x:f>'All Areas Data'!B136</x:f>
        <x:v>Guyana</x:v>
      </x:c>
      <x:c r="C136" s="25" t="str">
        <x:f>'All Areas Data'!C136</x:f>
        <x:v>EEZ</x:v>
      </x:c>
      <x:c r="D136" s="32" t="n">
        <x:f>'All Areas Data'!E136</x:f>
        <x:v>57488.00087232851</x:v>
      </x:c>
      <x:c r="E136" s="32" t="n">
        <x:f>'All Areas Data'!K136</x:f>
        <x:v>27398478.76825124</x:v>
      </x:c>
      <x:c r="F136" s="34" t="n">
        <x:f>IF(SUMIF($C$2:$C$367,C136,$E$2:$E$367)=0,"",E136/SUMIF($C$2:$C$367,C136,$E$2:$E$367))</x:f>
        <x:v>0.00041236576796780034</x:v>
      </x:c>
      <x:c r="G136" s="35" t="n">
        <x:f>COUNTIFS($C$2:$C$367,C136,$E$2:$E$367,"&gt;"&amp;E136)+COUNTIFS($C$2:C136,C136,$E$2:E136,E136)</x:f>
        <x:v>135</x:v>
      </x:c>
      <x:c r="H136" s="34" t="n">
        <x:f>IF(SUMIF($C$2:$C$367,C136,$E$2:$E$367)=0,"",SUMIF($C$2:C136,C136,$F$2:F136))</x:f>
        <x:v>0.9847172322836187</x:v>
      </x:c>
    </x:row>
    <x:row r="137" ht="18" customHeight="1">
      <x:c r="A137" s="25" t="str">
        <x:f>'All Areas Data'!A137</x:f>
        <x:v>EEZ_901</x:v>
      </x:c>
      <x:c r="B137" s="25" t="str">
        <x:f>'All Areas Data'!B137</x:f>
        <x:v>Sicily (Italy)</x:v>
      </x:c>
      <x:c r="C137" s="25" t="str">
        <x:f>'All Areas Data'!C137</x:f>
        <x:v>EEZ</x:v>
      </x:c>
      <x:c r="D137" s="32" t="n">
        <x:f>'All Areas Data'!E137</x:f>
        <x:v>39568.555548646895</x:v>
      </x:c>
      <x:c r="E137" s="32" t="n">
        <x:f>'All Areas Data'!K137</x:f>
        <x:v>27016327.359729037</x:v>
      </x:c>
      <x:c r="F137" s="34" t="n">
        <x:f>IF(SUMIF($C$2:$C$367,C137,$E$2:$E$367)=0,"",E137/SUMIF($C$2:$C$367,C137,$E$2:$E$367))</x:f>
        <x:v>0.00040661412896666566</x:v>
      </x:c>
      <x:c r="G137" s="35" t="n">
        <x:f>COUNTIFS($C$2:$C$367,C137,$E$2:$E$367,"&gt;"&amp;E137)+COUNTIFS($C$2:C137,C137,$E$2:E137,E137)</x:f>
        <x:v>136</x:v>
      </x:c>
      <x:c r="H137" s="34" t="n">
        <x:f>IF(SUMIF($C$2:$C$367,C137,$E$2:$E$367)=0,"",SUMIF($C$2:C137,C137,$F$2:F137))</x:f>
        <x:v>0.9851238464125854</x:v>
      </x:c>
    </x:row>
    <x:row r="138" ht="18" customHeight="1">
      <x:c r="A138" s="25" t="str">
        <x:f>'All Areas Data'!A138</x:f>
        <x:v>EEZ_648</x:v>
      </x:c>
      <x:c r="B138" s="25" t="str">
        <x:f>'All Areas Data'!B138</x:f>
        <x:v>Russia (Baltic Sea)</x:v>
      </x:c>
      <x:c r="C138" s="25" t="str">
        <x:f>'All Areas Data'!C138</x:f>
        <x:v>EEZ</x:v>
      </x:c>
      <x:c r="D138" s="32" t="n">
        <x:f>'All Areas Data'!E138</x:f>
        <x:v>111294.2692790642</x:v>
      </x:c>
      <x:c r="E138" s="32" t="n">
        <x:f>'All Areas Data'!K138</x:f>
        <x:v>25778605.82277208</x:v>
      </x:c>
      <x:c r="F138" s="34" t="n">
        <x:f>IF(SUMIF($C$2:$C$367,C138,$E$2:$E$367)=0,"",E138/SUMIF($C$2:$C$367,C138,$E$2:$E$367))</x:f>
        <x:v>0.0003879855767600017</x:v>
      </x:c>
      <x:c r="G138" s="35" t="n">
        <x:f>COUNTIFS($C$2:$C$367,C138,$E$2:$E$367,"&gt;"&amp;E138)+COUNTIFS($C$2:C138,C138,$E$2:E138,E138)</x:f>
        <x:v>137</x:v>
      </x:c>
      <x:c r="H138" s="34" t="n">
        <x:f>IF(SUMIF($C$2:$C$367,C138,$E$2:$E$367)=0,"",SUMIF($C$2:C138,C138,$F$2:F138))</x:f>
        <x:v>0.9855118319893454</x:v>
      </x:c>
    </x:row>
    <x:row r="139" ht="18" customHeight="1">
      <x:c r="A139" s="25" t="str">
        <x:f>'All Areas Data'!A139</x:f>
        <x:v>EEZ_916</x:v>
      </x:c>
      <x:c r="B139" s="25" t="str">
        <x:f>'All Areas Data'!B139</x:f>
        <x:v>Yemen (Red Sea)</x:v>
      </x:c>
      <x:c r="C139" s="25" t="str">
        <x:f>'All Areas Data'!C139</x:f>
        <x:v>EEZ</x:v>
      </x:c>
      <x:c r="D139" s="32" t="n">
        <x:f>'All Areas Data'!E139</x:f>
        <x:v>27521.2468767345</x:v>
      </x:c>
      <x:c r="E139" s="32" t="n">
        <x:f>'All Areas Data'!K139</x:f>
        <x:v>24990523.481711373</x:v>
      </x:c>
      <x:c r="F139" s="34" t="n">
        <x:f>IF(SUMIF($C$2:$C$367,C139,$E$2:$E$367)=0,"",E139/SUMIF($C$2:$C$367,C139,$E$2:$E$367))</x:f>
        <x:v>0.0003761244007238366</x:v>
      </x:c>
      <x:c r="G139" s="35" t="n">
        <x:f>COUNTIFS($C$2:$C$367,C139,$E$2:$E$367,"&gt;"&amp;E139)+COUNTIFS($C$2:C139,C139,$E$2:E139,E139)</x:f>
        <x:v>138</x:v>
      </x:c>
      <x:c r="H139" s="34" t="n">
        <x:f>IF(SUMIF($C$2:$C$367,C139,$E$2:$E$367)=0,"",SUMIF($C$2:C139,C139,$F$2:F139))</x:f>
        <x:v>0.9858879563900693</x:v>
      </x:c>
    </x:row>
    <x:row r="140" ht="18" customHeight="1">
      <x:c r="A140" s="25" t="str">
        <x:f>'All Areas Data'!A140</x:f>
        <x:v>EEZ_804</x:v>
      </x:c>
      <x:c r="B140" s="25" t="str">
        <x:f>'All Areas Data'!B140</x:f>
        <x:v>Ukraine</x:v>
      </x:c>
      <x:c r="C140" s="25" t="str">
        <x:f>'All Areas Data'!C140</x:f>
        <x:v>EEZ</x:v>
      </x:c>
      <x:c r="D140" s="32" t="n">
        <x:f>'All Areas Data'!E140</x:f>
        <x:v>65903.72402365689</x:v>
      </x:c>
      <x:c r="E140" s="32" t="n">
        <x:f>'All Areas Data'!K140</x:f>
        <x:v>24463611.249558166</x:v>
      </x:c>
      <x:c r="F140" s="34" t="n">
        <x:f>IF(SUMIF($C$2:$C$367,C140,$E$2:$E$367)=0,"",E140/SUMIF($C$2:$C$367,C140,$E$2:$E$367))</x:f>
        <x:v>0.00036819401272305223</x:v>
      </x:c>
      <x:c r="G140" s="35" t="n">
        <x:f>COUNTIFS($C$2:$C$367,C140,$E$2:$E$367,"&gt;"&amp;E140)+COUNTIFS($C$2:C140,C140,$E$2:E140,E140)</x:f>
        <x:v>139</x:v>
      </x:c>
      <x:c r="H140" s="34" t="n">
        <x:f>IF(SUMIF($C$2:$C$367,C140,$E$2:$E$367)=0,"",SUMIF($C$2:C140,C140,$F$2:F140))</x:f>
        <x:v>0.9862561504027924</x:v>
      </x:c>
    </x:row>
    <x:row r="141" ht="18" customHeight="1">
      <x:c r="A141" s="25" t="str">
        <x:f>'All Areas Data'!A141</x:f>
        <x:v>EEZ_936</x:v>
      </x:c>
      <x:c r="B141" s="25" t="str">
        <x:f>'All Areas Data'!B141</x:f>
        <x:v>Guatemala (Pacific)</x:v>
      </x:c>
      <x:c r="C141" s="25" t="str">
        <x:f>'All Areas Data'!C141</x:f>
        <x:v>EEZ</x:v>
      </x:c>
      <x:c r="D141" s="32" t="n">
        <x:f>'All Areas Data'!E141</x:f>
        <x:v>32146.82570390479</x:v>
      </x:c>
      <x:c r="E141" s="32" t="n">
        <x:f>'All Areas Data'!K141</x:f>
        <x:v>23984917.380311072</x:v>
      </x:c>
      <x:c r="F141" s="34" t="n">
        <x:f>IF(SUMIF($C$2:$C$367,C141,$E$2:$E$367)=0,"",E141/SUMIF($C$2:$C$367,C141,$E$2:$E$367))</x:f>
        <x:v>0.0003609893439279987</x:v>
      </x:c>
      <x:c r="G141" s="35" t="n">
        <x:f>COUNTIFS($C$2:$C$367,C141,$E$2:$E$367,"&gt;"&amp;E141)+COUNTIFS($C$2:C141,C141,$E$2:E141,E141)</x:f>
        <x:v>140</x:v>
      </x:c>
      <x:c r="H141" s="34" t="n">
        <x:f>IF(SUMIF($C$2:$C$367,C141,$E$2:$E$367)=0,"",SUMIF($C$2:C141,C141,$F$2:F141))</x:f>
        <x:v>0.9866171397467204</x:v>
      </x:c>
    </x:row>
    <x:row r="142" ht="18" customHeight="1">
      <x:c r="A142" s="25" t="str">
        <x:f>'All Areas Data'!A142</x:f>
        <x:v>EEZ_332</x:v>
      </x:c>
      <x:c r="B142" s="25" t="str">
        <x:f>'All Areas Data'!B142</x:f>
        <x:v>Haiti</x:v>
      </x:c>
      <x:c r="C142" s="25" t="str">
        <x:f>'All Areas Data'!C142</x:f>
        <x:v>EEZ</x:v>
      </x:c>
      <x:c r="D142" s="32" t="n">
        <x:f>'All Areas Data'!E142</x:f>
        <x:v>25123.6699543932</x:v>
      </x:c>
      <x:c r="E142" s="32" t="n">
        <x:f>'All Areas Data'!K142</x:f>
        <x:v>23832130.00848978</x:v>
      </x:c>
      <x:c r="F142" s="34" t="n">
        <x:f>IF(SUMIF($C$2:$C$367,C142,$E$2:$E$367)=0,"",E142/SUMIF($C$2:$C$367,C142,$E$2:$E$367))</x:f>
        <x:v>0.00035868978991079257</x:v>
      </x:c>
      <x:c r="G142" s="35" t="n">
        <x:f>COUNTIFS($C$2:$C$367,C142,$E$2:$E$367,"&gt;"&amp;E142)+COUNTIFS($C$2:C142,C142,$E$2:E142,E142)</x:f>
        <x:v>141</x:v>
      </x:c>
      <x:c r="H142" s="34" t="n">
        <x:f>IF(SUMIF($C$2:$C$367,C142,$E$2:$E$367)=0,"",SUMIF($C$2:C142,C142,$F$2:F142))</x:f>
        <x:v>0.9869758295366312</x:v>
      </x:c>
    </x:row>
    <x:row r="143" ht="18" customHeight="1">
      <x:c r="A143" s="25" t="str">
        <x:f>'All Areas Data'!A143</x:f>
        <x:v>EEZ_772</x:v>
      </x:c>
      <x:c r="B143" s="25" t="str">
        <x:f>'All Areas Data'!B143</x:f>
        <x:v>Tokelau (New Zealand)</x:v>
      </x:c>
      <x:c r="C143" s="25" t="str">
        <x:f>'All Areas Data'!C143</x:f>
        <x:v>EEZ</x:v>
      </x:c>
      <x:c r="D143" s="32" t="n">
        <x:f>'All Areas Data'!E143</x:f>
        <x:v>9835.363687701802</x:v>
      </x:c>
      <x:c r="E143" s="32" t="n">
        <x:f>'All Areas Data'!K143</x:f>
        <x:v>23763562.20958886</x:v>
      </x:c>
      <x:c r="F143" s="34" t="n">
        <x:f>IF(SUMIF($C$2:$C$367,C143,$E$2:$E$367)=0,"",E143/SUMIF($C$2:$C$367,C143,$E$2:$E$367))</x:f>
        <x:v>0.0003576577978322979</x:v>
      </x:c>
      <x:c r="G143" s="35" t="n">
        <x:f>COUNTIFS($C$2:$C$367,C143,$E$2:$E$367,"&gt;"&amp;E143)+COUNTIFS($C$2:C143,C143,$E$2:E143,E143)</x:f>
        <x:v>142</x:v>
      </x:c>
      <x:c r="H143" s="34" t="n">
        <x:f>IF(SUMIF($C$2:$C$367,C143,$E$2:$E$367)=0,"",SUMIF($C$2:C143,C143,$F$2:F143))</x:f>
        <x:v>0.9873334873344635</x:v>
      </x:c>
    </x:row>
    <x:row r="144" ht="18" customHeight="1">
      <x:c r="A144" s="25" t="str">
        <x:f>'All Areas Data'!A144</x:f>
        <x:v>EEZ_277</x:v>
      </x:c>
      <x:c r="B144" s="25" t="str">
        <x:f>'All Areas Data'!B144</x:f>
        <x:v>Germany (North Sea)</x:v>
      </x:c>
      <x:c r="C144" s="25" t="str">
        <x:f>'All Areas Data'!C144</x:f>
        <x:v>EEZ</x:v>
      </x:c>
      <x:c r="D144" s="32" t="n">
        <x:f>'All Areas Data'!E144</x:f>
        <x:v>93934.39639776108</x:v>
      </x:c>
      <x:c r="E144" s="32" t="n">
        <x:f>'All Areas Data'!K144</x:f>
        <x:v>22262518.47000501</x:v>
      </x:c>
      <x:c r="F144" s="34" t="n">
        <x:f>IF(SUMIF($C$2:$C$367,C144,$E$2:$E$367)=0,"",E144/SUMIF($C$2:$C$367,C144,$E$2:$E$367))</x:f>
        <x:v>0.00033506606711387524</x:v>
      </x:c>
      <x:c r="G144" s="35" t="n">
        <x:f>COUNTIFS($C$2:$C$367,C144,$E$2:$E$367,"&gt;"&amp;E144)+COUNTIFS($C$2:C144,C144,$E$2:E144,E144)</x:f>
        <x:v>143</x:v>
      </x:c>
      <x:c r="H144" s="34" t="n">
        <x:f>IF(SUMIF($C$2:$C$367,C144,$E$2:$E$367)=0,"",SUMIF($C$2:C144,C144,$F$2:F144))</x:f>
        <x:v>0.9876685534015773</x:v>
      </x:c>
    </x:row>
    <x:row r="145" ht="18" customHeight="1">
      <x:c r="A145" s="25" t="str">
        <x:f>'All Areas Data'!A145</x:f>
        <x:v>EEZ_768</x:v>
      </x:c>
      <x:c r="B145" s="25" t="str">
        <x:f>'All Areas Data'!B145</x:f>
        <x:v>Togo</x:v>
      </x:c>
      <x:c r="C145" s="25" t="str">
        <x:f>'All Areas Data'!C145</x:f>
        <x:v>EEZ</x:v>
      </x:c>
      <x:c r="D145" s="32" t="n">
        <x:f>'All Areas Data'!E145</x:f>
        <x:v>51334.51177780791</x:v>
      </x:c>
      <x:c r="E145" s="32" t="n">
        <x:f>'All Areas Data'!K145</x:f>
        <x:v>22085853.6318601</x:v>
      </x:c>
      <x:c r="F145" s="34" t="n">
        <x:f>IF(SUMIF($C$2:$C$367,C145,$E$2:$E$367)=0,"",E145/SUMIF($C$2:$C$367,C145,$E$2:$E$367))</x:f>
        <x:v>0.00033240714096433477</x:v>
      </x:c>
      <x:c r="G145" s="35" t="n">
        <x:f>COUNTIFS($C$2:$C$367,C145,$E$2:$E$367,"&gt;"&amp;E145)+COUNTIFS($C$2:C145,C145,$E$2:E145,E145)</x:f>
        <x:v>144</x:v>
      </x:c>
      <x:c r="H145" s="34" t="n">
        <x:f>IF(SUMIF($C$2:$C$367,C145,$E$2:$E$367)=0,"",SUMIF($C$2:C145,C145,$F$2:F145))</x:f>
        <x:v>0.9880009605425417</x:v>
      </x:c>
    </x:row>
    <x:row r="146" ht="18" customHeight="1">
      <x:c r="A146" s="25" t="str">
        <x:f>'All Areas Data'!A146</x:f>
        <x:v>EEZ_931</x:v>
      </x:c>
      <x:c r="B146" s="25" t="str">
        <x:f>'All Areas Data'!B146</x:f>
        <x:v>Denmark (Baltic Sea)</x:v>
      </x:c>
      <x:c r="C146" s="25" t="str">
        <x:f>'All Areas Data'!C146</x:f>
        <x:v>EEZ</x:v>
      </x:c>
      <x:c r="D146" s="32" t="n">
        <x:f>'All Areas Data'!E146</x:f>
        <x:v>66565.8646210142</x:v>
      </x:c>
      <x:c r="E146" s="32" t="n">
        <x:f>'All Areas Data'!K146</x:f>
        <x:v>22017567.609833583</x:v>
      </x:c>
      <x:c r="F146" s="34" t="n">
        <x:f>IF(SUMIF($C$2:$C$367,C146,$E$2:$E$367)=0,"",E146/SUMIF($C$2:$C$367,C146,$E$2:$E$367))</x:f>
        <x:v>0.0003313793898197325</x:v>
      </x:c>
      <x:c r="G146" s="35" t="n">
        <x:f>COUNTIFS($C$2:$C$367,C146,$E$2:$E$367,"&gt;"&amp;E146)+COUNTIFS($C$2:C146,C146,$E$2:E146,E146)</x:f>
        <x:v>145</x:v>
      </x:c>
      <x:c r="H146" s="34" t="n">
        <x:f>IF(SUMIF($C$2:$C$367,C146,$E$2:$E$367)=0,"",SUMIF($C$2:C146,C146,$F$2:F146))</x:f>
        <x:v>0.9883323399323615</x:v>
      </x:c>
    </x:row>
    <x:row r="147" ht="18" customHeight="1">
      <x:c r="A147" s="25" t="str">
        <x:f>'All Areas Data'!A147</x:f>
        <x:v>EEZ_585</x:v>
      </x:c>
      <x:c r="B147" s="25" t="str">
        <x:f>'All Areas Data'!B147</x:f>
        <x:v>Palau</x:v>
      </x:c>
      <x:c r="C147" s="25" t="str">
        <x:f>'All Areas Data'!C147</x:f>
        <x:v>EEZ</x:v>
      </x:c>
      <x:c r="D147" s="32" t="n">
        <x:f>'All Areas Data'!E147</x:f>
        <x:v>10527.122073695098</x:v>
      </x:c>
      <x:c r="E147" s="32" t="n">
        <x:f>'All Areas Data'!K147</x:f>
        <x:v>21756489.01330104</x:v>
      </x:c>
      <x:c r="F147" s="34" t="n">
        <x:f>IF(SUMIF($C$2:$C$367,C147,$E$2:$E$367)=0,"",E147/SUMIF($C$2:$C$367,C147,$E$2:$E$367))</x:f>
        <x:v>0.00032744997910792863</x:v>
      </x:c>
      <x:c r="G147" s="35" t="n">
        <x:f>COUNTIFS($C$2:$C$367,C147,$E$2:$E$367,"&gt;"&amp;E147)+COUNTIFS($C$2:C147,C147,$E$2:E147,E147)</x:f>
        <x:v>146</x:v>
      </x:c>
      <x:c r="H147" s="34" t="n">
        <x:f>IF(SUMIF($C$2:$C$367,C147,$E$2:$E$367)=0,"",SUMIF($C$2:C147,C147,$F$2:F147))</x:f>
        <x:v>0.9886597899114694</x:v>
      </x:c>
    </x:row>
    <x:row r="148" ht="18" customHeight="1">
      <x:c r="A148" s="25" t="str">
        <x:f>'All Areas Data'!A148</x:f>
        <x:v>EEZ_404</x:v>
      </x:c>
      <x:c r="B148" s="25" t="str">
        <x:f>'All Areas Data'!B148</x:f>
        <x:v>Kenya</x:v>
      </x:c>
      <x:c r="C148" s="25" t="str">
        <x:f>'All Areas Data'!C148</x:f>
        <x:v>EEZ</x:v>
      </x:c>
      <x:c r="D148" s="32" t="n">
        <x:f>'All Areas Data'!E148</x:f>
        <x:v>30334.335852588403</x:v>
      </x:c>
      <x:c r="E148" s="32" t="n">
        <x:f>'All Areas Data'!K148</x:f>
        <x:v>21699341.79872701</x:v>
      </x:c>
      <x:c r="F148" s="34" t="n">
        <x:f>IF(SUMIF($C$2:$C$367,C148,$E$2:$E$367)=0,"",E148/SUMIF($C$2:$C$367,C148,$E$2:$E$367))</x:f>
        <x:v>0.0003265898746026979</x:v>
      </x:c>
      <x:c r="G148" s="35" t="n">
        <x:f>COUNTIFS($C$2:$C$367,C148,$E$2:$E$367,"&gt;"&amp;E148)+COUNTIFS($C$2:C148,C148,$E$2:E148,E148)</x:f>
        <x:v>147</x:v>
      </x:c>
      <x:c r="H148" s="34" t="n">
        <x:f>IF(SUMIF($C$2:$C$367,C148,$E$2:$E$367)=0,"",SUMIF($C$2:C148,C148,$F$2:F148))</x:f>
        <x:v>0.9889863797860721</x:v>
      </x:c>
    </x:row>
    <x:row r="149" ht="18" customHeight="1">
      <x:c r="A149" s="25" t="str">
        <x:f>'All Areas Data'!A149</x:f>
        <x:v>EEZ_428</x:v>
      </x:c>
      <x:c r="B149" s="25" t="str">
        <x:f>'All Areas Data'!B149</x:f>
        <x:v>Latvia</x:v>
      </x:c>
      <x:c r="C149" s="25" t="str">
        <x:f>'All Areas Data'!C149</x:f>
        <x:v>EEZ</x:v>
      </x:c>
      <x:c r="D149" s="32" t="n">
        <x:f>'All Areas Data'!E149</x:f>
        <x:v>100360.1351648573</x:v>
      </x:c>
      <x:c r="E149" s="32" t="n">
        <x:f>'All Areas Data'!K149</x:f>
        <x:v>21329723.262881607</x:v>
      </x:c>
      <x:c r="F149" s="34" t="n">
        <x:f>IF(SUMIF($C$2:$C$367,C149,$E$2:$E$367)=0,"",E149/SUMIF($C$2:$C$367,C149,$E$2:$E$367))</x:f>
        <x:v>0.00032102686387212984</x:v>
      </x:c>
      <x:c r="G149" s="35" t="n">
        <x:f>COUNTIFS($C$2:$C$367,C149,$E$2:$E$367,"&gt;"&amp;E149)+COUNTIFS($C$2:C149,C149,$E$2:E149,E149)</x:f>
        <x:v>148</x:v>
      </x:c>
      <x:c r="H149" s="34" t="n">
        <x:f>IF(SUMIF($C$2:$C$367,C149,$E$2:$E$367)=0,"",SUMIF($C$2:C149,C149,$F$2:F149))</x:f>
        <x:v>0.9893074066499442</x:v>
      </x:c>
    </x:row>
    <x:row r="150" ht="18" customHeight="1">
      <x:c r="A150" s="25" t="str">
        <x:f>'All Areas Data'!A150</x:f>
        <x:v>EEZ_191</x:v>
      </x:c>
      <x:c r="B150" s="25" t="str">
        <x:f>'All Areas Data'!B150</x:f>
        <x:v>Croatia</x:v>
      </x:c>
      <x:c r="C150" s="25" t="str">
        <x:f>'All Areas Data'!C150</x:f>
        <x:v>EEZ</x:v>
      </x:c>
      <x:c r="D150" s="32" t="n">
        <x:f>'All Areas Data'!E150</x:f>
        <x:v>77072.9733877067</x:v>
      </x:c>
      <x:c r="E150" s="32" t="n">
        <x:f>'All Areas Data'!K150</x:f>
        <x:v>21110760.218235113</x:v>
      </x:c>
      <x:c r="F150" s="34" t="n">
        <x:f>IF(SUMIF($C$2:$C$367,C150,$E$2:$E$367)=0,"",E150/SUMIF($C$2:$C$367,C150,$E$2:$E$367))</x:f>
        <x:v>0.00031773132090326807</x:v>
      </x:c>
      <x:c r="G150" s="35" t="n">
        <x:f>COUNTIFS($C$2:$C$367,C150,$E$2:$E$367,"&gt;"&amp;E150)+COUNTIFS($C$2:C150,C150,$E$2:E150,E150)</x:f>
        <x:v>149</x:v>
      </x:c>
      <x:c r="H150" s="34" t="n">
        <x:f>IF(SUMIF($C$2:$C$367,C150,$E$2:$E$367)=0,"",SUMIF($C$2:C150,C150,$F$2:F150))</x:f>
        <x:v>0.9896251379708475</x:v>
      </x:c>
    </x:row>
    <x:row r="151" ht="18" customHeight="1">
      <x:c r="A151" s="25" t="str">
        <x:f>'All Areas Data'!A151</x:f>
        <x:v>EEZ_911</x:v>
      </x:c>
      <x:c r="B151" s="25" t="str">
        <x:f>'All Areas Data'!B151</x:f>
        <x:v>Musandam (Oman)</x:v>
      </x:c>
      <x:c r="C151" s="25" t="str">
        <x:f>'All Areas Data'!C151</x:f>
        <x:v>EEZ</x:v>
      </x:c>
      <x:c r="D151" s="32" t="n">
        <x:f>'All Areas Data'!E151</x:f>
        <x:v>22403.744509357803</x:v>
      </x:c>
      <x:c r="E151" s="32" t="n">
        <x:f>'All Areas Data'!K151</x:f>
        <x:v>20905875.58165651</x:v>
      </x:c>
      <x:c r="F151" s="34" t="n">
        <x:f>IF(SUMIF($C$2:$C$367,C151,$E$2:$E$367)=0,"",E151/SUMIF($C$2:$C$367,C151,$E$2:$E$367))</x:f>
        <x:v>0.000314647667565352</x:v>
      </x:c>
      <x:c r="G151" s="35" t="n">
        <x:f>COUNTIFS($C$2:$C$367,C151,$E$2:$E$367,"&gt;"&amp;E151)+COUNTIFS($C$2:C151,C151,$E$2:E151,E151)</x:f>
        <x:v>150</x:v>
      </x:c>
      <x:c r="H151" s="34" t="n">
        <x:f>IF(SUMIF($C$2:$C$367,C151,$E$2:$E$367)=0,"",SUMIF($C$2:C151,C151,$F$2:F151))</x:f>
        <x:v>0.9899397856384129</x:v>
      </x:c>
    </x:row>
    <x:row r="152" ht="18" customHeight="1">
      <x:c r="A152" s="25" t="str">
        <x:f>'All Areas Data'!A152</x:f>
        <x:v>EEZ_780</x:v>
      </x:c>
      <x:c r="B152" s="25" t="str">
        <x:f>'All Areas Data'!B152</x:f>
        <x:v>Trinidad &amp; Tobago</x:v>
      </x:c>
      <x:c r="C152" s="25" t="str">
        <x:f>'All Areas Data'!C152</x:f>
        <x:v>EEZ</x:v>
      </x:c>
      <x:c r="D152" s="32" t="n">
        <x:f>'All Areas Data'!E152</x:f>
        <x:v>19523.2185592658</x:v>
      </x:c>
      <x:c r="E152" s="32" t="n">
        <x:f>'All Areas Data'!K152</x:f>
        <x:v>20381932.081780106</x:v>
      </x:c>
      <x:c r="F152" s="34" t="n">
        <x:f>IF(SUMIF($C$2:$C$367,C152,$E$2:$E$367)=0,"",E152/SUMIF($C$2:$C$367,C152,$E$2:$E$367))</x:f>
        <x:v>0.000306761961007489</x:v>
      </x:c>
      <x:c r="G152" s="35" t="n">
        <x:f>COUNTIFS($C$2:$C$367,C152,$E$2:$E$367,"&gt;"&amp;E152)+COUNTIFS($C$2:C152,C152,$E$2:E152,E152)</x:f>
        <x:v>151</x:v>
      </x:c>
      <x:c r="H152" s="34" t="n">
        <x:f>IF(SUMIF($C$2:$C$367,C152,$E$2:$E$367)=0,"",SUMIF($C$2:C152,C152,$F$2:F152))</x:f>
        <x:v>0.9902465475994204</x:v>
      </x:c>
    </x:row>
    <x:row r="153" ht="18" customHeight="1">
      <x:c r="A153" s="25" t="str">
        <x:f>'All Areas Data'!A153</x:f>
        <x:v>EEZ_178</x:v>
      </x:c>
      <x:c r="B153" s="25" t="str">
        <x:f>'All Areas Data'!B153</x:f>
        <x:v>Congo, R. of</x:v>
      </x:c>
      <x:c r="C153" s="25" t="str">
        <x:f>'All Areas Data'!C153</x:f>
        <x:v>EEZ</x:v>
      </x:c>
      <x:c r="D153" s="32" t="n">
        <x:f>'All Areas Data'!E153</x:f>
        <x:v>43444.3810041495</x:v>
      </x:c>
      <x:c r="E153" s="32" t="n">
        <x:f>'All Areas Data'!K153</x:f>
        <x:v>19991660.548274387</x:v>
      </x:c>
      <x:c r="F153" s="34" t="n">
        <x:f>IF(SUMIF($C$2:$C$367,C153,$E$2:$E$367)=0,"",E153/SUMIF($C$2:$C$367,C153,$E$2:$E$367))</x:f>
        <x:v>0.0003008881085943198</x:v>
      </x:c>
      <x:c r="G153" s="35" t="n">
        <x:f>COUNTIFS($C$2:$C$367,C153,$E$2:$E$367,"&gt;"&amp;E153)+COUNTIFS($C$2:C153,C153,$E$2:E153,E153)</x:f>
        <x:v>152</x:v>
      </x:c>
      <x:c r="H153" s="34" t="n">
        <x:f>IF(SUMIF($C$2:$C$367,C153,$E$2:$E$367)=0,"",SUMIF($C$2:C153,C153,$F$2:F153))</x:f>
        <x:v>0.9905474357080147</x:v>
      </x:c>
    </x:row>
    <x:row r="154" ht="18" customHeight="1">
      <x:c r="A154" s="25" t="str">
        <x:f>'All Areas Data'!A154</x:f>
        <x:v>EEZ_388</x:v>
      </x:c>
      <x:c r="B154" s="25" t="str">
        <x:f>'All Areas Data'!B154</x:f>
        <x:v>Jamaica</x:v>
      </x:c>
      <x:c r="C154" s="25" t="str">
        <x:f>'All Areas Data'!C154</x:f>
        <x:v>EEZ</x:v>
      </x:c>
      <x:c r="D154" s="32" t="n">
        <x:f>'All Areas Data'!E154</x:f>
        <x:v>24803.119502512</x:v>
      </x:c>
      <x:c r="E154" s="32" t="n">
        <x:f>'All Areas Data'!K154</x:f>
        <x:v>19358996.526972868</x:v>
      </x:c>
      <x:c r="F154" s="34" t="n">
        <x:f>IF(SUMIF($C$2:$C$367,C154,$E$2:$E$367)=0,"",E154/SUMIF($C$2:$C$367,C154,$E$2:$E$367))</x:f>
        <x:v>0.0002913660841338994</x:v>
      </x:c>
      <x:c r="G154" s="35" t="n">
        <x:f>COUNTIFS($C$2:$C$367,C154,$E$2:$E$367,"&gt;"&amp;E154)+COUNTIFS($C$2:C154,C154,$E$2:E154,E154)</x:f>
        <x:v>153</x:v>
      </x:c>
      <x:c r="H154" s="34" t="n">
        <x:f>IF(SUMIF($C$2:$C$367,C154,$E$2:$E$367)=0,"",SUMIF($C$2:C154,C154,$F$2:F154))</x:f>
        <x:v>0.9908388017921487</x:v>
      </x:c>
    </x:row>
    <x:row r="155" ht="18" customHeight="1">
      <x:c r="A155" s="25" t="str">
        <x:f>'All Areas Data'!A155</x:f>
        <x:v>EEZ_971</x:v>
      </x:c>
      <x:c r="B155" s="25" t="str">
        <x:f>'All Areas Data'!B155</x:f>
        <x:v>Japan (Ogasawara Islands)</x:v>
      </x:c>
      <x:c r="C155" s="25" t="str">
        <x:f>'All Areas Data'!C155</x:f>
        <x:v>EEZ</x:v>
      </x:c>
      <x:c r="D155" s="32" t="n">
        <x:f>'All Areas Data'!E155</x:f>
        <x:v>18442.8655651381</x:v>
      </x:c>
      <x:c r="E155" s="32" t="n">
        <x:f>'All Areas Data'!K155</x:f>
        <x:v>19260173.04848056</x:v>
      </x:c>
      <x:c r="F155" s="34" t="n">
        <x:f>IF(SUMIF($C$2:$C$367,C155,$E$2:$E$367)=0,"",E155/SUMIF($C$2:$C$367,C155,$E$2:$E$367))</x:f>
        <x:v>0.00028987872346886303</x:v>
      </x:c>
      <x:c r="G155" s="35" t="n">
        <x:f>COUNTIFS($C$2:$C$367,C155,$E$2:$E$367,"&gt;"&amp;E155)+COUNTIFS($C$2:C155,C155,$E$2:E155,E155)</x:f>
        <x:v>154</x:v>
      </x:c>
      <x:c r="H155" s="34" t="n">
        <x:f>IF(SUMIF($C$2:$C$367,C155,$E$2:$E$367)=0,"",SUMIF($C$2:C155,C155,$F$2:F155))</x:f>
        <x:v>0.9911286805156175</x:v>
      </x:c>
    </x:row>
    <x:row r="156" ht="18" customHeight="1">
      <x:c r="A156" s="25" t="str">
        <x:f>'All Areas Data'!A156</x:f>
        <x:v>EEZ_882</x:v>
      </x:c>
      <x:c r="B156" s="25" t="str">
        <x:f>'All Areas Data'!B156</x:f>
        <x:v>Samoa</x:v>
      </x:c>
      <x:c r="C156" s="25" t="str">
        <x:f>'All Areas Data'!C156</x:f>
        <x:v>EEZ</x:v>
      </x:c>
      <x:c r="D156" s="32" t="n">
        <x:f>'All Areas Data'!E156</x:f>
        <x:v>13979.020508821603</x:v>
      </x:c>
      <x:c r="E156" s="32" t="n">
        <x:f>'All Areas Data'!K156</x:f>
        <x:v>18932962.27433015</x:v>
      </x:c>
      <x:c r="F156" s="34" t="n">
        <x:f>IF(SUMIF($C$2:$C$367,C156,$E$2:$E$367)=0,"",E156/SUMIF($C$2:$C$367,C156,$E$2:$E$367))</x:f>
        <x:v>0.00028495397843790075</x:v>
      </x:c>
      <x:c r="G156" s="35" t="n">
        <x:f>COUNTIFS($C$2:$C$367,C156,$E$2:$E$367,"&gt;"&amp;E156)+COUNTIFS($C$2:C156,C156,$E$2:E156,E156)</x:f>
        <x:v>155</x:v>
      </x:c>
      <x:c r="H156" s="34" t="n">
        <x:f>IF(SUMIF($C$2:$C$367,C156,$E$2:$E$367)=0,"",SUMIF($C$2:C156,C156,$F$2:F156))</x:f>
        <x:v>0.9914136344940554</x:v>
      </x:c>
    </x:row>
    <x:row r="157" ht="18" customHeight="1">
      <x:c r="A157" s="25" t="str">
        <x:f>'All Areas Data'!A157</x:f>
        <x:v>EEZ_634</x:v>
      </x:c>
      <x:c r="B157" s="25" t="str">
        <x:f>'All Areas Data'!B157</x:f>
        <x:v>Qatar</x:v>
      </x:c>
      <x:c r="C157" s="25" t="str">
        <x:f>'All Areas Data'!C157</x:f>
        <x:v>EEZ</x:v>
      </x:c>
      <x:c r="D157" s="32" t="n">
        <x:f>'All Areas Data'!E157</x:f>
        <x:v>18300.125898307102</x:v>
      </x:c>
      <x:c r="E157" s="32" t="n">
        <x:f>'All Areas Data'!K157</x:f>
        <x:v>17533760.271710783</x:v>
      </x:c>
      <x:c r="F157" s="34" t="n">
        <x:f>IF(SUMIF($C$2:$C$367,C157,$E$2:$E$367)=0,"",E157/SUMIF($C$2:$C$367,C157,$E$2:$E$367))</x:f>
        <x:v>0.00026389503523041087</x:v>
      </x:c>
      <x:c r="G157" s="35" t="n">
        <x:f>COUNTIFS($C$2:$C$367,C157,$E$2:$E$367,"&gt;"&amp;E157)+COUNTIFS($C$2:C157,C157,$E$2:E157,E157)</x:f>
        <x:v>156</x:v>
      </x:c>
      <x:c r="H157" s="34" t="n">
        <x:f>IF(SUMIF($C$2:$C$367,C157,$E$2:$E$367)=0,"",SUMIF($C$2:C157,C157,$F$2:F157))</x:f>
        <x:v>0.9916775295292858</x:v>
      </x:c>
    </x:row>
    <x:row r="158" ht="18" customHeight="1">
      <x:c r="A158" s="25" t="str">
        <x:f>'All Areas Data'!A158</x:f>
        <x:v>EEZ_776</x:v>
      </x:c>
      <x:c r="B158" s="25" t="str">
        <x:f>'All Areas Data'!B158</x:f>
        <x:v>Tonga</x:v>
      </x:c>
      <x:c r="C158" s="25" t="str">
        <x:f>'All Areas Data'!C158</x:f>
        <x:v>EEZ</x:v>
      </x:c>
      <x:c r="D158" s="32" t="n">
        <x:f>'All Areas Data'!E158</x:f>
        <x:v>14542.412200733399</x:v>
      </x:c>
      <x:c r="E158" s="32" t="n">
        <x:f>'All Areas Data'!K158</x:f>
        <x:v>17016818.719265178</x:v>
      </x:c>
      <x:c r="F158" s="34" t="n">
        <x:f>IF(SUMIF($C$2:$C$367,C158,$E$2:$E$367)=0,"",E158/SUMIF($C$2:$C$367,C158,$E$2:$E$367))</x:f>
        <x:v>0.00025611471275076595</x:v>
      </x:c>
      <x:c r="G158" s="35" t="n">
        <x:f>COUNTIFS($C$2:$C$367,C158,$E$2:$E$367,"&gt;"&amp;E158)+COUNTIFS($C$2:C158,C158,$E$2:E158,E158)</x:f>
        <x:v>157</x:v>
      </x:c>
      <x:c r="H158" s="34" t="n">
        <x:f>IF(SUMIF($C$2:$C$367,C158,$E$2:$E$367)=0,"",SUMIF($C$2:C158,C158,$F$2:F158))</x:f>
        <x:v>0.9919336442420366</x:v>
      </x:c>
    </x:row>
    <x:row r="159" ht="18" customHeight="1">
      <x:c r="A159" s="25" t="str">
        <x:f>'All Areas Data'!A159</x:f>
        <x:v>EEZ_480</x:v>
      </x:c>
      <x:c r="B159" s="25" t="str">
        <x:f>'All Areas Data'!B159</x:f>
        <x:v>Mauritius</x:v>
      </x:c>
      <x:c r="C159" s="25" t="str">
        <x:f>'All Areas Data'!C159</x:f>
        <x:v>EEZ</x:v>
      </x:c>
      <x:c r="D159" s="32" t="n">
        <x:f>'All Areas Data'!E159</x:f>
        <x:v>15255.362035387398</x:v>
      </x:c>
      <x:c r="E159" s="32" t="n">
        <x:f>'All Areas Data'!K159</x:f>
        <x:v>16709126.407168973</x:v>
      </x:c>
      <x:c r="F159" s="34" t="n">
        <x:f>IF(SUMIF($C$2:$C$367,C159,$E$2:$E$367)=0,"",E159/SUMIF($C$2:$C$367,C159,$E$2:$E$367))</x:f>
        <x:v>0.0002514837338687425</x:v>
      </x:c>
      <x:c r="G159" s="35" t="n">
        <x:f>COUNTIFS($C$2:$C$367,C159,$E$2:$E$367,"&gt;"&amp;E159)+COUNTIFS($C$2:C159,C159,$E$2:E159,E159)</x:f>
        <x:v>158</x:v>
      </x:c>
      <x:c r="H159" s="34" t="n">
        <x:f>IF(SUMIF($C$2:$C$367,C159,$E$2:$E$367)=0,"",SUMIF($C$2:C159,C159,$F$2:F159))</x:f>
        <x:v>0.9921851279759053</x:v>
      </x:c>
    </x:row>
    <x:row r="160" ht="18" customHeight="1">
      <x:c r="A160" s="25" t="str">
        <x:f>'All Areas Data'!A160</x:f>
        <x:v>EEZ_470</x:v>
      </x:c>
      <x:c r="B160" s="25" t="str">
        <x:f>'All Areas Data'!B160</x:f>
        <x:v>Malta</x:v>
      </x:c>
      <x:c r="C160" s="25" t="str">
        <x:f>'All Areas Data'!C160</x:f>
        <x:v>EEZ</x:v>
      </x:c>
      <x:c r="D160" s="32" t="n">
        <x:f>'All Areas Data'!E160</x:f>
        <x:v>7732.9980884831</x:v>
      </x:c>
      <x:c r="E160" s="32" t="n">
        <x:f>'All Areas Data'!K160</x:f>
        <x:v>16447013.960324993</x:v>
      </x:c>
      <x:c r="F160" s="34" t="n">
        <x:f>IF(SUMIF($C$2:$C$367,C160,$E$2:$E$367)=0,"",E160/SUMIF($C$2:$C$367,C160,$E$2:$E$367))</x:f>
        <x:v>0.00024753876300554313</x:v>
      </x:c>
      <x:c r="G160" s="35" t="n">
        <x:f>COUNTIFS($C$2:$C$367,C160,$E$2:$E$367,"&gt;"&amp;E160)+COUNTIFS($C$2:C160,C160,$E$2:E160,E160)</x:f>
        <x:v>159</x:v>
      </x:c>
      <x:c r="H160" s="34" t="n">
        <x:f>IF(SUMIF($C$2:$C$367,C160,$E$2:$E$367)=0,"",SUMIF($C$2:C160,C160,$F$2:F160))</x:f>
        <x:v>0.9924326667389108</x:v>
      </x:c>
    </x:row>
    <x:row r="161" ht="18" customHeight="1">
      <x:c r="A161" s="25" t="str">
        <x:f>'All Areas Data'!A161</x:f>
        <x:v>EEZ_927</x:v>
      </x:c>
      <x:c r="B161" s="25" t="str">
        <x:f>'All Areas Data'!B161</x:f>
        <x:v>Colombia (Caribbean)</x:v>
      </x:c>
      <x:c r="C161" s="25" t="str">
        <x:f>'All Areas Data'!C161</x:f>
        <x:v>EEZ</x:v>
      </x:c>
      <x:c r="D161" s="32" t="n">
        <x:f>'All Areas Data'!E161</x:f>
        <x:v>20344.1120639465</x:v>
      </x:c>
      <x:c r="E161" s="32" t="n">
        <x:f>'All Areas Data'!K161</x:f>
        <x:v>16307477.884539278</x:v>
      </x:c>
      <x:c r="F161" s="34" t="n">
        <x:f>IF(SUMIF($C$2:$C$367,C161,$E$2:$E$367)=0,"",E161/SUMIF($C$2:$C$367,C161,$E$2:$E$367))</x:f>
        <x:v>0.0002454386500198081</x:v>
      </x:c>
      <x:c r="G161" s="35" t="n">
        <x:f>COUNTIFS($C$2:$C$367,C161,$E$2:$E$367,"&gt;"&amp;E161)+COUNTIFS($C$2:C161,C161,$E$2:E161,E161)</x:f>
        <x:v>160</x:v>
      </x:c>
      <x:c r="H161" s="34" t="n">
        <x:f>IF(SUMIF($C$2:$C$367,C161,$E$2:$E$367)=0,"",SUMIF($C$2:C161,C161,$F$2:F161))</x:f>
        <x:v>0.9926781053889306</x:v>
      </x:c>
    </x:row>
    <x:row r="162" ht="18" customHeight="1">
      <x:c r="A162" s="25" t="str">
        <x:f>'All Areas Data'!A162</x:f>
        <x:v>EEZ_233</x:v>
      </x:c>
      <x:c r="B162" s="25" t="str">
        <x:f>'All Areas Data'!B162</x:f>
        <x:v>Estonia</x:v>
      </x:c>
      <x:c r="C162" s="25" t="str">
        <x:f>'All Areas Data'!C162</x:f>
        <x:v>EEZ</x:v>
      </x:c>
      <x:c r="D162" s="32" t="n">
        <x:f>'All Areas Data'!E162</x:f>
        <x:v>79757.30638750728</x:v>
      </x:c>
      <x:c r="E162" s="32" t="n">
        <x:f>'All Areas Data'!K162</x:f>
        <x:v>16197878.05939343</x:v>
      </x:c>
      <x:c r="F162" s="34" t="n">
        <x:f>IF(SUMIF($C$2:$C$367,C162,$E$2:$E$367)=0,"",E162/SUMIF($C$2:$C$367,C162,$E$2:$E$367))</x:f>
        <x:v>0.000243789097997315</x:v>
      </x:c>
      <x:c r="G162" s="35" t="n">
        <x:f>COUNTIFS($C$2:$C$367,C162,$E$2:$E$367,"&gt;"&amp;E162)+COUNTIFS($C$2:C162,C162,$E$2:E162,E162)</x:f>
        <x:v>161</x:v>
      </x:c>
      <x:c r="H162" s="34" t="n">
        <x:f>IF(SUMIF($C$2:$C$367,C162,$E$2:$E$367)=0,"",SUMIF($C$2:C162,C162,$F$2:F162))</x:f>
        <x:v>0.9929218944869279</x:v>
      </x:c>
    </x:row>
    <x:row r="163" ht="18" customHeight="1">
      <x:c r="A163" s="25" t="str">
        <x:f>'All Areas Data'!A163</x:f>
        <x:v>EEZ_898</x:v>
      </x:c>
      <x:c r="B163" s="25" t="str">
        <x:f>'All Areas Data'!B163</x:f>
        <x:v>Clipperton Isl. (France)</x:v>
      </x:c>
      <x:c r="C163" s="25" t="str">
        <x:f>'All Areas Data'!C163</x:f>
        <x:v>EEZ</x:v>
      </x:c>
      <x:c r="D163" s="32" t="n">
        <x:f>'All Areas Data'!E163</x:f>
        <x:v>5821.5688911778</x:v>
      </x:c>
      <x:c r="E163" s="32" t="n">
        <x:f>'All Areas Data'!K163</x:f>
        <x:v>14841352.716606868</x:v>
      </x:c>
      <x:c r="F163" s="34" t="n">
        <x:f>IF(SUMIF($C$2:$C$367,C163,$E$2:$E$367)=0,"",E163/SUMIF($C$2:$C$367,C163,$E$2:$E$367))</x:f>
        <x:v>0.00022337246758956524</x:v>
      </x:c>
      <x:c r="G163" s="35" t="n">
        <x:f>COUNTIFS($C$2:$C$367,C163,$E$2:$E$367,"&gt;"&amp;E163)+COUNTIFS($C$2:C163,C163,$E$2:E163,E163)</x:f>
        <x:v>162</x:v>
      </x:c>
      <x:c r="H163" s="34" t="n">
        <x:f>IF(SUMIF($C$2:$C$367,C163,$E$2:$E$367)=0,"",SUMIF($C$2:C163,C163,$F$2:F163))</x:f>
        <x:v>0.9931452669545174</x:v>
      </x:c>
    </x:row>
    <x:row r="164" ht="18" customHeight="1">
      <x:c r="A164" s="25" t="str">
        <x:f>'All Areas Data'!A164</x:f>
        <x:v>EEZ_540</x:v>
      </x:c>
      <x:c r="B164" s="25" t="str">
        <x:f>'All Areas Data'!B164</x:f>
        <x:v>New Caledonia (France)</x:v>
      </x:c>
      <x:c r="C164" s="25" t="str">
        <x:f>'All Areas Data'!C164</x:f>
        <x:v>EEZ</x:v>
      </x:c>
      <x:c r="D164" s="32" t="n">
        <x:f>'All Areas Data'!E164</x:f>
        <x:v>11907.664433573698</x:v>
      </x:c>
      <x:c r="E164" s="32" t="n">
        <x:f>'All Areas Data'!K164</x:f>
        <x:v>14486808.543640152</x:v>
      </x:c>
      <x:c r="F164" s="34" t="n">
        <x:f>IF(SUMIF($C$2:$C$367,C164,$E$2:$E$367)=0,"",E164/SUMIF($C$2:$C$367,C164,$E$2:$E$367))</x:f>
        <x:v>0.00021803633628824116</x:v>
      </x:c>
      <x:c r="G164" s="35" t="n">
        <x:f>COUNTIFS($C$2:$C$367,C164,$E$2:$E$367,"&gt;"&amp;E164)+COUNTIFS($C$2:C164,C164,$E$2:E164,E164)</x:f>
        <x:v>163</x:v>
      </x:c>
      <x:c r="H164" s="34" t="n">
        <x:f>IF(SUMIF($C$2:$C$367,C164,$E$2:$E$367)=0,"",SUMIF($C$2:C164,C164,$F$2:F164))</x:f>
        <x:v>0.9933633032908057</x:v>
      </x:c>
    </x:row>
    <x:row r="165" ht="18" customHeight="1">
      <x:c r="A165" s="25" t="str">
        <x:f>'All Areas Data'!A165</x:f>
        <x:v>EEZ_044</x:v>
      </x:c>
      <x:c r="B165" s="25" t="str">
        <x:f>'All Areas Data'!B165</x:f>
        <x:v>Bahamas</x:v>
      </x:c>
      <x:c r="C165" s="25" t="str">
        <x:f>'All Areas Data'!C165</x:f>
        <x:v>EEZ</x:v>
      </x:c>
      <x:c r="D165" s="32" t="n">
        <x:f>'All Areas Data'!E165</x:f>
        <x:v>18392.7135678369</x:v>
      </x:c>
      <x:c r="E165" s="32" t="n">
        <x:f>'All Areas Data'!K165</x:f>
        <x:v>14068447.015522763</x:v>
      </x:c>
      <x:c r="F165" s="34" t="n">
        <x:f>IF(SUMIF($C$2:$C$367,C165,$E$2:$E$367)=0,"",E165/SUMIF($C$2:$C$367,C165,$E$2:$E$367))</x:f>
        <x:v>0.00021173971032263392</x:v>
      </x:c>
      <x:c r="G165" s="35" t="n">
        <x:f>COUNTIFS($C$2:$C$367,C165,$E$2:$E$367,"&gt;"&amp;E165)+COUNTIFS($C$2:C165,C165,$E$2:E165,E165)</x:f>
        <x:v>164</x:v>
      </x:c>
      <x:c r="H165" s="34" t="n">
        <x:f>IF(SUMIF($C$2:$C$367,C165,$E$2:$E$367)=0,"",SUMIF($C$2:C165,C165,$F$2:F165))</x:f>
        <x:v>0.9935750430011283</x:v>
      </x:c>
    </x:row>
    <x:row r="166" ht="18" customHeight="1">
      <x:c r="A166" s="25" t="str">
        <x:f>'All Areas Data'!A166</x:f>
        <x:v>EEZ_226</x:v>
      </x:c>
      <x:c r="B166" s="25" t="str">
        <x:f>'All Areas Data'!B166</x:f>
        <x:v>Equatorial Guinea</x:v>
      </x:c>
      <x:c r="C166" s="25" t="str">
        <x:f>'All Areas Data'!C166</x:f>
        <x:v>EEZ</x:v>
      </x:c>
      <x:c r="D166" s="32" t="n">
        <x:f>'All Areas Data'!E166</x:f>
        <x:v>23094.1925275575</x:v>
      </x:c>
      <x:c r="E166" s="32" t="n">
        <x:f>'All Areas Data'!K166</x:f>
        <x:v>13733577.498158086</x:v>
      </x:c>
      <x:c r="F166" s="34" t="n">
        <x:f>IF(SUMIF($C$2:$C$367,C166,$E$2:$E$367)=0,"",E166/SUMIF($C$2:$C$367,C166,$E$2:$E$367))</x:f>
        <x:v>0.00020669969598953504</x:v>
      </x:c>
      <x:c r="G166" s="35" t="n">
        <x:f>COUNTIFS($C$2:$C$367,C166,$E$2:$E$367,"&gt;"&amp;E166)+COUNTIFS($C$2:C166,C166,$E$2:E166,E166)</x:f>
        <x:v>165</x:v>
      </x:c>
      <x:c r="H166" s="34" t="n">
        <x:f>IF(SUMIF($C$2:$C$367,C166,$E$2:$E$367)=0,"",SUMIF($C$2:C166,C166,$F$2:F166))</x:f>
        <x:v>0.9937817426971178</x:v>
      </x:c>
    </x:row>
    <x:row r="167" ht="18" customHeight="1">
      <x:c r="A167" s="25" t="str">
        <x:f>'All Areas Data'!A167</x:f>
        <x:v>EEZ_180</x:v>
      </x:c>
      <x:c r="B167" s="25" t="str">
        <x:f>'All Areas Data'!B167</x:f>
        <x:v>Congo (ex-Zaire)</x:v>
      </x:c>
      <x:c r="C167" s="25" t="str">
        <x:f>'All Areas Data'!C167</x:f>
        <x:v>EEZ</x:v>
      </x:c>
      <x:c r="D167" s="32" t="n">
        <x:f>'All Areas Data'!E167</x:f>
        <x:v>23378.3558839915</x:v>
      </x:c>
      <x:c r="E167" s="32" t="n">
        <x:f>'All Areas Data'!K167</x:f>
        <x:v>13711656.088833181</x:v>
      </x:c>
      <x:c r="F167" s="34" t="n">
        <x:f>IF(SUMIF($C$2:$C$367,C167,$E$2:$E$367)=0,"",E167/SUMIF($C$2:$C$367,C167,$E$2:$E$367))</x:f>
        <x:v>0.0002063697638474018</x:v>
      </x:c>
      <x:c r="G167" s="35" t="n">
        <x:f>COUNTIFS($C$2:$C$367,C167,$E$2:$E$367,"&gt;"&amp;E167)+COUNTIFS($C$2:C167,C167,$E$2:E167,E167)</x:f>
        <x:v>166</x:v>
      </x:c>
      <x:c r="H167" s="34" t="n">
        <x:f>IF(SUMIF($C$2:$C$367,C167,$E$2:$E$367)=0,"",SUMIF($C$2:C167,C167,$F$2:F167))</x:f>
        <x:v>0.9939881124609652</x:v>
      </x:c>
    </x:row>
    <x:row r="168" ht="18" customHeight="1">
      <x:c r="A168" s="25" t="str">
        <x:f>'All Areas Data'!A168</x:f>
        <x:v>EEZ_954</x:v>
      </x:c>
      <x:c r="B168" s="25" t="str">
        <x:f>'All Areas Data'!B168</x:f>
        <x:v>South Africa (Indian Ocean Coast)</x:v>
      </x:c>
      <x:c r="C168" s="25" t="str">
        <x:f>'All Areas Data'!C168</x:f>
        <x:v>EEZ</x:v>
      </x:c>
      <x:c r="D168" s="32" t="n">
        <x:f>'All Areas Data'!E168</x:f>
        <x:v>11740.798835807702</x:v>
      </x:c>
      <x:c r="E168" s="32" t="n">
        <x:f>'All Areas Data'!K168</x:f>
        <x:v>13513947.448119681</x:v>
      </x:c>
      <x:c r="F168" s="34" t="n">
        <x:f>IF(SUMIF($C$2:$C$367,C168,$E$2:$E$367)=0,"",E168/SUMIF($C$2:$C$367,C168,$E$2:$E$367))</x:f>
        <x:v>0.00020339411413519348</x:v>
      </x:c>
      <x:c r="G168" s="35" t="n">
        <x:f>COUNTIFS($C$2:$C$367,C168,$E$2:$E$367,"&gt;"&amp;E168)+COUNTIFS($C$2:C168,C168,$E$2:E168,E168)</x:f>
        <x:v>167</x:v>
      </x:c>
      <x:c r="H168" s="34" t="n">
        <x:f>IF(SUMIF($C$2:$C$367,C168,$E$2:$E$367)=0,"",SUMIF($C$2:C168,C168,$F$2:F168))</x:f>
        <x:v>0.9941915065751004</x:v>
      </x:c>
    </x:row>
    <x:row r="169" ht="18" customHeight="1">
      <x:c r="A169" s="25" t="str">
        <x:f>'All Areas Data'!A169</x:f>
        <x:v>EEZ_902</x:v>
      </x:c>
      <x:c r="B169" s="25" t="str">
        <x:f>'All Areas Data'!B169</x:f>
        <x:v>Sardinia (Italy)</x:v>
      </x:c>
      <x:c r="C169" s="25" t="str">
        <x:f>'All Areas Data'!C169</x:f>
        <x:v>EEZ</x:v>
      </x:c>
      <x:c r="D169" s="32" t="n">
        <x:f>'All Areas Data'!E169</x:f>
        <x:v>15737.091301901197</x:v>
      </x:c>
      <x:c r="E169" s="32" t="n">
        <x:f>'All Areas Data'!K169</x:f>
        <x:v>13470007.001124758</x:v>
      </x:c>
      <x:c r="F169" s="34" t="n">
        <x:f>IF(SUMIF($C$2:$C$367,C169,$E$2:$E$367)=0,"",E169/SUMIF($C$2:$C$367,C169,$E$2:$E$367))</x:f>
        <x:v>0.0002027327804778334</x:v>
      </x:c>
      <x:c r="G169" s="35" t="n">
        <x:f>COUNTIFS($C$2:$C$367,C169,$E$2:$E$367,"&gt;"&amp;E169)+COUNTIFS($C$2:C169,C169,$E$2:E169,E169)</x:f>
        <x:v>168</x:v>
      </x:c>
      <x:c r="H169" s="34" t="n">
        <x:f>IF(SUMIF($C$2:$C$367,C169,$E$2:$E$367)=0,"",SUMIF($C$2:C169,C169,$F$2:F169))</x:f>
        <x:v>0.9943942393555782</x:v>
      </x:c>
    </x:row>
    <x:row r="170" ht="18" customHeight="1">
      <x:c r="A170" s="25" t="str">
        <x:f>'All Areas Data'!A170</x:f>
        <x:v>EEZ_678</x:v>
      </x:c>
      <x:c r="B170" s="25" t="str">
        <x:f>'All Areas Data'!B170</x:f>
        <x:v>Sao Tome &amp; Principe</x:v>
      </x:c>
      <x:c r="C170" s="25" t="str">
        <x:f>'All Areas Data'!C170</x:f>
        <x:v>EEZ</x:v>
      </x:c>
      <x:c r="D170" s="32" t="n">
        <x:f>'All Areas Data'!E170</x:f>
        <x:v>11530.348500865499</x:v>
      </x:c>
      <x:c r="E170" s="32" t="n">
        <x:f>'All Areas Data'!K170</x:f>
        <x:v>13253757.621874493</x:v>
      </x:c>
      <x:c r="F170" s="34" t="n">
        <x:f>IF(SUMIF($C$2:$C$367,C170,$E$2:$E$367)=0,"",E170/SUMIF($C$2:$C$367,C170,$E$2:$E$367))</x:f>
        <x:v>0.00019947808002160122</x:v>
      </x:c>
      <x:c r="G170" s="35" t="n">
        <x:f>COUNTIFS($C$2:$C$367,C170,$E$2:$E$367,"&gt;"&amp;E170)+COUNTIFS($C$2:C170,C170,$E$2:E170,E170)</x:f>
        <x:v>169</x:v>
      </x:c>
      <x:c r="H170" s="34" t="n">
        <x:f>IF(SUMIF($C$2:$C$367,C170,$E$2:$E$367)=0,"",SUMIF($C$2:C170,C170,$F$2:F170))</x:f>
        <x:v>0.9945937174355999</x:v>
      </x:c>
    </x:row>
    <x:row r="171" ht="18" customHeight="1">
      <x:c r="A171" s="25" t="str">
        <x:f>'All Areas Data'!A171</x:f>
        <x:v>EEZ_222</x:v>
      </x:c>
      <x:c r="B171" s="25" t="str">
        <x:f>'All Areas Data'!B171</x:f>
        <x:v>El Salvador</x:v>
      </x:c>
      <x:c r="C171" s="25" t="str">
        <x:f>'All Areas Data'!C171</x:f>
        <x:v>EEZ</x:v>
      </x:c>
      <x:c r="D171" s="32" t="n">
        <x:f>'All Areas Data'!E171</x:f>
        <x:v>19144.466243662904</x:v>
      </x:c>
      <x:c r="E171" s="32" t="n">
        <x:f>'All Areas Data'!K171</x:f>
        <x:v>12763185.689767089</x:v>
      </x:c>
      <x:c r="F171" s="34" t="n">
        <x:f>IF(SUMIF($C$2:$C$367,C171,$E$2:$E$367)=0,"",E171/SUMIF($C$2:$C$367,C171,$E$2:$E$367))</x:f>
        <x:v>0.00019209463828974373</x:v>
      </x:c>
      <x:c r="G171" s="35" t="n">
        <x:f>COUNTIFS($C$2:$C$367,C171,$E$2:$E$367,"&gt;"&amp;E171)+COUNTIFS($C$2:C171,C171,$E$2:E171,E171)</x:f>
        <x:v>170</x:v>
      </x:c>
      <x:c r="H171" s="34" t="n">
        <x:f>IF(SUMIF($C$2:$C$367,C171,$E$2:$E$367)=0,"",SUMIF($C$2:C171,C171,$F$2:F171))</x:f>
        <x:v>0.9947858120738896</x:v>
      </x:c>
    </x:row>
    <x:row r="172" ht="18" customHeight="1">
      <x:c r="A172" s="25" t="str">
        <x:f>'All Areas Data'!A172</x:f>
        <x:v>EEZ_192</x:v>
      </x:c>
      <x:c r="B172" s="25" t="str">
        <x:f>'All Areas Data'!B172</x:f>
        <x:v>Cuba</x:v>
      </x:c>
      <x:c r="C172" s="25" t="str">
        <x:f>'All Areas Data'!C172</x:f>
        <x:v>EEZ</x:v>
      </x:c>
      <x:c r="D172" s="32" t="n">
        <x:f>'All Areas Data'!E172</x:f>
        <x:v>24306.8393757785</x:v>
      </x:c>
      <x:c r="E172" s="32" t="n">
        <x:f>'All Areas Data'!K172</x:f>
        <x:v>12737892.20413025</x:v>
      </x:c>
      <x:c r="F172" s="34" t="n">
        <x:f>IF(SUMIF($C$2:$C$367,C172,$E$2:$E$367)=0,"",E172/SUMIF($C$2:$C$367,C172,$E$2:$E$367))</x:f>
        <x:v>0.00019171395410222218</x:v>
      </x:c>
      <x:c r="G172" s="35" t="n">
        <x:f>COUNTIFS($C$2:$C$367,C172,$E$2:$E$367,"&gt;"&amp;E172)+COUNTIFS($C$2:C172,C172,$E$2:E172,E172)</x:f>
        <x:v>171</x:v>
      </x:c>
      <x:c r="H172" s="34" t="n">
        <x:f>IF(SUMIF($C$2:$C$367,C172,$E$2:$E$367)=0,"",SUMIF($C$2:C172,C172,$F$2:F172))</x:f>
        <x:v>0.9949775260279918</x:v>
      </x:c>
    </x:row>
    <x:row r="173" ht="18" customHeight="1">
      <x:c r="A173" s="25" t="str">
        <x:f>'All Areas Data'!A173</x:f>
        <x:v>EEZ_278</x:v>
      </x:c>
      <x:c r="B173" s="25" t="str">
        <x:f>'All Areas Data'!B173</x:f>
        <x:v>Germany (Baltic Sea)</x:v>
      </x:c>
      <x:c r="C173" s="25" t="str">
        <x:f>'All Areas Data'!C173</x:f>
        <x:v>EEZ</x:v>
      </x:c>
      <x:c r="D173" s="32" t="n">
        <x:f>'All Areas Data'!E173</x:f>
        <x:v>26188.5128491544</x:v>
      </x:c>
      <x:c r="E173" s="32" t="n">
        <x:f>'All Areas Data'!K173</x:f>
        <x:v>12082330.078822175</x:v>
      </x:c>
      <x:c r="F173" s="34" t="n">
        <x:f>IF(SUMIF($C$2:$C$367,C173,$E$2:$E$367)=0,"",E173/SUMIF($C$2:$C$367,C173,$E$2:$E$367))</x:f>
        <x:v>0.000181847297579433</x:v>
      </x:c>
      <x:c r="G173" s="35" t="n">
        <x:f>COUNTIFS($C$2:$C$367,C173,$E$2:$E$367,"&gt;"&amp;E173)+COUNTIFS($C$2:C173,C173,$E$2:E173,E173)</x:f>
        <x:v>172</x:v>
      </x:c>
      <x:c r="H173" s="34" t="n">
        <x:f>IF(SUMIF($C$2:$C$367,C173,$E$2:$E$367)=0,"",SUMIF($C$2:C173,C173,$F$2:F173))</x:f>
        <x:v>0.9951593733255713</x:v>
      </x:c>
    </x:row>
    <x:row r="174" ht="18" customHeight="1">
      <x:c r="A174" s="25" t="str">
        <x:f>'All Areas Data'!A174</x:f>
        <x:v>EEZ_016</x:v>
      </x:c>
      <x:c r="B174" s="25" t="str">
        <x:f>'All Areas Data'!B174</x:f>
        <x:v>American Samoa</x:v>
      </x:c>
      <x:c r="C174" s="25" t="str">
        <x:f>'All Areas Data'!C174</x:f>
        <x:v>EEZ</x:v>
      </x:c>
      <x:c r="D174" s="32" t="n">
        <x:f>'All Areas Data'!E174</x:f>
        <x:v>5598.672346021601</x:v>
      </x:c>
      <x:c r="E174" s="32" t="n">
        <x:f>'All Areas Data'!K174</x:f>
        <x:v>11609368.971725864</x:v>
      </x:c>
      <x:c r="F174" s="34" t="n">
        <x:f>IF(SUMIF($C$2:$C$367,C174,$E$2:$E$367)=0,"",E174/SUMIF($C$2:$C$367,C174,$E$2:$E$367))</x:f>
        <x:v>0.00017472891075962638</x:v>
      </x:c>
      <x:c r="G174" s="35" t="n">
        <x:f>COUNTIFS($C$2:$C$367,C174,$E$2:$E$367,"&gt;"&amp;E174)+COUNTIFS($C$2:C174,C174,$E$2:E174,E174)</x:f>
        <x:v>173</x:v>
      </x:c>
      <x:c r="H174" s="34" t="n">
        <x:f>IF(SUMIF($C$2:$C$367,C174,$E$2:$E$367)=0,"",SUMIF($C$2:C174,C174,$F$2:F174))</x:f>
        <x:v>0.9953341022363309</x:v>
      </x:c>
    </x:row>
    <x:row r="175" ht="18" customHeight="1">
      <x:c r="A175" s="25" t="str">
        <x:f>'All Areas Data'!A175</x:f>
        <x:v>EEZ_197</x:v>
      </x:c>
      <x:c r="B175" s="25" t="str">
        <x:f>'All Areas Data'!B175</x:f>
        <x:v>Cyprus (North)</x:v>
      </x:c>
      <x:c r="C175" s="25" t="str">
        <x:f>'All Areas Data'!C175</x:f>
        <x:v>EEZ</x:v>
      </x:c>
      <x:c r="D175" s="32" t="n">
        <x:f>'All Areas Data'!E175</x:f>
        <x:v>4715.927611698601</x:v>
      </x:c>
      <x:c r="E175" s="32" t="n">
        <x:f>'All Areas Data'!K175</x:f>
        <x:v>11569295.26355968</x:v>
      </x:c>
      <x:c r="F175" s="34" t="n">
        <x:f>IF(SUMIF($C$2:$C$367,C175,$E$2:$E$367)=0,"",E175/SUMIF($C$2:$C$367,C175,$E$2:$E$367))</x:f>
        <x:v>0.00017412577415547247</x:v>
      </x:c>
      <x:c r="G175" s="35" t="n">
        <x:f>COUNTIFS($C$2:$C$367,C175,$E$2:$E$367,"&gt;"&amp;E175)+COUNTIFS($C$2:C175,C175,$E$2:E175,E175)</x:f>
        <x:v>174</x:v>
      </x:c>
      <x:c r="H175" s="34" t="n">
        <x:f>IF(SUMIF($C$2:$C$367,C175,$E$2:$E$367)=0,"",SUMIF($C$2:C175,C175,$F$2:F175))</x:f>
        <x:v>0.9955082280104863</x:v>
      </x:c>
    </x:row>
    <x:row r="176" ht="18" customHeight="1">
      <x:c r="A176" s="25" t="str">
        <x:f>'All Areas Data'!A176</x:f>
        <x:v>EEZ_155</x:v>
      </x:c>
      <x:c r="B176" s="25" t="str">
        <x:f>'All Areas Data'!B176</x:f>
        <x:v>Juan Fernandez Islands (Chile)</x:v>
      </x:c>
      <x:c r="C176" s="25" t="str">
        <x:f>'All Areas Data'!C176</x:f>
        <x:v>EEZ</x:v>
      </x:c>
      <x:c r="D176" s="32" t="n">
        <x:f>'All Areas Data'!E176</x:f>
        <x:v>42555.52794494491</x:v>
      </x:c>
      <x:c r="E176" s="32" t="n">
        <x:f>'All Areas Data'!K176</x:f>
        <x:v>10134000.51502535</x:v>
      </x:c>
      <x:c r="F176" s="34" t="n">
        <x:f>IF(SUMIF($C$2:$C$367,C176,$E$2:$E$367)=0,"",E176/SUMIF($C$2:$C$367,C176,$E$2:$E$367))</x:f>
        <x:v>0.00015252361053734662</x:v>
      </x:c>
      <x:c r="G176" s="35" t="n">
        <x:f>COUNTIFS($C$2:$C$367,C176,$E$2:$E$367,"&gt;"&amp;E176)+COUNTIFS($C$2:C176,C176,$E$2:E176,E176)</x:f>
        <x:v>175</x:v>
      </x:c>
      <x:c r="H176" s="34" t="n">
        <x:f>IF(SUMIF($C$2:$C$367,C176,$E$2:$E$367)=0,"",SUMIF($C$2:C176,C176,$F$2:F176))</x:f>
        <x:v>0.9956607516210236</x:v>
      </x:c>
    </x:row>
    <x:row r="177" ht="18" customHeight="1">
      <x:c r="A177" s="25" t="str">
        <x:f>'All Areas Data'!A177</x:f>
        <x:v>EEZ_949</x:v>
      </x:c>
      <x:c r="B177" s="25" t="str">
        <x:f>'All Areas Data'!B177</x:f>
        <x:v>Nicaragua (Caribbean)</x:v>
      </x:c>
      <x:c r="C177" s="25" t="str">
        <x:f>'All Areas Data'!C177</x:f>
        <x:v>EEZ</x:v>
      </x:c>
      <x:c r="D177" s="32" t="n">
        <x:f>'All Areas Data'!E177</x:f>
        <x:v>34605.779645753995</x:v>
      </x:c>
      <x:c r="E177" s="32" t="n">
        <x:f>'All Areas Data'!K177</x:f>
        <x:v>10055225.175638834</x:v>
      </x:c>
      <x:c r="F177" s="34" t="n">
        <x:f>IF(SUMIF($C$2:$C$367,C177,$E$2:$E$367)=0,"",E177/SUMIF($C$2:$C$367,C177,$E$2:$E$367))</x:f>
        <x:v>0.0001513379880216657</x:v>
      </x:c>
      <x:c r="G177" s="35" t="n">
        <x:f>COUNTIFS($C$2:$C$367,C177,$E$2:$E$367,"&gt;"&amp;E177)+COUNTIFS($C$2:C177,C177,$E$2:E177,E177)</x:f>
        <x:v>176</x:v>
      </x:c>
      <x:c r="H177" s="34" t="n">
        <x:f>IF(SUMIF($C$2:$C$367,C177,$E$2:$E$367)=0,"",SUMIF($C$2:C177,C177,$F$2:F177))</x:f>
        <x:v>0.9958120896090453</x:v>
      </x:c>
    </x:row>
    <x:row r="178" ht="18" customHeight="1">
      <x:c r="A178" s="25" t="str">
        <x:f>'All Areas Data'!A178</x:f>
        <x:v>EEZ_440</x:v>
      </x:c>
      <x:c r="B178" s="25" t="str">
        <x:f>'All Areas Data'!B178</x:f>
        <x:v>Lithuania</x:v>
      </x:c>
      <x:c r="C178" s="25" t="str">
        <x:f>'All Areas Data'!C178</x:f>
        <x:v>EEZ</x:v>
      </x:c>
      <x:c r="D178" s="32" t="n">
        <x:f>'All Areas Data'!E178</x:f>
        <x:v>34707.5616911521</x:v>
      </x:c>
      <x:c r="E178" s="32" t="n">
        <x:f>'All Areas Data'!K178</x:f>
        <x:v>9837795.65518664</x:v>
      </x:c>
      <x:c r="F178" s="34" t="n">
        <x:f>IF(SUMIF($C$2:$C$367,C178,$E$2:$E$367)=0,"",E178/SUMIF($C$2:$C$367,C178,$E$2:$E$367))</x:f>
        <x:v>0.00014806552563648991</x:v>
      </x:c>
      <x:c r="G178" s="35" t="n">
        <x:f>COUNTIFS($C$2:$C$367,C178,$E$2:$E$367,"&gt;"&amp;E178)+COUNTIFS($C$2:C178,C178,$E$2:E178,E178)</x:f>
        <x:v>177</x:v>
      </x:c>
      <x:c r="H178" s="34" t="n">
        <x:f>IF(SUMIF($C$2:$C$367,C178,$E$2:$E$367)=0,"",SUMIF($C$2:C178,C178,$F$2:F178))</x:f>
        <x:v>0.9959601551346818</x:v>
      </x:c>
    </x:row>
    <x:row r="179" ht="18" customHeight="1">
      <x:c r="A179" s="25" t="str">
        <x:f>'All Areas Data'!A179</x:f>
        <x:v>EEZ_846</x:v>
      </x:c>
      <x:c r="B179" s="25" t="str">
        <x:f>'All Areas Data'!B179</x:f>
        <x:v>Howland &amp; Baker Isl. (USA)</x:v>
      </x:c>
      <x:c r="C179" s="25" t="str">
        <x:f>'All Areas Data'!C179</x:f>
        <x:v>EEZ</x:v>
      </x:c>
      <x:c r="D179" s="32" t="n">
        <x:f>'All Areas Data'!E179</x:f>
        <x:v>4352.1546382121005</x:v>
      </x:c>
      <x:c r="E179" s="32" t="n">
        <x:f>'All Areas Data'!K179</x:f>
        <x:v>9583004.046822514</x:v>
      </x:c>
      <x:c r="F179" s="34" t="n">
        <x:f>IF(SUMIF($C$2:$C$367,C179,$E$2:$E$367)=0,"",E179/SUMIF($C$2:$C$367,C179,$E$2:$E$367))</x:f>
        <x:v>0.00014423073837901</x:v>
      </x:c>
      <x:c r="G179" s="35" t="n">
        <x:f>COUNTIFS($C$2:$C$367,C179,$E$2:$E$367,"&gt;"&amp;E179)+COUNTIFS($C$2:C179,C179,$E$2:E179,E179)</x:f>
        <x:v>178</x:v>
      </x:c>
      <x:c r="H179" s="34" t="n">
        <x:f>IF(SUMIF($C$2:$C$367,C179,$E$2:$E$367)=0,"",SUMIF($C$2:C179,C179,$F$2:F179))</x:f>
        <x:v>0.9961043858730608</x:v>
      </x:c>
    </x:row>
    <x:row r="180" ht="18" customHeight="1">
      <x:c r="A180" s="25" t="str">
        <x:f>'All Areas Data'!A180</x:f>
        <x:v>EEZ_096</x:v>
      </x:c>
      <x:c r="B180" s="25" t="str">
        <x:f>'All Areas Data'!B180</x:f>
        <x:v>Brunei Darussalam</x:v>
      </x:c>
      <x:c r="C180" s="25" t="str">
        <x:f>'All Areas Data'!C180</x:f>
        <x:v>EEZ</x:v>
      </x:c>
      <x:c r="D180" s="32" t="n">
        <x:f>'All Areas Data'!E180</x:f>
        <x:v>16692.4609859602</x:v>
      </x:c>
      <x:c r="E180" s="32" t="n">
        <x:f>'All Areas Data'!K180</x:f>
        <x:v>9457192.928452253</x:v>
      </x:c>
      <x:c r="F180" s="34" t="n">
        <x:f>IF(SUMIF($C$2:$C$367,C180,$E$2:$E$367)=0,"",E180/SUMIF($C$2:$C$367,C180,$E$2:$E$367))</x:f>
        <x:v>0.00014233719535114824</x:v>
      </x:c>
      <x:c r="G180" s="35" t="n">
        <x:f>COUNTIFS($C$2:$C$367,C180,$E$2:$E$367,"&gt;"&amp;E180)+COUNTIFS($C$2:C180,C180,$E$2:E180,E180)</x:f>
        <x:v>179</x:v>
      </x:c>
      <x:c r="H180" s="34" t="n">
        <x:f>IF(SUMIF($C$2:$C$367,C180,$E$2:$E$367)=0,"",SUMIF($C$2:C180,C180,$F$2:F180))</x:f>
        <x:v>0.996246723068412</x:v>
      </x:c>
    </x:row>
    <x:row r="181" ht="18" customHeight="1">
      <x:c r="A181" s="25" t="str">
        <x:f>'All Areas Data'!A181</x:f>
        <x:v>EEZ_251</x:v>
      </x:c>
      <x:c r="B181" s="25" t="str">
        <x:f>'All Areas Data'!B181</x:f>
        <x:v>Mozambique Channel Isl. (France)</x:v>
      </x:c>
      <x:c r="C181" s="25" t="str">
        <x:f>'All Areas Data'!C181</x:f>
        <x:v>EEZ</x:v>
      </x:c>
      <x:c r="D181" s="32" t="n">
        <x:f>'All Areas Data'!E181</x:f>
        <x:v>3801.8421879604</x:v>
      </x:c>
      <x:c r="E181" s="32" t="n">
        <x:f>'All Areas Data'!K181</x:f>
        <x:v>9217280.300397815</x:v>
      </x:c>
      <x:c r="F181" s="34" t="n">
        <x:f>IF(SUMIF($C$2:$C$367,C181,$E$2:$E$367)=0,"",E181/SUMIF($C$2:$C$367,C181,$E$2:$E$367))</x:f>
        <x:v>0.00013872634688216385</x:v>
      </x:c>
      <x:c r="G181" s="35" t="n">
        <x:f>COUNTIFS($C$2:$C$367,C181,$E$2:$E$367,"&gt;"&amp;E181)+COUNTIFS($C$2:C181,C181,$E$2:E181,E181)</x:f>
        <x:v>180</x:v>
      </x:c>
      <x:c r="H181" s="34" t="n">
        <x:f>IF(SUMIF($C$2:$C$367,C181,$E$2:$E$367)=0,"",SUMIF($C$2:C181,C181,$F$2:F181))</x:f>
        <x:v>0.9963854494152942</x:v>
      </x:c>
    </x:row>
    <x:row r="182" ht="18" customHeight="1">
      <x:c r="A182" s="25" t="str">
        <x:f>'All Areas Data'!A182</x:f>
        <x:v>EEZ_048</x:v>
      </x:c>
      <x:c r="B182" s="25" t="str">
        <x:f>'All Areas Data'!B182</x:f>
        <x:v>Bahrain</x:v>
      </x:c>
      <x:c r="C182" s="25" t="str">
        <x:f>'All Areas Data'!C182</x:f>
        <x:v>EEZ</x:v>
      </x:c>
      <x:c r="D182" s="32" t="n">
        <x:f>'All Areas Data'!E182</x:f>
        <x:v>40820.826476502996</x:v>
      </x:c>
      <x:c r="E182" s="32" t="n">
        <x:f>'All Areas Data'!K182</x:f>
        <x:v>9187447.205934381</x:v>
      </x:c>
      <x:c r="F182" s="34" t="n">
        <x:f>IF(SUMIF($C$2:$C$367,C182,$E$2:$E$367)=0,"",E182/SUMIF($C$2:$C$367,C182,$E$2:$E$367))</x:f>
        <x:v>0.00013827733848964223</x:v>
      </x:c>
      <x:c r="G182" s="35" t="n">
        <x:f>COUNTIFS($C$2:$C$367,C182,$E$2:$E$367,"&gt;"&amp;E182)+COUNTIFS($C$2:C182,C182,$E$2:E182,E182)</x:f>
        <x:v>181</x:v>
      </x:c>
      <x:c r="H182" s="34" t="n">
        <x:f>IF(SUMIF($C$2:$C$367,C182,$E$2:$E$367)=0,"",SUMIF($C$2:C182,C182,$F$2:F182))</x:f>
        <x:v>0.9965237267537838</x:v>
      </x:c>
    </x:row>
    <x:row r="183" ht="18" customHeight="1">
      <x:c r="A183" s="25" t="str">
        <x:f>'All Areas Data'!A183</x:f>
        <x:v>EEZ_414</x:v>
      </x:c>
      <x:c r="B183" s="25" t="str">
        <x:f>'All Areas Data'!B183</x:f>
        <x:v>Kuwait</x:v>
      </x:c>
      <x:c r="C183" s="25" t="str">
        <x:f>'All Areas Data'!C183</x:f>
        <x:v>EEZ</x:v>
      </x:c>
      <x:c r="D183" s="32" t="n">
        <x:f>'All Areas Data'!E183</x:f>
        <x:v>23587.724537113005</x:v>
      </x:c>
      <x:c r="E183" s="32" t="n">
        <x:f>'All Areas Data'!K183</x:f>
        <x:v>8850802.026816877</x:v>
      </x:c>
      <x:c r="F183" s="34" t="n">
        <x:f>IF(SUMIF($C$2:$C$367,C183,$E$2:$E$367)=0,"",E183/SUMIF($C$2:$C$367,C183,$E$2:$E$367))</x:f>
        <x:v>0.00013321059923766923</x:v>
      </x:c>
      <x:c r="G183" s="35" t="n">
        <x:f>COUNTIFS($C$2:$C$367,C183,$E$2:$E$367,"&gt;"&amp;E183)+COUNTIFS($C$2:C183,C183,$E$2:E183,E183)</x:f>
        <x:v>182</x:v>
      </x:c>
      <x:c r="H183" s="34" t="n">
        <x:f>IF(SUMIF($C$2:$C$367,C183,$E$2:$E$367)=0,"",SUMIF($C$2:C183,C183,$F$2:F183))</x:f>
        <x:v>0.9966569373530214</x:v>
      </x:c>
    </x:row>
    <x:row r="184" ht="18" customHeight="1">
      <x:c r="A184" s="25" t="str">
        <x:f>'All Areas Data'!A184</x:f>
        <x:v>EEZ_111</x:v>
      </x:c>
      <x:c r="B184" s="25" t="str">
        <x:f>'All Areas Data'!B184</x:f>
        <x:v>Eritrea</x:v>
      </x:c>
      <x:c r="C184" s="25" t="str">
        <x:f>'All Areas Data'!C184</x:f>
        <x:v>EEZ</x:v>
      </x:c>
      <x:c r="D184" s="32" t="n">
        <x:f>'All Areas Data'!E184</x:f>
        <x:v>10673.441493973301</x:v>
      </x:c>
      <x:c r="E184" s="32" t="n">
        <x:f>'All Areas Data'!K184</x:f>
        <x:v>8796685.401941154</x:v>
      </x:c>
      <x:c r="F184" s="34" t="n">
        <x:f>IF(SUMIF($C$2:$C$367,C184,$E$2:$E$367)=0,"",E184/SUMIF($C$2:$C$367,C184,$E$2:$E$367))</x:f>
        <x:v>0.00013239610717168774</x:v>
      </x:c>
      <x:c r="G184" s="35" t="n">
        <x:f>COUNTIFS($C$2:$C$367,C184,$E$2:$E$367,"&gt;"&amp;E184)+COUNTIFS($C$2:C184,C184,$E$2:E184,E184)</x:f>
        <x:v>183</x:v>
      </x:c>
      <x:c r="H184" s="34" t="n">
        <x:f>IF(SUMIF($C$2:$C$367,C184,$E$2:$E$367)=0,"",SUMIF($C$2:C184,C184,$F$2:F184))</x:f>
        <x:v>0.996789333460193</x:v>
      </x:c>
    </x:row>
    <x:row r="185" ht="18" customHeight="1">
      <x:c r="A185" s="25" t="str">
        <x:f>'All Areas Data'!A185</x:f>
        <x:v>EEZ_845</x:v>
      </x:c>
      <x:c r="B185" s="25" t="str">
        <x:f>'All Areas Data'!B185</x:f>
        <x:v>Jarvis Isl. (USA)</x:v>
      </x:c>
      <x:c r="C185" s="25" t="str">
        <x:f>'All Areas Data'!C185</x:f>
        <x:v>EEZ</x:v>
      </x:c>
      <x:c r="D185" s="32" t="n">
        <x:f>'All Areas Data'!E185</x:f>
        <x:v>3423.5308595899996</x:v>
      </x:c>
      <x:c r="E185" s="32" t="n">
        <x:f>'All Areas Data'!K185</x:f>
        <x:v>7929382.82878491</x:v>
      </x:c>
      <x:c r="F185" s="34" t="n">
        <x:f>IF(SUMIF($C$2:$C$367,C185,$E$2:$E$367)=0,"",E185/SUMIF($C$2:$C$367,C185,$E$2:$E$367))</x:f>
        <x:v>0.00011934261268153174</x:v>
      </x:c>
      <x:c r="G185" s="35" t="n">
        <x:f>COUNTIFS($C$2:$C$367,C185,$E$2:$E$367,"&gt;"&amp;E185)+COUNTIFS($C$2:C185,C185,$E$2:E185,E185)</x:f>
        <x:v>184</x:v>
      </x:c>
      <x:c r="H185" s="34" t="n">
        <x:f>IF(SUMIF($C$2:$C$367,C185,$E$2:$E$367)=0,"",SUMIF($C$2:C185,C185,$F$2:F185))</x:f>
        <x:v>0.9969086760728746</x:v>
      </x:c>
    </x:row>
    <x:row r="186" ht="18" customHeight="1">
      <x:c r="A186" s="25" t="str">
        <x:f>'All Areas Data'!A186</x:f>
        <x:v>EEZ_906</x:v>
      </x:c>
      <x:c r="B186" s="25" t="str">
        <x:f>'All Areas Data'!B186</x:f>
        <x:v>Curaçao (Netherlands)</x:v>
      </x:c>
      <x:c r="C186" s="25" t="str">
        <x:f>'All Areas Data'!C186</x:f>
        <x:v>EEZ</x:v>
      </x:c>
      <x:c r="D186" s="32" t="n">
        <x:f>'All Areas Data'!E186</x:f>
        <x:v>4837.787794606899</x:v>
      </x:c>
      <x:c r="E186" s="32" t="n">
        <x:f>'All Areas Data'!K186</x:f>
        <x:v>7826249.292403802</x:v>
      </x:c>
      <x:c r="F186" s="34" t="n">
        <x:f>IF(SUMIF($C$2:$C$367,C186,$E$2:$E$367)=0,"",E186/SUMIF($C$2:$C$367,C186,$E$2:$E$367))</x:f>
        <x:v>0.00011779038270946805</x:v>
      </x:c>
      <x:c r="G186" s="35" t="n">
        <x:f>COUNTIFS($C$2:$C$367,C186,$E$2:$E$367,"&gt;"&amp;E186)+COUNTIFS($C$2:C186,C186,$E$2:E186,E186)</x:f>
        <x:v>185</x:v>
      </x:c>
      <x:c r="H186" s="34" t="n">
        <x:f>IF(SUMIF($C$2:$C$367,C186,$E$2:$E$367)=0,"",SUMIF($C$2:C186,C186,$F$2:F186))</x:f>
        <x:v>0.997026466455584</x:v>
      </x:c>
    </x:row>
    <x:row r="187" ht="18" customHeight="1">
      <x:c r="A187" s="25" t="str">
        <x:f>'All Areas Data'!A187</x:f>
        <x:v>EEZ_830</x:v>
      </x:c>
      <x:c r="B187" s="25" t="str">
        <x:f>'All Areas Data'!B187</x:f>
        <x:v>Channel Isl. (UK)</x:v>
      </x:c>
      <x:c r="C187" s="25" t="str">
        <x:f>'All Areas Data'!C187</x:f>
        <x:v>EEZ</x:v>
      </x:c>
      <x:c r="D187" s="32" t="n">
        <x:f>'All Areas Data'!E187</x:f>
        <x:v>13336.3851663309</x:v>
      </x:c>
      <x:c r="E187" s="32" t="n">
        <x:f>'All Areas Data'!K187</x:f>
        <x:v>7600928.524628068</x:v>
      </x:c>
      <x:c r="F187" s="34" t="n">
        <x:f>IF(SUMIF($C$2:$C$367,C187,$E$2:$E$367)=0,"",E187/SUMIF($C$2:$C$367,C187,$E$2:$E$367))</x:f>
        <x:v>0.0001143991516769407</x:v>
      </x:c>
      <x:c r="G187" s="35" t="n">
        <x:f>COUNTIFS($C$2:$C$367,C187,$E$2:$E$367,"&gt;"&amp;E187)+COUNTIFS($C$2:C187,C187,$E$2:E187,E187)</x:f>
        <x:v>186</x:v>
      </x:c>
      <x:c r="H187" s="34" t="n">
        <x:f>IF(SUMIF($C$2:$C$367,C187,$E$2:$E$367)=0,"",SUMIF($C$2:C187,C187,$F$2:F187))</x:f>
        <x:v>0.997140865607261</x:v>
      </x:c>
    </x:row>
    <x:row r="188" ht="18" customHeight="1">
      <x:c r="A188" s="25" t="str">
        <x:f>'All Areas Data'!A188</x:f>
        <x:v>EEZ_308</x:v>
      </x:c>
      <x:c r="B188" s="25" t="str">
        <x:f>'All Areas Data'!B188</x:f>
        <x:v>Grenada</x:v>
      </x:c>
      <x:c r="C188" s="25" t="str">
        <x:f>'All Areas Data'!C188</x:f>
        <x:v>EEZ</x:v>
      </x:c>
      <x:c r="D188" s="32" t="n">
        <x:f>'All Areas Data'!E188</x:f>
        <x:v>3717.1043054865995</x:v>
      </x:c>
      <x:c r="E188" s="32" t="n">
        <x:f>'All Areas Data'!K188</x:f>
        <x:v>7313275.919097777</x:v>
      </x:c>
      <x:c r="F188" s="34" t="n">
        <x:f>IF(SUMIF($C$2:$C$367,C188,$E$2:$E$367)=0,"",E188/SUMIF($C$2:$C$367,C188,$E$2:$E$367))</x:f>
        <x:v>0.00011006978402880364</x:v>
      </x:c>
      <x:c r="G188" s="35" t="n">
        <x:f>COUNTIFS($C$2:$C$367,C188,$E$2:$E$367,"&gt;"&amp;E188)+COUNTIFS($C$2:C188,C188,$E$2:E188,E188)</x:f>
        <x:v>187</x:v>
      </x:c>
      <x:c r="H188" s="34" t="n">
        <x:f>IF(SUMIF($C$2:$C$367,C188,$E$2:$E$367)=0,"",SUMIF($C$2:C188,C188,$F$2:F188))</x:f>
        <x:v>0.9972509353912898</x:v>
      </x:c>
    </x:row>
    <x:row r="189" ht="18" customHeight="1">
      <x:c r="A189" s="25" t="str">
        <x:f>'All Areas Data'!A189</x:f>
        <x:v>EEZ_153</x:v>
      </x:c>
      <x:c r="B189" s="25" t="str">
        <x:f>'All Areas Data'!B189</x:f>
        <x:v>Easter Isl. (Chile)</x:v>
      </x:c>
      <x:c r="C189" s="25" t="str">
        <x:f>'All Areas Data'!C189</x:f>
        <x:v>EEZ</x:v>
      </x:c>
      <x:c r="D189" s="32" t="n">
        <x:f>'All Areas Data'!E189</x:f>
        <x:v>3582.4039295135995</x:v>
      </x:c>
      <x:c r="E189" s="32" t="n">
        <x:f>'All Areas Data'!K189</x:f>
        <x:v>7297323.667236304</x:v>
      </x:c>
      <x:c r="F189" s="34" t="n">
        <x:f>IF(SUMIF($C$2:$C$367,C189,$E$2:$E$367)=0,"",E189/SUMIF($C$2:$C$367,C189,$E$2:$E$367))</x:f>
        <x:v>0.0001098296917723936</x:v>
      </x:c>
      <x:c r="G189" s="35" t="n">
        <x:f>COUNTIFS($C$2:$C$367,C189,$E$2:$E$367,"&gt;"&amp;E189)+COUNTIFS($C$2:C189,C189,$E$2:E189,E189)</x:f>
        <x:v>188</x:v>
      </x:c>
      <x:c r="H189" s="34" t="n">
        <x:f>IF(SUMIF($C$2:$C$367,C189,$E$2:$E$367)=0,"",SUMIF($C$2:C189,C189,$F$2:F189))</x:f>
        <x:v>0.9973607650830623</x:v>
      </x:c>
    </x:row>
    <x:row r="190" ht="18" customHeight="1">
      <x:c r="A190" s="25" t="str">
        <x:f>'All Areas Data'!A190</x:f>
        <x:v>EEZ_915</x:v>
      </x:c>
      <x:c r="B190" s="25" t="str">
        <x:f>'All Areas Data'!B190</x:f>
        <x:v>Sweden (West Coast)</x:v>
      </x:c>
      <x:c r="C190" s="25" t="str">
        <x:f>'All Areas Data'!C190</x:f>
        <x:v>EEZ</x:v>
      </x:c>
      <x:c r="D190" s="32" t="n">
        <x:f>'All Areas Data'!E190</x:f>
        <x:v>14482.041987962604</x:v>
      </x:c>
      <x:c r="E190" s="32" t="n">
        <x:f>'All Areas Data'!K190</x:f>
        <x:v>7256163.265204381</x:v>
      </x:c>
      <x:c r="F190" s="34" t="n">
        <x:f>IF(SUMIF($C$2:$C$367,C190,$E$2:$E$367)=0,"",E190/SUMIF($C$2:$C$367,C190,$E$2:$E$367))</x:f>
        <x:v>0.00010921019968535753</x:v>
      </x:c>
      <x:c r="G190" s="35" t="n">
        <x:f>COUNTIFS($C$2:$C$367,C190,$E$2:$E$367,"&gt;"&amp;E190)+COUNTIFS($C$2:C190,C190,$E$2:E190,E190)</x:f>
        <x:v>189</x:v>
      </x:c>
      <x:c r="H190" s="34" t="n">
        <x:f>IF(SUMIF($C$2:$C$367,C190,$E$2:$E$367)=0,"",SUMIF($C$2:C190,C190,$F$2:F190))</x:f>
        <x:v>0.9974699752827476</x:v>
      </x:c>
    </x:row>
    <x:row r="191" ht="18" customHeight="1">
      <x:c r="A191" s="25" t="str">
        <x:f>'All Areas Data'!A191</x:f>
        <x:v>EEZ_921</x:v>
      </x:c>
      <x:c r="B191" s="25" t="str">
        <x:f>'All Areas Data'!B191</x:f>
        <x:v>Honduras (Caribbean)</x:v>
      </x:c>
      <x:c r="C191" s="25" t="str">
        <x:f>'All Areas Data'!C191</x:f>
        <x:v>EEZ</x:v>
      </x:c>
      <x:c r="D191" s="32" t="n">
        <x:f>'All Areas Data'!E191</x:f>
        <x:v>21241.895209552</x:v>
      </x:c>
      <x:c r="E191" s="32" t="n">
        <x:f>'All Areas Data'!K191</x:f>
        <x:v>7201096.133289953</x:v>
      </x:c>
      <x:c r="F191" s="34" t="n">
        <x:f>IF(SUMIF($C$2:$C$367,C191,$E$2:$E$367)=0,"",E191/SUMIF($C$2:$C$367,C191,$E$2:$E$367))</x:f>
        <x:v>0.00010838140184100455</x:v>
      </x:c>
      <x:c r="G191" s="35" t="n">
        <x:f>COUNTIFS($C$2:$C$367,C191,$E$2:$E$367,"&gt;"&amp;E191)+COUNTIFS($C$2:C191,C191,$E$2:E191,E191)</x:f>
        <x:v>190</x:v>
      </x:c>
      <x:c r="H191" s="34" t="n">
        <x:f>IF(SUMIF($C$2:$C$367,C191,$E$2:$E$367)=0,"",SUMIF($C$2:C191,C191,$F$2:F191))</x:f>
        <x:v>0.9975783566845886</x:v>
      </x:c>
    </x:row>
    <x:row r="192" ht="18" customHeight="1">
      <x:c r="A192" s="25" t="str">
        <x:f>'All Areas Data'!A192</x:f>
        <x:v>EEZ_626</x:v>
      </x:c>
      <x:c r="B192" s="25" t="str">
        <x:f>'All Areas Data'!B192</x:f>
        <x:v>Timor Leste</x:v>
      </x:c>
      <x:c r="C192" s="25" t="str">
        <x:f>'All Areas Data'!C192</x:f>
        <x:v>EEZ</x:v>
      </x:c>
      <x:c r="D192" s="32" t="n">
        <x:f>'All Areas Data'!E192</x:f>
        <x:v>6740.4405352820995</x:v>
      </x:c>
      <x:c r="E192" s="32" t="n">
        <x:f>'All Areas Data'!K192</x:f>
        <x:v>7104836.656840956</x:v>
      </x:c>
      <x:c r="F192" s="34" t="n">
        <x:f>IF(SUMIF($C$2:$C$367,C192,$E$2:$E$367)=0,"",E192/SUMIF($C$2:$C$367,C192,$E$2:$E$367))</x:f>
        <x:v>0.00010693263115319302</x:v>
      </x:c>
      <x:c r="G192" s="35" t="n">
        <x:f>COUNTIFS($C$2:$C$367,C192,$E$2:$E$367,"&gt;"&amp;E192)+COUNTIFS($C$2:C192,C192,$E$2:E192,E192)</x:f>
        <x:v>191</x:v>
      </x:c>
      <x:c r="H192" s="34" t="n">
        <x:f>IF(SUMIF($C$2:$C$367,C192,$E$2:$E$367)=0,"",SUMIF($C$2:C192,C192,$F$2:F192))</x:f>
        <x:v>0.9976852893157419</x:v>
      </x:c>
    </x:row>
    <x:row r="193" ht="18" customHeight="1">
      <x:c r="A193" s="25" t="str">
        <x:f>'All Areas Data'!A193</x:f>
        <x:v>EEZ_368</x:v>
      </x:c>
      <x:c r="B193" s="25" t="str">
        <x:f>'All Areas Data'!B193</x:f>
        <x:v>Iraq</x:v>
      </x:c>
      <x:c r="C193" s="25" t="str">
        <x:f>'All Areas Data'!C193</x:f>
        <x:v>EEZ</x:v>
      </x:c>
      <x:c r="D193" s="32" t="n">
        <x:f>'All Areas Data'!E193</x:f>
        <x:v>17378.277221609</x:v>
      </x:c>
      <x:c r="E193" s="32" t="n">
        <x:f>'All Areas Data'!K193</x:f>
        <x:v>6545752.48582018</x:v>
      </x:c>
      <x:c r="F193" s="34" t="n">
        <x:f>IF(SUMIF($C$2:$C$367,C193,$E$2:$E$367)=0,"",E193/SUMIF($C$2:$C$367,C193,$E$2:$E$367))</x:f>
        <x:v>0.00009851803355849822</x:v>
      </x:c>
      <x:c r="G193" s="35" t="n">
        <x:f>COUNTIFS($C$2:$C$367,C193,$E$2:$E$367,"&gt;"&amp;E193)+COUNTIFS($C$2:C193,C193,$E$2:E193,E193)</x:f>
        <x:v>192</x:v>
      </x:c>
      <x:c r="H193" s="34" t="n">
        <x:f>IF(SUMIF($C$2:$C$367,C193,$E$2:$E$367)=0,"",SUMIF($C$2:C193,C193,$F$2:F193))</x:f>
        <x:v>0.9977838073493004</x:v>
      </x:c>
    </x:row>
    <x:row r="194" ht="18" customHeight="1">
      <x:c r="A194" s="25" t="str">
        <x:f>'All Areas Data'!A194</x:f>
        <x:v>EEZ_262</x:v>
      </x:c>
      <x:c r="B194" s="25" t="str">
        <x:f>'All Areas Data'!B194</x:f>
        <x:v>Djibouti</x:v>
      </x:c>
      <x:c r="C194" s="25" t="str">
        <x:f>'All Areas Data'!C194</x:f>
        <x:v>EEZ</x:v>
      </x:c>
      <x:c r="D194" s="32" t="n">
        <x:f>'All Areas Data'!E194</x:f>
        <x:v>3605.053587344</x:v>
      </x:c>
      <x:c r="E194" s="32" t="n">
        <x:f>'All Areas Data'!K194</x:f>
        <x:v>6543782.7076633</x:v>
      </x:c>
      <x:c r="F194" s="34" t="n">
        <x:f>IF(SUMIF($C$2:$C$367,C194,$E$2:$E$367)=0,"",E194/SUMIF($C$2:$C$367,C194,$E$2:$E$367))</x:f>
        <x:v>0.00009848838705552051</x:v>
      </x:c>
      <x:c r="G194" s="35" t="n">
        <x:f>COUNTIFS($C$2:$C$367,C194,$E$2:$E$367,"&gt;"&amp;E194)+COUNTIFS($C$2:C194,C194,$E$2:E194,E194)</x:f>
        <x:v>193</x:v>
      </x:c>
      <x:c r="H194" s="34" t="n">
        <x:f>IF(SUMIF($C$2:$C$367,C194,$E$2:$E$367)=0,"",SUMIF($C$2:C194,C194,$F$2:F194))</x:f>
        <x:v>0.9978822957363559</x:v>
      </x:c>
    </x:row>
    <x:row r="195" ht="18" customHeight="1">
      <x:c r="A195" s="25" t="str">
        <x:f>'All Areas Data'!A195</x:f>
        <x:v>EEZ_344</x:v>
      </x:c>
      <x:c r="B195" s="25" t="str">
        <x:f>'All Areas Data'!B195</x:f>
        <x:v>Hong Kong (China)</x:v>
      </x:c>
      <x:c r="C195" s="25" t="str">
        <x:f>'All Areas Data'!C195</x:f>
        <x:v>EEZ</x:v>
      </x:c>
      <x:c r="D195" s="32" t="n">
        <x:f>'All Areas Data'!E195</x:f>
        <x:v>13460.850930421202</x:v>
      </x:c>
      <x:c r="E195" s="32" t="n">
        <x:f>'All Areas Data'!K195</x:f>
        <x:v>5045326.844836413</x:v>
      </x:c>
      <x:c r="F195" s="34" t="n">
        <x:f>IF(SUMIF($C$2:$C$367,C195,$E$2:$E$367)=0,"",E195/SUMIF($C$2:$C$367,C195,$E$2:$E$367))</x:f>
        <x:v>0.00007593560564502537</x:v>
      </x:c>
      <x:c r="G195" s="35" t="n">
        <x:f>COUNTIFS($C$2:$C$367,C195,$E$2:$E$367,"&gt;"&amp;E195)+COUNTIFS($C$2:C195,C195,$E$2:E195,E195)</x:f>
        <x:v>194</x:v>
      </x:c>
      <x:c r="H195" s="34" t="n">
        <x:f>IF(SUMIF($C$2:$C$367,C195,$E$2:$E$367)=0,"",SUMIF($C$2:C195,C195,$F$2:F195))</x:f>
        <x:v>0.9979582313420009</x:v>
      </x:c>
    </x:row>
    <x:row r="196" ht="18" customHeight="1">
      <x:c r="A196" s="25" t="str">
        <x:f>'All Areas Data'!A196</x:f>
        <x:v>EEZ_100</x:v>
      </x:c>
      <x:c r="B196" s="25" t="str">
        <x:f>'All Areas Data'!B196</x:f>
        <x:v>Bulgaria</x:v>
      </x:c>
      <x:c r="C196" s="25" t="str">
        <x:f>'All Areas Data'!C196</x:f>
        <x:v>EEZ</x:v>
      </x:c>
      <x:c r="D196" s="32" t="n">
        <x:f>'All Areas Data'!E196</x:f>
        <x:v>17051.512653486603</x:v>
      </x:c>
      <x:c r="E196" s="32" t="n">
        <x:f>'All Areas Data'!K196</x:f>
        <x:v>4947572.629646991</x:v>
      </x:c>
      <x:c r="F196" s="34" t="n">
        <x:f>IF(SUMIF($C$2:$C$367,C196,$E$2:$E$367)=0,"",E196/SUMIF($C$2:$C$367,C196,$E$2:$E$367))</x:f>
        <x:v>0.00007446433812102742</x:v>
      </x:c>
      <x:c r="G196" s="35" t="n">
        <x:f>COUNTIFS($C$2:$C$367,C196,$E$2:$E$367,"&gt;"&amp;E196)+COUNTIFS($C$2:C196,C196,$E$2:E196,E196)</x:f>
        <x:v>195</x:v>
      </x:c>
      <x:c r="H196" s="34" t="n">
        <x:f>IF(SUMIF($C$2:$C$367,C196,$E$2:$E$367)=0,"",SUMIF($C$2:C196,C196,$F$2:F196))</x:f>
        <x:v>0.9980326956801219</x:v>
      </x:c>
    </x:row>
    <x:row r="197" ht="18" customHeight="1">
      <x:c r="A197" s="25" t="str">
        <x:f>'All Areas Data'!A197</x:f>
        <x:v>EEZ_254</x:v>
      </x:c>
      <x:c r="B197" s="25" t="str">
        <x:f>'All Areas Data'!B197</x:f>
        <x:v>French Guiana</x:v>
      </x:c>
      <x:c r="C197" s="25" t="str">
        <x:f>'All Areas Data'!C197</x:f>
        <x:v>EEZ</x:v>
      </x:c>
      <x:c r="D197" s="32" t="n">
        <x:f>'All Areas Data'!E197</x:f>
        <x:v>6463.6550972397</x:v>
      </x:c>
      <x:c r="E197" s="32" t="n">
        <x:f>'All Areas Data'!K197</x:f>
        <x:v>4898958.650204303</x:v>
      </x:c>
      <x:c r="F197" s="34" t="n">
        <x:f>IF(SUMIF($C$2:$C$367,C197,$E$2:$E$367)=0,"",E197/SUMIF($C$2:$C$367,C197,$E$2:$E$367))</x:f>
        <x:v>0.00007373266461694642</x:v>
      </x:c>
      <x:c r="G197" s="35" t="n">
        <x:f>COUNTIFS($C$2:$C$367,C197,$E$2:$E$367,"&gt;"&amp;E197)+COUNTIFS($C$2:C197,C197,$E$2:E197,E197)</x:f>
        <x:v>196</x:v>
      </x:c>
      <x:c r="H197" s="34" t="n">
        <x:f>IF(SUMIF($C$2:$C$367,C197,$E$2:$E$367)=0,"",SUMIF($C$2:C197,C197,$F$2:F197))</x:f>
        <x:v>0.9981064283447388</x:v>
      </x:c>
    </x:row>
    <x:row r="198" ht="18" customHeight="1">
      <x:c r="A198" s="25" t="str">
        <x:f>'All Areas Data'!A198</x:f>
        <x:v>EEZ_910</x:v>
      </x:c>
      <x:c r="B198" s="25" t="str">
        <x:f>'All Areas Data'!B198</x:f>
        <x:v>South Orkney Islands (UK)</x:v>
      </x:c>
      <x:c r="C198" s="25" t="str">
        <x:f>'All Areas Data'!C198</x:f>
        <x:v>EEZ</x:v>
      </x:c>
      <x:c r="D198" s="32" t="n">
        <x:f>'All Areas Data'!E198</x:f>
        <x:v>267149.7089344195</x:v>
      </x:c>
      <x:c r="E198" s="32" t="n">
        <x:f>'All Areas Data'!K198</x:f>
        <x:v>4841842.867915373</x:v>
      </x:c>
      <x:c r="F198" s="34" t="n">
        <x:f>IF(SUMIF($C$2:$C$367,C198,$E$2:$E$367)=0,"",E198/SUMIF($C$2:$C$367,C198,$E$2:$E$367))</x:f>
        <x:v>0.00007287303318901662</x:v>
      </x:c>
      <x:c r="G198" s="35" t="n">
        <x:f>COUNTIFS($C$2:$C$367,C198,$E$2:$E$367,"&gt;"&amp;E198)+COUNTIFS($C$2:C198,C198,$E$2:E198,E198)</x:f>
        <x:v>197</x:v>
      </x:c>
      <x:c r="H198" s="34" t="n">
        <x:f>IF(SUMIF($C$2:$C$367,C198,$E$2:$E$367)=0,"",SUMIF($C$2:C198,C198,$F$2:F198))</x:f>
        <x:v>0.9981793013779279</x:v>
      </x:c>
    </x:row>
    <x:row r="199" ht="18" customHeight="1">
      <x:c r="A199" s="25" t="str">
        <x:f>'All Areas Data'!A199</x:f>
        <x:v>EEZ_897</x:v>
      </x:c>
      <x:c r="B199" s="25" t="str">
        <x:f>'All Areas Data'!B199</x:f>
        <x:v>Kerguelen Isl. (France)</x:v>
      </x:c>
      <x:c r="C199" s="25" t="str">
        <x:f>'All Areas Data'!C199</x:f>
        <x:v>EEZ</x:v>
      </x:c>
      <x:c r="D199" s="32" t="n">
        <x:f>'All Areas Data'!E199</x:f>
        <x:v>5596.068903000001</x:v>
      </x:c>
      <x:c r="E199" s="32" t="n">
        <x:f>'All Areas Data'!K199</x:f>
        <x:v>4822911.269595499</x:v>
      </x:c>
      <x:c r="F199" s="34" t="n">
        <x:f>IF(SUMIF($C$2:$C$367,C199,$E$2:$E$367)=0,"",E199/SUMIF($C$2:$C$367,C199,$E$2:$E$367))</x:f>
        <x:v>0.00007258809973902234</x:v>
      </x:c>
      <x:c r="G199" s="35" t="n">
        <x:f>COUNTIFS($C$2:$C$367,C199,$E$2:$E$367,"&gt;"&amp;E199)+COUNTIFS($C$2:C199,C199,$E$2:E199,E199)</x:f>
        <x:v>198</x:v>
      </x:c>
      <x:c r="H199" s="34" t="n">
        <x:f>IF(SUMIF($C$2:$C$367,C199,$E$2:$E$367)=0,"",SUMIF($C$2:C199,C199,$F$2:F199))</x:f>
        <x:v>0.9982518894776669</x:v>
      </x:c>
    </x:row>
    <x:row r="200" ht="18" customHeight="1">
      <x:c r="A200" s="25" t="str">
        <x:f>'All Areas Data'!A200</x:f>
        <x:v>EEZ_920</x:v>
      </x:c>
      <x:c r="B200" s="25" t="str">
        <x:f>'All Areas Data'!B200</x:f>
        <x:v>Honduras (Pacific)</x:v>
      </x:c>
      <x:c r="C200" s="25" t="str">
        <x:f>'All Areas Data'!C200</x:f>
        <x:v>EEZ</x:v>
      </x:c>
      <x:c r="D200" s="32" t="n">
        <x:f>'All Areas Data'!E200</x:f>
        <x:v>6195.853813315599</x:v>
      </x:c>
      <x:c r="E200" s="32" t="n">
        <x:f>'All Areas Data'!K200</x:f>
        <x:v>4673613.720149462</x:v>
      </x:c>
      <x:c r="F200" s="34" t="n">
        <x:f>IF(SUMIF($C$2:$C$367,C200,$E$2:$E$367)=0,"",E200/SUMIF($C$2:$C$367,C200,$E$2:$E$367))</x:f>
        <x:v>0.00007034106992566036</x:v>
      </x:c>
      <x:c r="G200" s="35" t="n">
        <x:f>COUNTIFS($C$2:$C$367,C200,$E$2:$E$367,"&gt;"&amp;E200)+COUNTIFS($C$2:C200,C200,$E$2:E200,E200)</x:f>
        <x:v>199</x:v>
      </x:c>
      <x:c r="H200" s="34" t="n">
        <x:f>IF(SUMIF($C$2:$C$367,C200,$E$2:$E$367)=0,"",SUMIF($C$2:C200,C200,$F$2:F200))</x:f>
        <x:v>0.9983222305475925</x:v>
      </x:c>
    </x:row>
    <x:row r="201" ht="18" customHeight="1">
      <x:c r="A201" s="25" t="str">
        <x:f>'All Areas Data'!A201</x:f>
        <x:v>EEZ_239</x:v>
      </x:c>
      <x:c r="B201" s="25" t="str">
        <x:f>'All Areas Data'!B201</x:f>
        <x:v>South Georgia &amp; Sandwich Isl. (UK)</x:v>
      </x:c>
      <x:c r="C201" s="25" t="str">
        <x:f>'All Areas Data'!C201</x:f>
        <x:v>EEZ</x:v>
      </x:c>
      <x:c r="D201" s="32" t="n">
        <x:f>'All Areas Data'!E201</x:f>
        <x:v>142823.95840618768</x:v>
      </x:c>
      <x:c r="E201" s="32" t="n">
        <x:f>'All Areas Data'!K201</x:f>
        <x:v>4624410.7040542485</x:v>
      </x:c>
      <x:c r="F201" s="34" t="n">
        <x:f>IF(SUMIF($C$2:$C$367,C201,$E$2:$E$367)=0,"",E201/SUMIF($C$2:$C$367,C201,$E$2:$E$367))</x:f>
        <x:v>0.00006960053101873587</x:v>
      </x:c>
      <x:c r="G201" s="35" t="n">
        <x:f>COUNTIFS($C$2:$C$367,C201,$E$2:$E$367,"&gt;"&amp;E201)+COUNTIFS($C$2:C201,C201,$E$2:E201,E201)</x:f>
        <x:v>200</x:v>
      </x:c>
      <x:c r="H201" s="34" t="n">
        <x:f>IF(SUMIF($C$2:$C$367,C201,$E$2:$E$367)=0,"",SUMIF($C$2:C201,C201,$F$2:F201))</x:f>
        <x:v>0.9983918310786113</x:v>
      </x:c>
    </x:row>
    <x:row r="202" ht="18" customHeight="1">
      <x:c r="A202" s="25" t="str">
        <x:f>'All Areas Data'!A202</x:f>
        <x:v>EEZ_175</x:v>
      </x:c>
      <x:c r="B202" s="25" t="str">
        <x:f>'All Areas Data'!B202</x:f>
        <x:v>Mayotte (France)</x:v>
      </x:c>
      <x:c r="C202" s="25" t="str">
        <x:f>'All Areas Data'!C202</x:f>
        <x:v>EEZ</x:v>
      </x:c>
      <x:c r="D202" s="32" t="n">
        <x:f>'All Areas Data'!E202</x:f>
        <x:v>2674.2376296267003</x:v>
      </x:c>
      <x:c r="E202" s="32" t="n">
        <x:f>'All Areas Data'!K202</x:f>
        <x:v>4420008.906455407</x:v>
      </x:c>
      <x:c r="F202" s="34" t="n">
        <x:f>IF(SUMIF($C$2:$C$367,C202,$E$2:$E$367)=0,"",E202/SUMIF($C$2:$C$367,C202,$E$2:$E$367))</x:f>
        <x:v>0.00006652414473635158</x:v>
      </x:c>
      <x:c r="G202" s="35" t="n">
        <x:f>COUNTIFS($C$2:$C$367,C202,$E$2:$E$367,"&gt;"&amp;E202)+COUNTIFS($C$2:C202,C202,$E$2:E202,E202)</x:f>
        <x:v>201</x:v>
      </x:c>
      <x:c r="H202" s="34" t="n">
        <x:f>IF(SUMIF($C$2:$C$367,C202,$E$2:$E$367)=0,"",SUMIF($C$2:C202,C202,$F$2:F202))</x:f>
        <x:v>0.9984583552233477</x:v>
      </x:c>
    </x:row>
    <x:row r="203" ht="18" customHeight="1">
      <x:c r="A203" s="25" t="str">
        <x:f>'All Areas Data'!A203</x:f>
        <x:v>EEZ_970</x:v>
      </x:c>
      <x:c r="B203" s="25" t="str">
        <x:f>'All Areas Data'!B203</x:f>
        <x:v>St Paul and St. Peter Archipelago (Brazil)</x:v>
      </x:c>
      <x:c r="C203" s="25" t="str">
        <x:f>'All Areas Data'!C203</x:f>
        <x:v>EEZ</x:v>
      </x:c>
      <x:c r="D203" s="32" t="n">
        <x:f>'All Areas Data'!E203</x:f>
        <x:v>6274.562444918601</x:v>
      </x:c>
      <x:c r="E203" s="32" t="n">
        <x:f>'All Areas Data'!K203</x:f>
        <x:v>4397891.451362429</x:v>
      </x:c>
      <x:c r="F203" s="34" t="n">
        <x:f>IF(SUMIF($C$2:$C$367,C203,$E$2:$E$367)=0,"",E203/SUMIF($C$2:$C$367,C203,$E$2:$E$367))</x:f>
        <x:v>0.00006619126197187206</x:v>
      </x:c>
      <x:c r="G203" s="35" t="n">
        <x:f>COUNTIFS($C$2:$C$367,C203,$E$2:$E$367,"&gt;"&amp;E203)+COUNTIFS($C$2:C203,C203,$E$2:E203,E203)</x:f>
        <x:v>202</x:v>
      </x:c>
      <x:c r="H203" s="34" t="n">
        <x:f>IF(SUMIF($C$2:$C$367,C203,$E$2:$E$367)=0,"",SUMIF($C$2:C203,C203,$F$2:F203))</x:f>
        <x:v>0.9985245464853195</x:v>
      </x:c>
    </x:row>
    <x:row r="204" ht="18" customHeight="1">
      <x:c r="A204" s="25" t="str">
        <x:f>'All Areas Data'!A204</x:f>
        <x:v>EEZ_422</x:v>
      </x:c>
      <x:c r="B204" s="25" t="str">
        <x:f>'All Areas Data'!B204</x:f>
        <x:v>Lebanon</x:v>
      </x:c>
      <x:c r="C204" s="25" t="str">
        <x:f>'All Areas Data'!C204</x:f>
        <x:v>EEZ</x:v>
      </x:c>
      <x:c r="D204" s="32" t="n">
        <x:f>'All Areas Data'!E204</x:f>
        <x:v>6487.446754114901</x:v>
      </x:c>
      <x:c r="E204" s="32" t="n">
        <x:f>'All Areas Data'!K204</x:f>
        <x:v>4354101.235520945</x:v>
      </x:c>
      <x:c r="F204" s="34" t="n">
        <x:f>IF(SUMIF($C$2:$C$367,C204,$E$2:$E$367)=0,"",E204/SUMIF($C$2:$C$367,C204,$E$2:$E$367))</x:f>
        <x:v>0.00006553218939570136</x:v>
      </x:c>
      <x:c r="G204" s="35" t="n">
        <x:f>COUNTIFS($C$2:$C$367,C204,$E$2:$E$367,"&gt;"&amp;E204)+COUNTIFS($C$2:C204,C204,$E$2:E204,E204)</x:f>
        <x:v>203</x:v>
      </x:c>
      <x:c r="H204" s="34" t="n">
        <x:f>IF(SUMIF($C$2:$C$367,C204,$E$2:$E$367)=0,"",SUMIF($C$2:C204,C204,$F$2:F204))</x:f>
        <x:v>0.9985900786747153</x:v>
      </x:c>
    </x:row>
    <x:row r="205" ht="18" customHeight="1">
      <x:c r="A205" s="25" t="str">
        <x:f>'All Areas Data'!A205</x:f>
        <x:v>EEZ_977</x:v>
      </x:c>
      <x:c r="B205" s="25" t="str">
        <x:f>'All Areas Data'!B205</x:f>
        <x:v>Yemen (Socotra)</x:v>
      </x:c>
      <x:c r="C205" s="25" t="str">
        <x:f>'All Areas Data'!C205</x:f>
        <x:v>EEZ</x:v>
      </x:c>
      <x:c r="D205" s="32" t="n">
        <x:f>'All Areas Data'!E205</x:f>
        <x:v>5568.2319259029</x:v>
      </x:c>
      <x:c r="E205" s="32" t="n">
        <x:f>'All Areas Data'!K205</x:f>
        <x:v>4326547.356832713</x:v>
      </x:c>
      <x:c r="F205" s="34" t="n">
        <x:f>IF(SUMIF($C$2:$C$367,C205,$E$2:$E$367)=0,"",E205/SUMIF($C$2:$C$367,C205,$E$2:$E$367))</x:f>
        <x:v>0.00006511748475308702</x:v>
      </x:c>
      <x:c r="G205" s="35" t="n">
        <x:f>COUNTIFS($C$2:$C$367,C205,$E$2:$E$367,"&gt;"&amp;E205)+COUNTIFS($C$2:C205,C205,$E$2:E205,E205)</x:f>
        <x:v>204</x:v>
      </x:c>
      <x:c r="H205" s="34" t="n">
        <x:f>IF(SUMIF($C$2:$C$367,C205,$E$2:$E$367)=0,"",SUMIF($C$2:C205,C205,$F$2:F205))</x:f>
        <x:v>0.9986551961594684</x:v>
      </x:c>
    </x:row>
    <x:row r="206" ht="18" customHeight="1">
      <x:c r="A206" s="25" t="str">
        <x:f>'All Areas Data'!A206</x:f>
        <x:v>EEZ_967</x:v>
      </x:c>
      <x:c r="B206" s="25" t="str">
        <x:f>'All Areas Data'!B206</x:f>
        <x:v>Aruba (Netherlands)</x:v>
      </x:c>
      <x:c r="C206" s="25" t="str">
        <x:f>'All Areas Data'!C206</x:f>
        <x:v>EEZ</x:v>
      </x:c>
      <x:c r="D206" s="32" t="n">
        <x:f>'All Areas Data'!E206</x:f>
        <x:v>2447.9523494379</x:v>
      </x:c>
      <x:c r="E206" s="32" t="n">
        <x:f>'All Areas Data'!K206</x:f>
        <x:v>4042215.932560779</x:v>
      </x:c>
      <x:c r="F206" s="34" t="n">
        <x:f>IF(SUMIF($C$2:$C$367,C206,$E$2:$E$367)=0,"",E206/SUMIF($C$2:$C$367,C206,$E$2:$E$367))</x:f>
        <x:v>0.0000608381031451147</x:v>
      </x:c>
      <x:c r="G206" s="35" t="n">
        <x:f>COUNTIFS($C$2:$C$367,C206,$E$2:$E$367,"&gt;"&amp;E206)+COUNTIFS($C$2:C206,C206,$E$2:E206,E206)</x:f>
        <x:v>205</x:v>
      </x:c>
      <x:c r="H206" s="34" t="n">
        <x:f>IF(SUMIF($C$2:$C$367,C206,$E$2:$E$367)=0,"",SUMIF($C$2:C206,C206,$F$2:F206))</x:f>
        <x:v>0.9987160342626136</x:v>
      </x:c>
    </x:row>
    <x:row r="207" ht="18" customHeight="1">
      <x:c r="A207" s="25" t="str">
        <x:f>'All Areas Data'!A207</x:f>
        <x:v>EEZ_077</x:v>
      </x:c>
      <x:c r="B207" s="25" t="str">
        <x:f>'All Areas Data'!B207</x:f>
        <x:v>Trindade &amp; Martim Vaz Isl. (Brazil)</x:v>
      </x:c>
      <x:c r="C207" s="25" t="str">
        <x:f>'All Areas Data'!C207</x:f>
        <x:v>EEZ</x:v>
      </x:c>
      <x:c r="D207" s="32" t="n">
        <x:f>'All Areas Data'!E207</x:f>
        <x:v>6471.8616207145</x:v>
      </x:c>
      <x:c r="E207" s="32" t="n">
        <x:f>'All Areas Data'!K207</x:f>
        <x:v>3959781.188899115</x:v>
      </x:c>
      <x:c r="F207" s="34" t="n">
        <x:f>IF(SUMIF($C$2:$C$367,C207,$E$2:$E$367)=0,"",E207/SUMIF($C$2:$C$367,C207,$E$2:$E$367))</x:f>
        <x:v>0.00005959740410248531</x:v>
      </x:c>
      <x:c r="G207" s="35" t="n">
        <x:f>COUNTIFS($C$2:$C$367,C207,$E$2:$E$367,"&gt;"&amp;E207)+COUNTIFS($C$2:C207,C207,$E$2:E207,E207)</x:f>
        <x:v>206</x:v>
      </x:c>
      <x:c r="H207" s="34" t="n">
        <x:f>IF(SUMIF($C$2:$C$367,C207,$E$2:$E$367)=0,"",SUMIF($C$2:C207,C207,$F$2:F207))</x:f>
        <x:v>0.998775631666716</x:v>
      </x:c>
    </x:row>
    <x:row r="208" ht="18" customHeight="1">
      <x:c r="A208" s="25" t="str">
        <x:f>'All Areas Data'!A208</x:f>
        <x:v>EEZ_316</x:v>
      </x:c>
      <x:c r="B208" s="25" t="str">
        <x:f>'All Areas Data'!B208</x:f>
        <x:v>Guam (USA)</x:v>
      </x:c>
      <x:c r="C208" s="25" t="str">
        <x:f>'All Areas Data'!C208</x:f>
        <x:v>EEZ</x:v>
      </x:c>
      <x:c r="D208" s="32" t="n">
        <x:f>'All Areas Data'!E208</x:f>
        <x:v>1385.0534596170999</x:v>
      </x:c>
      <x:c r="E208" s="32" t="n">
        <x:f>'All Areas Data'!K208</x:f>
        <x:v>3197466.711028016</x:v>
      </x:c>
      <x:c r="F208" s="34" t="n">
        <x:f>IF(SUMIF($C$2:$C$367,C208,$E$2:$E$367)=0,"",E208/SUMIF($C$2:$C$367,C208,$E$2:$E$367))</x:f>
        <x:v>0.00004812405195913372</x:v>
      </x:c>
      <x:c r="G208" s="35" t="n">
        <x:f>COUNTIFS($C$2:$C$367,C208,$E$2:$E$367,"&gt;"&amp;E208)+COUNTIFS($C$2:C208,C208,$E$2:E208,E208)</x:f>
        <x:v>207</x:v>
      </x:c>
      <x:c r="H208" s="34" t="n">
        <x:f>IF(SUMIF($C$2:$C$367,C208,$E$2:$E$367)=0,"",SUMIF($C$2:C208,C208,$F$2:F208))</x:f>
        <x:v>0.9988237557186751</x:v>
      </x:c>
    </x:row>
    <x:row r="209" ht="18" customHeight="1">
      <x:c r="A209" s="25" t="str">
        <x:f>'All Areas Data'!A209</x:f>
        <x:v>EEZ_084</x:v>
      </x:c>
      <x:c r="B209" s="25" t="str">
        <x:f>'All Areas Data'!B209</x:f>
        <x:v>Belize</x:v>
      </x:c>
      <x:c r="C209" s="25" t="str">
        <x:f>'All Areas Data'!C209</x:f>
        <x:v>EEZ</x:v>
      </x:c>
      <x:c r="D209" s="32" t="n">
        <x:f>'All Areas Data'!E209</x:f>
        <x:v>7918.6908172124995</x:v>
      </x:c>
      <x:c r="E209" s="32" t="n">
        <x:f>'All Areas Data'!K209</x:f>
        <x:v>3161605.34747039</x:v>
      </x:c>
      <x:c r="F209" s="34" t="n">
        <x:f>IF(SUMIF($C$2:$C$367,C209,$E$2:$E$367)=0,"",E209/SUMIF($C$2:$C$367,C209,$E$2:$E$367))</x:f>
        <x:v>0.000047584314010582026</x:v>
      </x:c>
      <x:c r="G209" s="35" t="n">
        <x:f>COUNTIFS($C$2:$C$367,C209,$E$2:$E$367,"&gt;"&amp;E209)+COUNTIFS($C$2:C209,C209,$E$2:E209,E209)</x:f>
        <x:v>208</x:v>
      </x:c>
      <x:c r="H209" s="34" t="n">
        <x:f>IF(SUMIF($C$2:$C$367,C209,$E$2:$E$367)=0,"",SUMIF($C$2:C209,C209,$F$2:F209))</x:f>
        <x:v>0.9988713400326856</x:v>
      </x:c>
    </x:row>
    <x:row r="210" ht="18" customHeight="1">
      <x:c r="A210" s="25" t="str">
        <x:f>'All Areas Data'!A210</x:f>
        <x:v>EEZ_212</x:v>
      </x:c>
      <x:c r="B210" s="25" t="str">
        <x:f>'All Areas Data'!B210</x:f>
        <x:v>Dominica</x:v>
      </x:c>
      <x:c r="C210" s="25" t="str">
        <x:f>'All Areas Data'!C210</x:f>
        <x:v>EEZ</x:v>
      </x:c>
      <x:c r="D210" s="32" t="n">
        <x:f>'All Areas Data'!E210</x:f>
        <x:v>1874.1702079981997</x:v>
      </x:c>
      <x:c r="E210" s="32" t="n">
        <x:f>'All Areas Data'!K210</x:f>
        <x:v>3053112.649782929</x:v>
      </x:c>
      <x:c r="F210" s="34" t="n">
        <x:f>IF(SUMIF($C$2:$C$367,C210,$E$2:$E$367)=0,"",E210/SUMIF($C$2:$C$367,C210,$E$2:$E$367))</x:f>
        <x:v>0.00004595142501045877</x:v>
      </x:c>
      <x:c r="G210" s="35" t="n">
        <x:f>COUNTIFS($C$2:$C$367,C210,$E$2:$E$367,"&gt;"&amp;E210)+COUNTIFS($C$2:C210,C210,$E$2:E210,E210)</x:f>
        <x:v>209</x:v>
      </x:c>
      <x:c r="H210" s="34" t="n">
        <x:f>IF(SUMIF($C$2:$C$367,C210,$E$2:$E$367)=0,"",SUMIF($C$2:C210,C210,$F$2:F210))</x:f>
        <x:v>0.998917291457696</x:v>
      </x:c>
    </x:row>
    <x:row r="211" ht="18" customHeight="1">
      <x:c r="A211" s="25" t="str">
        <x:f>'All Areas Data'!A211</x:f>
        <x:v>EEZ_312</x:v>
      </x:c>
      <x:c r="B211" s="25" t="str">
        <x:f>'All Areas Data'!B211</x:f>
        <x:v>Guadeloupe  (France)</x:v>
      </x:c>
      <x:c r="C211" s="25" t="str">
        <x:f>'All Areas Data'!C211</x:f>
        <x:v>EEZ</x:v>
      </x:c>
      <x:c r="D211" s="32" t="n">
        <x:f>'All Areas Data'!E211</x:f>
        <x:v>5032.7505711547</x:v>
      </x:c>
      <x:c r="E211" s="32" t="n">
        <x:f>'All Areas Data'!K211</x:f>
        <x:v>3035680.419758</x:v>
      </x:c>
      <x:c r="F211" s="34" t="n">
        <x:f>IF(SUMIF($C$2:$C$367,C211,$E$2:$E$367)=0,"",E211/SUMIF($C$2:$C$367,C211,$E$2:$E$367))</x:f>
        <x:v>0.00004568905807459986</x:v>
      </x:c>
      <x:c r="G211" s="35" t="n">
        <x:f>COUNTIFS($C$2:$C$367,C211,$E$2:$E$367,"&gt;"&amp;E211)+COUNTIFS($C$2:C211,C211,$E$2:E211,E211)</x:f>
        <x:v>210</x:v>
      </x:c>
      <x:c r="H211" s="34" t="n">
        <x:f>IF(SUMIF($C$2:$C$367,C211,$E$2:$E$367)=0,"",SUMIF($C$2:C211,C211,$F$2:F211))</x:f>
        <x:v>0.9989629805157706</x:v>
      </x:c>
    </x:row>
    <x:row r="212" ht="18" customHeight="1">
      <x:c r="A212" s="25" t="str">
        <x:f>'All Areas Data'!A212</x:f>
        <x:v>EEZ_334</x:v>
      </x:c>
      <x:c r="B212" s="25" t="str">
        <x:f>'All Areas Data'!B212</x:f>
        <x:v>Heard &amp; McDonald Isl. (Australia)</x:v>
      </x:c>
      <x:c r="C212" s="25" t="str">
        <x:f>'All Areas Data'!C212</x:f>
        <x:v>EEZ</x:v>
      </x:c>
      <x:c r="D212" s="32" t="n">
        <x:f>'All Areas Data'!E212</x:f>
        <x:v>4250.4902151652</x:v>
      </x:c>
      <x:c r="E212" s="32" t="n">
        <x:f>'All Areas Data'!K212</x:f>
        <x:v>3029959.8663934683</x:v>
      </x:c>
      <x:c r="F212" s="34" t="n">
        <x:f>IF(SUMIF($C$2:$C$367,C212,$E$2:$E$367)=0,"",E212/SUMIF($C$2:$C$367,C212,$E$2:$E$367))</x:f>
        <x:v>0.0000456029598499021</x:v>
      </x:c>
      <x:c r="G212" s="35" t="n">
        <x:f>COUNTIFS($C$2:$C$367,C212,$E$2:$E$367,"&gt;"&amp;E212)+COUNTIFS($C$2:C212,C212,$E$2:E212,E212)</x:f>
        <x:v>211</x:v>
      </x:c>
      <x:c r="H212" s="34" t="n">
        <x:f>IF(SUMIF($C$2:$C$367,C212,$E$2:$E$367)=0,"",SUMIF($C$2:C212,C212,$F$2:F212))</x:f>
        <x:v>0.9990085834756205</x:v>
      </x:c>
    </x:row>
    <x:row r="213" ht="18" customHeight="1">
      <x:c r="A213" s="25" t="str">
        <x:f>'All Areas Data'!A213</x:f>
        <x:v>EEZ_760</x:v>
      </x:c>
      <x:c r="B213" s="25" t="str">
        <x:f>'All Areas Data'!B213</x:f>
        <x:v>Syria</x:v>
      </x:c>
      <x:c r="C213" s="25" t="str">
        <x:f>'All Areas Data'!C213</x:f>
        <x:v>EEZ</x:v>
      </x:c>
      <x:c r="D213" s="32" t="n">
        <x:f>'All Areas Data'!E213</x:f>
        <x:v>4003.3374784953</x:v>
      </x:c>
      <x:c r="E213" s="32" t="n">
        <x:f>'All Areas Data'!K213</x:f>
        <x:v>3019943.8712182636</x:v>
      </x:c>
      <x:c r="F213" s="34" t="n">
        <x:f>IF(SUMIF($C$2:$C$367,C213,$E$2:$E$367)=0,"",E213/SUMIF($C$2:$C$367,C213,$E$2:$E$367))</x:f>
        <x:v>0.00004545221230010853</x:v>
      </x:c>
      <x:c r="G213" s="35" t="n">
        <x:f>COUNTIFS($C$2:$C$367,C213,$E$2:$E$367,"&gt;"&amp;E213)+COUNTIFS($C$2:C213,C213,$E$2:E213,E213)</x:f>
        <x:v>212</x:v>
      </x:c>
      <x:c r="H213" s="34" t="n">
        <x:f>IF(SUMIF($C$2:$C$367,C213,$E$2:$E$367)=0,"",SUMIF($C$2:C213,C213,$F$2:F213))</x:f>
        <x:v>0.9990540356879206</x:v>
      </x:c>
    </x:row>
    <x:row r="214" ht="18" customHeight="1">
      <x:c r="A214" s="25" t="str">
        <x:f>'All Areas Data'!A214</x:f>
        <x:v>EEZ_900</x:v>
      </x:c>
      <x:c r="B214" s="25" t="str">
        <x:f>'All Areas Data'!B214</x:f>
        <x:v>Crete (Greece)</x:v>
      </x:c>
      <x:c r="C214" s="25" t="str">
        <x:f>'All Areas Data'!C214</x:f>
        <x:v>EEZ</x:v>
      </x:c>
      <x:c r="D214" s="32" t="n">
        <x:f>'All Areas Data'!E214</x:f>
        <x:v>3619.1201016587997</x:v>
      </x:c>
      <x:c r="E214" s="32" t="n">
        <x:f>'All Areas Data'!K214</x:f>
        <x:v>2926602.3167501483</x:v>
      </x:c>
      <x:c r="F214" s="34" t="n">
        <x:f>IF(SUMIF($C$2:$C$367,C214,$E$2:$E$367)=0,"",E214/SUMIF($C$2:$C$367,C214,$E$2:$E$367))</x:f>
        <x:v>0.000044047358325655206</x:v>
      </x:c>
      <x:c r="G214" s="35" t="n">
        <x:f>COUNTIFS($C$2:$C$367,C214,$E$2:$E$367,"&gt;"&amp;E214)+COUNTIFS($C$2:C214,C214,$E$2:E214,E214)</x:f>
        <x:v>213</x:v>
      </x:c>
      <x:c r="H214" s="34" t="n">
        <x:f>IF(SUMIF($C$2:$C$367,C214,$E$2:$E$367)=0,"",SUMIF($C$2:C214,C214,$F$2:F214))</x:f>
        <x:v>0.9990980830462463</x:v>
      </x:c>
    </x:row>
    <x:row r="215" ht="18" customHeight="1">
      <x:c r="A215" s="25" t="str">
        <x:f>'All Areas Data'!A215</x:f>
        <x:v>EEZ_052</x:v>
      </x:c>
      <x:c r="B215" s="25" t="str">
        <x:f>'All Areas Data'!B215</x:f>
        <x:v>Barbados</x:v>
      </x:c>
      <x:c r="C215" s="25" t="str">
        <x:f>'All Areas Data'!C215</x:f>
        <x:v>EEZ</x:v>
      </x:c>
      <x:c r="D215" s="32" t="n">
        <x:f>'All Areas Data'!E215</x:f>
        <x:v>3109.8835019505</x:v>
      </x:c>
      <x:c r="E215" s="32" t="n">
        <x:f>'All Areas Data'!K215</x:f>
        <x:v>2898747.7148155924</x:v>
      </x:c>
      <x:c r="F215" s="34" t="n">
        <x:f>IF(SUMIF($C$2:$C$367,C215,$E$2:$E$367)=0,"",E215/SUMIF($C$2:$C$367,C215,$E$2:$E$367))</x:f>
        <x:v>0.000043628127593345696</x:v>
      </x:c>
      <x:c r="G215" s="35" t="n">
        <x:f>COUNTIFS($C$2:$C$367,C215,$E$2:$E$367,"&gt;"&amp;E215)+COUNTIFS($C$2:C215,C215,$E$2:E215,E215)</x:f>
        <x:v>214</x:v>
      </x:c>
      <x:c r="H215" s="34" t="n">
        <x:f>IF(SUMIF($C$2:$C$367,C215,$E$2:$E$367)=0,"",SUMIF($C$2:C215,C215,$F$2:F215))</x:f>
        <x:v>0.9991417111738397</x:v>
      </x:c>
    </x:row>
    <x:row r="216" ht="18" customHeight="1">
      <x:c r="A216" s="25" t="str">
        <x:f>'All Areas Data'!A216</x:f>
        <x:v>EEZ_092</x:v>
      </x:c>
      <x:c r="B216" s="25" t="str">
        <x:f>'All Areas Data'!B216</x:f>
        <x:v>British Virgin Isl. (UK)</x:v>
      </x:c>
      <x:c r="C216" s="25" t="str">
        <x:f>'All Areas Data'!C216</x:f>
        <x:v>EEZ</x:v>
      </x:c>
      <x:c r="D216" s="32" t="n">
        <x:f>'All Areas Data'!E216</x:f>
        <x:v>4102.3911591021</x:v>
      </x:c>
      <x:c r="E216" s="32" t="n">
        <x:f>'All Areas Data'!K216</x:f>
        <x:v>2636688.6764859944</x:v>
      </x:c>
      <x:c r="F216" s="34" t="n">
        <x:f>IF(SUMIF($C$2:$C$367,C216,$E$2:$E$367)=0,"",E216/SUMIF($C$2:$C$367,C216,$E$2:$E$367))</x:f>
        <x:v>0.000039683960564667066</x:v>
      </x:c>
      <x:c r="G216" s="35" t="n">
        <x:f>COUNTIFS($C$2:$C$367,C216,$E$2:$E$367,"&gt;"&amp;E216)+COUNTIFS($C$2:C216,C216,$E$2:E216,E216)</x:f>
        <x:v>215</x:v>
      </x:c>
      <x:c r="H216" s="34" t="n">
        <x:f>IF(SUMIF($C$2:$C$367,C216,$E$2:$E$367)=0,"",SUMIF($C$2:C216,C216,$F$2:F216))</x:f>
        <x:v>0.9991813951344043</x:v>
      </x:c>
    </x:row>
    <x:row r="217" ht="18" customHeight="1">
      <x:c r="A217" s="25" t="str">
        <x:f>'All Areas Data'!A217</x:f>
        <x:v>EEZ_924</x:v>
      </x:c>
      <x:c r="B217" s="25" t="str">
        <x:f>'All Areas Data'!B217</x:f>
        <x:v>Canada (Arctic)</x:v>
      </x:c>
      <x:c r="C217" s="25" t="str">
        <x:f>'All Areas Data'!C217</x:f>
        <x:v>EEZ</x:v>
      </x:c>
      <x:c r="D217" s="32" t="n">
        <x:f>'All Areas Data'!E217</x:f>
        <x:v>1114.2683023097</x:v>
      </x:c>
      <x:c r="E217" s="32" t="n">
        <x:f>'All Areas Data'!K217</x:f>
        <x:v>2536391.012531463</x:v>
      </x:c>
      <x:c r="F217" s="34" t="n">
        <x:f>IF(SUMIF($C$2:$C$367,C217,$E$2:$E$367)=0,"",E217/SUMIF($C$2:$C$367,C217,$E$2:$E$367))</x:f>
        <x:v>0.00003817441240428114</x:v>
      </x:c>
      <x:c r="G217" s="35" t="n">
        <x:f>COUNTIFS($C$2:$C$367,C217,$E$2:$E$367,"&gt;"&amp;E217)+COUNTIFS($C$2:C217,C217,$E$2:E217,E217)</x:f>
        <x:v>216</x:v>
      </x:c>
      <x:c r="H217" s="34" t="n">
        <x:f>IF(SUMIF($C$2:$C$367,C217,$E$2:$E$367)=0,"",SUMIF($C$2:C217,C217,$F$2:F217))</x:f>
        <x:v>0.9992195695468086</x:v>
      </x:c>
    </x:row>
    <x:row r="218" ht="18" customHeight="1">
      <x:c r="A218" s="25" t="str">
        <x:f>'All Areas Data'!A218</x:f>
        <x:v>EEZ_642</x:v>
      </x:c>
      <x:c r="B218" s="25" t="str">
        <x:f>'All Areas Data'!B218</x:f>
        <x:v>Romania</x:v>
      </x:c>
      <x:c r="C218" s="25" t="str">
        <x:f>'All Areas Data'!C218</x:f>
        <x:v>EEZ</x:v>
      </x:c>
      <x:c r="D218" s="32" t="n">
        <x:f>'All Areas Data'!E218</x:f>
        <x:v>8116.5109813192985</x:v>
      </x:c>
      <x:c r="E218" s="32" t="n">
        <x:f>'All Areas Data'!K218</x:f>
        <x:v>2431527.305444525</x:v>
      </x:c>
      <x:c r="F218" s="34" t="n">
        <x:f>IF(SUMIF($C$2:$C$367,C218,$E$2:$E$367)=0,"",E218/SUMIF($C$2:$C$367,C218,$E$2:$E$367))</x:f>
        <x:v>0.000036596142184586906</x:v>
      </x:c>
      <x:c r="G218" s="35" t="n">
        <x:f>COUNTIFS($C$2:$C$367,C218,$E$2:$E$367,"&gt;"&amp;E218)+COUNTIFS($C$2:C218,C218,$E$2:E218,E218)</x:f>
        <x:v>217</x:v>
      </x:c>
      <x:c r="H218" s="34" t="n">
        <x:f>IF(SUMIF($C$2:$C$367,C218,$E$2:$E$367)=0,"",SUMIF($C$2:C218,C218,$F$2:F218))</x:f>
        <x:v>0.9992561656889931</x:v>
      </x:c>
    </x:row>
    <x:row r="219" ht="18" customHeight="1">
      <x:c r="A219" s="25" t="str">
        <x:f>'All Areas Data'!A219</x:f>
        <x:v>EEZ_198</x:v>
      </x:c>
      <x:c r="B219" s="25" t="str">
        <x:f>'All Areas Data'!B219</x:f>
        <x:v>Cyprus (South)</x:v>
      </x:c>
      <x:c r="C219" s="25" t="str">
        <x:f>'All Areas Data'!C219</x:f>
        <x:v>EEZ</x:v>
      </x:c>
      <x:c r="D219" s="32" t="n">
        <x:f>'All Areas Data'!E219</x:f>
        <x:v>2236.2086502548996</x:v>
      </x:c>
      <x:c r="E219" s="32" t="n">
        <x:f>'All Areas Data'!K219</x:f>
        <x:v>2155727.606393967</x:v>
      </x:c>
      <x:c r="F219" s="34" t="n">
        <x:f>IF(SUMIF($C$2:$C$367,C219,$E$2:$E$367)=0,"",E219/SUMIF($C$2:$C$367,C219,$E$2:$E$367))</x:f>
        <x:v>0.00003244516885259082</x:v>
      </x:c>
      <x:c r="G219" s="35" t="n">
        <x:f>COUNTIFS($C$2:$C$367,C219,$E$2:$E$367,"&gt;"&amp;E219)+COUNTIFS($C$2:C219,C219,$E$2:E219,E219)</x:f>
        <x:v>218</x:v>
      </x:c>
      <x:c r="H219" s="34" t="n">
        <x:f>IF(SUMIF($C$2:$C$367,C219,$E$2:$E$367)=0,"",SUMIF($C$2:C219,C219,$F$2:F219))</x:f>
        <x:v>0.9992886108578457</x:v>
      </x:c>
    </x:row>
    <x:row r="220" ht="18" customHeight="1">
      <x:c r="A220" s="25" t="str">
        <x:f>'All Areas Data'!A220</x:f>
        <x:v>EEZ_274</x:v>
      </x:c>
      <x:c r="B220" s="25" t="str">
        <x:f>'All Areas Data'!B220</x:f>
        <x:v>Gaza Strip</x:v>
      </x:c>
      <x:c r="C220" s="25" t="str">
        <x:f>'All Areas Data'!C220</x:f>
        <x:v>EEZ</x:v>
      </x:c>
      <x:c r="D220" s="32" t="n">
        <x:f>'All Areas Data'!E220</x:f>
        <x:v>6410.774318524</x:v>
      </x:c>
      <x:c r="E220" s="32" t="n">
        <x:f>'All Areas Data'!K220</x:f>
        <x:v>2138099.0195414764</x:v>
      </x:c>
      <x:c r="F220" s="34" t="n">
        <x:f>IF(SUMIF($C$2:$C$367,C220,$E$2:$E$367)=0,"",E220/SUMIF($C$2:$C$367,C220,$E$2:$E$367))</x:f>
        <x:v>0.00003217984661272845</x:v>
      </x:c>
      <x:c r="G220" s="35" t="n">
        <x:f>COUNTIFS($C$2:$C$367,C220,$E$2:$E$367,"&gt;"&amp;E220)+COUNTIFS($C$2:C220,C220,$E$2:E220,E220)</x:f>
        <x:v>219</x:v>
      </x:c>
      <x:c r="H220" s="34" t="n">
        <x:f>IF(SUMIF($C$2:$C$367,C220,$E$2:$E$367)=0,"",SUMIF($C$2:C220,C220,$F$2:F220))</x:f>
        <x:v>0.9993207907044585</x:v>
      </x:c>
    </x:row>
    <x:row r="221" ht="18" customHeight="1">
      <x:c r="A221" s="25" t="str">
        <x:f>'All Areas Data'!A221</x:f>
        <x:v>EEZ_056</x:v>
      </x:c>
      <x:c r="B221" s="25" t="str">
        <x:f>'All Areas Data'!B221</x:f>
        <x:v>Belgium</x:v>
      </x:c>
      <x:c r="C221" s="25" t="str">
        <x:f>'All Areas Data'!C221</x:f>
        <x:v>EEZ</x:v>
      </x:c>
      <x:c r="D221" s="32" t="n">
        <x:f>'All Areas Data'!E221</x:f>
        <x:v>4482.8223030263</x:v>
      </x:c>
      <x:c r="E221" s="32" t="n">
        <x:f>'All Areas Data'!K221</x:f>
        <x:v>2108407.8501594816</x:v>
      </x:c>
      <x:c r="F221" s="34" t="n">
        <x:f>IF(SUMIF($C$2:$C$367,C221,$E$2:$E$367)=0,"",E221/SUMIF($C$2:$C$367,C221,$E$2:$E$367))</x:f>
        <x:v>0.00003173297428935493</x:v>
      </x:c>
      <x:c r="G221" s="35" t="n">
        <x:f>COUNTIFS($C$2:$C$367,C221,$E$2:$E$367,"&gt;"&amp;E221)+COUNTIFS($C$2:C221,C221,$E$2:E221,E221)</x:f>
        <x:v>220</x:v>
      </x:c>
      <x:c r="H221" s="34" t="n">
        <x:f>IF(SUMIF($C$2:$C$367,C221,$E$2:$E$367)=0,"",SUMIF($C$2:C221,C221,$F$2:F221))</x:f>
        <x:v>0.9993525236787478</x:v>
      </x:c>
    </x:row>
    <x:row r="222" ht="18" customHeight="1">
      <x:c r="A222" s="25" t="str">
        <x:f>'All Areas Data'!A222</x:f>
        <x:v>EEZ_969</x:v>
      </x:c>
      <x:c r="B222" s="25" t="str">
        <x:f>'All Areas Data'!B222</x:f>
        <x:v>Fernando de Noronha (Brazil)</x:v>
      </x:c>
      <x:c r="C222" s="25" t="str">
        <x:f>'All Areas Data'!C222</x:f>
        <x:v>EEZ</x:v>
      </x:c>
      <x:c r="D222" s="32" t="n">
        <x:f>'All Areas Data'!E222</x:f>
        <x:v>7461.650372688001</x:v>
      </x:c>
      <x:c r="E222" s="32" t="n">
        <x:f>'All Areas Data'!K222</x:f>
        <x:v>2047092.4737868535</x:v>
      </x:c>
      <x:c r="F222" s="34" t="n">
        <x:f>IF(SUMIF($C$2:$C$367,C222,$E$2:$E$367)=0,"",E222/SUMIF($C$2:$C$367,C222,$E$2:$E$367))</x:f>
        <x:v>0.00003081013610990708</x:v>
      </x:c>
      <x:c r="G222" s="35" t="n">
        <x:f>COUNTIFS($C$2:$C$367,C222,$E$2:$E$367,"&gt;"&amp;E222)+COUNTIFS($C$2:C222,C222,$E$2:E222,E222)</x:f>
        <x:v>221</x:v>
      </x:c>
      <x:c r="H222" s="34" t="n">
        <x:f>IF(SUMIF($C$2:$C$367,C222,$E$2:$E$367)=0,"",SUMIF($C$2:C222,C222,$F$2:F222))</x:f>
        <x:v>0.9993833338148578</x:v>
      </x:c>
    </x:row>
    <x:row r="223" ht="18" customHeight="1">
      <x:c r="A223" s="25" t="str">
        <x:f>'All Areas Data'!A223</x:f>
        <x:v>EEZ_702</x:v>
      </x:c>
      <x:c r="B223" s="25" t="str">
        <x:f>'All Areas Data'!B223</x:f>
        <x:v>Singapore</x:v>
      </x:c>
      <x:c r="C223" s="25" t="str">
        <x:f>'All Areas Data'!C223</x:f>
        <x:v>EEZ</x:v>
      </x:c>
      <x:c r="D223" s="32" t="n">
        <x:f>'All Areas Data'!E223</x:f>
        <x:v>3539.5904974153</x:v>
      </x:c>
      <x:c r="E223" s="32" t="n">
        <x:f>'All Areas Data'!K223</x:f>
        <x:v>1866751.9294676457</x:v>
      </x:c>
      <x:c r="F223" s="34" t="n">
        <x:f>IF(SUMIF($C$2:$C$367,C223,$E$2:$E$367)=0,"",E223/SUMIF($C$2:$C$367,C223,$E$2:$E$367))</x:f>
        <x:v>0.00002809588807873189</x:v>
      </x:c>
      <x:c r="G223" s="35" t="n">
        <x:f>COUNTIFS($C$2:$C$367,C223,$E$2:$E$367,"&gt;"&amp;E223)+COUNTIFS($C$2:C223,C223,$E$2:E223,E223)</x:f>
        <x:v>222</x:v>
      </x:c>
      <x:c r="H223" s="34" t="n">
        <x:f>IF(SUMIF($C$2:$C$367,C223,$E$2:$E$367)=0,"",SUMIF($C$2:C223,C223,$F$2:F223))</x:f>
        <x:v>0.9994114297029365</x:v>
      </x:c>
    </x:row>
    <x:row r="224" ht="18" customHeight="1">
      <x:c r="A224" s="25" t="str">
        <x:f>'All Areas Data'!A224</x:f>
        <x:v>EEZ_570</x:v>
      </x:c>
      <x:c r="B224" s="25" t="str">
        <x:f>'All Areas Data'!B224</x:f>
        <x:v>Niue (New Zealand)</x:v>
      </x:c>
      <x:c r="C224" s="25" t="str">
        <x:f>'All Areas Data'!C224</x:f>
        <x:v>EEZ</x:v>
      </x:c>
      <x:c r="D224" s="32" t="n">
        <x:f>'All Areas Data'!E224</x:f>
        <x:v>949.5273417068</x:v>
      </x:c>
      <x:c r="E224" s="32" t="n">
        <x:f>'All Areas Data'!K224</x:f>
        <x:v>1828455.3453385285</x:v>
      </x:c>
      <x:c r="F224" s="34" t="n">
        <x:f>IF(SUMIF($C$2:$C$367,C224,$E$2:$E$367)=0,"",E224/SUMIF($C$2:$C$367,C224,$E$2:$E$367))</x:f>
        <x:v>0.00002751949840182594</x:v>
      </x:c>
      <x:c r="G224" s="35" t="n">
        <x:f>COUNTIFS($C$2:$C$367,C224,$E$2:$E$367,"&gt;"&amp;E224)+COUNTIFS($C$2:C224,C224,$E$2:E224,E224)</x:f>
        <x:v>223</x:v>
      </x:c>
      <x:c r="H224" s="34" t="n">
        <x:f>IF(SUMIF($C$2:$C$367,C224,$E$2:$E$367)=0,"",SUMIF($C$2:C224,C224,$F$2:F224))</x:f>
        <x:v>0.9994389492013384</x:v>
      </x:c>
    </x:row>
    <x:row r="225" ht="18" customHeight="1">
      <x:c r="A225" s="25" t="str">
        <x:f>'All Areas Data'!A225</x:f>
        <x:v>EEZ_670</x:v>
      </x:c>
      <x:c r="B225" s="25" t="str">
        <x:f>'All Areas Data'!B225</x:f>
        <x:v>Saint Vincent &amp; the Grenadines</x:v>
      </x:c>
      <x:c r="C225" s="25" t="str">
        <x:f>'All Areas Data'!C225</x:f>
        <x:v>EEZ</x:v>
      </x:c>
      <x:c r="D225" s="32" t="n">
        <x:f>'All Areas Data'!E225</x:f>
        <x:v>1694.7906050879</x:v>
      </x:c>
      <x:c r="E225" s="32" t="n">
        <x:f>'All Areas Data'!K225</x:f>
        <x:v>1747160.988916773</x:v>
      </x:c>
      <x:c r="F225" s="34" t="n">
        <x:f>IF(SUMIF($C$2:$C$367,C225,$E$2:$E$367)=0,"",E225/SUMIF($C$2:$C$367,C225,$E$2:$E$367))</x:f>
        <x:v>0.000026295962963933272</x:v>
      </x:c>
      <x:c r="G225" s="35" t="n">
        <x:f>COUNTIFS($C$2:$C$367,C225,$E$2:$E$367,"&gt;"&amp;E225)+COUNTIFS($C$2:C225,C225,$E$2:E225,E225)</x:f>
        <x:v>224</x:v>
      </x:c>
      <x:c r="H225" s="34" t="n">
        <x:f>IF(SUMIF($C$2:$C$367,C225,$E$2:$E$367)=0,"",SUMIF($C$2:C225,C225,$F$2:F225))</x:f>
        <x:v>0.9994652451643022</x:v>
      </x:c>
    </x:row>
    <x:row r="226" ht="18" customHeight="1">
      <x:c r="A226" s="25" t="str">
        <x:f>'All Areas Data'!A226</x:f>
        <x:v>EEZ_796</x:v>
      </x:c>
      <x:c r="B226" s="25" t="str">
        <x:f>'All Areas Data'!B226</x:f>
        <x:v>Turks &amp; Caicos Isl. (UK)</x:v>
      </x:c>
      <x:c r="C226" s="25" t="str">
        <x:f>'All Areas Data'!C226</x:f>
        <x:v>EEZ</x:v>
      </x:c>
      <x:c r="D226" s="32" t="n">
        <x:f>'All Areas Data'!E226</x:f>
        <x:v>7446.679016808498</x:v>
      </x:c>
      <x:c r="E226" s="32" t="n">
        <x:f>'All Areas Data'!K226</x:f>
        <x:v>1613035.7630321903</x:v>
      </x:c>
      <x:c r="F226" s="34" t="n">
        <x:f>IF(SUMIF($C$2:$C$367,C226,$E$2:$E$367)=0,"",E226/SUMIF($C$2:$C$367,C226,$E$2:$E$367))</x:f>
        <x:v>0.000024277286954816986</x:v>
      </x:c>
      <x:c r="G226" s="35" t="n">
        <x:f>COUNTIFS($C$2:$C$367,C226,$E$2:$E$367,"&gt;"&amp;E226)+COUNTIFS($C$2:C226,C226,$E$2:E226,E226)</x:f>
        <x:v>225</x:v>
      </x:c>
      <x:c r="H226" s="34" t="n">
        <x:f>IF(SUMIF($C$2:$C$367,C226,$E$2:$E$367)=0,"",SUMIF($C$2:C226,C226,$F$2:F226))</x:f>
        <x:v>0.9994895224512571</x:v>
      </x:c>
    </x:row>
    <x:row r="227" ht="18" customHeight="1">
      <x:c r="A227" s="25" t="str">
        <x:f>'All Areas Data'!A227</x:f>
        <x:v>EEZ_939</x:v>
      </x:c>
      <x:c r="B227" s="25" t="str">
        <x:f>'All Areas Data'!B227</x:f>
        <x:v>Israel (Mediterranean)</x:v>
      </x:c>
      <x:c r="C227" s="25" t="str">
        <x:f>'All Areas Data'!C227</x:f>
        <x:v>EEZ</x:v>
      </x:c>
      <x:c r="D227" s="32" t="n">
        <x:f>'All Areas Data'!E227</x:f>
        <x:v>2520.914048787</x:v>
      </x:c>
      <x:c r="E227" s="32" t="n">
        <x:f>'All Areas Data'!K227</x:f>
        <x:v>1575058.5166056717</x:v>
      </x:c>
      <x:c r="F227" s="34" t="n">
        <x:f>IF(SUMIF($C$2:$C$367,C227,$E$2:$E$367)=0,"",E227/SUMIF($C$2:$C$367,C227,$E$2:$E$367))</x:f>
        <x:v>0.00002370570352785239</x:v>
      </x:c>
      <x:c r="G227" s="35" t="n">
        <x:f>COUNTIFS($C$2:$C$367,C227,$E$2:$E$367,"&gt;"&amp;E227)+COUNTIFS($C$2:C227,C227,$E$2:E227,E227)</x:f>
        <x:v>226</x:v>
      </x:c>
      <x:c r="H227" s="34" t="n">
        <x:f>IF(SUMIF($C$2:$C$367,C227,$E$2:$E$367)=0,"",SUMIF($C$2:C227,C227,$F$2:F227))</x:f>
        <x:v>0.9995132281547849</x:v>
      </x:c>
    </x:row>
    <x:row r="228" ht="18" customHeight="1">
      <x:c r="A228" s="25" t="str">
        <x:f>'All Areas Data'!A228</x:f>
        <x:v>EEZ_008</x:v>
      </x:c>
      <x:c r="B228" s="25" t="str">
        <x:f>'All Areas Data'!B228</x:f>
        <x:v>Albania</x:v>
      </x:c>
      <x:c r="C228" s="25" t="str">
        <x:f>'All Areas Data'!C228</x:f>
        <x:v>EEZ</x:v>
      </x:c>
      <x:c r="D228" s="32" t="n">
        <x:f>'All Areas Data'!E228</x:f>
        <x:v>7591.6342411198</x:v>
      </x:c>
      <x:c r="E228" s="32" t="n">
        <x:f>'All Areas Data'!K228</x:f>
        <x:v>1553417.1552911263</x:v>
      </x:c>
      <x:c r="F228" s="34" t="n">
        <x:f>IF(SUMIF($C$2:$C$367,C228,$E$2:$E$367)=0,"",E228/SUMIF($C$2:$C$367,C228,$E$2:$E$367))</x:f>
        <x:v>0.0000233799862990301</x:v>
      </x:c>
      <x:c r="G228" s="35" t="n">
        <x:f>COUNTIFS($C$2:$C$367,C228,$E$2:$E$367,"&gt;"&amp;E228)+COUNTIFS($C$2:C228,C228,$E$2:E228,E228)</x:f>
        <x:v>227</x:v>
      </x:c>
      <x:c r="H228" s="34" t="n">
        <x:f>IF(SUMIF($C$2:$C$367,C228,$E$2:$E$367)=0,"",SUMIF($C$2:C228,C228,$F$2:F228))</x:f>
        <x:v>0.9995366081410839</x:v>
      </x:c>
    </x:row>
    <x:row r="229" ht="18" customHeight="1">
      <x:c r="A229" s="25" t="str">
        <x:f>'All Areas Data'!A229</x:f>
        <x:v>EEZ_630</x:v>
      </x:c>
      <x:c r="B229" s="25" t="str">
        <x:f>'All Areas Data'!B229</x:f>
        <x:v>Puerto Rico (USA)</x:v>
      </x:c>
      <x:c r="C229" s="25" t="str">
        <x:f>'All Areas Data'!C229</x:f>
        <x:v>EEZ</x:v>
      </x:c>
      <x:c r="D229" s="32" t="n">
        <x:f>'All Areas Data'!E229</x:f>
        <x:v>1866.1053035134998</x:v>
      </x:c>
      <x:c r="E229" s="32" t="n">
        <x:f>'All Areas Data'!K229</x:f>
        <x:v>1514296.9073134165</x:v>
      </x:c>
      <x:c r="F229" s="34" t="n">
        <x:f>IF(SUMIF($C$2:$C$367,C229,$E$2:$E$367)=0,"",E229/SUMIF($C$2:$C$367,C229,$E$2:$E$367))</x:f>
        <x:v>0.000022791199920163245</x:v>
      </x:c>
      <x:c r="G229" s="35" t="n">
        <x:f>COUNTIFS($C$2:$C$367,C229,$E$2:$E$367,"&gt;"&amp;E229)+COUNTIFS($C$2:C229,C229,$E$2:E229,E229)</x:f>
        <x:v>228</x:v>
      </x:c>
      <x:c r="H229" s="34" t="n">
        <x:f>IF(SUMIF($C$2:$C$367,C229,$E$2:$E$367)=0,"",SUMIF($C$2:C229,C229,$F$2:F229))</x:f>
        <x:v>0.9995593993410041</x:v>
      </x:c>
    </x:row>
    <x:row r="230" ht="18" customHeight="1">
      <x:c r="A230" s="25" t="str">
        <x:f>'All Areas Data'!A230</x:f>
        <x:v>EEZ_474</x:v>
      </x:c>
      <x:c r="B230" s="25" t="str">
        <x:f>'All Areas Data'!B230</x:f>
        <x:v>Martinique (France)</x:v>
      </x:c>
      <x:c r="C230" s="25" t="str">
        <x:f>'All Areas Data'!C230</x:f>
        <x:v>EEZ</x:v>
      </x:c>
      <x:c r="D230" s="32" t="n">
        <x:f>'All Areas Data'!E230</x:f>
        <x:v>2440.9497922337</x:v>
      </x:c>
      <x:c r="E230" s="32" t="n">
        <x:f>'All Areas Data'!K230</x:f>
        <x:v>1473241.0944450698</x:v>
      </x:c>
      <x:c r="F230" s="34" t="n">
        <x:f>IF(SUMIF($C$2:$C$367,C230,$E$2:$E$367)=0,"",E230/SUMIF($C$2:$C$367,C230,$E$2:$E$367))</x:f>
        <x:v>0.00002217328197128003</x:v>
      </x:c>
      <x:c r="G230" s="35" t="n">
        <x:f>COUNTIFS($C$2:$C$367,C230,$E$2:$E$367,"&gt;"&amp;E230)+COUNTIFS($C$2:C230,C230,$E$2:E230,E230)</x:f>
        <x:v>229</x:v>
      </x:c>
      <x:c r="H230" s="34" t="n">
        <x:f>IF(SUMIF($C$2:$C$367,C230,$E$2:$E$367)=0,"",SUMIF($C$2:C230,C230,$F$2:F230))</x:f>
        <x:v>0.9995815726229754</x:v>
      </x:c>
    </x:row>
    <x:row r="231" ht="18" customHeight="1">
      <x:c r="A231" s="25" t="str">
        <x:f>'All Areas Data'!A231</x:f>
        <x:v>EEZ_913</x:v>
      </x:c>
      <x:c r="B231" s="25" t="str">
        <x:f>'All Areas Data'!B231</x:f>
        <x:v>Russia (Laptev to Chukchi Sea)</x:v>
      </x:c>
      <x:c r="C231" s="25" t="str">
        <x:f>'All Areas Data'!C231</x:f>
        <x:v>EEZ</x:v>
      </x:c>
      <x:c r="D231" s="32" t="n">
        <x:f>'All Areas Data'!E231</x:f>
        <x:v>6727.8088462</x:v>
      </x:c>
      <x:c r="E231" s="32" t="n">
        <x:f>'All Areas Data'!K231</x:f>
        <x:v>1455106.3058478127</x:v>
      </x:c>
      <x:c r="F231" s="34" t="n">
        <x:f>IF(SUMIF($C$2:$C$367,C231,$E$2:$E$367)=0,"",E231/SUMIF($C$2:$C$367,C231,$E$2:$E$367))</x:f>
        <x:v>0.000021900341050359005</x:v>
      </x:c>
      <x:c r="G231" s="35" t="n">
        <x:f>COUNTIFS($C$2:$C$367,C231,$E$2:$E$367,"&gt;"&amp;E231)+COUNTIFS($C$2:C231,C231,$E$2:E231,E231)</x:f>
        <x:v>230</x:v>
      </x:c>
      <x:c r="H231" s="34" t="n">
        <x:f>IF(SUMIF($C$2:$C$367,C231,$E$2:$E$367)=0,"",SUMIF($C$2:C231,C231,$F$2:F231))</x:f>
        <x:v>0.9996034729640257</x:v>
      </x:c>
    </x:row>
    <x:row r="232" ht="18" customHeight="1">
      <x:c r="A232" s="25" t="str">
        <x:f>'All Areas Data'!A232</x:f>
        <x:v>EEZ_662</x:v>
      </x:c>
      <x:c r="B232" s="25" t="str">
        <x:f>'All Areas Data'!B232</x:f>
        <x:v>Saint Lucia</x:v>
      </x:c>
      <x:c r="C232" s="25" t="str">
        <x:f>'All Areas Data'!C232</x:f>
        <x:v>EEZ</x:v>
      </x:c>
      <x:c r="D232" s="32" t="n">
        <x:f>'All Areas Data'!E232</x:f>
        <x:v>1454.7830351649</x:v>
      </x:c>
      <x:c r="E232" s="32" t="n">
        <x:f>'All Areas Data'!K232</x:f>
        <x:v>1369040.7680055425</x:v>
      </x:c>
      <x:c r="F232" s="34" t="n">
        <x:f>IF(SUMIF($C$2:$C$367,C232,$E$2:$E$367)=0,"",E232/SUMIF($C$2:$C$367,C232,$E$2:$E$367))</x:f>
        <x:v>0.000020604996082191828</x:v>
      </x:c>
      <x:c r="G232" s="35" t="n">
        <x:f>COUNTIFS($C$2:$C$367,C232,$E$2:$E$367,"&gt;"&amp;E232)+COUNTIFS($C$2:C232,C232,$E$2:E232,E232)</x:f>
        <x:v>231</x:v>
      </x:c>
      <x:c r="H232" s="34" t="n">
        <x:f>IF(SUMIF($C$2:$C$367,C232,$E$2:$E$367)=0,"",SUMIF($C$2:C232,C232,$F$2:F232))</x:f>
        <x:v>0.9996240779601079</x:v>
      </x:c>
    </x:row>
    <x:row r="233" ht="18" customHeight="1">
      <x:c r="A233" s="25" t="str">
        <x:f>'All Areas Data'!A233</x:f>
        <x:v>EEZ_060</x:v>
      </x:c>
      <x:c r="B233" s="25" t="str">
        <x:f>'All Areas Data'!B233</x:f>
        <x:v>Bermuda (UK)</x:v>
      </x:c>
      <x:c r="C233" s="25" t="str">
        <x:f>'All Areas Data'!C233</x:f>
        <x:v>EEZ</x:v>
      </x:c>
      <x:c r="D233" s="32" t="n">
        <x:f>'All Areas Data'!E233</x:f>
        <x:v>873.7608096846</x:v>
      </x:c>
      <x:c r="E233" s="32" t="n">
        <x:f>'All Areas Data'!K233</x:f>
        <x:v>1333927.0877780484</x:v>
      </x:c>
      <x:c r="F233" s="34" t="n">
        <x:f>IF(SUMIF($C$2:$C$367,C233,$E$2:$E$367)=0,"",E233/SUMIF($C$2:$C$367,C233,$E$2:$E$367))</x:f>
        <x:v>0.00002007651127704399</x:v>
      </x:c>
      <x:c r="G233" s="35" t="n">
        <x:f>COUNTIFS($C$2:$C$367,C233,$E$2:$E$367,"&gt;"&amp;E233)+COUNTIFS($C$2:C233,C233,$E$2:E233,E233)</x:f>
        <x:v>232</x:v>
      </x:c>
      <x:c r="H233" s="34" t="n">
        <x:f>IF(SUMIF($C$2:$C$367,C233,$E$2:$E$367)=0,"",SUMIF($C$2:C233,C233,$F$2:F233))</x:f>
        <x:v>0.9996441544713849</x:v>
      </x:c>
    </x:row>
    <x:row r="234" ht="18" customHeight="1">
      <x:c r="A234" s="25" t="str">
        <x:f>'All Areas Data'!A234</x:f>
        <x:v>EEZ_711</x:v>
      </x:c>
      <x:c r="B234" s="25" t="str">
        <x:f>'All Areas Data'!B234</x:f>
        <x:v>Prince Edward Isl. (South Africa)</x:v>
      </x:c>
      <x:c r="C234" s="25" t="str">
        <x:f>'All Areas Data'!C234</x:f>
        <x:v>EEZ</x:v>
      </x:c>
      <x:c r="D234" s="32" t="n">
        <x:f>'All Areas Data'!E234</x:f>
        <x:v>974.4787150097001</x:v>
      </x:c>
      <x:c r="E234" s="32" t="n">
        <x:f>'All Areas Data'!K234</x:f>
        <x:v>1225800.4341437374</x:v>
      </x:c>
      <x:c r="F234" s="34" t="n">
        <x:f>IF(SUMIF($C$2:$C$367,C234,$E$2:$E$367)=0,"",E234/SUMIF($C$2:$C$367,C234,$E$2:$E$367))</x:f>
        <x:v>0.000018449131489251967</x:v>
      </x:c>
      <x:c r="G234" s="35" t="n">
        <x:f>COUNTIFS($C$2:$C$367,C234,$E$2:$E$367,"&gt;"&amp;E234)+COUNTIFS($C$2:C234,C234,$E$2:E234,E234)</x:f>
        <x:v>233</x:v>
      </x:c>
      <x:c r="H234" s="34" t="n">
        <x:f>IF(SUMIF($C$2:$C$367,C234,$E$2:$E$367)=0,"",SUMIF($C$2:C234,C234,$F$2:F234))</x:f>
        <x:v>0.9996626036028742</x:v>
      </x:c>
    </x:row>
    <x:row r="235" ht="18" customHeight="1">
      <x:c r="A235" s="25" t="str">
        <x:f>'All Areas Data'!A235</x:f>
        <x:v>EEZ_929</x:v>
      </x:c>
      <x:c r="B235" s="25" t="str">
        <x:f>'All Areas Data'!B235</x:f>
        <x:v>Costa Rica (Caribbean)</x:v>
      </x:c>
      <x:c r="C235" s="25" t="str">
        <x:f>'All Areas Data'!C235</x:f>
        <x:v>EEZ</x:v>
      </x:c>
      <x:c r="D235" s="32" t="n">
        <x:f>'All Areas Data'!E235</x:f>
        <x:v>601.562955336</x:v>
      </x:c>
      <x:c r="E235" s="32" t="n">
        <x:f>'All Areas Data'!K235</x:f>
        <x:v>1207332.0916196196</x:v>
      </x:c>
      <x:c r="F235" s="34" t="n">
        <x:f>IF(SUMIF($C$2:$C$367,C235,$E$2:$E$367)=0,"",E235/SUMIF($C$2:$C$367,C235,$E$2:$E$367))</x:f>
        <x:v>0.000018171170354531045</x:v>
      </x:c>
      <x:c r="G235" s="35" t="n">
        <x:f>COUNTIFS($C$2:$C$367,C235,$E$2:$E$367,"&gt;"&amp;E235)+COUNTIFS($C$2:C235,C235,$E$2:E235,E235)</x:f>
        <x:v>234</x:v>
      </x:c>
      <x:c r="H235" s="34" t="n">
        <x:f>IF(SUMIF($C$2:$C$367,C235,$E$2:$E$367)=0,"",SUMIF($C$2:C235,C235,$F$2:F235))</x:f>
        <x:v>0.9996807747732287</x:v>
      </x:c>
    </x:row>
    <x:row r="236" ht="18" customHeight="1">
      <x:c r="A236" s="25" t="str">
        <x:f>'All Areas Data'!A236</x:f>
        <x:v>EEZ_958</x:v>
      </x:c>
      <x:c r="B236" s="25" t="str">
        <x:f>'All Areas Data'!B236</x:f>
        <x:v>USA (Alaska, Arctic)</x:v>
      </x:c>
      <x:c r="C236" s="25" t="str">
        <x:f>'All Areas Data'!C236</x:f>
        <x:v>EEZ</x:v>
      </x:c>
      <x:c r="D236" s="32" t="n">
        <x:f>'All Areas Data'!E236</x:f>
        <x:v>1473.428362565</x:v>
      </x:c>
      <x:c r="E236" s="32" t="n">
        <x:f>'All Areas Data'!K236</x:f>
        <x:v>1202804.8239992876</x:v>
      </x:c>
      <x:c r="F236" s="34" t="n">
        <x:f>IF(SUMIF($C$2:$C$367,C236,$E$2:$E$367)=0,"",E236/SUMIF($C$2:$C$367,C236,$E$2:$E$367))</x:f>
        <x:v>0.000018103031893091452</x:v>
      </x:c>
      <x:c r="G236" s="35" t="n">
        <x:f>COUNTIFS($C$2:$C$367,C236,$E$2:$E$367,"&gt;"&amp;E236)+COUNTIFS($C$2:C236,C236,$E$2:E236,E236)</x:f>
        <x:v>235</x:v>
      </x:c>
      <x:c r="H236" s="34" t="n">
        <x:f>IF(SUMIF($C$2:$C$367,C236,$E$2:$E$367)=0,"",SUMIF($C$2:C236,C236,$F$2:F236))</x:f>
        <x:v>0.9996988778051218</x:v>
      </x:c>
    </x:row>
    <x:row r="237" ht="18" customHeight="1">
      <x:c r="A237" s="25" t="str">
        <x:f>'All Areas Data'!A237</x:f>
        <x:v>EEZ_028</x:v>
      </x:c>
      <x:c r="B237" s="25" t="str">
        <x:f>'All Areas Data'!B237</x:f>
        <x:v>Antigua &amp; Barbuda</x:v>
      </x:c>
      <x:c r="C237" s="25" t="str">
        <x:f>'All Areas Data'!C237</x:f>
        <x:v>EEZ</x:v>
      </x:c>
      <x:c r="D237" s="32" t="n">
        <x:f>'All Areas Data'!E237</x:f>
        <x:v>3754.318094694</x:v>
      </x:c>
      <x:c r="E237" s="32" t="n">
        <x:f>'All Areas Data'!K237</x:f>
        <x:v>1185125.45188696</x:v>
      </x:c>
      <x:c r="F237" s="34" t="n">
        <x:f>IF(SUMIF($C$2:$C$367,C237,$E$2:$E$367)=0,"",E237/SUMIF($C$2:$C$367,C237,$E$2:$E$367))</x:f>
        <x:v>0.000017836945300476083</x:v>
      </x:c>
      <x:c r="G237" s="35" t="n">
        <x:f>COUNTIFS($C$2:$C$367,C237,$E$2:$E$367,"&gt;"&amp;E237)+COUNTIFS($C$2:C237,C237,$E$2:E237,E237)</x:f>
        <x:v>236</x:v>
      </x:c>
      <x:c r="H237" s="34" t="n">
        <x:f>IF(SUMIF($C$2:$C$367,C237,$E$2:$E$367)=0,"",SUMIF($C$2:C237,C237,$F$2:F237))</x:f>
        <x:v>0.9997167147504222</x:v>
      </x:c>
    </x:row>
    <x:row r="238" ht="18" customHeight="1">
      <x:c r="A238" s="25" t="str">
        <x:f>'All Areas Data'!A238</x:f>
        <x:v>EEZ_899</x:v>
      </x:c>
      <x:c r="B238" s="25" t="str">
        <x:f>'All Areas Data'!B238</x:f>
        <x:v>Corsica (France)</x:v>
      </x:c>
      <x:c r="C238" s="25" t="str">
        <x:f>'All Areas Data'!C238</x:f>
        <x:v>EEZ</x:v>
      </x:c>
      <x:c r="D238" s="32" t="n">
        <x:f>'All Areas Data'!E238</x:f>
        <x:v>1565.0256591657</x:v>
      </x:c>
      <x:c r="E238" s="32" t="n">
        <x:f>'All Areas Data'!K238</x:f>
        <x:v>1161094.7737815653</x:v>
      </x:c>
      <x:c r="F238" s="34" t="n">
        <x:f>IF(SUMIF($C$2:$C$367,C238,$E$2:$E$367)=0,"",E238/SUMIF($C$2:$C$367,C238,$E$2:$E$367))</x:f>
        <x:v>0.000017475267226465604</x:v>
      </x:c>
      <x:c r="G238" s="35" t="n">
        <x:f>COUNTIFS($C$2:$C$367,C238,$E$2:$E$367,"&gt;"&amp;E238)+COUNTIFS($C$2:C238,C238,$E$2:E238,E238)</x:f>
        <x:v>237</x:v>
      </x:c>
      <x:c r="H238" s="34" t="n">
        <x:f>IF(SUMIF($C$2:$C$367,C238,$E$2:$E$367)=0,"",SUMIF($C$2:C238,C238,$F$2:F238))</x:f>
        <x:v>0.9997341900176487</x:v>
      </x:c>
    </x:row>
    <x:row r="239" ht="18" customHeight="1">
      <x:c r="A239" s="25" t="str">
        <x:f>'All Areas Data'!A239</x:f>
        <x:v>EEZ_876</x:v>
      </x:c>
      <x:c r="B239" s="25" t="str">
        <x:f>'All Areas Data'!B239</x:f>
        <x:v>Wallis &amp; Futuna Isl. (France)</x:v>
      </x:c>
      <x:c r="C239" s="25" t="str">
        <x:f>'All Areas Data'!C239</x:f>
        <x:v>EEZ</x:v>
      </x:c>
      <x:c r="D239" s="32" t="n">
        <x:f>'All Areas Data'!E239</x:f>
        <x:v>971.0058082377002</x:v>
      </x:c>
      <x:c r="E239" s="32" t="n">
        <x:f>'All Areas Data'!K239</x:f>
        <x:v>1119183.1426833072</x:v>
      </x:c>
      <x:c r="F239" s="34" t="n">
        <x:f>IF(SUMIF($C$2:$C$367,C239,$E$2:$E$367)=0,"",E239/SUMIF($C$2:$C$367,C239,$E$2:$E$367))</x:f>
        <x:v>0.00001684446863028064</x:v>
      </x:c>
      <x:c r="G239" s="35" t="n">
        <x:f>COUNTIFS($C$2:$C$367,C239,$E$2:$E$367,"&gt;"&amp;E239)+COUNTIFS($C$2:C239,C239,$E$2:E239,E239)</x:f>
        <x:v>238</x:v>
      </x:c>
      <x:c r="H239" s="34" t="n">
        <x:f>IF(SUMIF($C$2:$C$367,C239,$E$2:$E$367)=0,"",SUMIF($C$2:C239,C239,$F$2:F239))</x:f>
        <x:v>0.999751034486279</x:v>
      </x:c>
    </x:row>
    <x:row r="240" ht="18" customHeight="1">
      <x:c r="A240" s="25" t="str">
        <x:f>'All Areas Data'!A240</x:f>
        <x:v>EEZ_935</x:v>
      </x:c>
      <x:c r="B240" s="25" t="str">
        <x:f>'All Areas Data'!B240</x:f>
        <x:v>Guatemala (Caribbean)</x:v>
      </x:c>
      <x:c r="C240" s="25" t="str">
        <x:f>'All Areas Data'!C240</x:f>
        <x:v>EEZ</x:v>
      </x:c>
      <x:c r="D240" s="32" t="n">
        <x:f>'All Areas Data'!E240</x:f>
        <x:v>4694.347823299001</x:v>
      </x:c>
      <x:c r="E240" s="32" t="n">
        <x:f>'All Areas Data'!K240</x:f>
        <x:v>1114718.28132553</x:v>
      </x:c>
      <x:c r="F240" s="34" t="n">
        <x:f>IF(SUMIF($C$2:$C$367,C240,$E$2:$E$367)=0,"",E240/SUMIF($C$2:$C$367,C240,$E$2:$E$367))</x:f>
        <x:v>0.0000167772694256006</x:v>
      </x:c>
      <x:c r="G240" s="35" t="n">
        <x:f>COUNTIFS($C$2:$C$367,C240,$E$2:$E$367,"&gt;"&amp;E240)+COUNTIFS($C$2:C240,C240,$E$2:E240,E240)</x:f>
        <x:v>239</x:v>
      </x:c>
      <x:c r="H240" s="34" t="n">
        <x:f>IF(SUMIF($C$2:$C$367,C240,$E$2:$E$367)=0,"",SUMIF($C$2:C240,C240,$F$2:F240))</x:f>
        <x:v>0.9997678117557046</x:v>
      </x:c>
    </x:row>
    <x:row r="241" ht="18" customHeight="1">
      <x:c r="A241" s="25" t="str">
        <x:f>'All Areas Data'!A241</x:f>
        <x:v>EEZ_659</x:v>
      </x:c>
      <x:c r="B241" s="25" t="str">
        <x:f>'All Areas Data'!B241</x:f>
        <x:v>Saint Kitts &amp; Nevis</x:v>
      </x:c>
      <x:c r="C241" s="25" t="str">
        <x:f>'All Areas Data'!C241</x:f>
        <x:v>EEZ</x:v>
      </x:c>
      <x:c r="D241" s="32" t="n">
        <x:f>'All Areas Data'!E241</x:f>
        <x:v>1724.273887369</x:v>
      </x:c>
      <x:c r="E241" s="32" t="n">
        <x:f>'All Areas Data'!K241</x:f>
        <x:v>1106283.6685462072</x:v>
      </x:c>
      <x:c r="F241" s="34" t="n">
        <x:f>IF(SUMIF($C$2:$C$367,C241,$E$2:$E$367)=0,"",E241/SUMIF($C$2:$C$367,C241,$E$2:$E$367))</x:f>
        <x:v>0.000016650322758025508</x:v>
      </x:c>
      <x:c r="G241" s="35" t="n">
        <x:f>COUNTIFS($C$2:$C$367,C241,$E$2:$E$367,"&gt;"&amp;E241)+COUNTIFS($C$2:C241,C241,$E$2:E241,E241)</x:f>
        <x:v>240</x:v>
      </x:c>
      <x:c r="H241" s="34" t="n">
        <x:f>IF(SUMIF($C$2:$C$367,C241,$E$2:$E$367)=0,"",SUMIF($C$2:C241,C241,$F$2:F241))</x:f>
        <x:v>0.9997844620784626</x:v>
      </x:c>
    </x:row>
    <x:row r="242" ht="18" customHeight="1">
      <x:c r="A242" s="25" t="str">
        <x:f>'All Areas Data'!A242</x:f>
        <x:v>EEZ_736</x:v>
      </x:c>
      <x:c r="B242" s="25" t="str">
        <x:f>'All Areas Data'!B242</x:f>
        <x:v>Sudan</x:v>
      </x:c>
      <x:c r="C242" s="25" t="str">
        <x:f>'All Areas Data'!C242</x:f>
        <x:v>EEZ</x:v>
      </x:c>
      <x:c r="D242" s="32" t="n">
        <x:f>'All Areas Data'!E242</x:f>
        <x:v>1903.800910461</x:v>
      </x:c>
      <x:c r="E242" s="32" t="n">
        <x:f>'All Areas Data'!K242</x:f>
        <x:v>1065191.496904894</x:v>
      </x:c>
      <x:c r="F242" s="34" t="n">
        <x:f>IF(SUMIF($C$2:$C$367,C242,$E$2:$E$367)=0,"",E242/SUMIF($C$2:$C$367,C242,$E$2:$E$367))</x:f>
        <x:v>0.000016031857584843325</x:v>
      </x:c>
      <x:c r="G242" s="35" t="n">
        <x:f>COUNTIFS($C$2:$C$367,C242,$E$2:$E$367,"&gt;"&amp;E242)+COUNTIFS($C$2:C242,C242,$E$2:E242,E242)</x:f>
        <x:v>241</x:v>
      </x:c>
      <x:c r="H242" s="34" t="n">
        <x:f>IF(SUMIF($C$2:$C$367,C242,$E$2:$E$367)=0,"",SUMIF($C$2:C242,C242,$F$2:F242))</x:f>
        <x:v>0.9998004939360474</x:v>
      </x:c>
    </x:row>
    <x:row r="243" ht="18" customHeight="1">
      <x:c r="A243" s="25" t="str">
        <x:f>'All Areas Data'!A243</x:f>
        <x:v>EEZ_638</x:v>
      </x:c>
      <x:c r="B243" s="25" t="str">
        <x:f>'All Areas Data'!B243</x:f>
        <x:v>Réunion (France)</x:v>
      </x:c>
      <x:c r="C243" s="25" t="str">
        <x:f>'All Areas Data'!C243</x:f>
        <x:v>EEZ</x:v>
      </x:c>
      <x:c r="D243" s="32" t="n">
        <x:f>'All Areas Data'!E243</x:f>
        <x:v>537.9865677244</x:v>
      </x:c>
      <x:c r="E243" s="32" t="n">
        <x:f>'All Areas Data'!K243</x:f>
        <x:v>1039295.5371920002</x:v>
      </x:c>
      <x:c r="F243" s="34" t="n">
        <x:f>IF(SUMIF($C$2:$C$367,C243,$E$2:$E$367)=0,"",E243/SUMIF($C$2:$C$367,C243,$E$2:$E$367))</x:f>
        <x:v>0.000015642105752101253</x:v>
      </x:c>
      <x:c r="G243" s="35" t="n">
        <x:f>COUNTIFS($C$2:$C$367,C243,$E$2:$E$367,"&gt;"&amp;E243)+COUNTIFS($C$2:C243,C243,$E$2:E243,E243)</x:f>
        <x:v>242</x:v>
      </x:c>
      <x:c r="H243" s="34" t="n">
        <x:f>IF(SUMIF($C$2:$C$367,C243,$E$2:$E$367)=0,"",SUMIF($C$2:C243,C243,$F$2:F243))</x:f>
        <x:v>0.9998161360417995</x:v>
      </x:c>
    </x:row>
    <x:row r="244" ht="18" customHeight="1">
      <x:c r="A244" s="25" t="str">
        <x:f>'All Areas Data'!A244</x:f>
        <x:v>EEZ_580</x:v>
      </x:c>
      <x:c r="B244" s="25" t="str">
        <x:f>'All Areas Data'!B244</x:f>
        <x:v>Northern Marianas (USA)</x:v>
      </x:c>
      <x:c r="C244" s="25" t="str">
        <x:f>'All Areas Data'!C244</x:f>
        <x:v>EEZ</x:v>
      </x:c>
      <x:c r="D244" s="32" t="n">
        <x:f>'All Areas Data'!E244</x:f>
        <x:v>498.5314401099</x:v>
      </x:c>
      <x:c r="E244" s="32" t="n">
        <x:f>'All Areas Data'!K244</x:f>
        <x:v>1005725.4354424982</x:v>
      </x:c>
      <x:c r="F244" s="34" t="n">
        <x:f>IF(SUMIF($C$2:$C$367,C244,$E$2:$E$367)=0,"",E244/SUMIF($C$2:$C$367,C244,$E$2:$E$367))</x:f>
        <x:v>0.00001513685285445747</x:v>
      </x:c>
      <x:c r="G244" s="35" t="n">
        <x:f>COUNTIFS($C$2:$C$367,C244,$E$2:$E$367,"&gt;"&amp;E244)+COUNTIFS($C$2:C244,C244,$E$2:E244,E244)</x:f>
        <x:v>243</x:v>
      </x:c>
      <x:c r="H244" s="34" t="n">
        <x:f>IF(SUMIF($C$2:$C$367,C244,$E$2:$E$367)=0,"",SUMIF($C$2:C244,C244,$F$2:F244))</x:f>
        <x:v>0.999831272894654</x:v>
      </x:c>
    </x:row>
    <x:row r="245" ht="18" customHeight="1">
      <x:c r="A245" s="25" t="str">
        <x:f>'All Areas Data'!A245</x:f>
        <x:v>EEZ_654</x:v>
      </x:c>
      <x:c r="B245" s="25" t="str">
        <x:f>'All Areas Data'!B245</x:f>
        <x:v>Saint Helena (UK)</x:v>
      </x:c>
      <x:c r="C245" s="25" t="str">
        <x:f>'All Areas Data'!C245</x:f>
        <x:v>EEZ</x:v>
      </x:c>
      <x:c r="D245" s="32" t="n">
        <x:f>'All Areas Data'!E245</x:f>
        <x:v>515.4002517916999</x:v>
      </x:c>
      <x:c r="E245" s="32" t="n">
        <x:f>'All Areas Data'!K245</x:f>
        <x:v>982147.5503922047</x:v>
      </x:c>
      <x:c r="F245" s="34" t="n">
        <x:f>IF(SUMIF($C$2:$C$367,C245,$E$2:$E$367)=0,"",E245/SUMIF($C$2:$C$367,C245,$E$2:$E$367))</x:f>
        <x:v>0.000014781989624346781</x:v>
      </x:c>
      <x:c r="G245" s="35" t="n">
        <x:f>COUNTIFS($C$2:$C$367,C245,$E$2:$E$367,"&gt;"&amp;E245)+COUNTIFS($C$2:C245,C245,$E$2:E245,E245)</x:f>
        <x:v>244</x:v>
      </x:c>
      <x:c r="H245" s="34" t="n">
        <x:f>IF(SUMIF($C$2:$C$367,C245,$E$2:$E$367)=0,"",SUMIF($C$2:C245,C245,$F$2:F245))</x:f>
        <x:v>0.9998460548842784</x:v>
      </x:c>
    </x:row>
    <x:row r="246" ht="18" customHeight="1">
      <x:c r="A246" s="25" t="str">
        <x:f>'All Areas Data'!A246</x:f>
        <x:v>EEZ_896</x:v>
      </x:c>
      <x:c r="B246" s="25" t="str">
        <x:f>'All Areas Data'!B246</x:f>
        <x:v>Crozet Isl. (France)</x:v>
      </x:c>
      <x:c r="C246" s="25" t="str">
        <x:f>'All Areas Data'!C246</x:f>
        <x:v>EEZ</x:v>
      </x:c>
      <x:c r="D246" s="32" t="n">
        <x:f>'All Areas Data'!E246</x:f>
        <x:v>962.1183434891</x:v>
      </x:c>
      <x:c r="E246" s="32" t="n">
        <x:f>'All Areas Data'!K246</x:f>
        <x:v>829294.7328154038</x:v>
      </x:c>
      <x:c r="F246" s="34" t="n">
        <x:f>IF(SUMIF($C$2:$C$367,C246,$E$2:$E$367)=0,"",E246/SUMIF($C$2:$C$367,C246,$E$2:$E$367))</x:f>
        <x:v>0.000012481450603941792</x:v>
      </x:c>
      <x:c r="G246" s="35" t="n">
        <x:f>COUNTIFS($C$2:$C$367,C246,$E$2:$E$367,"&gt;"&amp;E246)+COUNTIFS($C$2:C246,C246,$E$2:E246,E246)</x:f>
        <x:v>245</x:v>
      </x:c>
      <x:c r="H246" s="34" t="n">
        <x:f>IF(SUMIF($C$2:$C$367,C246,$E$2:$E$367)=0,"",SUMIF($C$2:C246,C246,$F$2:F246))</x:f>
        <x:v>0.9998585363348823</x:v>
      </x:c>
    </x:row>
    <x:row r="247" ht="18" customHeight="1">
      <x:c r="A247" s="25" t="str">
        <x:f>'All Areas Data'!A247</x:f>
        <x:v>EEZ_488</x:v>
      </x:c>
      <x:c r="B247" s="25" t="str">
        <x:f>'All Areas Data'!B247</x:f>
        <x:v>Hawaii Northwest Islands (USA)</x:v>
      </x:c>
      <x:c r="C247" s="25" t="str">
        <x:f>'All Areas Data'!C247</x:f>
        <x:v>EEZ</x:v>
      </x:c>
      <x:c r="D247" s="32" t="n">
        <x:f>'All Areas Data'!E247</x:f>
        <x:v>456.1205398731</x:v>
      </x:c>
      <x:c r="E247" s="32" t="n">
        <x:f>'All Areas Data'!K247</x:f>
        <x:v>790459.7617226113</x:v>
      </x:c>
      <x:c r="F247" s="34" t="n">
        <x:f>IF(SUMIF($C$2:$C$367,C247,$E$2:$E$367)=0,"",E247/SUMIF($C$2:$C$367,C247,$E$2:$E$367))</x:f>
        <x:v>0.000011896957836509622</x:v>
      </x:c>
      <x:c r="G247" s="35" t="n">
        <x:f>COUNTIFS($C$2:$C$367,C247,$E$2:$E$367,"&gt;"&amp;E247)+COUNTIFS($C$2:C247,C247,$E$2:E247,E247)</x:f>
        <x:v>246</x:v>
      </x:c>
      <x:c r="H247" s="34" t="n">
        <x:f>IF(SUMIF($C$2:$C$367,C247,$E$2:$E$367)=0,"",SUMIF($C$2:C247,C247,$F$2:F247))</x:f>
        <x:v>0.9998704332927189</x:v>
      </x:c>
    </x:row>
    <x:row r="248" ht="18" customHeight="1">
      <x:c r="A248" s="25" t="str">
        <x:f>'All Areas Data'!A248</x:f>
        <x:v>EEZ_396</x:v>
      </x:c>
      <x:c r="B248" s="25" t="str">
        <x:f>'All Areas Data'!B248</x:f>
        <x:v>Johnston Atoll (USA)</x:v>
      </x:c>
      <x:c r="C248" s="25" t="str">
        <x:f>'All Areas Data'!C248</x:f>
        <x:v>EEZ</x:v>
      </x:c>
      <x:c r="D248" s="32" t="n">
        <x:f>'All Areas Data'!E248</x:f>
        <x:v>308.29794792170003</x:v>
      </x:c>
      <x:c r="E248" s="32" t="n">
        <x:f>'All Areas Data'!K248</x:f>
        <x:v>709090.631793451</x:v>
      </x:c>
      <x:c r="F248" s="34" t="n">
        <x:f>IF(SUMIF($C$2:$C$367,C248,$E$2:$E$367)=0,"",E248/SUMIF($C$2:$C$367,C248,$E$2:$E$367))</x:f>
        <x:v>0.00001067229700639845</x:v>
      </x:c>
      <x:c r="G248" s="35" t="n">
        <x:f>COUNTIFS($C$2:$C$367,C248,$E$2:$E$367,"&gt;"&amp;E248)+COUNTIFS($C$2:C248,C248,$E$2:E248,E248)</x:f>
        <x:v>247</x:v>
      </x:c>
      <x:c r="H248" s="34" t="n">
        <x:f>IF(SUMIF($C$2:$C$367,C248,$E$2:$E$367)=0,"",SUMIF($C$2:C248,C248,$F$2:F248))</x:f>
        <x:v>0.9998811055897252</x:v>
      </x:c>
    </x:row>
    <x:row r="249" ht="18" customHeight="1">
      <x:c r="A249" s="25" t="str">
        <x:f>'All Areas Data'!A249</x:f>
        <x:v>EEZ_907</x:v>
      </x:c>
      <x:c r="B249" s="25" t="str">
        <x:f>'All Areas Data'!B249</x:f>
        <x:v>Bonaire (Netherlands)</x:v>
      </x:c>
      <x:c r="C249" s="25" t="str">
        <x:f>'All Areas Data'!C249</x:f>
        <x:v>EEZ</x:v>
      </x:c>
      <x:c r="D249" s="32" t="n">
        <x:f>'All Areas Data'!E249</x:f>
        <x:v>400.2133530319</x:v>
      </x:c>
      <x:c r="E249" s="32" t="n">
        <x:f>'All Areas Data'!K249</x:f>
        <x:v>677238.29384602</x:v>
      </x:c>
      <x:c r="F249" s="34" t="n">
        <x:f>IF(SUMIF($C$2:$C$367,C249,$E$2:$E$367)=0,"",E249/SUMIF($C$2:$C$367,C249,$E$2:$E$367))</x:f>
        <x:v>0.000010192897624032644</x:v>
      </x:c>
      <x:c r="G249" s="35" t="n">
        <x:f>COUNTIFS($C$2:$C$367,C249,$E$2:$E$367,"&gt;"&amp;E249)+COUNTIFS($C$2:C249,C249,$E$2:E249,E249)</x:f>
        <x:v>248</x:v>
      </x:c>
      <x:c r="H249" s="34" t="n">
        <x:f>IF(SUMIF($C$2:$C$367,C249,$E$2:$E$367)=0,"",SUMIF($C$2:C249,C249,$F$2:F249))</x:f>
        <x:v>0.9998912984873493</x:v>
      </x:c>
    </x:row>
    <x:row r="250" ht="18" customHeight="1">
      <x:c r="A250" s="25" t="str">
        <x:f>'All Areas Data'!A250</x:f>
        <x:v>EEZ_844</x:v>
      </x:c>
      <x:c r="B250" s="25" t="str">
        <x:f>'All Areas Data'!B250</x:f>
        <x:v>Palmyra Atoll &amp; Kingman Reef (USA)</x:v>
      </x:c>
      <x:c r="C250" s="25" t="str">
        <x:f>'All Areas Data'!C250</x:f>
        <x:v>EEZ</x:v>
      </x:c>
      <x:c r="D250" s="32" t="n">
        <x:f>'All Areas Data'!E250</x:f>
        <x:v>280.5961402573</x:v>
      </x:c>
      <x:c r="E250" s="32" t="n">
        <x:f>'All Areas Data'!K250</x:f>
        <x:v>628775.9881433196</x:v>
      </x:c>
      <x:c r="F250" s="34" t="n">
        <x:f>IF(SUMIF($C$2:$C$367,C250,$E$2:$E$367)=0,"",E250/SUMIF($C$2:$C$367,C250,$E$2:$E$367))</x:f>
        <x:v>0.000009463506913051213</x:v>
      </x:c>
      <x:c r="G250" s="35" t="n">
        <x:f>COUNTIFS($C$2:$C$367,C250,$E$2:$E$367,"&gt;"&amp;E250)+COUNTIFS($C$2:C250,C250,$E$2:E250,E250)</x:f>
        <x:v>249</x:v>
      </x:c>
      <x:c r="H250" s="34" t="n">
        <x:f>IF(SUMIF($C$2:$C$367,C250,$E$2:$E$367)=0,"",SUMIF($C$2:C250,C250,$F$2:F250))</x:f>
        <x:v>0.9999007619942623</x:v>
      </x:c>
    </x:row>
    <x:row r="251" ht="18" customHeight="1">
      <x:c r="A251" s="25" t="str">
        <x:f>'All Areas Data'!A251</x:f>
        <x:v>EEZ_891</x:v>
      </x:c>
      <x:c r="B251" s="25" t="str">
        <x:f>'All Areas Data'!B251</x:f>
        <x:v>Montenegro</x:v>
      </x:c>
      <x:c r="C251" s="25" t="str">
        <x:f>'All Areas Data'!C251</x:f>
        <x:v>EEZ</x:v>
      </x:c>
      <x:c r="D251" s="32" t="n">
        <x:f>'All Areas Data'!E251</x:f>
        <x:v>1698.0118630171</x:v>
      </x:c>
      <x:c r="E251" s="32" t="n">
        <x:f>'All Areas Data'!K251</x:f>
        <x:v>575664.3429432232</x:v>
      </x:c>
      <x:c r="F251" s="34" t="n">
        <x:f>IF(SUMIF($C$2:$C$367,C251,$E$2:$E$367)=0,"",E251/SUMIF($C$2:$C$367,C251,$E$2:$E$367))</x:f>
        <x:v>0.00000866414047573098</x:v>
      </x:c>
      <x:c r="G251" s="35" t="n">
        <x:f>COUNTIFS($C$2:$C$367,C251,$E$2:$E$367,"&gt;"&amp;E251)+COUNTIFS($C$2:C251,C251,$E$2:E251,E251)</x:f>
        <x:v>250</x:v>
      </x:c>
      <x:c r="H251" s="34" t="n">
        <x:f>IF(SUMIF($C$2:$C$367,C251,$E$2:$E$367)=0,"",SUMIF($C$2:C251,C251,$F$2:F251))</x:f>
        <x:v>0.999909426134738</x:v>
      </x:c>
    </x:row>
    <x:row r="252" ht="18" customHeight="1">
      <x:c r="A252" s="25" t="str">
        <x:f>'All Areas Data'!A252</x:f>
        <x:v>EEZ_666</x:v>
      </x:c>
      <x:c r="B252" s="25" t="str">
        <x:f>'All Areas Data'!B252</x:f>
        <x:v>Saint Pierre &amp; Miquelon (France)</x:v>
      </x:c>
      <x:c r="C252" s="25" t="str">
        <x:f>'All Areas Data'!C252</x:f>
        <x:v>EEZ</x:v>
      </x:c>
      <x:c r="D252" s="32" t="n">
        <x:f>'All Areas Data'!E252</x:f>
        <x:v>1766.086618522</x:v>
      </x:c>
      <x:c r="E252" s="32" t="n">
        <x:f>'All Areas Data'!K252</x:f>
        <x:v>574386.8852731779</x:v>
      </x:c>
      <x:c r="F252" s="34" t="n">
        <x:f>IF(SUMIF($C$2:$C$367,C252,$E$2:$E$367)=0,"",E252/SUMIF($C$2:$C$367,C252,$E$2:$E$367))</x:f>
        <x:v>0.000008644913867655023</x:v>
      </x:c>
      <x:c r="G252" s="35" t="n">
        <x:f>COUNTIFS($C$2:$C$367,C252,$E$2:$E$367,"&gt;"&amp;E252)+COUNTIFS($C$2:C252,C252,$E$2:E252,E252)</x:f>
        <x:v>251</x:v>
      </x:c>
      <x:c r="H252" s="34" t="n">
        <x:f>IF(SUMIF($C$2:$C$367,C252,$E$2:$E$367)=0,"",SUMIF($C$2:C252,C252,$F$2:F252))</x:f>
        <x:v>0.9999180710486056</x:v>
      </x:c>
    </x:row>
    <x:row r="253" ht="18" customHeight="1">
      <x:c r="A253" s="25" t="str">
        <x:f>'All Areas Data'!A253</x:f>
        <x:v>EEZ_905</x:v>
      </x:c>
      <x:c r="B253" s="25" t="str">
        <x:f>'All Areas Data'!B253</x:f>
        <x:v>St Martin (France)</x:v>
      </x:c>
      <x:c r="C253" s="25" t="str">
        <x:f>'All Areas Data'!C253</x:f>
        <x:v>EEZ</x:v>
      </x:c>
      <x:c r="D253" s="32" t="n">
        <x:f>'All Areas Data'!E253</x:f>
        <x:v>547.9161662649999</x:v>
      </x:c>
      <x:c r="E253" s="32" t="n">
        <x:f>'All Areas Data'!K253</x:f>
        <x:v>499593.895973369</x:v>
      </x:c>
      <x:c r="F253" s="34" t="n">
        <x:f>IF(SUMIF($C$2:$C$367,C253,$E$2:$E$367)=0,"",E253/SUMIF($C$2:$C$367,C253,$E$2:$E$367))</x:f>
        <x:v>0.000007519228433361412</x:v>
      </x:c>
      <x:c r="G253" s="35" t="n">
        <x:f>COUNTIFS($C$2:$C$367,C253,$E$2:$E$367,"&gt;"&amp;E253)+COUNTIFS($C$2:C253,C253,$E$2:E253,E253)</x:f>
        <x:v>252</x:v>
      </x:c>
      <x:c r="H253" s="34" t="n">
        <x:f>IF(SUMIF($C$2:$C$367,C253,$E$2:$E$367)=0,"",SUMIF($C$2:C253,C253,$F$2:F253))</x:f>
        <x:v>0.999925590277039</x:v>
      </x:c>
    </x:row>
    <x:row r="254" ht="18" customHeight="1">
      <x:c r="A254" s="25" t="str">
        <x:f>'All Areas Data'!A254</x:f>
        <x:v>EEZ_400</x:v>
      </x:c>
      <x:c r="B254" s="25" t="str">
        <x:f>'All Areas Data'!B254</x:f>
        <x:v>Jordan</x:v>
      </x:c>
      <x:c r="C254" s="25" t="str">
        <x:f>'All Areas Data'!C254</x:f>
        <x:v>EEZ</x:v>
      </x:c>
      <x:c r="D254" s="32" t="n">
        <x:f>'All Areas Data'!E254</x:f>
        <x:v>387.759999999</x:v>
      </x:c>
      <x:c r="E254" s="32" t="n">
        <x:f>'All Areas Data'!K254</x:f>
        <x:v>448341.8758726021</x:v>
      </x:c>
      <x:c r="F254" s="34" t="n">
        <x:f>IF(SUMIF($C$2:$C$367,C254,$E$2:$E$367)=0,"",E254/SUMIF($C$2:$C$367,C254,$E$2:$E$367))</x:f>
        <x:v>0.0000067478506204718815</x:v>
      </x:c>
      <x:c r="G254" s="35" t="n">
        <x:f>COUNTIFS($C$2:$C$367,C254,$E$2:$E$367,"&gt;"&amp;E254)+COUNTIFS($C$2:C254,C254,$E$2:E254,E254)</x:f>
        <x:v>253</x:v>
      </x:c>
      <x:c r="H254" s="34" t="n">
        <x:f>IF(SUMIF($C$2:$C$367,C254,$E$2:$E$367)=0,"",SUMIF($C$2:C254,C254,$F$2:F254))</x:f>
        <x:v>0.9999323381276595</x:v>
      </x:c>
    </x:row>
    <x:row r="255" ht="18" customHeight="1">
      <x:c r="A255" s="25" t="str">
        <x:f>'All Areas Data'!A255</x:f>
        <x:v>EEZ_660</x:v>
      </x:c>
      <x:c r="B255" s="25" t="str">
        <x:f>'All Areas Data'!B255</x:f>
        <x:v>Anguilla (UK)</x:v>
      </x:c>
      <x:c r="C255" s="25" t="str">
        <x:f>'All Areas Data'!C255</x:f>
        <x:v>EEZ</x:v>
      </x:c>
      <x:c r="D255" s="32" t="n">
        <x:f>'All Areas Data'!E255</x:f>
        <x:v>1027.036715517</x:v>
      </x:c>
      <x:c r="E255" s="32" t="n">
        <x:f>'All Areas Data'!K255</x:f>
        <x:v>448305.9886107153</x:v>
      </x:c>
      <x:c r="F255" s="34" t="n">
        <x:f>IF(SUMIF($C$2:$C$367,C255,$E$2:$E$367)=0,"",E255/SUMIF($C$2:$C$367,C255,$E$2:$E$367))</x:f>
        <x:v>0.000006747310492735835</x:v>
      </x:c>
      <x:c r="G255" s="35" t="n">
        <x:f>COUNTIFS($C$2:$C$367,C255,$E$2:$E$367,"&gt;"&amp;E255)+COUNTIFS($C$2:C255,C255,$E$2:E255,E255)</x:f>
        <x:v>254</x:v>
      </x:c>
      <x:c r="H255" s="34" t="n">
        <x:f>IF(SUMIF($C$2:$C$367,C255,$E$2:$E$367)=0,"",SUMIF($C$2:C255,C255,$F$2:F255))</x:f>
        <x:v>0.9999390854381522</x:v>
      </x:c>
    </x:row>
    <x:row r="256" ht="18" customHeight="1">
      <x:c r="A256" s="25" t="str">
        <x:f>'All Areas Data'!A256</x:f>
        <x:v>EEZ_579</x:v>
      </x:c>
      <x:c r="B256" s="25" t="str">
        <x:f>'All Areas Data'!B256</x:f>
        <x:v>Jan Mayen Isl. (Norway)</x:v>
      </x:c>
      <x:c r="C256" s="25" t="str">
        <x:f>'All Areas Data'!C256</x:f>
        <x:v>EEZ</x:v>
      </x:c>
      <x:c r="D256" s="32" t="n">
        <x:f>'All Areas Data'!E256</x:f>
        <x:v>534.1534584534</x:v>
      </x:c>
      <x:c r="E256" s="32" t="n">
        <x:f>'All Areas Data'!K256</x:f>
        <x:v>433429.22305330844</x:v>
      </x:c>
      <x:c r="F256" s="34" t="n">
        <x:f>IF(SUMIF($C$2:$C$367,C256,$E$2:$E$367)=0,"",E256/SUMIF($C$2:$C$367,C256,$E$2:$E$367))</x:f>
        <x:v>0.000006523405037770732</x:v>
      </x:c>
      <x:c r="G256" s="35" t="n">
        <x:f>COUNTIFS($C$2:$C$367,C256,$E$2:$E$367,"&gt;"&amp;E256)+COUNTIFS($C$2:C256,C256,$E$2:E256,E256)</x:f>
        <x:v>255</x:v>
      </x:c>
      <x:c r="H256" s="34" t="n">
        <x:f>IF(SUMIF($C$2:$C$367,C256,$E$2:$E$367)=0,"",SUMIF($C$2:C256,C256,$F$2:F256))</x:f>
        <x:v>0.9999456088431901</x:v>
      </x:c>
    </x:row>
    <x:row r="257" ht="18" customHeight="1">
      <x:c r="A257" s="25" t="str">
        <x:f>'All Areas Data'!A257</x:f>
        <x:v>EEZ_904</x:v>
      </x:c>
      <x:c r="B257" s="25" t="str">
        <x:f>'All Areas Data'!B257</x:f>
        <x:v>St Barthelemy (France)</x:v>
      </x:c>
      <x:c r="C257" s="25" t="str">
        <x:f>'All Areas Data'!C257</x:f>
        <x:v>EEZ</x:v>
      </x:c>
      <x:c r="D257" s="32" t="n">
        <x:f>'All Areas Data'!E257</x:f>
        <x:v>526.0359177130001</x:v>
      </x:c>
      <x:c r="E257" s="32" t="n">
        <x:f>'All Areas Data'!K257</x:f>
        <x:v>405068.1217651294</x:v>
      </x:c>
      <x:c r="F257" s="34" t="n">
        <x:f>IF(SUMIF($C$2:$C$367,C257,$E$2:$E$367)=0,"",E257/SUMIF($C$2:$C$367,C257,$E$2:$E$367))</x:f>
        <x:v>0.000006096551145186571</x:v>
      </x:c>
      <x:c r="G257" s="35" t="n">
        <x:f>COUNTIFS($C$2:$C$367,C257,$E$2:$E$367,"&gt;"&amp;E257)+COUNTIFS($C$2:C257,C257,$E$2:E257,E257)</x:f>
        <x:v>256</x:v>
      </x:c>
      <x:c r="H257" s="34" t="n">
        <x:f>IF(SUMIF($C$2:$C$367,C257,$E$2:$E$367)=0,"",SUMIF($C$2:C257,C257,$F$2:F257))</x:f>
        <x:v>0.9999517053943352</x:v>
      </x:c>
    </x:row>
    <x:row r="258" ht="18" customHeight="1">
      <x:c r="A258" s="25" t="str">
        <x:f>'All Areas Data'!A258</x:f>
        <x:v>EEZ_037</x:v>
      </x:c>
      <x:c r="B258" s="25" t="str">
        <x:f>'All Areas Data'!B258</x:f>
        <x:v>Macquarie Isl. (Australia)</x:v>
      </x:c>
      <x:c r="C258" s="25" t="str">
        <x:f>'All Areas Data'!C258</x:f>
        <x:v>EEZ</x:v>
      </x:c>
      <x:c r="D258" s="32" t="n">
        <x:f>'All Areas Data'!E258</x:f>
        <x:v>434.33</x:v>
      </x:c>
      <x:c r="E258" s="32" t="n">
        <x:f>'All Areas Data'!K258</x:f>
        <x:v>396113.66785745224</x:v>
      </x:c>
      <x:c r="F258" s="34" t="n">
        <x:f>IF(SUMIF($C$2:$C$367,C258,$E$2:$E$367)=0,"",E258/SUMIF($C$2:$C$367,C258,$E$2:$E$367))</x:f>
        <x:v>0.0000059617805145393555</x:v>
      </x:c>
      <x:c r="G258" s="35" t="n">
        <x:f>COUNTIFS($C$2:$C$367,C258,$E$2:$E$367,"&gt;"&amp;E258)+COUNTIFS($C$2:C258,C258,$E$2:E258,E258)</x:f>
        <x:v>257</x:v>
      </x:c>
      <x:c r="H258" s="34" t="n">
        <x:f>IF(SUMIF($C$2:$C$367,C258,$E$2:$E$367)=0,"",SUMIF($C$2:C258,C258,$F$2:F258))</x:f>
        <x:v>0.9999576671748497</x:v>
      </x:c>
    </x:row>
    <x:row r="259" ht="18" customHeight="1">
      <x:c r="A259" s="25" t="str">
        <x:f>'All Areas Data'!A259</x:f>
        <x:v>EEZ_951</x:v>
      </x:c>
      <x:c r="B259" s="25" t="str">
        <x:f>'All Areas Data'!B259</x:f>
        <x:v>Panama (Caribbean)</x:v>
      </x:c>
      <x:c r="C259" s="25" t="str">
        <x:f>'All Areas Data'!C259</x:f>
        <x:v>EEZ</x:v>
      </x:c>
      <x:c r="D259" s="32" t="n">
        <x:f>'All Areas Data'!E259</x:f>
        <x:v>1550.4602980178997</x:v>
      </x:c>
      <x:c r="E259" s="32" t="n">
        <x:f>'All Areas Data'!K259</x:f>
        <x:v>395402.3380561242</x:v>
      </x:c>
      <x:c r="F259" s="34" t="n">
        <x:f>IF(SUMIF($C$2:$C$367,C259,$E$2:$E$367)=0,"",E259/SUMIF($C$2:$C$367,C259,$E$2:$E$367))</x:f>
        <x:v>0.0000059510745165062495</x:v>
      </x:c>
      <x:c r="G259" s="35" t="n">
        <x:f>COUNTIFS($C$2:$C$367,C259,$E$2:$E$367,"&gt;"&amp;E259)+COUNTIFS($C$2:C259,C259,$E$2:E259,E259)</x:f>
        <x:v>258</x:v>
      </x:c>
      <x:c r="H259" s="34" t="n">
        <x:f>IF(SUMIF($C$2:$C$367,C259,$E$2:$E$367)=0,"",SUMIF($C$2:C259,C259,$F$2:F259))</x:f>
        <x:v>0.9999636182493662</x:v>
      </x:c>
    </x:row>
    <x:row r="260" ht="18" customHeight="1">
      <x:c r="A260" s="25" t="str">
        <x:f>'All Areas Data'!A260</x:f>
        <x:v>EEZ_850</x:v>
      </x:c>
      <x:c r="B260" s="25" t="str">
        <x:f>'All Areas Data'!B260</x:f>
        <x:v>US Virgin Isl.</x:v>
      </x:c>
      <x:c r="C260" s="25" t="str">
        <x:f>'All Areas Data'!C260</x:f>
        <x:v>EEZ</x:v>
      </x:c>
      <x:c r="D260" s="32" t="n">
        <x:f>'All Areas Data'!E260</x:f>
        <x:v>385.4790666690001</x:v>
      </x:c>
      <x:c r="E260" s="32" t="n">
        <x:f>'All Areas Data'!K260</x:f>
        <x:v>359796.24203482084</x:v>
      </x:c>
      <x:c r="F260" s="34" t="n">
        <x:f>IF(SUMIF($C$2:$C$367,C260,$E$2:$E$367)=0,"",E260/SUMIF($C$2:$C$367,C260,$E$2:$E$367))</x:f>
        <x:v>0.0000054151785182519945</x:v>
      </x:c>
      <x:c r="G260" s="35" t="n">
        <x:f>COUNTIFS($C$2:$C$367,C260,$E$2:$E$367,"&gt;"&amp;E260)+COUNTIFS($C$2:C260,C260,$E$2:E260,E260)</x:f>
        <x:v>259</x:v>
      </x:c>
      <x:c r="H260" s="34" t="n">
        <x:f>IF(SUMIF($C$2:$C$367,C260,$E$2:$E$367)=0,"",SUMIF($C$2:C260,C260,$F$2:F260))</x:f>
        <x:v>0.9999690334278845</x:v>
      </x:c>
    </x:row>
    <x:row r="261" ht="18" customHeight="1">
      <x:c r="A261" s="25" t="str">
        <x:f>'All Areas Data'!A261</x:f>
        <x:v>EEZ_086</x:v>
      </x:c>
      <x:c r="B261" s="25" t="str">
        <x:f>'All Areas Data'!B261</x:f>
        <x:v>Chagos Archipelago (UK)</x:v>
      </x:c>
      <x:c r="C261" s="25" t="str">
        <x:f>'All Areas Data'!C261</x:f>
        <x:v>EEZ</x:v>
      </x:c>
      <x:c r="D261" s="32" t="n">
        <x:f>'All Areas Data'!E261</x:f>
        <x:v>135.2489756326</x:v>
      </x:c>
      <x:c r="E261" s="32" t="n">
        <x:f>'All Areas Data'!K261</x:f>
        <x:v>263025.75586093066</x:v>
      </x:c>
      <x:c r="F261" s="34" t="n">
        <x:f>IF(SUMIF($C$2:$C$367,C261,$E$2:$E$367)=0,"",E261/SUMIF($C$2:$C$367,C261,$E$2:$E$367))</x:f>
        <x:v>0.000003958716786005951</x:v>
      </x:c>
      <x:c r="G261" s="35" t="n">
        <x:f>COUNTIFS($C$2:$C$367,C261,$E$2:$E$367,"&gt;"&amp;E261)+COUNTIFS($C$2:C261,C261,$E$2:E261,E261)</x:f>
        <x:v>260</x:v>
      </x:c>
      <x:c r="H261" s="34" t="n">
        <x:f>IF(SUMIF($C$2:$C$367,C261,$E$2:$E$367)=0,"",SUMIF($C$2:C261,C261,$F$2:F261))</x:f>
        <x:v>0.9999729921446705</x:v>
      </x:c>
    </x:row>
    <x:row r="262" ht="18" customHeight="1">
      <x:c r="A262" s="25" t="str">
        <x:f>'All Areas Data'!A262</x:f>
        <x:v>EEZ_038</x:v>
      </x:c>
      <x:c r="B262" s="25" t="str">
        <x:f>'All Areas Data'!B262</x:f>
        <x:v>Lord Howe Isl. (Australia)</x:v>
      </x:c>
      <x:c r="C262" s="25" t="str">
        <x:f>'All Areas Data'!C262</x:f>
        <x:v>EEZ</x:v>
      </x:c>
      <x:c r="D262" s="32" t="n">
        <x:f>'All Areas Data'!E262</x:f>
        <x:v>111.5646524811</x:v>
      </x:c>
      <x:c r="E262" s="32" t="n">
        <x:f>'All Areas Data'!K262</x:f>
        <x:v>237070.8824424346</x:v>
      </x:c>
      <x:c r="F262" s="34" t="n">
        <x:f>IF(SUMIF($C$2:$C$367,C262,$E$2:$E$367)=0,"",E262/SUMIF($C$2:$C$367,C262,$E$2:$E$367))</x:f>
        <x:v>0.0000035680782618654263</x:v>
      </x:c>
      <x:c r="G262" s="35" t="n">
        <x:f>COUNTIFS($C$2:$C$367,C262,$E$2:$E$367,"&gt;"&amp;E262)+COUNTIFS($C$2:C262,C262,$E$2:E262,E262)</x:f>
        <x:v>261</x:v>
      </x:c>
      <x:c r="H262" s="34" t="n">
        <x:f>IF(SUMIF($C$2:$C$367,C262,$E$2:$E$367)=0,"",SUMIF($C$2:C262,C262,$F$2:F262))</x:f>
        <x:v>0.9999765602229324</x:v>
      </x:c>
    </x:row>
    <x:row r="263" ht="18" customHeight="1">
      <x:c r="A263" s="25" t="str">
        <x:f>'All Areas Data'!A263</x:f>
        <x:v>EEZ_166</x:v>
      </x:c>
      <x:c r="B263" s="25" t="str">
        <x:f>'All Areas Data'!B263</x:f>
        <x:v>Cocos (Keeling) Isl. (Australia)</x:v>
      </x:c>
      <x:c r="C263" s="25" t="str">
        <x:f>'All Areas Data'!C263</x:f>
        <x:v>EEZ</x:v>
      </x:c>
      <x:c r="D263" s="32" t="n">
        <x:f>'All Areas Data'!E263</x:f>
        <x:v>268.594720107</x:v>
      </x:c>
      <x:c r="E263" s="32" t="n">
        <x:f>'All Areas Data'!K263</x:f>
        <x:v>192511.2290212681</x:v>
      </x:c>
      <x:c r="F263" s="34" t="n">
        <x:f>IF(SUMIF($C$2:$C$367,C263,$E$2:$E$367)=0,"",E263/SUMIF($C$2:$C$367,C263,$E$2:$E$367))</x:f>
        <x:v>0.0000028974251260172145</x:v>
      </x:c>
      <x:c r="G263" s="35" t="n">
        <x:f>COUNTIFS($C$2:$C$367,C263,$E$2:$E$367,"&gt;"&amp;E263)+COUNTIFS($C$2:C263,C263,$E$2:E263,E263)</x:f>
        <x:v>262</x:v>
      </x:c>
      <x:c r="H263" s="34" t="n">
        <x:f>IF(SUMIF($C$2:$C$367,C263,$E$2:$E$367)=0,"",SUMIF($C$2:C263,C263,$F$2:F263))</x:f>
        <x:v>0.9999794576480584</x:v>
      </x:c>
    </x:row>
    <x:row r="264" ht="18" customHeight="1">
      <x:c r="A264" s="25" t="str">
        <x:f>'All Areas Data'!A264</x:f>
        <x:v>EEZ_136</x:v>
      </x:c>
      <x:c r="B264" s="25" t="str">
        <x:f>'All Areas Data'!B264</x:f>
        <x:v>Cayman Isl. (UK)</x:v>
      </x:c>
      <x:c r="C264" s="25" t="str">
        <x:f>'All Areas Data'!C264</x:f>
        <x:v>EEZ</x:v>
      </x:c>
      <x:c r="D264" s="32" t="n">
        <x:f>'All Areas Data'!E264</x:f>
        <x:v>244.37965271110005</x:v>
      </x:c>
      <x:c r="E264" s="32" t="n">
        <x:f>'All Areas Data'!K264</x:f>
        <x:v>174518.88545299374</x:v>
      </x:c>
      <x:c r="F264" s="34" t="n">
        <x:f>IF(SUMIF($C$2:$C$367,C264,$E$2:$E$367)=0,"",E264/SUMIF($C$2:$C$367,C264,$E$2:$E$367))</x:f>
        <x:v>0.0000026266280998089765</x:v>
      </x:c>
      <x:c r="G264" s="35" t="n">
        <x:f>COUNTIFS($C$2:$C$367,C264,$E$2:$E$367,"&gt;"&amp;E264)+COUNTIFS($C$2:C264,C264,$E$2:E264,E264)</x:f>
        <x:v>263</x:v>
      </x:c>
      <x:c r="H264" s="34" t="n">
        <x:f>IF(SUMIF($C$2:$C$367,C264,$E$2:$E$367)=0,"",SUMIF($C$2:C264,C264,$F$2:F264))</x:f>
        <x:v>0.9999820842761582</x:v>
      </x:c>
    </x:row>
    <x:row r="265" ht="18" customHeight="1">
      <x:c r="A265" s="25" t="str">
        <x:f>'All Areas Data'!A265</x:f>
        <x:v>EEZ_912</x:v>
      </x:c>
      <x:c r="B265" s="25" t="str">
        <x:f>'All Areas Data'!B265</x:f>
        <x:v>Russia (Kara Sea)</x:v>
      </x:c>
      <x:c r="C265" s="25" t="str">
        <x:f>'All Areas Data'!C265</x:f>
        <x:v>EEZ</x:v>
      </x:c>
      <x:c r="D265" s="32" t="n">
        <x:f>'All Areas Data'!E265</x:f>
        <x:v>747.53431635</x:v>
      </x:c>
      <x:c r="E265" s="32" t="n">
        <x:f>'All Areas Data'!K265</x:f>
        <x:v>142441.20996613824</x:v>
      </x:c>
      <x:c r="F265" s="34" t="n">
        <x:f>IF(SUMIF($C$2:$C$367,C265,$E$2:$E$367)=0,"",E265/SUMIF($C$2:$C$367,C265,$E$2:$E$367))</x:f>
        <x:v>0.0000021438372339859052</x:v>
      </x:c>
      <x:c r="G265" s="35" t="n">
        <x:f>COUNTIFS($C$2:$C$367,C265,$E$2:$E$367,"&gt;"&amp;E265)+COUNTIFS($C$2:C265,C265,$E$2:E265,E265)</x:f>
        <x:v>264</x:v>
      </x:c>
      <x:c r="H265" s="34" t="n">
        <x:f>IF(SUMIF($C$2:$C$367,C265,$E$2:$E$367)=0,"",SUMIF($C$2:C265,C265,$F$2:F265))</x:f>
        <x:v>0.9999842281133922</x:v>
      </x:c>
    </x:row>
    <x:row r="266" ht="18" customHeight="1">
      <x:c r="A266" s="25" t="str">
        <x:f>'All Areas Data'!A266</x:f>
        <x:v>EEZ_705</x:v>
      </x:c>
      <x:c r="B266" s="25" t="str">
        <x:f>'All Areas Data'!B266</x:f>
        <x:v>Slovenia</x:v>
      </x:c>
      <x:c r="C266" s="25" t="str">
        <x:f>'All Areas Data'!C266</x:f>
        <x:v>EEZ</x:v>
      </x:c>
      <x:c r="D266" s="32" t="n">
        <x:f>'All Areas Data'!E266</x:f>
        <x:v>203.5210142398</x:v>
      </x:c>
      <x:c r="E266" s="32" t="n">
        <x:f>'All Areas Data'!K266</x:f>
        <x:v>130224.70736268716</x:v>
      </x:c>
      <x:c r="F266" s="34" t="n">
        <x:f>IF(SUMIF($C$2:$C$367,C266,$E$2:$E$367)=0,"",E266/SUMIF($C$2:$C$367,C266,$E$2:$E$367))</x:f>
        <x:v>0.0000019599705485190366</x:v>
      </x:c>
      <x:c r="G266" s="35" t="n">
        <x:f>COUNTIFS($C$2:$C$367,C266,$E$2:$E$367,"&gt;"&amp;E266)+COUNTIFS($C$2:C266,C266,$E$2:E266,E266)</x:f>
        <x:v>265</x:v>
      </x:c>
      <x:c r="H266" s="34" t="n">
        <x:f>IF(SUMIF($C$2:$C$367,C266,$E$2:$E$367)=0,"",SUMIF($C$2:C266,C266,$F$2:F266))</x:f>
        <x:v>0.9999861880839407</x:v>
      </x:c>
    </x:row>
    <x:row r="267" ht="18" customHeight="1">
      <x:c r="A267" s="25" t="str">
        <x:f>'All Areas Data'!A267</x:f>
        <x:v>EEZ_908</x:v>
      </x:c>
      <x:c r="B267" s="25" t="str">
        <x:f>'All Areas Data'!B267</x:f>
        <x:v>Saba and Sint Eustatius (Netherlands)</x:v>
      </x:c>
      <x:c r="C267" s="25" t="str">
        <x:f>'All Areas Data'!C267</x:f>
        <x:v>EEZ</x:v>
      </x:c>
      <x:c r="D267" s="32" t="n">
        <x:f>'All Areas Data'!E267</x:f>
        <x:v>496.3226371927999</x:v>
      </x:c>
      <x:c r="E267" s="32" t="n">
        <x:f>'All Areas Data'!K267</x:f>
        <x:v>123182.09188878365</x:v>
      </x:c>
      <x:c r="F267" s="34" t="n">
        <x:f>IF(SUMIF($C$2:$C$367,C267,$E$2:$E$367)=0,"",E267/SUMIF($C$2:$C$367,C267,$E$2:$E$367))</x:f>
        <x:v>0.0000018539743885510828</x:v>
      </x:c>
      <x:c r="G267" s="35" t="n">
        <x:f>COUNTIFS($C$2:$C$367,C267,$E$2:$E$367,"&gt;"&amp;E267)+COUNTIFS($C$2:C267,C267,$E$2:E267,E267)</x:f>
        <x:v>266</x:v>
      </x:c>
      <x:c r="H267" s="34" t="n">
        <x:f>IF(SUMIF($C$2:$C$367,C267,$E$2:$E$367)=0,"",SUMIF($C$2:C267,C267,$F$2:F267))</x:f>
        <x:v>0.9999880420583293</x:v>
      </x:c>
    </x:row>
    <x:row r="268" ht="18" customHeight="1">
      <x:c r="A268" s="25" t="str">
        <x:f>'All Areas Data'!A268</x:f>
        <x:v>EEZ_856</x:v>
      </x:c>
      <x:c r="B268" s="25" t="str">
        <x:f>'All Areas Data'!B268</x:f>
        <x:v>Tristan da Cunha Isl. (UK)</x:v>
      </x:c>
      <x:c r="C268" s="25" t="str">
        <x:f>'All Areas Data'!C268</x:f>
        <x:v>EEZ</x:v>
      </x:c>
      <x:c r="D268" s="32" t="n">
        <x:f>'All Areas Data'!E268</x:f>
        <x:v>733.0059081887999</x:v>
      </x:c>
      <x:c r="E268" s="32" t="n">
        <x:f>'All Areas Data'!K268</x:f>
        <x:v>117455.8801231217</x:v>
      </x:c>
      <x:c r="F268" s="34" t="n">
        <x:f>IF(SUMIF($C$2:$C$367,C268,$E$2:$E$367)=0,"",E268/SUMIF($C$2:$C$367,C268,$E$2:$E$367))</x:f>
        <x:v>0.000001767791001062079</x:v>
      </x:c>
      <x:c r="G268" s="35" t="n">
        <x:f>COUNTIFS($C$2:$C$367,C268,$E$2:$E$367,"&gt;"&amp;E268)+COUNTIFS($C$2:C268,C268,$E$2:E268,E268)</x:f>
        <x:v>267</x:v>
      </x:c>
      <x:c r="H268" s="34" t="n">
        <x:f>IF(SUMIF($C$2:$C$367,C268,$E$2:$E$367)=0,"",SUMIF($C$2:C268,C268,$F$2:F268))</x:f>
        <x:v>0.9999898098493303</x:v>
      </x:c>
    </x:row>
    <x:row r="269" ht="18" customHeight="1">
      <x:c r="A269" s="25" t="str">
        <x:f>'All Areas Data'!A269</x:f>
        <x:v>EEZ_895</x:v>
      </x:c>
      <x:c r="B269" s="25" t="str">
        <x:f>'All Areas Data'!B269</x:f>
        <x:v>St Paul &amp; Amsterdam Isl. (France)</x:v>
      </x:c>
      <x:c r="C269" s="25" t="str">
        <x:f>'All Areas Data'!C269</x:f>
        <x:v>EEZ</x:v>
      </x:c>
      <x:c r="D269" s="32" t="n">
        <x:f>'All Areas Data'!E269</x:f>
        <x:v>497.3573467841</x:v>
      </x:c>
      <x:c r="E269" s="32" t="n">
        <x:f>'All Areas Data'!K269</x:f>
        <x:v>97675.0183717673</x:v>
      </x:c>
      <x:c r="F269" s="34" t="n">
        <x:f>IF(SUMIF($C$2:$C$367,C269,$E$2:$E$367)=0,"",E269/SUMIF($C$2:$C$367,C269,$E$2:$E$367))</x:f>
        <x:v>0.0000014700755579472504</x:v>
      </x:c>
      <x:c r="G269" s="35" t="n">
        <x:f>COUNTIFS($C$2:$C$367,C269,$E$2:$E$367,"&gt;"&amp;E269)+COUNTIFS($C$2:C269,C269,$E$2:E269,E269)</x:f>
        <x:v>268</x:v>
      </x:c>
      <x:c r="H269" s="34" t="n">
        <x:f>IF(SUMIF($C$2:$C$367,C269,$E$2:$E$367)=0,"",SUMIF($C$2:C269,C269,$F$2:F269))</x:f>
        <x:v>0.9999912799248882</x:v>
      </x:c>
    </x:row>
    <x:row r="270" ht="18" customHeight="1">
      <x:c r="A270" s="25" t="str">
        <x:f>'All Areas Data'!A270</x:f>
        <x:v>EEZ_909</x:v>
      </x:c>
      <x:c r="B270" s="25" t="str">
        <x:f>'All Areas Data'!B270</x:f>
        <x:v>Sint Maarten (Netherlands)</x:v>
      </x:c>
      <x:c r="C270" s="25" t="str">
        <x:f>'All Areas Data'!C270</x:f>
        <x:v>EEZ</x:v>
      </x:c>
      <x:c r="D270" s="32" t="n">
        <x:f>'All Areas Data'!E270</x:f>
        <x:v>83.0733507754</x:v>
      </x:c>
      <x:c r="E270" s="32" t="n">
        <x:f>'All Areas Data'!K270</x:f>
        <x:v>85688.12663919516</x:v>
      </x:c>
      <x:c r="F270" s="34" t="n">
        <x:f>IF(SUMIF($C$2:$C$367,C270,$E$2:$E$367)=0,"",E270/SUMIF($C$2:$C$367,C270,$E$2:$E$367))</x:f>
        <x:v>0.0000012896646724868206</x:v>
      </x:c>
      <x:c r="G270" s="35" t="n">
        <x:f>COUNTIFS($C$2:$C$367,C270,$E$2:$E$367,"&gt;"&amp;E270)+COUNTIFS($C$2:C270,C270,$E$2:E270,E270)</x:f>
        <x:v>269</x:v>
      </x:c>
      <x:c r="H270" s="34" t="n">
        <x:f>IF(SUMIF($C$2:$C$367,C270,$E$2:$E$367)=0,"",SUMIF($C$2:C270,C270,$F$2:F270))</x:f>
        <x:v>0.9999925695895607</x:v>
      </x:c>
    </x:row>
    <x:row r="271" ht="18" customHeight="1">
      <x:c r="A271" s="25" t="str">
        <x:f>'All Areas Data'!A271</x:f>
        <x:v>EEZ_940</x:v>
      </x:c>
      <x:c r="B271" s="25" t="str">
        <x:f>'All Areas Data'!B271</x:f>
        <x:v>Israel (Red Sea)</x:v>
      </x:c>
      <x:c r="C271" s="25" t="str">
        <x:f>'All Areas Data'!C271</x:f>
        <x:v>EEZ</x:v>
      </x:c>
      <x:c r="D271" s="32" t="n">
        <x:f>'All Areas Data'!E271</x:f>
        <x:v>111.23519999999999</x:v>
      </x:c>
      <x:c r="E271" s="32" t="n">
        <x:f>'All Areas Data'!K271</x:f>
        <x:v>82932.78705570377</x:v>
      </x:c>
      <x:c r="F271" s="34" t="n">
        <x:f>IF(SUMIF($C$2:$C$367,C271,$E$2:$E$367)=0,"",E271/SUMIF($C$2:$C$367,C271,$E$2:$E$367))</x:f>
        <x:v>0.0000012481949349525193</x:v>
      </x:c>
      <x:c r="G271" s="35" t="n">
        <x:f>COUNTIFS($C$2:$C$367,C271,$E$2:$E$367,"&gt;"&amp;E271)+COUNTIFS($C$2:C271,C271,$E$2:E271,E271)</x:f>
        <x:v>270</x:v>
      </x:c>
      <x:c r="H271" s="34" t="n">
        <x:f>IF(SUMIF($C$2:$C$367,C271,$E$2:$E$367)=0,"",SUMIF($C$2:C271,C271,$F$2:F271))</x:f>
        <x:v>0.9999938177844957</x:v>
      </x:c>
    </x:row>
    <x:row r="272" ht="18" customHeight="1">
      <x:c r="A272" s="25" t="str">
        <x:f>'All Areas Data'!A272</x:f>
        <x:v>EEZ_555</x:v>
      </x:c>
      <x:c r="B272" s="25" t="str">
        <x:f>'All Areas Data'!B272</x:f>
        <x:v>Kermadec Isl. (New Zealand)</x:v>
      </x:c>
      <x:c r="C272" s="25" t="str">
        <x:f>'All Areas Data'!C272</x:f>
        <x:v>EEZ</x:v>
      </x:c>
      <x:c r="D272" s="32" t="n">
        <x:f>'All Areas Data'!E272</x:f>
        <x:v>66.11770604899998</x:v>
      </x:c>
      <x:c r="E272" s="32" t="n">
        <x:f>'All Areas Data'!K272</x:f>
        <x:v>78824.46595983862</x:v>
      </x:c>
      <x:c r="F272" s="34" t="n">
        <x:f>IF(SUMIF($C$2:$C$367,C272,$E$2:$E$367)=0,"",E272/SUMIF($C$2:$C$367,C272,$E$2:$E$367))</x:f>
        <x:v>0.0000011863619040720652</x:v>
      </x:c>
      <x:c r="G272" s="35" t="n">
        <x:f>COUNTIFS($C$2:$C$367,C272,$E$2:$E$367,"&gt;"&amp;E272)+COUNTIFS($C$2:C272,C272,$E$2:E272,E272)</x:f>
        <x:v>271</x:v>
      </x:c>
      <x:c r="H272" s="34" t="n">
        <x:f>IF(SUMIF($C$2:$C$367,C272,$E$2:$E$367)=0,"",SUMIF($C$2:C272,C272,$F$2:F272))</x:f>
        <x:v>0.9999950041463997</x:v>
      </x:c>
    </x:row>
    <x:row r="273" ht="18" customHeight="1">
      <x:c r="A273" s="25" t="str">
        <x:f>'All Areas Data'!A273</x:f>
        <x:v>EEZ_872</x:v>
      </x:c>
      <x:c r="B273" s="25" t="str">
        <x:f>'All Areas Data'!B273</x:f>
        <x:v>Wake Isl. (USA)</x:v>
      </x:c>
      <x:c r="C273" s="25" t="str">
        <x:f>'All Areas Data'!C273</x:f>
        <x:v>EEZ</x:v>
      </x:c>
      <x:c r="D273" s="32" t="n">
        <x:f>'All Areas Data'!E273</x:f>
        <x:v>34.633787389199995</x:v>
      </x:c>
      <x:c r="E273" s="32" t="n">
        <x:f>'All Areas Data'!K273</x:f>
        <x:v>68115.70486681667</x:v>
      </x:c>
      <x:c r="F273" s="34" t="n">
        <x:f>IF(SUMIF($C$2:$C$367,C273,$E$2:$E$367)=0,"",E273/SUMIF($C$2:$C$367,C273,$E$2:$E$367))</x:f>
        <x:v>0.0000010251877553370347</x:v>
      </x:c>
      <x:c r="G273" s="35" t="n">
        <x:f>COUNTIFS($C$2:$C$367,C273,$E$2:$E$367,"&gt;"&amp;E273)+COUNTIFS($C$2:C273,C273,$E$2:E273,E273)</x:f>
        <x:v>272</x:v>
      </x:c>
      <x:c r="H273" s="34" t="n">
        <x:f>IF(SUMIF($C$2:$C$367,C273,$E$2:$E$367)=0,"",SUMIF($C$2:C273,C273,$F$2:F273))</x:f>
        <x:v>0.9999960293341551</x:v>
      </x:c>
    </x:row>
    <x:row r="274" ht="18" customHeight="1">
      <x:c r="A274" s="25" t="str">
        <x:f>'All Areas Data'!A274</x:f>
        <x:v>EEZ_855</x:v>
      </x:c>
      <x:c r="B274" s="25" t="str">
        <x:f>'All Areas Data'!B274</x:f>
        <x:v>Ascension Isl. (UK)</x:v>
      </x:c>
      <x:c r="C274" s="25" t="str">
        <x:f>'All Areas Data'!C274</x:f>
        <x:v>EEZ</x:v>
      </x:c>
      <x:c r="D274" s="32" t="n">
        <x:f>'All Areas Data'!E274</x:f>
        <x:v>32.764000004</x:v>
      </x:c>
      <x:c r="E274" s="32" t="n">
        <x:f>'All Areas Data'!K274</x:f>
        <x:v>46972.74183264927</x:v>
      </x:c>
      <x:c r="F274" s="34" t="n">
        <x:f>IF(SUMIF($C$2:$C$367,C274,$E$2:$E$367)=0,"",E274/SUMIF($C$2:$C$367,C274,$E$2:$E$367))</x:f>
        <x:v>7.069717601190003e-7</x:v>
      </x:c>
      <x:c r="G274" s="35" t="n">
        <x:f>COUNTIFS($C$2:$C$367,C274,$E$2:$E$367,"&gt;"&amp;E274)+COUNTIFS($C$2:C274,C274,$E$2:E274,E274)</x:f>
        <x:v>273</x:v>
      </x:c>
      <x:c r="H274" s="34" t="n">
        <x:f>IF(SUMIF($C$2:$C$367,C274,$E$2:$E$367)=0,"",SUMIF($C$2:C274,C274,$F$2:F274))</x:f>
        <x:v>0.9999967363059152</x:v>
      </x:c>
    </x:row>
    <x:row r="275" ht="18" customHeight="1">
      <x:c r="A275" s="25" t="str">
        <x:f>'All Areas Data'!A275</x:f>
        <x:v>EEZ_500</x:v>
      </x:c>
      <x:c r="B275" s="25" t="str">
        <x:f>'All Areas Data'!B275</x:f>
        <x:v>Montserrat (UK)</x:v>
      </x:c>
      <x:c r="C275" s="25" t="str">
        <x:f>'All Areas Data'!C275</x:f>
        <x:v>EEZ</x:v>
      </x:c>
      <x:c r="D275" s="32" t="n">
        <x:f>'All Areas Data'!E275</x:f>
        <x:v>49.412650413</x:v>
      </x:c>
      <x:c r="E275" s="32" t="n">
        <x:f>'All Areas Data'!K275</x:f>
        <x:v>41219.71043073506</x:v>
      </x:c>
      <x:c r="F275" s="34" t="n">
        <x:f>IF(SUMIF($C$2:$C$367,C275,$E$2:$E$367)=0,"",E275/SUMIF($C$2:$C$367,C275,$E$2:$E$367))</x:f>
        <x:v>6.203847188361735e-7</x:v>
      </x:c>
      <x:c r="G275" s="35" t="n">
        <x:f>COUNTIFS($C$2:$C$367,C275,$E$2:$E$367,"&gt;"&amp;E275)+COUNTIFS($C$2:C275,C275,$E$2:E275,E275)</x:f>
        <x:v>274</x:v>
      </x:c>
      <x:c r="H275" s="34" t="n">
        <x:f>IF(SUMIF($C$2:$C$367,C275,$E$2:$E$367)=0,"",SUMIF($C$2:C275,C275,$F$2:F275))</x:f>
        <x:v>0.999997356690634</x:v>
      </x:c>
    </x:row>
    <x:row r="276" ht="18" customHeight="1">
      <x:c r="A276" s="25" t="str">
        <x:f>'All Areas Data'!A276</x:f>
        <x:v>EEZ_252</x:v>
      </x:c>
      <x:c r="B276" s="25" t="str">
        <x:f>'All Areas Data'!B276</x:f>
        <x:v>Tromelin Isl. (France)</x:v>
      </x:c>
      <x:c r="C276" s="25" t="str">
        <x:f>'All Areas Data'!C276</x:f>
        <x:v>EEZ</x:v>
      </x:c>
      <x:c r="D276" s="32" t="n">
        <x:f>'All Areas Data'!E276</x:f>
        <x:v>20.057971261000002</x:v>
      </x:c>
      <x:c r="E276" s="32" t="n">
        <x:f>'All Areas Data'!K276</x:f>
        <x:v>40630.07009385537</x:v>
      </x:c>
      <x:c r="F276" s="34" t="n">
        <x:f>IF(SUMIF($C$2:$C$367,C276,$E$2:$E$367)=0,"",E276/SUMIF($C$2:$C$367,C276,$E$2:$E$367))</x:f>
        <x:v>6.115102301319342e-7</x:v>
      </x:c>
      <x:c r="G276" s="35" t="n">
        <x:f>COUNTIFS($C$2:$C$367,C276,$E$2:$E$367,"&gt;"&amp;E276)+COUNTIFS($C$2:C276,C276,$E$2:E276,E276)</x:f>
        <x:v>275</x:v>
      </x:c>
      <x:c r="H276" s="34" t="n">
        <x:f>IF(SUMIF($C$2:$C$367,C276,$E$2:$E$367)=0,"",SUMIF($C$2:C276,C276,$F$2:F276))</x:f>
        <x:v>0.9999979682008642</x:v>
      </x:c>
    </x:row>
    <x:row r="277" ht="18" customHeight="1">
      <x:c r="A277" s="25" t="str">
        <x:f>'All Areas Data'!A277</x:f>
        <x:v>EEZ_972</x:v>
      </x:c>
      <x:c r="B277" s="25" t="str">
        <x:f>'All Areas Data'!B277</x:f>
        <x:v>Glorieuse Islands (France)</x:v>
      </x:c>
      <x:c r="C277" s="25" t="str">
        <x:f>'All Areas Data'!C277</x:f>
        <x:v>EEZ</x:v>
      </x:c>
      <x:c r="D277" s="32" t="n">
        <x:f>'All Areas Data'!E277</x:f>
        <x:v>102.5142017896</x:v>
      </x:c>
      <x:c r="E277" s="32" t="n">
        <x:f>'All Areas Data'!K277</x:f>
        <x:v>35371.82907577973</x:v>
      </x:c>
      <x:c r="F277" s="34" t="n">
        <x:f>IF(SUMIF($C$2:$C$367,C277,$E$2:$E$367)=0,"",E277/SUMIF($C$2:$C$367,C277,$E$2:$E$367))</x:f>
        <x:v>5.323701211529222e-7</x:v>
      </x:c>
      <x:c r="G277" s="35" t="n">
        <x:f>COUNTIFS($C$2:$C$367,C277,$E$2:$E$367,"&gt;"&amp;E277)+COUNTIFS($C$2:C277,C277,$E$2:E277,E277)</x:f>
        <x:v>276</x:v>
      </x:c>
      <x:c r="H277" s="34" t="n">
        <x:f>IF(SUMIF($C$2:$C$367,C277,$E$2:$E$367)=0,"",SUMIF($C$2:C277,C277,$F$2:F277))</x:f>
        <x:v>0.9999985005709853</x:v>
      </x:c>
    </x:row>
    <x:row r="278" ht="18" customHeight="1">
      <x:c r="A278" s="25" t="str">
        <x:f>'All Areas Data'!A278</x:f>
        <x:v>EEZ_574</x:v>
      </x:c>
      <x:c r="B278" s="25" t="str">
        <x:f>'All Areas Data'!B278</x:f>
        <x:v>Norfolk Isl. (Australia)</x:v>
      </x:c>
      <x:c r="C278" s="25" t="str">
        <x:f>'All Areas Data'!C278</x:f>
        <x:v>EEZ</x:v>
      </x:c>
      <x:c r="D278" s="32" t="n">
        <x:f>'All Areas Data'!E278</x:f>
        <x:v>17.4978128176</x:v>
      </x:c>
      <x:c r="E278" s="32" t="n">
        <x:f>'All Areas Data'!K278</x:f>
        <x:v>32366.394255930376</x:v>
      </x:c>
      <x:c r="F278" s="34" t="n">
        <x:f>IF(SUMIF($C$2:$C$367,C278,$E$2:$E$367)=0,"",E278/SUMIF($C$2:$C$367,C278,$E$2:$E$367))</x:f>
        <x:v>4.87136279958773e-7</x:v>
      </x:c>
      <x:c r="G278" s="35" t="n">
        <x:f>COUNTIFS($C$2:$C$367,C278,$E$2:$E$367,"&gt;"&amp;E278)+COUNTIFS($C$2:C278,C278,$E$2:E278,E278)</x:f>
        <x:v>277</x:v>
      </x:c>
      <x:c r="H278" s="34" t="n">
        <x:f>IF(SUMIF($C$2:$C$367,C278,$E$2:$E$367)=0,"",SUMIF($C$2:C278,C278,$F$2:F278))</x:f>
        <x:v>0.9999989877072653</x:v>
      </x:c>
    </x:row>
    <x:row r="279" ht="18" customHeight="1">
      <x:c r="A279" s="25" t="str">
        <x:f>'All Areas Data'!A279</x:f>
        <x:v>EEZ_074</x:v>
      </x:c>
      <x:c r="B279" s="25" t="str">
        <x:f>'All Areas Data'!B279</x:f>
        <x:v>Bouvet Isl. (Norway)</x:v>
      </x:c>
      <x:c r="C279" s="25" t="str">
        <x:f>'All Areas Data'!C279</x:f>
        <x:v>EEZ</x:v>
      </x:c>
      <x:c r="D279" s="32" t="n">
        <x:f>'All Areas Data'!E279</x:f>
        <x:v>133.56110065549998</x:v>
      </x:c>
      <x:c r="E279" s="32" t="n">
        <x:f>'All Areas Data'!K279</x:f>
        <x:v>25983.663702706264</x:v>
      </x:c>
      <x:c r="F279" s="34" t="n">
        <x:f>IF(SUMIF($C$2:$C$367,C279,$E$2:$E$367)=0,"",E279/SUMIF($C$2:$C$367,C279,$E$2:$E$367))</x:f>
        <x:v>3.9107183752842416e-7</x:v>
      </x:c>
      <x:c r="G279" s="35" t="n">
        <x:f>COUNTIFS($C$2:$C$367,C279,$E$2:$E$367,"&gt;"&amp;E279)+COUNTIFS($C$2:C279,C279,$E$2:E279,E279)</x:f>
        <x:v>278</x:v>
      </x:c>
      <x:c r="H279" s="34" t="n">
        <x:f>IF(SUMIF($C$2:$C$367,C279,$E$2:$E$367)=0,"",SUMIF($C$2:C279,C279,$F$2:F279))</x:f>
        <x:v>0.9999993787791028</x:v>
      </x:c>
    </x:row>
    <x:row r="280" ht="18" customHeight="1">
      <x:c r="A280" s="25" t="str">
        <x:f>'All Areas Data'!A280</x:f>
        <x:v>EEZ_162</x:v>
      </x:c>
      <x:c r="B280" s="25" t="str">
        <x:f>'All Areas Data'!B280</x:f>
        <x:v>Christmas Isl. (Australia)</x:v>
      </x:c>
      <x:c r="C280" s="25" t="str">
        <x:f>'All Areas Data'!C280</x:f>
        <x:v>EEZ</x:v>
      </x:c>
      <x:c r="D280" s="32" t="n">
        <x:f>'All Areas Data'!E280</x:f>
        <x:v>25.629903931</x:v>
      </x:c>
      <x:c r="E280" s="32" t="n">
        <x:f>'All Areas Data'!K280</x:f>
        <x:v>22536.376227926667</x:v>
      </x:c>
      <x:c r="F280" s="34" t="n">
        <x:f>IF(SUMIF($C$2:$C$367,C280,$E$2:$E$367)=0,"",E280/SUMIF($C$2:$C$367,C280,$E$2:$E$367))</x:f>
        <x:v>3.391878129091259e-7</x:v>
      </x:c>
      <x:c r="G280" s="35" t="n">
        <x:f>COUNTIFS($C$2:$C$367,C280,$E$2:$E$367,"&gt;"&amp;E280)+COUNTIFS($C$2:C280,C280,$E$2:E280,E280)</x:f>
        <x:v>279</x:v>
      </x:c>
      <x:c r="H280" s="34" t="n">
        <x:f>IF(SUMIF($C$2:$C$367,C280,$E$2:$E$367)=0,"",SUMIF($C$2:C280,C280,$F$2:F280))</x:f>
        <x:v>0.9999997179669158</x:v>
      </x:c>
    </x:row>
    <x:row r="281" ht="18" customHeight="1">
      <x:c r="A281" s="25" t="str">
        <x:f>'All Areas Data'!A281</x:f>
        <x:v>EEZ_070</x:v>
      </x:c>
      <x:c r="B281" s="25" t="str">
        <x:f>'All Areas Data'!B281</x:f>
        <x:v>Bosnia &amp; Herzegovina</x:v>
      </x:c>
      <x:c r="C281" s="25" t="str">
        <x:f>'All Areas Data'!C281</x:f>
        <x:v>EEZ</x:v>
      </x:c>
      <x:c r="D281" s="32" t="n">
        <x:f>'All Areas Data'!E281</x:f>
        <x:v>61.02055729300001</x:v>
      </x:c>
      <x:c r="E281" s="32" t="n">
        <x:f>'All Areas Data'!K281</x:f>
        <x:v>12983.384180443847</x:v>
      </x:c>
      <x:c r="F281" s="34" t="n">
        <x:f>IF(SUMIF($C$2:$C$367,C281,$E$2:$E$367)=0,"",E281/SUMIF($C$2:$C$367,C281,$E$2:$E$367))</x:f>
        <x:v>1.9540877556288648e-7</x:v>
      </x:c>
      <x:c r="G281" s="35" t="n">
        <x:f>COUNTIFS($C$2:$C$367,C281,$E$2:$E$367,"&gt;"&amp;E281)+COUNTIFS($C$2:C281,C281,$E$2:E281,E281)</x:f>
        <x:v>280</x:v>
      </x:c>
      <x:c r="H281" s="34" t="n">
        <x:f>IF(SUMIF($C$2:$C$367,C281,$E$2:$E$367)=0,"",SUMIF($C$2:C281,C281,$F$2:F281))</x:f>
        <x:v>0.9999999133756914</x:v>
      </x:c>
    </x:row>
    <x:row r="282" ht="18" customHeight="1">
      <x:c r="A282" s="25" t="str">
        <x:f>'All Areas Data'!A282</x:f>
        <x:v>EEZ_154</x:v>
      </x:c>
      <x:c r="B282" s="25" t="str">
        <x:f>'All Areas Data'!B282</x:f>
        <x:v>Desventuradas Isl. (Chile)</x:v>
      </x:c>
      <x:c r="C282" s="25" t="str">
        <x:f>'All Areas Data'!C282</x:f>
        <x:v>EEZ</x:v>
      </x:c>
      <x:c r="D282" s="32" t="n">
        <x:f>'All Areas Data'!E282</x:f>
        <x:v>21.535833428</x:v>
      </x:c>
      <x:c r="E282" s="32" t="n">
        <x:f>'All Areas Data'!K282</x:f>
        <x:v>4740.625617241974</x:v>
      </x:c>
      <x:c r="F282" s="34" t="n">
        <x:f>IF(SUMIF($C$2:$C$367,C282,$E$2:$E$367)=0,"",E282/SUMIF($C$2:$C$367,C282,$E$2:$E$367))</x:f>
        <x:v>7.134964462213418e-8</x:v>
      </x:c>
      <x:c r="G282" s="35" t="n">
        <x:f>COUNTIFS($C$2:$C$367,C282,$E$2:$E$367,"&gt;"&amp;E282)+COUNTIFS($C$2:C282,C282,$E$2:E282,E282)</x:f>
        <x:v>281</x:v>
      </x:c>
      <x:c r="H282" s="34" t="n">
        <x:f>IF(SUMIF($C$2:$C$367,C282,$E$2:$E$367)=0,"",SUMIF($C$2:C282,C282,$F$2:F282))</x:f>
        <x:v>0.999999984725336</x:v>
      </x:c>
    </x:row>
    <x:row r="283" ht="18" customHeight="1">
      <x:c r="A283" s="25" t="str">
        <x:f>'All Areas Data'!A283</x:f>
        <x:v>EEZ_612</x:v>
      </x:c>
      <x:c r="B283" s="25" t="str">
        <x:f>'All Areas Data'!B283</x:f>
        <x:v>Pitcairn (UK)</x:v>
      </x:c>
      <x:c r="C283" s="25" t="str">
        <x:f>'All Areas Data'!C283</x:f>
        <x:v>EEZ</x:v>
      </x:c>
      <x:c r="D283" s="32" t="n">
        <x:f>'All Areas Data'!E283</x:f>
        <x:v>3.0000000000000004</x:v>
      </x:c>
      <x:c r="E283" s="32" t="n">
        <x:f>'All Areas Data'!K283</x:f>
        <x:v>1014.8820128320708</x:v>
      </x:c>
      <x:c r="F283" s="34" t="n">
        <x:f>IF(SUMIF($C$2:$C$367,C283,$E$2:$E$367)=0,"",E283/SUMIF($C$2:$C$367,C283,$E$2:$E$367))</x:f>
        <x:v>1.5274665581183857e-8</x:v>
      </x:c>
      <x:c r="G283" s="35" t="n">
        <x:f>COUNTIFS($C$2:$C$367,C283,$E$2:$E$367,"&gt;"&amp;E283)+COUNTIFS($C$2:C283,C283,$E$2:E283,E283)</x:f>
        <x:v>282</x:v>
      </x:c>
      <x:c r="H283" s="34" t="n">
        <x:f>IF(SUMIF($C$2:$C$367,C283,$E$2:$E$367)=0,"",SUMIF($C$2:C283,C283,$F$2:F283))</x:f>
        <x:v>1.0000000000000016</x:v>
      </x:c>
    </x:row>
    <x:row r="284" ht="18" customHeight="1">
      <x:c r="A284" s="25" t="str">
        <x:f>'All Areas Data'!A284</x:f>
        <x:v>HS_077</x:v>
      </x:c>
      <x:c r="B284" s="25" t="str">
        <x:f>'All Areas Data'!B284</x:f>
        <x:v>Pacific, Eastern Central</x:v>
      </x:c>
      <x:c r="C284" s="25" t="str">
        <x:f>'All Areas Data'!C284</x:f>
        <x:v>High Seas</x:v>
      </x:c>
      <x:c r="D284" s="32" t="n">
        <x:f>'All Areas Data'!E284</x:f>
        <x:v>860671.2076084926</x:v>
      </x:c>
      <x:c r="E284" s="32" t="n">
        <x:f>'All Areas Data'!K284</x:f>
        <x:v>2196179346.027695</x:v>
      </x:c>
      <x:c r="F284" s="34" t="n">
        <x:f>IF(SUMIF($C$2:$C$367,C284,$E$2:$E$367)=0,"",E284/SUMIF($C$2:$C$367,C284,$E$2:$E$367))</x:f>
        <x:v>0.29774707558411934</x:v>
      </x:c>
      <x:c r="G284" s="35" t="n">
        <x:f>COUNTIFS($C$2:$C$367,C284,$E$2:$E$367,"&gt;"&amp;E284)+COUNTIFS($C$2:C284,C284,$E$2:E284,E284)</x:f>
        <x:v>1</x:v>
      </x:c>
      <x:c r="H284" s="34" t="n">
        <x:f>IF(SUMIF($C$2:$C$367,C284,$E$2:$E$367)=0,"",SUMIF($C$2:C284,C284,$F$2:F284))</x:f>
        <x:v>0.29774707558411934</x:v>
      </x:c>
    </x:row>
    <x:row r="285" ht="18" customHeight="1">
      <x:c r="A285" s="25" t="str">
        <x:f>'All Areas Data'!A285</x:f>
        <x:v>HS_071</x:v>
      </x:c>
      <x:c r="B285" s="25" t="str">
        <x:f>'All Areas Data'!B285</x:f>
        <x:v>Pacific, Western Central</x:v>
      </x:c>
      <x:c r="C285" s="25" t="str">
        <x:f>'All Areas Data'!C285</x:f>
        <x:v>High Seas</x:v>
      </x:c>
      <x:c r="D285" s="32" t="n">
        <x:f>'All Areas Data'!E285</x:f>
        <x:v>571817.786555246</x:v>
      </x:c>
      <x:c r="E285" s="32" t="n">
        <x:f>'All Areas Data'!K285</x:f>
        <x:v>1482147259.8171525</x:v>
      </x:c>
      <x:c r="F285" s="34" t="n">
        <x:f>IF(SUMIF($C$2:$C$367,C285,$E$2:$E$367)=0,"",E285/SUMIF($C$2:$C$367,C285,$E$2:$E$367))</x:f>
        <x:v>0.200942155745967</x:v>
      </x:c>
      <x:c r="G285" s="35" t="n">
        <x:f>COUNTIFS($C$2:$C$367,C285,$E$2:$E$367,"&gt;"&amp;E285)+COUNTIFS($C$2:C285,C285,$E$2:E285,E285)</x:f>
        <x:v>2</x:v>
      </x:c>
      <x:c r="H285" s="34" t="n">
        <x:f>IF(SUMIF($C$2:$C$367,C285,$E$2:$E$367)=0,"",SUMIF($C$2:C285,C285,$F$2:F285))</x:f>
        <x:v>0.49868923133008636</x:v>
      </x:c>
    </x:row>
    <x:row r="286" ht="18" customHeight="1">
      <x:c r="A286" s="25" t="str">
        <x:f>'All Areas Data'!A286</x:f>
        <x:v>HS_051</x:v>
      </x:c>
      <x:c r="B286" s="25" t="str">
        <x:f>'All Areas Data'!B286</x:f>
        <x:v>Indian Ocean, Western</x:v>
      </x:c>
      <x:c r="C286" s="25" t="str">
        <x:f>'All Areas Data'!C286</x:f>
        <x:v>High Seas</x:v>
      </x:c>
      <x:c r="D286" s="32" t="n">
        <x:f>'All Areas Data'!E286</x:f>
        <x:v>377854.0083285441</x:v>
      </x:c>
      <x:c r="E286" s="32" t="n">
        <x:f>'All Areas Data'!K286</x:f>
        <x:v>907481876.8369484</x:v>
      </x:c>
      <x:c r="F286" s="34" t="n">
        <x:f>IF(SUMIF($C$2:$C$367,C286,$E$2:$E$367)=0,"",E286/SUMIF($C$2:$C$367,C286,$E$2:$E$367))</x:f>
        <x:v>0.12303188055315678</x:v>
      </x:c>
      <x:c r="G286" s="35" t="n">
        <x:f>COUNTIFS($C$2:$C$367,C286,$E$2:$E$367,"&gt;"&amp;E286)+COUNTIFS($C$2:C286,C286,$E$2:E286,E286)</x:f>
        <x:v>3</x:v>
      </x:c>
      <x:c r="H286" s="34" t="n">
        <x:f>IF(SUMIF($C$2:$C$367,C286,$E$2:$E$367)=0,"",SUMIF($C$2:C286,C286,$F$2:F286))</x:f>
        <x:v>0.6217211118832431</x:v>
      </x:c>
    </x:row>
    <x:row r="287" ht="18" customHeight="1">
      <x:c r="A287" s="25" t="str">
        <x:f>'All Areas Data'!A287</x:f>
        <x:v>HS_087</x:v>
      </x:c>
      <x:c r="B287" s="25" t="str">
        <x:f>'All Areas Data'!B287</x:f>
        <x:v>Pacific, Southeast</x:v>
      </x:c>
      <x:c r="C287" s="25" t="str">
        <x:f>'All Areas Data'!C287</x:f>
        <x:v>High Seas</x:v>
      </x:c>
      <x:c r="D287" s="32" t="n">
        <x:f>'All Areas Data'!E287</x:f>
        <x:v>245882.41767354257</x:v>
      </x:c>
      <x:c r="E287" s="32" t="n">
        <x:f>'All Areas Data'!K287</x:f>
        <x:v>657270846.1435144</x:v>
      </x:c>
      <x:c r="F287" s="34" t="n">
        <x:f>IF(SUMIF($C$2:$C$367,C287,$E$2:$E$367)=0,"",E287/SUMIF($C$2:$C$367,C287,$E$2:$E$367))</x:f>
        <x:v>0.08910951314604666</x:v>
      </x:c>
      <x:c r="G287" s="35" t="n">
        <x:f>COUNTIFS($C$2:$C$367,C287,$E$2:$E$367,"&gt;"&amp;E287)+COUNTIFS($C$2:C287,C287,$E$2:E287,E287)</x:f>
        <x:v>4</x:v>
      </x:c>
      <x:c r="H287" s="34" t="n">
        <x:f>IF(SUMIF($C$2:$C$367,C287,$E$2:$E$367)=0,"",SUMIF($C$2:C287,C287,$F$2:F287))</x:f>
        <x:v>0.7108306250292897</x:v>
      </x:c>
    </x:row>
    <x:row r="288" ht="18" customHeight="1">
      <x:c r="A288" s="25" t="str">
        <x:f>'All Areas Data'!A288</x:f>
        <x:v>HS_034</x:v>
      </x:c>
      <x:c r="B288" s="25" t="str">
        <x:f>'All Areas Data'!B288</x:f>
        <x:v>Atlantic, Eastern Central</x:v>
      </x:c>
      <x:c r="C288" s="25" t="str">
        <x:f>'All Areas Data'!C288</x:f>
        <x:v>High Seas</x:v>
      </x:c>
      <x:c r="D288" s="32" t="n">
        <x:f>'All Areas Data'!E288</x:f>
        <x:v>235319.4552726861</x:v>
      </x:c>
      <x:c r="E288" s="32" t="n">
        <x:f>'All Areas Data'!K288</x:f>
        <x:v>580150840.1289461</x:v>
      </x:c>
      <x:c r="F288" s="34" t="n">
        <x:f>IF(SUMIF($C$2:$C$367,C288,$E$2:$E$367)=0,"",E288/SUMIF($C$2:$C$367,C288,$E$2:$E$367))</x:f>
        <x:v>0.0786539661974789</x:v>
      </x:c>
      <x:c r="G288" s="35" t="n">
        <x:f>COUNTIFS($C$2:$C$367,C288,$E$2:$E$367,"&gt;"&amp;E288)+COUNTIFS($C$2:C288,C288,$E$2:E288,E288)</x:f>
        <x:v>5</x:v>
      </x:c>
      <x:c r="H288" s="34" t="n">
        <x:f>IF(SUMIF($C$2:$C$367,C288,$E$2:$E$367)=0,"",SUMIF($C$2:C288,C288,$F$2:F288))</x:f>
        <x:v>0.7894845912267686</x:v>
      </x:c>
    </x:row>
    <x:row r="289" ht="18" customHeight="1">
      <x:c r="A289" s="25" t="str">
        <x:f>'All Areas Data'!A289</x:f>
        <x:v>HS_057</x:v>
      </x:c>
      <x:c r="B289" s="25" t="str">
        <x:f>'All Areas Data'!B289</x:f>
        <x:v>Indian Ocean, Eastern</x:v>
      </x:c>
      <x:c r="C289" s="25" t="str">
        <x:f>'All Areas Data'!C289</x:f>
        <x:v>High Seas</x:v>
      </x:c>
      <x:c r="D289" s="32" t="n">
        <x:f>'All Areas Data'!E289</x:f>
        <x:v>249459.5239463328</x:v>
      </x:c>
      <x:c r="E289" s="32" t="n">
        <x:f>'All Areas Data'!K289</x:f>
        <x:v>577352176.9718388</x:v>
      </x:c>
      <x:c r="F289" s="34" t="n">
        <x:f>IF(SUMIF($C$2:$C$367,C289,$E$2:$E$367)=0,"",E289/SUMIF($C$2:$C$367,C289,$E$2:$E$367))</x:f>
        <x:v>0.07827453736254295</x:v>
      </x:c>
      <x:c r="G289" s="35" t="n">
        <x:f>COUNTIFS($C$2:$C$367,C289,$E$2:$E$367,"&gt;"&amp;E289)+COUNTIFS($C$2:C289,C289,$E$2:E289,E289)</x:f>
        <x:v>6</x:v>
      </x:c>
      <x:c r="H289" s="34" t="n">
        <x:f>IF(SUMIF($C$2:$C$367,C289,$E$2:$E$367)=0,"",SUMIF($C$2:C289,C289,$F$2:F289))</x:f>
        <x:v>0.8677591285893116</x:v>
      </x:c>
    </x:row>
    <x:row r="290" ht="18" customHeight="1">
      <x:c r="A290" s="25" t="str">
        <x:f>'All Areas Data'!A290</x:f>
        <x:v>HS_061</x:v>
      </x:c>
      <x:c r="B290" s="25" t="str">
        <x:f>'All Areas Data'!B290</x:f>
        <x:v>Pacific, Northwest</x:v>
      </x:c>
      <x:c r="C290" s="25" t="str">
        <x:f>'All Areas Data'!C290</x:f>
        <x:v>High Seas</x:v>
      </x:c>
      <x:c r="D290" s="32" t="n">
        <x:f>'All Areas Data'!E290</x:f>
        <x:v>132995.67933726683</x:v>
      </x:c>
      <x:c r="E290" s="32" t="n">
        <x:f>'All Areas Data'!K290</x:f>
        <x:v>284384862.0630329</x:v>
      </x:c>
      <x:c r="F290" s="34" t="n">
        <x:f>IF(SUMIF($C$2:$C$367,C290,$E$2:$E$367)=0,"",E290/SUMIF($C$2:$C$367,C290,$E$2:$E$367))</x:f>
        <x:v>0.03855548554029313</x:v>
      </x:c>
      <x:c r="G290" s="35" t="n">
        <x:f>COUNTIFS($C$2:$C$367,C290,$E$2:$E$367,"&gt;"&amp;E290)+COUNTIFS($C$2:C290,C290,$E$2:E290,E290)</x:f>
        <x:v>7</x:v>
      </x:c>
      <x:c r="H290" s="34" t="n">
        <x:f>IF(SUMIF($C$2:$C$367,C290,$E$2:$E$367)=0,"",SUMIF($C$2:C290,C290,$F$2:F290))</x:f>
        <x:v>0.9063146141296047</x:v>
      </x:c>
    </x:row>
    <x:row r="291" ht="18" customHeight="1">
      <x:c r="A291" s="25" t="str">
        <x:f>'All Areas Data'!A291</x:f>
        <x:v>HS_027</x:v>
      </x:c>
      <x:c r="B291" s="25" t="str">
        <x:f>'All Areas Data'!B291</x:f>
        <x:v>Atlantic, Northeast</x:v>
      </x:c>
      <x:c r="C291" s="25" t="str">
        <x:f>'All Areas Data'!C291</x:f>
        <x:v>High Seas</x:v>
      </x:c>
      <x:c r="D291" s="32" t="n">
        <x:f>'All Areas Data'!E291</x:f>
        <x:v>734932.290461042</x:v>
      </x:c>
      <x:c r="E291" s="32" t="n">
        <x:f>'All Areas Data'!K291</x:f>
        <x:v>192111009.49801588</x:v>
      </x:c>
      <x:c r="F291" s="34" t="n">
        <x:f>IF(SUMIF($C$2:$C$367,C291,$E$2:$E$367)=0,"",E291/SUMIF($C$2:$C$367,C291,$E$2:$E$367))</x:f>
        <x:v>0.026045455426492236</x:v>
      </x:c>
      <x:c r="G291" s="35" t="n">
        <x:f>COUNTIFS($C$2:$C$367,C291,$E$2:$E$367,"&gt;"&amp;E291)+COUNTIFS($C$2:C291,C291,$E$2:E291,E291)</x:f>
        <x:v>8</x:v>
      </x:c>
      <x:c r="H291" s="34" t="n">
        <x:f>IF(SUMIF($C$2:$C$367,C291,$E$2:$E$367)=0,"",SUMIF($C$2:C291,C291,$F$2:F291))</x:f>
        <x:v>0.932360069556097</x:v>
      </x:c>
    </x:row>
    <x:row r="292" ht="18" customHeight="1">
      <x:c r="A292" s="25" t="str">
        <x:f>'All Areas Data'!A292</x:f>
        <x:v>HS_041</x:v>
      </x:c>
      <x:c r="B292" s="25" t="str">
        <x:f>'All Areas Data'!B292</x:f>
        <x:v>Atlantic, Southwest</x:v>
      </x:c>
      <x:c r="C292" s="25" t="str">
        <x:f>'All Areas Data'!C292</x:f>
        <x:v>High Seas</x:v>
      </x:c>
      <x:c r="D292" s="32" t="n">
        <x:f>'All Areas Data'!E292</x:f>
        <x:v>62238.365213295096</x:v>
      </x:c>
      <x:c r="E292" s="32" t="n">
        <x:f>'All Areas Data'!K292</x:f>
        <x:v>149349456.4630281</x:v>
      </x:c>
      <x:c r="F292" s="34" t="n">
        <x:f>IF(SUMIF($C$2:$C$367,C292,$E$2:$E$367)=0,"",E292/SUMIF($C$2:$C$367,C292,$E$2:$E$367))</x:f>
        <x:v>0.020248056690987386</x:v>
      </x:c>
      <x:c r="G292" s="35" t="n">
        <x:f>COUNTIFS($C$2:$C$367,C292,$E$2:$E$367,"&gt;"&amp;E292)+COUNTIFS($C$2:C292,C292,$E$2:E292,E292)</x:f>
        <x:v>9</x:v>
      </x:c>
      <x:c r="H292" s="34" t="n">
        <x:f>IF(SUMIF($C$2:$C$367,C292,$E$2:$E$367)=0,"",SUMIF($C$2:C292,C292,$F$2:F292))</x:f>
        <x:v>0.9526081262470844</x:v>
      </x:c>
    </x:row>
    <x:row r="293" ht="18" customHeight="1">
      <x:c r="A293" s="25" t="str">
        <x:f>'All Areas Data'!A293</x:f>
        <x:v>HS_021</x:v>
      </x:c>
      <x:c r="B293" s="25" t="str">
        <x:f>'All Areas Data'!B293</x:f>
        <x:v>Atlantic, Northwest</x:v>
      </x:c>
      <x:c r="C293" s="25" t="str">
        <x:f>'All Areas Data'!C293</x:f>
        <x:v>High Seas</x:v>
      </x:c>
      <x:c r="D293" s="32" t="n">
        <x:f>'All Areas Data'!E293</x:f>
        <x:v>87745.0994728874</x:v>
      </x:c>
      <x:c r="E293" s="32" t="n">
        <x:f>'All Areas Data'!K293</x:f>
        <x:v>101551846.3748264</x:v>
      </x:c>
      <x:c r="F293" s="34" t="n">
        <x:f>IF(SUMIF($C$2:$C$367,C293,$E$2:$E$367)=0,"",E293/SUMIF($C$2:$C$367,C293,$E$2:$E$367))</x:f>
        <x:v>0.0137678943811955</x:v>
      </x:c>
      <x:c r="G293" s="35" t="n">
        <x:f>COUNTIFS($C$2:$C$367,C293,$E$2:$E$367,"&gt;"&amp;E293)+COUNTIFS($C$2:C293,C293,$E$2:E293,E293)</x:f>
        <x:v>10</x:v>
      </x:c>
      <x:c r="H293" s="34" t="n">
        <x:f>IF(SUMIF($C$2:$C$367,C293,$E$2:$E$367)=0,"",SUMIF($C$2:C293,C293,$F$2:F293))</x:f>
        <x:v>0.9663760206282799</x:v>
      </x:c>
    </x:row>
    <x:row r="294" ht="18" customHeight="1">
      <x:c r="A294" s="25" t="str">
        <x:f>'All Areas Data'!A294</x:f>
        <x:v>HS_081</x:v>
      </x:c>
      <x:c r="B294" s="25" t="str">
        <x:f>'All Areas Data'!B294</x:f>
        <x:v>Pacific, Southwest</x:v>
      </x:c>
      <x:c r="C294" s="25" t="str">
        <x:f>'All Areas Data'!C294</x:f>
        <x:v>High Seas</x:v>
      </x:c>
      <x:c r="D294" s="32" t="n">
        <x:f>'All Areas Data'!E294</x:f>
        <x:v>45252.46682271711</x:v>
      </x:c>
      <x:c r="E294" s="32" t="n">
        <x:f>'All Areas Data'!K294</x:f>
        <x:v>91386286.47267891</x:v>
      </x:c>
      <x:c r="F294" s="34" t="n">
        <x:f>IF(SUMIF($C$2:$C$367,C294,$E$2:$E$367)=0,"",E294/SUMIF($C$2:$C$367,C294,$E$2:$E$367))</x:f>
        <x:v>0.012389698316282033</x:v>
      </x:c>
      <x:c r="G294" s="35" t="n">
        <x:f>COUNTIFS($C$2:$C$367,C294,$E$2:$E$367,"&gt;"&amp;E294)+COUNTIFS($C$2:C294,C294,$E$2:E294,E294)</x:f>
        <x:v>11</x:v>
      </x:c>
      <x:c r="H294" s="34" t="n">
        <x:f>IF(SUMIF($C$2:$C$367,C294,$E$2:$E$367)=0,"",SUMIF($C$2:C294,C294,$F$2:F294))</x:f>
        <x:v>0.9787657189445619</x:v>
      </x:c>
    </x:row>
    <x:row r="295" ht="18" customHeight="1">
      <x:c r="A295" s="25" t="str">
        <x:f>'All Areas Data'!A295</x:f>
        <x:v>HS_047</x:v>
      </x:c>
      <x:c r="B295" s="25" t="str">
        <x:f>'All Areas Data'!B295</x:f>
        <x:v>Atlantic, Southeast</x:v>
      </x:c>
      <x:c r="C295" s="25" t="str">
        <x:f>'All Areas Data'!C295</x:f>
        <x:v>High Seas</x:v>
      </x:c>
      <x:c r="D295" s="32" t="n">
        <x:f>'All Areas Data'!E295</x:f>
        <x:v>41830.7267805337</x:v>
      </x:c>
      <x:c r="E295" s="32" t="n">
        <x:f>'All Areas Data'!K295</x:f>
        <x:v>87861469.42037457</x:v>
      </x:c>
      <x:c r="F295" s="34" t="n">
        <x:f>IF(SUMIF($C$2:$C$367,C295,$E$2:$E$367)=0,"",E295/SUMIF($C$2:$C$367,C295,$E$2:$E$367))</x:f>
        <x:v>0.011911821146919282</x:v>
      </x:c>
      <x:c r="G295" s="35" t="n">
        <x:f>COUNTIFS($C$2:$C$367,C295,$E$2:$E$367,"&gt;"&amp;E295)+COUNTIFS($C$2:C295,C295,$E$2:E295,E295)</x:f>
        <x:v>12</x:v>
      </x:c>
      <x:c r="H295" s="34" t="n">
        <x:f>IF(SUMIF($C$2:$C$367,C295,$E$2:$E$367)=0,"",SUMIF($C$2:C295,C295,$F$2:F295))</x:f>
        <x:v>0.9906775400914811</x:v>
      </x:c>
    </x:row>
    <x:row r="296" ht="18" customHeight="1">
      <x:c r="A296" s="25" t="str">
        <x:f>'All Areas Data'!A296</x:f>
        <x:v>HS_031</x:v>
      </x:c>
      <x:c r="B296" s="25" t="str">
        <x:f>'All Areas Data'!B296</x:f>
        <x:v>Atlantic, Western Central</x:v>
      </x:c>
      <x:c r="C296" s="25" t="str">
        <x:f>'All Areas Data'!C296</x:f>
        <x:v>High Seas</x:v>
      </x:c>
      <x:c r="D296" s="32" t="n">
        <x:f>'All Areas Data'!E296</x:f>
        <x:v>16859.0112032287</x:v>
      </x:c>
      <x:c r="E296" s="32" t="n">
        <x:f>'All Areas Data'!K296</x:f>
        <x:v>32845718.432304144</x:v>
      </x:c>
      <x:c r="F296" s="34" t="n">
        <x:f>IF(SUMIF($C$2:$C$367,C296,$E$2:$E$367)=0,"",E296/SUMIF($C$2:$C$367,C296,$E$2:$E$367))</x:f>
        <x:v>0.00445305918497361</x:v>
      </x:c>
      <x:c r="G296" s="35" t="n">
        <x:f>COUNTIFS($C$2:$C$367,C296,$E$2:$E$367,"&gt;"&amp;E296)+COUNTIFS($C$2:C296,C296,$E$2:E296,E296)</x:f>
        <x:v>13</x:v>
      </x:c>
      <x:c r="H296" s="34" t="n">
        <x:f>IF(SUMIF($C$2:$C$367,C296,$E$2:$E$367)=0,"",SUMIF($C$2:C296,C296,$F$2:F296))</x:f>
        <x:v>0.9951305992764548</x:v>
      </x:c>
    </x:row>
    <x:row r="297" ht="18" customHeight="1">
      <x:c r="A297" s="25" t="str">
        <x:f>'All Areas Data'!A297</x:f>
        <x:v>HS_048</x:v>
      </x:c>
      <x:c r="B297" s="25" t="str">
        <x:f>'All Areas Data'!B297</x:f>
        <x:v>Atlantic, Antarctic</x:v>
      </x:c>
      <x:c r="C297" s="25" t="str">
        <x:f>'All Areas Data'!C297</x:f>
        <x:v>High Seas</x:v>
      </x:c>
      <x:c r="D297" s="32" t="n">
        <x:f>'All Areas Data'!E297</x:f>
        <x:v>154127.61540295082</x:v>
      </x:c>
      <x:c r="E297" s="32" t="n">
        <x:f>'All Areas Data'!K297</x:f>
        <x:v>29368420.19122001</x:v>
      </x:c>
      <x:c r="F297" s="34" t="n">
        <x:f>IF(SUMIF($C$2:$C$367,C297,$E$2:$E$367)=0,"",E297/SUMIF($C$2:$C$367,C297,$E$2:$E$367))</x:f>
        <x:v>0.003981624379756411</x:v>
      </x:c>
      <x:c r="G297" s="35" t="n">
        <x:f>COUNTIFS($C$2:$C$367,C297,$E$2:$E$367,"&gt;"&amp;E297)+COUNTIFS($C$2:C297,C297,$E$2:E297,E297)</x:f>
        <x:v>14</x:v>
      </x:c>
      <x:c r="H297" s="34" t="n">
        <x:f>IF(SUMIF($C$2:$C$367,C297,$E$2:$E$367)=0,"",SUMIF($C$2:C297,C297,$F$2:F297))</x:f>
        <x:v>0.9991122236562112</x:v>
      </x:c>
    </x:row>
    <x:row r="298" ht="18" customHeight="1">
      <x:c r="A298" s="25" t="str">
        <x:f>'All Areas Data'!A298</x:f>
        <x:v>HS_088</x:v>
      </x:c>
      <x:c r="B298" s="25" t="str">
        <x:f>'All Areas Data'!B298</x:f>
        <x:v>Pacific, Antarctic</x:v>
      </x:c>
      <x:c r="C298" s="25" t="str">
        <x:f>'All Areas Data'!C298</x:f>
        <x:v>High Seas</x:v>
      </x:c>
      <x:c r="D298" s="32" t="n">
        <x:f>'All Areas Data'!E298</x:f>
        <x:v>3559.327863</x:v>
      </x:c>
      <x:c r="E298" s="32" t="n">
        <x:f>'All Areas Data'!K298</x:f>
        <x:v>5471586.54715935</x:v>
      </x:c>
      <x:c r="F298" s="34" t="n">
        <x:f>IF(SUMIF($C$2:$C$367,C298,$E$2:$E$367)=0,"",E298/SUMIF($C$2:$C$367,C298,$E$2:$E$367))</x:f>
        <x:v>0.0007418104974754466</x:v>
      </x:c>
      <x:c r="G298" s="35" t="n">
        <x:f>COUNTIFS($C$2:$C$367,C298,$E$2:$E$367,"&gt;"&amp;E298)+COUNTIFS($C$2:C298,C298,$E$2:E298,E298)</x:f>
        <x:v>15</x:v>
      </x:c>
      <x:c r="H298" s="34" t="n">
        <x:f>IF(SUMIF($C$2:$C$367,C298,$E$2:$E$367)=0,"",SUMIF($C$2:C298,C298,$F$2:F298))</x:f>
        <x:v>0.9998540341536867</x:v>
      </x:c>
    </x:row>
    <x:row r="299" ht="18" customHeight="1">
      <x:c r="A299" s="25" t="str">
        <x:f>'All Areas Data'!A299</x:f>
        <x:v>HS_067</x:v>
      </x:c>
      <x:c r="B299" s="25" t="str">
        <x:f>'All Areas Data'!B299</x:f>
        <x:v>Pacific, Northeast</x:v>
      </x:c>
      <x:c r="C299" s="25" t="str">
        <x:f>'All Areas Data'!C299</x:f>
        <x:v>High Seas</x:v>
      </x:c>
      <x:c r="D299" s="32" t="n">
        <x:f>'All Areas Data'!E299</x:f>
        <x:v>402.29139540870005</x:v>
      </x:c>
      <x:c r="E299" s="32" t="n">
        <x:f>'All Areas Data'!K299</x:f>
        <x:v>759816.5237174243</x:v>
      </x:c>
      <x:c r="F299" s="34" t="n">
        <x:f>IF(SUMIF($C$2:$C$367,C299,$E$2:$E$367)=0,"",E299/SUMIF($C$2:$C$367,C299,$E$2:$E$367))</x:f>
        <x:v>0.00010301214621954732</x:v>
      </x:c>
      <x:c r="G299" s="35" t="n">
        <x:f>COUNTIFS($C$2:$C$367,C299,$E$2:$E$367,"&gt;"&amp;E299)+COUNTIFS($C$2:C299,C299,$E$2:E299,E299)</x:f>
        <x:v>16</x:v>
      </x:c>
      <x:c r="H299" s="34" t="n">
        <x:f>IF(SUMIF($C$2:$C$367,C299,$E$2:$E$367)=0,"",SUMIF($C$2:C299,C299,$F$2:F299))</x:f>
        <x:v>0.9999570462999062</x:v>
      </x:c>
    </x:row>
    <x:row r="300" ht="18" customHeight="1">
      <x:c r="A300" s="25" t="str">
        <x:f>'All Areas Data'!A300</x:f>
        <x:v>HS_058</x:v>
      </x:c>
      <x:c r="B300" s="25" t="str">
        <x:f>'All Areas Data'!B300</x:f>
        <x:v>Indian Ocean, Antarctic</x:v>
      </x:c>
      <x:c r="C300" s="25" t="str">
        <x:f>'All Areas Data'!C300</x:f>
        <x:v>High Seas</x:v>
      </x:c>
      <x:c r="D300" s="32" t="n">
        <x:f>'All Areas Data'!E300</x:f>
        <x:v>1622.2799593135005</x:v>
      </x:c>
      <x:c r="E300" s="32" t="n">
        <x:f>'All Areas Data'!K300</x:f>
        <x:v>316826.047060139</x:v>
      </x:c>
      <x:c r="F300" s="34" t="n">
        <x:f>IF(SUMIF($C$2:$C$367,C300,$E$2:$E$367)=0,"",E300/SUMIF($C$2:$C$367,C300,$E$2:$E$367))</x:f>
        <x:v>0.00004295370009360035</x:v>
      </x:c>
      <x:c r="G300" s="35" t="n">
        <x:f>COUNTIFS($C$2:$C$367,C300,$E$2:$E$367,"&gt;"&amp;E300)+COUNTIFS($C$2:C300,C300,$E$2:E300,E300)</x:f>
        <x:v>17</x:v>
      </x:c>
      <x:c r="H300" s="34" t="n">
        <x:f>IF(SUMIF($C$2:$C$367,C300,$E$2:$E$367)=0,"",SUMIF($C$2:C300,C300,$F$2:F300))</x:f>
        <x:v>0.9999999999999998</x:v>
      </x:c>
    </x:row>
    <x:row r="301" ht="18" customHeight="1">
      <x:c r="A301" s="25" t="str">
        <x:f>'All Areas Data'!A301</x:f>
        <x:v>HS_018</x:v>
      </x:c>
      <x:c r="B301" s="25" t="str">
        <x:f>'All Areas Data'!B301</x:f>
        <x:v>Arctic Sea</x:v>
      </x:c>
      <x:c r="C301" s="25" t="str">
        <x:f>'All Areas Data'!C301</x:f>
        <x:v>High Seas</x:v>
      </x:c>
      <x:c r="D301" s="32" t="n">
        <x:f>'All Areas Data'!E301</x:f>
        <x:v>0</x:v>
      </x:c>
      <x:c r="E301" s="32" t="n">
        <x:f>'All Areas Data'!K301</x:f>
        <x:v>0</x:v>
      </x:c>
      <x:c r="F301" s="34" t="n">
        <x:f>IF(SUMIF($C$2:$C$367,C301,$E$2:$E$367)=0,"",E301/SUMIF($C$2:$C$367,C301,$E$2:$E$367))</x:f>
        <x:v>0</x:v>
      </x:c>
      <x:c r="G301" s="35" t="n">
        <x:f>COUNTIFS($C$2:$C$367,C301,$E$2:$E$367,"&gt;"&amp;E301)+COUNTIFS($C$2:C301,C301,$E$2:E301,E301)</x:f>
        <x:v>18</x:v>
      </x:c>
      <x:c r="H301" s="34" t="n">
        <x:f>IF(SUMIF($C$2:$C$367,C301,$E$2:$E$367)=0,"",SUMIF($C$2:C301,C301,$F$2:F301))</x:f>
        <x:v>0.9999999999999998</x:v>
      </x:c>
    </x:row>
    <x:row r="302" ht="18" customHeight="1">
      <x:c r="A302" s="25" t="str">
        <x:f>'All Areas Data'!A302</x:f>
        <x:v>LME_036</x:v>
      </x:c>
      <x:c r="B302" s="25" t="str">
        <x:f>'All Areas Data'!B302</x:f>
        <x:v>South China Sea</x:v>
      </x:c>
      <x:c r="C302" s="25" t="str">
        <x:f>'All Areas Data'!C302</x:f>
        <x:v>LME</x:v>
      </x:c>
      <x:c r="D302" s="32" t="n">
        <x:f>'All Areas Data'!E302</x:f>
        <x:v>11101666.087778974</x:v>
      </x:c>
      <x:c r="E302" s="32" t="n">
        <x:f>'All Areas Data'!K302</x:f>
        <x:v>8070990713.09262</x:v>
      </x:c>
      <x:c r="F302" s="34" t="n">
        <x:f>IF(SUMIF($C$2:$C$367,C302,$E$2:$E$367)=0,"",E302/SUMIF($C$2:$C$367,C302,$E$2:$E$367))</x:f>
        <x:v>0.1394514804921945</x:v>
      </x:c>
      <x:c r="G302" s="35" t="n">
        <x:f>COUNTIFS($C$2:$C$367,C302,$E$2:$E$367,"&gt;"&amp;E302)+COUNTIFS($C$2:C302,C302,$E$2:E302,E302)</x:f>
        <x:v>1</x:v>
      </x:c>
      <x:c r="H302" s="34" t="n">
        <x:f>IF(SUMIF($C$2:$C$367,C302,$E$2:$E$367)=0,"",SUMIF($C$2:C302,C302,$F$2:F302))</x:f>
        <x:v>0.1394514804921945</x:v>
      </x:c>
    </x:row>
    <x:row r="303" ht="18" customHeight="1">
      <x:c r="A303" s="25" t="str">
        <x:f>'All Areas Data'!A303</x:f>
        <x:v>LME_032</x:v>
      </x:c>
      <x:c r="B303" s="25" t="str">
        <x:f>'All Areas Data'!B303</x:f>
        <x:v>Arabian Sea</x:v>
      </x:c>
      <x:c r="C303" s="25" t="str">
        <x:f>'All Areas Data'!C303</x:f>
        <x:v>LME</x:v>
      </x:c>
      <x:c r="D303" s="32" t="n">
        <x:f>'All Areas Data'!E303</x:f>
        <x:v>5436428.793803818</x:v>
      </x:c>
      <x:c r="E303" s="32" t="n">
        <x:f>'All Areas Data'!K303</x:f>
        <x:v>4734727053.1209135</x:v>
      </x:c>
      <x:c r="F303" s="34" t="n">
        <x:f>IF(SUMIF($C$2:$C$367,C303,$E$2:$E$367)=0,"",E303/SUMIF($C$2:$C$367,C303,$E$2:$E$367))</x:f>
        <x:v>0.0818071437268645</x:v>
      </x:c>
      <x:c r="G303" s="35" t="n">
        <x:f>COUNTIFS($C$2:$C$367,C303,$E$2:$E$367,"&gt;"&amp;E303)+COUNTIFS($C$2:C303,C303,$E$2:E303,E303)</x:f>
        <x:v>2</x:v>
      </x:c>
      <x:c r="H303" s="34" t="n">
        <x:f>IF(SUMIF($C$2:$C$367,C303,$E$2:$E$367)=0,"",SUMIF($C$2:C303,C303,$F$2:F303))</x:f>
        <x:v>0.221258624219059</x:v>
      </x:c>
    </x:row>
    <x:row r="304" ht="18" customHeight="1">
      <x:c r="A304" s="25" t="str">
        <x:f>'All Areas Data'!A304</x:f>
        <x:v>LME_034</x:v>
      </x:c>
      <x:c r="B304" s="25" t="str">
        <x:f>'All Areas Data'!B304</x:f>
        <x:v>Bay of Bengal</x:v>
      </x:c>
      <x:c r="C304" s="25" t="str">
        <x:f>'All Areas Data'!C304</x:f>
        <x:v>LME</x:v>
      </x:c>
      <x:c r="D304" s="32" t="n">
        <x:f>'All Areas Data'!E304</x:f>
        <x:v>6697725.785375867</x:v>
      </x:c>
      <x:c r="E304" s="32" t="n">
        <x:f>'All Areas Data'!K304</x:f>
        <x:v>3525461853.606897</x:v>
      </x:c>
      <x:c r="F304" s="34" t="n">
        <x:f>IF(SUMIF($C$2:$C$367,C304,$E$2:$E$367)=0,"",E304/SUMIF($C$2:$C$367,C304,$E$2:$E$367))</x:f>
        <x:v>0.060913324321724596</x:v>
      </x:c>
      <x:c r="G304" s="35" t="n">
        <x:f>COUNTIFS($C$2:$C$367,C304,$E$2:$E$367,"&gt;"&amp;E304)+COUNTIFS($C$2:C304,C304,$E$2:E304,E304)</x:f>
        <x:v>3</x:v>
      </x:c>
      <x:c r="H304" s="34" t="n">
        <x:f>IF(SUMIF($C$2:$C$367,C304,$E$2:$E$367)=0,"",SUMIF($C$2:C304,C304,$F$2:F304))</x:f>
        <x:v>0.2821719485407836</x:v>
      </x:c>
    </x:row>
    <x:row r="305" ht="18" customHeight="1">
      <x:c r="A305" s="25" t="str">
        <x:f>'All Areas Data'!A305</x:f>
        <x:v>LME_047</x:v>
      </x:c>
      <x:c r="B305" s="25" t="str">
        <x:f>'All Areas Data'!B305</x:f>
        <x:v>East China Sea</x:v>
      </x:c>
      <x:c r="C305" s="25" t="str">
        <x:f>'All Areas Data'!C305</x:f>
        <x:v>LME</x:v>
      </x:c>
      <x:c r="D305" s="32" t="n">
        <x:f>'All Areas Data'!E305</x:f>
        <x:v>5649829.984210193</x:v>
      </x:c>
      <x:c r="E305" s="32" t="n">
        <x:f>'All Areas Data'!K305</x:f>
        <x:v>3396644855.555232</x:v>
      </x:c>
      <x:c r="F305" s="34" t="n">
        <x:f>IF(SUMIF($C$2:$C$367,C305,$E$2:$E$367)=0,"",E305/SUMIF($C$2:$C$367,C305,$E$2:$E$367))</x:f>
        <x:v>0.05868760981783793</x:v>
      </x:c>
      <x:c r="G305" s="35" t="n">
        <x:f>COUNTIFS($C$2:$C$367,C305,$E$2:$E$367,"&gt;"&amp;E305)+COUNTIFS($C$2:C305,C305,$E$2:E305,E305)</x:f>
        <x:v>4</x:v>
      </x:c>
      <x:c r="H305" s="34" t="n">
        <x:f>IF(SUMIF($C$2:$C$367,C305,$E$2:$E$367)=0,"",SUMIF($C$2:C305,C305,$F$2:F305))</x:f>
        <x:v>0.34085955835862153</x:v>
      </x:c>
    </x:row>
    <x:row r="306" ht="18" customHeight="1">
      <x:c r="A306" s="25" t="str">
        <x:f>'All Areas Data'!A306</x:f>
        <x:v>LME_052</x:v>
      </x:c>
      <x:c r="B306" s="25" t="str">
        <x:f>'All Areas Data'!B306</x:f>
        <x:v>Sea of Okhotsk</x:v>
      </x:c>
      <x:c r="C306" s="25" t="str">
        <x:f>'All Areas Data'!C306</x:f>
        <x:v>LME</x:v>
      </x:c>
      <x:c r="D306" s="32" t="n">
        <x:f>'All Areas Data'!E306</x:f>
        <x:v>4800852.125625119</x:v>
      </x:c>
      <x:c r="E306" s="32" t="n">
        <x:f>'All Areas Data'!K306</x:f>
        <x:v>2799543440.981204</x:v>
      </x:c>
      <x:c r="F306" s="34" t="n">
        <x:f>IF(SUMIF($C$2:$C$367,C306,$E$2:$E$367)=0,"",E306/SUMIF($C$2:$C$367,C306,$E$2:$E$367))</x:f>
        <x:v>0.04837082477541953</x:v>
      </x:c>
      <x:c r="G306" s="35" t="n">
        <x:f>COUNTIFS($C$2:$C$367,C306,$E$2:$E$367,"&gt;"&amp;E306)+COUNTIFS($C$2:C306,C306,$E$2:E306,E306)</x:f>
        <x:v>5</x:v>
      </x:c>
      <x:c r="H306" s="34" t="n">
        <x:f>IF(SUMIF($C$2:$C$367,C306,$E$2:$E$367)=0,"",SUMIF($C$2:C306,C306,$F$2:F306))</x:f>
        <x:v>0.38923038313404107</x:v>
      </x:c>
    </x:row>
    <x:row r="307" ht="18" customHeight="1">
      <x:c r="A307" s="25" t="str">
        <x:f>'All Areas Data'!A307</x:f>
        <x:v>LME_013</x:v>
      </x:c>
      <x:c r="B307" s="25" t="str">
        <x:f>'All Areas Data'!B307</x:f>
        <x:v>Humboldt Current</x:v>
      </x:c>
      <x:c r="C307" s="25" t="str">
        <x:f>'All Areas Data'!C307</x:f>
        <x:v>LME</x:v>
      </x:c>
      <x:c r="D307" s="32" t="n">
        <x:f>'All Areas Data'!E307</x:f>
        <x:v>7390380.680601614</x:v>
      </x:c>
      <x:c r="E307" s="32" t="n">
        <x:f>'All Areas Data'!K307</x:f>
        <x:v>2612052520.143484</x:v>
      </x:c>
      <x:c r="F307" s="34" t="n">
        <x:f>IF(SUMIF($C$2:$C$367,C307,$E$2:$E$367)=0,"",E307/SUMIF($C$2:$C$367,C307,$E$2:$E$367))</x:f>
        <x:v>0.04513133566942273</x:v>
      </x:c>
      <x:c r="G307" s="35" t="n">
        <x:f>COUNTIFS($C$2:$C$367,C307,$E$2:$E$367,"&gt;"&amp;E307)+COUNTIFS($C$2:C307,C307,$E$2:E307,E307)</x:f>
        <x:v>6</x:v>
      </x:c>
      <x:c r="H307" s="34" t="n">
        <x:f>IF(SUMIF($C$2:$C$367,C307,$E$2:$E$367)=0,"",SUMIF($C$2:C307,C307,$F$2:F307))</x:f>
        <x:v>0.4343617188034638</x:v>
      </x:c>
    </x:row>
    <x:row r="308" ht="18" customHeight="1">
      <x:c r="A308" s="25" t="str">
        <x:f>'All Areas Data'!A308</x:f>
        <x:v>LME_027</x:v>
      </x:c>
      <x:c r="B308" s="25" t="str">
        <x:f>'All Areas Data'!B308</x:f>
        <x:v>Canary Current</x:v>
      </x:c>
      <x:c r="C308" s="25" t="str">
        <x:f>'All Areas Data'!C308</x:f>
        <x:v>LME</x:v>
      </x:c>
      <x:c r="D308" s="32" t="n">
        <x:f>'All Areas Data'!E308</x:f>
        <x:v>5771015.257329415</x:v>
      </x:c>
      <x:c r="E308" s="32" t="n">
        <x:f>'All Areas Data'!K308</x:f>
        <x:v>2359485422.816173</x:v>
      </x:c>
      <x:c r="F308" s="34" t="n">
        <x:f>IF(SUMIF($C$2:$C$367,C308,$E$2:$E$367)=0,"",E308/SUMIF($C$2:$C$367,C308,$E$2:$E$367))</x:f>
        <x:v>0.04076745310556659</x:v>
      </x:c>
      <x:c r="G308" s="35" t="n">
        <x:f>COUNTIFS($C$2:$C$367,C308,$E$2:$E$367,"&gt;"&amp;E308)+COUNTIFS($C$2:C308,C308,$E$2:E308,E308)</x:f>
        <x:v>7</x:v>
      </x:c>
      <x:c r="H308" s="34" t="n">
        <x:f>IF(SUMIF($C$2:$C$367,C308,$E$2:$E$367)=0,"",SUMIF($C$2:C308,C308,$F$2:F308))</x:f>
        <x:v>0.47512917190903037</x:v>
      </x:c>
    </x:row>
    <x:row r="309" ht="18" customHeight="1">
      <x:c r="A309" s="25" t="str">
        <x:f>'All Areas Data'!A309</x:f>
        <x:v>LME_028</x:v>
      </x:c>
      <x:c r="B309" s="25" t="str">
        <x:f>'All Areas Data'!B309</x:f>
        <x:v>Guinea Current</x:v>
      </x:c>
      <x:c r="C309" s="25" t="str">
        <x:f>'All Areas Data'!C309</x:f>
        <x:v>LME</x:v>
      </x:c>
      <x:c r="D309" s="32" t="n">
        <x:f>'All Areas Data'!E309</x:f>
        <x:v>4469154.981144243</x:v>
      </x:c>
      <x:c r="E309" s="32" t="n">
        <x:f>'All Areas Data'!K309</x:f>
        <x:v>2256398879.66561</x:v>
      </x:c>
      <x:c r="F309" s="34" t="n">
        <x:f>IF(SUMIF($C$2:$C$367,C309,$E$2:$E$367)=0,"",E309/SUMIF($C$2:$C$367,C309,$E$2:$E$367))</x:f>
        <x:v>0.038986312280085436</x:v>
      </x:c>
      <x:c r="G309" s="35" t="n">
        <x:f>COUNTIFS($C$2:$C$367,C309,$E$2:$E$367,"&gt;"&amp;E309)+COUNTIFS($C$2:C309,C309,$E$2:E309,E309)</x:f>
        <x:v>8</x:v>
      </x:c>
      <x:c r="H309" s="34" t="n">
        <x:f>IF(SUMIF($C$2:$C$367,C309,$E$2:$E$367)=0,"",SUMIF($C$2:C309,C309,$F$2:F309))</x:f>
        <x:v>0.5141154841891158</x:v>
      </x:c>
    </x:row>
    <x:row r="310" ht="18" customHeight="1">
      <x:c r="A310" s="25" t="str">
        <x:f>'All Areas Data'!A310</x:f>
        <x:v>LME_035</x:v>
      </x:c>
      <x:c r="B310" s="25" t="str">
        <x:f>'All Areas Data'!B310</x:f>
        <x:v>Gulf of Thailand</x:v>
      </x:c>
      <x:c r="C310" s="25" t="str">
        <x:f>'All Areas Data'!C310</x:f>
        <x:v>LME</x:v>
      </x:c>
      <x:c r="D310" s="32" t="n">
        <x:f>'All Areas Data'!E310</x:f>
        <x:v>2615825.0568618225</x:v>
      </x:c>
      <x:c r="E310" s="32" t="n">
        <x:f>'All Areas Data'!K310</x:f>
        <x:v>1868893899.8381803</x:v>
      </x:c>
      <x:c r="F310" s="34" t="n">
        <x:f>IF(SUMIF($C$2:$C$367,C310,$E$2:$E$367)=0,"",E310/SUMIF($C$2:$C$367,C310,$E$2:$E$367))</x:f>
        <x:v>0.032290957886061254</x:v>
      </x:c>
      <x:c r="G310" s="35" t="n">
        <x:f>COUNTIFS($C$2:$C$367,C310,$E$2:$E$367,"&gt;"&amp;E310)+COUNTIFS($C$2:C310,C310,$E$2:E310,E310)</x:f>
        <x:v>9</x:v>
      </x:c>
      <x:c r="H310" s="34" t="n">
        <x:f>IF(SUMIF($C$2:$C$367,C310,$E$2:$E$367)=0,"",SUMIF($C$2:C310,C310,$F$2:F310))</x:f>
        <x:v>0.5464064420751771</x:v>
      </x:c>
    </x:row>
    <x:row r="311" ht="18" customHeight="1">
      <x:c r="A311" s="25" t="str">
        <x:f>'All Areas Data'!A311</x:f>
        <x:v>LME_022</x:v>
      </x:c>
      <x:c r="B311" s="25" t="str">
        <x:f>'All Areas Data'!B311</x:f>
        <x:v>North Sea</x:v>
      </x:c>
      <x:c r="C311" s="25" t="str">
        <x:f>'All Areas Data'!C311</x:f>
        <x:v>LME</x:v>
      </x:c>
      <x:c r="D311" s="32" t="n">
        <x:f>'All Areas Data'!E311</x:f>
        <x:v>2717260.698205171</x:v>
      </x:c>
      <x:c r="E311" s="32" t="n">
        <x:f>'All Areas Data'!K311</x:f>
        <x:v>1700184787.4627526</x:v>
      </x:c>
      <x:c r="F311" s="34" t="n">
        <x:f>IF(SUMIF($C$2:$C$367,C311,$E$2:$E$367)=0,"",E311/SUMIF($C$2:$C$367,C311,$E$2:$E$367))</x:f>
        <x:v>0.02937598296791239</x:v>
      </x:c>
      <x:c r="G311" s="35" t="n">
        <x:f>COUNTIFS($C$2:$C$367,C311,$E$2:$E$367,"&gt;"&amp;E311)+COUNTIFS($C$2:C311,C311,$E$2:E311,E311)</x:f>
        <x:v>10</x:v>
      </x:c>
      <x:c r="H311" s="34" t="n">
        <x:f>IF(SUMIF($C$2:$C$367,C311,$E$2:$E$367)=0,"",SUMIF($C$2:C311,C311,$F$2:F311))</x:f>
        <x:v>0.5757824250430895</x:v>
      </x:c>
    </x:row>
    <x:row r="312" ht="18" customHeight="1">
      <x:c r="A312" s="25" t="str">
        <x:f>'All Areas Data'!A312</x:f>
        <x:v>LME_049</x:v>
      </x:c>
      <x:c r="B312" s="25" t="str">
        <x:f>'All Areas Data'!B312</x:f>
        <x:v>Kuroshio Current</x:v>
      </x:c>
      <x:c r="C312" s="25" t="str">
        <x:f>'All Areas Data'!C312</x:f>
        <x:v>LME</x:v>
      </x:c>
      <x:c r="D312" s="32" t="n">
        <x:f>'All Areas Data'!E312</x:f>
        <x:v>3090456.265124474</x:v>
      </x:c>
      <x:c r="E312" s="32" t="n">
        <x:f>'All Areas Data'!K312</x:f>
        <x:v>1682486180.5803435</x:v>
      </x:c>
      <x:c r="F312" s="34" t="n">
        <x:f>IF(SUMIF($C$2:$C$367,C312,$E$2:$E$367)=0,"",E312/SUMIF($C$2:$C$367,C312,$E$2:$E$367))</x:f>
        <x:v>0.0290701844581461</x:v>
      </x:c>
      <x:c r="G312" s="35" t="n">
        <x:f>COUNTIFS($C$2:$C$367,C312,$E$2:$E$367,"&gt;"&amp;E312)+COUNTIFS($C$2:C312,C312,$E$2:E312,E312)</x:f>
        <x:v>11</x:v>
      </x:c>
      <x:c r="H312" s="34" t="n">
        <x:f>IF(SUMIF($C$2:$C$367,C312,$E$2:$E$367)=0,"",SUMIF($C$2:C312,C312,$F$2:F312))</x:f>
        <x:v>0.6048526095012356</x:v>
      </x:c>
    </x:row>
    <x:row r="313" ht="18" customHeight="1">
      <x:c r="A313" s="25" t="str">
        <x:f>'All Areas Data'!A313</x:f>
        <x:v>LME_038</x:v>
      </x:c>
      <x:c r="B313" s="25" t="str">
        <x:f>'All Areas Data'!B313</x:f>
        <x:v>Indonesian Sea</x:v>
      </x:c>
      <x:c r="C313" s="25" t="str">
        <x:f>'All Areas Data'!C313</x:f>
        <x:v>LME</x:v>
      </x:c>
      <x:c r="D313" s="32" t="n">
        <x:f>'All Areas Data'!E313</x:f>
        <x:v>2883541.953754092</x:v>
      </x:c>
      <x:c r="E313" s="32" t="n">
        <x:f>'All Areas Data'!K313</x:f>
        <x:v>1678212214.8416104</x:v>
      </x:c>
      <x:c r="F313" s="34" t="n">
        <x:f>IF(SUMIF($C$2:$C$367,C313,$E$2:$E$367)=0,"",E313/SUMIF($C$2:$C$367,C313,$E$2:$E$367))</x:f>
        <x:v>0.02899633839995743</x:v>
      </x:c>
      <x:c r="G313" s="35" t="n">
        <x:f>COUNTIFS($C$2:$C$367,C313,$E$2:$E$367,"&gt;"&amp;E313)+COUNTIFS($C$2:C313,C313,$E$2:E313,E313)</x:f>
        <x:v>12</x:v>
      </x:c>
      <x:c r="H313" s="34" t="n">
        <x:f>IF(SUMIF($C$2:$C$367,C313,$E$2:$E$367)=0,"",SUMIF($C$2:C313,C313,$F$2:F313))</x:f>
        <x:v>0.6338489479011931</x:v>
      </x:c>
    </x:row>
    <x:row r="314" ht="18" customHeight="1">
      <x:c r="A314" s="25" t="str">
        <x:f>'All Areas Data'!A314</x:f>
        <x:v>LME_048</x:v>
      </x:c>
      <x:c r="B314" s="25" t="str">
        <x:f>'All Areas Data'!B314</x:f>
        <x:v>Yellow Sea</x:v>
      </x:c>
      <x:c r="C314" s="25" t="str">
        <x:f>'All Areas Data'!C314</x:f>
        <x:v>LME</x:v>
      </x:c>
      <x:c r="D314" s="32" t="n">
        <x:f>'All Areas Data'!E314</x:f>
        <x:v>2658977.968899307</x:v>
      </x:c>
      <x:c r="E314" s="32" t="n">
        <x:f>'All Areas Data'!K314</x:f>
        <x:v>1554214509.6068287</x:v>
      </x:c>
      <x:c r="F314" s="34" t="n">
        <x:f>IF(SUMIF($C$2:$C$367,C314,$E$2:$E$367)=0,"",E314/SUMIF($C$2:$C$367,C314,$E$2:$E$367))</x:f>
        <x:v>0.02685389217652481</x:v>
      </x:c>
      <x:c r="G314" s="35" t="n">
        <x:f>COUNTIFS($C$2:$C$367,C314,$E$2:$E$367,"&gt;"&amp;E314)+COUNTIFS($C$2:C314,C314,$E$2:E314,E314)</x:f>
        <x:v>13</x:v>
      </x:c>
      <x:c r="H314" s="34" t="n">
        <x:f>IF(SUMIF($C$2:$C$367,C314,$E$2:$E$367)=0,"",SUMIF($C$2:C314,C314,$F$2:F314))</x:f>
        <x:v>0.6607028400777178</x:v>
      </x:c>
    </x:row>
    <x:row r="315" ht="18" customHeight="1">
      <x:c r="A315" s="25" t="str">
        <x:f>'All Areas Data'!A315</x:f>
        <x:v>LME_050</x:v>
      </x:c>
      <x:c r="B315" s="25" t="str">
        <x:f>'All Areas Data'!B315</x:f>
        <x:v>Sea of Japan / East Sea</x:v>
      </x:c>
      <x:c r="C315" s="25" t="str">
        <x:f>'All Areas Data'!C315</x:f>
        <x:v>LME</x:v>
      </x:c>
      <x:c r="D315" s="32" t="n">
        <x:f>'All Areas Data'!E315</x:f>
        <x:v>2586941.83669577</x:v>
      </x:c>
      <x:c r="E315" s="32" t="n">
        <x:f>'All Areas Data'!K315</x:f>
        <x:v>1439195574.078298</x:v>
      </x:c>
      <x:c r="F315" s="34" t="n">
        <x:f>IF(SUMIF($C$2:$C$367,C315,$E$2:$E$367)=0,"",E315/SUMIF($C$2:$C$367,C315,$E$2:$E$367))</x:f>
        <x:v>0.024866582140586995</x:v>
      </x:c>
      <x:c r="G315" s="35" t="n">
        <x:f>COUNTIFS($C$2:$C$367,C315,$E$2:$E$367,"&gt;"&amp;E315)+COUNTIFS($C$2:C315,C315,$E$2:E315,E315)</x:f>
        <x:v>14</x:v>
      </x:c>
      <x:c r="H315" s="34" t="n">
        <x:f>IF(SUMIF($C$2:$C$367,C315,$E$2:$E$367)=0,"",SUMIF($C$2:C315,C315,$F$2:F315))</x:f>
        <x:v>0.6855694222183049</x:v>
      </x:c>
    </x:row>
    <x:row r="316" ht="18" customHeight="1">
      <x:c r="A316" s="25" t="str">
        <x:f>'All Areas Data'!A316</x:f>
        <x:v>LME_014</x:v>
      </x:c>
      <x:c r="B316" s="25" t="str">
        <x:f>'All Areas Data'!B316</x:f>
        <x:v>Patagonian Shelf</x:v>
      </x:c>
      <x:c r="C316" s="25" t="str">
        <x:f>'All Areas Data'!C316</x:f>
        <x:v>LME</x:v>
      </x:c>
      <x:c r="D316" s="32" t="n">
        <x:f>'All Areas Data'!E316</x:f>
        <x:v>1589890.9385366847</x:v>
      </x:c>
      <x:c r="E316" s="32" t="n">
        <x:f>'All Areas Data'!K316</x:f>
        <x:v>1391657718.08254</x:v>
      </x:c>
      <x:c r="F316" s="34" t="n">
        <x:f>IF(SUMIF($C$2:$C$367,C316,$E$2:$E$367)=0,"",E316/SUMIF($C$2:$C$367,C316,$E$2:$E$367))</x:f>
        <x:v>0.024045217746339907</x:v>
      </x:c>
      <x:c r="G316" s="35" t="n">
        <x:f>COUNTIFS($C$2:$C$367,C316,$E$2:$E$367,"&gt;"&amp;E316)+COUNTIFS($C$2:C316,C316,$E$2:E316,E316)</x:f>
        <x:v>15</x:v>
      </x:c>
      <x:c r="H316" s="34" t="n">
        <x:f>IF(SUMIF($C$2:$C$367,C316,$E$2:$E$367)=0,"",SUMIF($C$2:C316,C316,$F$2:F316))</x:f>
        <x:v>0.7096146399646448</x:v>
      </x:c>
    </x:row>
    <x:row r="317" ht="18" customHeight="1">
      <x:c r="A317" s="25" t="str">
        <x:f>'All Areas Data'!A317</x:f>
        <x:v>LME_003</x:v>
      </x:c>
      <x:c r="B317" s="25" t="str">
        <x:f>'All Areas Data'!B317</x:f>
        <x:v>California Current</x:v>
      </x:c>
      <x:c r="C317" s="25" t="str">
        <x:f>'All Areas Data'!C317</x:f>
        <x:v>LME</x:v>
      </x:c>
      <x:c r="D317" s="32" t="n">
        <x:f>'All Areas Data'!E317</x:f>
        <x:v>1037537.6190575528</x:v>
      </x:c>
      <x:c r="E317" s="32" t="n">
        <x:f>'All Areas Data'!K317</x:f>
        <x:v>1028923753.764416</x:v>
      </x:c>
      <x:c r="F317" s="34" t="n">
        <x:f>IF(SUMIF($C$2:$C$367,C317,$E$2:$E$367)=0,"",E317/SUMIF($C$2:$C$367,C317,$E$2:$E$367))</x:f>
        <x:v>0.017777859729571393</x:v>
      </x:c>
      <x:c r="G317" s="35" t="n">
        <x:f>COUNTIFS($C$2:$C$367,C317,$E$2:$E$367,"&gt;"&amp;E317)+COUNTIFS($C$2:C317,C317,$E$2:E317,E317)</x:f>
        <x:v>16</x:v>
      </x:c>
      <x:c r="H317" s="34" t="n">
        <x:f>IF(SUMIF($C$2:$C$367,C317,$E$2:$E$367)=0,"",SUMIF($C$2:C317,C317,$F$2:F317))</x:f>
        <x:v>0.7273924996942162</x:v>
      </x:c>
    </x:row>
    <x:row r="318" ht="18" customHeight="1">
      <x:c r="A318" s="25" t="str">
        <x:f>'All Areas Data'!A318</x:f>
        <x:v>LME_024</x:v>
      </x:c>
      <x:c r="B318" s="25" t="str">
        <x:f>'All Areas Data'!B318</x:f>
        <x:v>Celtic-Biscay Shelf</x:v>
      </x:c>
      <x:c r="C318" s="25" t="str">
        <x:f>'All Areas Data'!C318</x:f>
        <x:v>LME</x:v>
      </x:c>
      <x:c r="D318" s="32" t="n">
        <x:f>'All Areas Data'!E318</x:f>
        <x:v>1139679.567089067</x:v>
      </x:c>
      <x:c r="E318" s="32" t="n">
        <x:f>'All Areas Data'!K318</x:f>
        <x:v>1010255322.176562</x:v>
      </x:c>
      <x:c r="F318" s="34" t="n">
        <x:f>IF(SUMIF($C$2:$C$367,C318,$E$2:$E$367)=0,"",E318/SUMIF($C$2:$C$367,C318,$E$2:$E$367))</x:f>
        <x:v>0.01745530448004417</x:v>
      </x:c>
      <x:c r="G318" s="35" t="n">
        <x:f>COUNTIFS($C$2:$C$367,C318,$E$2:$E$367,"&gt;"&amp;E318)+COUNTIFS($C$2:C318,C318,$E$2:E318,E318)</x:f>
        <x:v>17</x:v>
      </x:c>
      <x:c r="H318" s="34" t="n">
        <x:f>IF(SUMIF($C$2:$C$367,C318,$E$2:$E$367)=0,"",SUMIF($C$2:C318,C318,$F$2:F318))</x:f>
        <x:v>0.7448478041742603</x:v>
      </x:c>
    </x:row>
    <x:row r="319" ht="18" customHeight="1">
      <x:c r="A319" s="25" t="str">
        <x:f>'All Areas Data'!A319</x:f>
        <x:v>LME_026</x:v>
      </x:c>
      <x:c r="B319" s="25" t="str">
        <x:f>'All Areas Data'!B319</x:f>
        <x:v>Mediterranean Sea</x:v>
      </x:c>
      <x:c r="C319" s="25" t="str">
        <x:f>'All Areas Data'!C319</x:f>
        <x:v>LME</x:v>
      </x:c>
      <x:c r="D319" s="32" t="n">
        <x:f>'All Areas Data'!E319</x:f>
        <x:v>1487741.6269238535</x:v>
      </x:c>
      <x:c r="E319" s="32" t="n">
        <x:f>'All Areas Data'!K319</x:f>
        <x:v>1007915797.3835726</x:v>
      </x:c>
      <x:c r="F319" s="34" t="n">
        <x:f>IF(SUMIF($C$2:$C$367,C319,$E$2:$E$367)=0,"",E319/SUMIF($C$2:$C$367,C319,$E$2:$E$367))</x:f>
        <x:v>0.01741488190893387</x:v>
      </x:c>
      <x:c r="G319" s="35" t="n">
        <x:f>COUNTIFS($C$2:$C$367,C319,$E$2:$E$367,"&gt;"&amp;E319)+COUNTIFS($C$2:C319,C319,$E$2:E319,E319)</x:f>
        <x:v>18</x:v>
      </x:c>
      <x:c r="H319" s="34" t="n">
        <x:f>IF(SUMIF($C$2:$C$367,C319,$E$2:$E$367)=0,"",SUMIF($C$2:C319,C319,$F$2:F319))</x:f>
        <x:v>0.7622626860831943</x:v>
      </x:c>
    </x:row>
    <x:row r="320" ht="18" customHeight="1">
      <x:c r="A320" s="25" t="str">
        <x:f>'All Areas Data'!A320</x:f>
        <x:v>LME_029</x:v>
      </x:c>
      <x:c r="B320" s="25" t="str">
        <x:f>'All Areas Data'!B320</x:f>
        <x:v>Benguela Current</x:v>
      </x:c>
      <x:c r="C320" s="25" t="str">
        <x:f>'All Areas Data'!C320</x:f>
        <x:v>LME</x:v>
      </x:c>
      <x:c r="D320" s="32" t="n">
        <x:f>'All Areas Data'!E320</x:f>
        <x:v>1592518.0818040825</x:v>
      </x:c>
      <x:c r="E320" s="32" t="n">
        <x:f>'All Areas Data'!K320</x:f>
        <x:v>997757338.2466872</x:v>
      </x:c>
      <x:c r="F320" s="34" t="n">
        <x:f>IF(SUMIF($C$2:$C$367,C320,$E$2:$E$367)=0,"",E320/SUMIF($C$2:$C$367,C320,$E$2:$E$367))</x:f>
        <x:v>0.01723936291547745</x:v>
      </x:c>
      <x:c r="G320" s="35" t="n">
        <x:f>COUNTIFS($C$2:$C$367,C320,$E$2:$E$367,"&gt;"&amp;E320)+COUNTIFS($C$2:C320,C320,$E$2:E320,E320)</x:f>
        <x:v>19</x:v>
      </x:c>
      <x:c r="H320" s="34" t="n">
        <x:f>IF(SUMIF($C$2:$C$367,C320,$E$2:$E$367)=0,"",SUMIF($C$2:C320,C320,$F$2:F320))</x:f>
        <x:v>0.7795020489986717</x:v>
      </x:c>
    </x:row>
    <x:row r="321" ht="18" customHeight="1">
      <x:c r="A321" s="25" t="str">
        <x:f>'All Areas Data'!A321</x:f>
        <x:v>LME_037</x:v>
      </x:c>
      <x:c r="B321" s="25" t="str">
        <x:f>'All Areas Data'!B321</x:f>
        <x:v>Sulu-Celebes Sea</x:v>
      </x:c>
      <x:c r="C321" s="25" t="str">
        <x:f>'All Areas Data'!C321</x:f>
        <x:v>LME</x:v>
      </x:c>
      <x:c r="D321" s="32" t="n">
        <x:f>'All Areas Data'!E321</x:f>
        <x:v>1731971.9673227614</x:v>
      </x:c>
      <x:c r="E321" s="32" t="n">
        <x:f>'All Areas Data'!K321</x:f>
        <x:v>990198790.8703026</x:v>
      </x:c>
      <x:c r="F321" s="34" t="n">
        <x:f>IF(SUMIF($C$2:$C$367,C321,$E$2:$E$367)=0,"",E321/SUMIF($C$2:$C$367,C321,$E$2:$E$367))</x:f>
        <x:v>0.017108765488287082</x:v>
      </x:c>
      <x:c r="G321" s="35" t="n">
        <x:f>COUNTIFS($C$2:$C$367,C321,$E$2:$E$367,"&gt;"&amp;E321)+COUNTIFS($C$2:C321,C321,$E$2:E321,E321)</x:f>
        <x:v>20</x:v>
      </x:c>
      <x:c r="H321" s="34" t="n">
        <x:f>IF(SUMIF($C$2:$C$367,C321,$E$2:$E$367)=0,"",SUMIF($C$2:C321,C321,$F$2:F321))</x:f>
        <x:v>0.7966108144869588</x:v>
      </x:c>
    </x:row>
    <x:row r="322" ht="18" customHeight="1">
      <x:c r="A322" s="25" t="str">
        <x:f>'All Areas Data'!A322</x:f>
        <x:v>LME_002</x:v>
      </x:c>
      <x:c r="B322" s="25" t="str">
        <x:f>'All Areas Data'!B322</x:f>
        <x:v>Gulf of Alaska</x:v>
      </x:c>
      <x:c r="C322" s="25" t="str">
        <x:f>'All Areas Data'!C322</x:f>
        <x:v>LME</x:v>
      </x:c>
      <x:c r="D322" s="32" t="n">
        <x:f>'All Areas Data'!E322</x:f>
        <x:v>1102866.6258441233</x:v>
      </x:c>
      <x:c r="E322" s="32" t="n">
        <x:f>'All Areas Data'!K322</x:f>
        <x:v>967218747.5530664</x:v>
      </x:c>
      <x:c r="F322" s="34" t="n">
        <x:f>IF(SUMIF($C$2:$C$367,C322,$E$2:$E$367)=0,"",E322/SUMIF($C$2:$C$367,C322,$E$2:$E$367))</x:f>
        <x:v>0.016711713728933066</x:v>
      </x:c>
      <x:c r="G322" s="35" t="n">
        <x:f>COUNTIFS($C$2:$C$367,C322,$E$2:$E$367,"&gt;"&amp;E322)+COUNTIFS($C$2:C322,C322,$E$2:E322,E322)</x:f>
        <x:v>21</x:v>
      </x:c>
      <x:c r="H322" s="34" t="n">
        <x:f>IF(SUMIF($C$2:$C$367,C322,$E$2:$E$367)=0,"",SUMIF($C$2:C322,C322,$F$2:F322))</x:f>
        <x:v>0.8133225282158919</x:v>
      </x:c>
    </x:row>
    <x:row r="323" ht="18" customHeight="1">
      <x:c r="A323" s="25" t="str">
        <x:f>'All Areas Data'!A323</x:f>
        <x:v>LME_001</x:v>
      </x:c>
      <x:c r="B323" s="25" t="str">
        <x:f>'All Areas Data'!B323</x:f>
        <x:v>East Bering Sea</x:v>
      </x:c>
      <x:c r="C323" s="25" t="str">
        <x:f>'All Areas Data'!C323</x:f>
        <x:v>LME</x:v>
      </x:c>
      <x:c r="D323" s="32" t="n">
        <x:f>'All Areas Data'!E323</x:f>
        <x:v>1300999.7714510453</x:v>
      </x:c>
      <x:c r="E323" s="32" t="n">
        <x:f>'All Areas Data'!K323</x:f>
        <x:v>816435933.9124104</x:v>
      </x:c>
      <x:c r="F323" s="34" t="n">
        <x:f>IF(SUMIF($C$2:$C$367,C323,$E$2:$E$367)=0,"",E323/SUMIF($C$2:$C$367,C323,$E$2:$E$367))</x:f>
        <x:v>0.014106471405848902</x:v>
      </x:c>
      <x:c r="G323" s="35" t="n">
        <x:f>COUNTIFS($C$2:$C$367,C323,$E$2:$E$367,"&gt;"&amp;E323)+COUNTIFS($C$2:C323,C323,$E$2:E323,E323)</x:f>
        <x:v>22</x:v>
      </x:c>
      <x:c r="H323" s="34" t="n">
        <x:f>IF(SUMIF($C$2:$C$367,C323,$E$2:$E$367)=0,"",SUMIF($C$2:C323,C323,$F$2:F323))</x:f>
        <x:v>0.8274289996217408</x:v>
      </x:c>
    </x:row>
    <x:row r="324" ht="18" customHeight="1">
      <x:c r="A324" s="25" t="str">
        <x:f>'All Areas Data'!A324</x:f>
        <x:v>LME_011</x:v>
      </x:c>
      <x:c r="B324" s="25" t="str">
        <x:f>'All Areas Data'!B324</x:f>
        <x:v>Pacific Central-American Coastal</x:v>
      </x:c>
      <x:c r="C324" s="25" t="str">
        <x:f>'All Areas Data'!C324</x:f>
        <x:v>LME</x:v>
      </x:c>
      <x:c r="D324" s="32" t="n">
        <x:f>'All Areas Data'!E324</x:f>
        <x:v>1587670.713519913</x:v>
      </x:c>
      <x:c r="E324" s="32" t="n">
        <x:f>'All Areas Data'!K324</x:f>
        <x:v>748768977.2026196</x:v>
      </x:c>
      <x:c r="F324" s="34" t="n">
        <x:f>IF(SUMIF($C$2:$C$367,C324,$E$2:$E$367)=0,"",E324/SUMIF($C$2:$C$367,C324,$E$2:$E$367))</x:f>
        <x:v>0.012937314157498433</x:v>
      </x:c>
      <x:c r="G324" s="35" t="n">
        <x:f>COUNTIFS($C$2:$C$367,C324,$E$2:$E$367,"&gt;"&amp;E324)+COUNTIFS($C$2:C324,C324,$E$2:E324,E324)</x:f>
        <x:v>23</x:v>
      </x:c>
      <x:c r="H324" s="34" t="n">
        <x:f>IF(SUMIF($C$2:$C$367,C324,$E$2:$E$367)=0,"",SUMIF($C$2:C324,C324,$F$2:F324))</x:f>
        <x:v>0.8403663137792392</x:v>
      </x:c>
    </x:row>
    <x:row r="325" ht="18" customHeight="1">
      <x:c r="A325" s="25" t="str">
        <x:f>'All Areas Data'!A325</x:f>
        <x:v>LME_046</x:v>
      </x:c>
      <x:c r="B325" s="25" t="str">
        <x:f>'All Areas Data'!B325</x:f>
        <x:v>New Zealand Shelf</x:v>
      </x:c>
      <x:c r="C325" s="25" t="str">
        <x:f>'All Areas Data'!C325</x:f>
        <x:v>LME</x:v>
      </x:c>
      <x:c r="D325" s="32" t="n">
        <x:f>'All Areas Data'!E325</x:f>
        <x:v>431127.77716673305</x:v>
      </x:c>
      <x:c r="E325" s="32" t="n">
        <x:f>'All Areas Data'!K325</x:f>
        <x:v>722610291.6356041</x:v>
      </x:c>
      <x:c r="F325" s="34" t="n">
        <x:f>IF(SUMIF($C$2:$C$367,C325,$E$2:$E$367)=0,"",E325/SUMIF($C$2:$C$367,C325,$E$2:$E$367))</x:f>
        <x:v>0.01248534146173847</x:v>
      </x:c>
      <x:c r="G325" s="35" t="n">
        <x:f>COUNTIFS($C$2:$C$367,C325,$E$2:$E$367,"&gt;"&amp;E325)+COUNTIFS($C$2:C325,C325,$E$2:E325,E325)</x:f>
        <x:v>24</x:v>
      </x:c>
      <x:c r="H325" s="34" t="n">
        <x:f>IF(SUMIF($C$2:$C$367,C325,$E$2:$E$367)=0,"",SUMIF($C$2:C325,C325,$F$2:F325))</x:f>
        <x:v>0.8528516552409777</x:v>
      </x:c>
    </x:row>
    <x:row r="326" ht="18" customHeight="1">
      <x:c r="A326" s="25" t="str">
        <x:f>'All Areas Data'!A326</x:f>
        <x:v>LME_059</x:v>
      </x:c>
      <x:c r="B326" s="25" t="str">
        <x:f>'All Areas Data'!B326</x:f>
        <x:v>Iceland Shelf and Sea</x:v>
      </x:c>
      <x:c r="C326" s="25" t="str">
        <x:f>'All Areas Data'!C326</x:f>
        <x:v>LME</x:v>
      </x:c>
      <x:c r="D326" s="32" t="n">
        <x:f>'All Areas Data'!E326</x:f>
        <x:v>697974.9116856114</x:v>
      </x:c>
      <x:c r="E326" s="32" t="n">
        <x:f>'All Areas Data'!K326</x:f>
        <x:v>707135211.9152755</x:v>
      </x:c>
      <x:c r="F326" s="34" t="n">
        <x:f>IF(SUMIF($C$2:$C$367,C326,$E$2:$E$367)=0,"",E326/SUMIF($C$2:$C$367,C326,$E$2:$E$367))</x:f>
        <x:v>0.012217961303038266</x:v>
      </x:c>
      <x:c r="G326" s="35" t="n">
        <x:f>COUNTIFS($C$2:$C$367,C326,$E$2:$E$367,"&gt;"&amp;E326)+COUNTIFS($C$2:C326,C326,$E$2:E326,E326)</x:f>
        <x:v>25</x:v>
      </x:c>
      <x:c r="H326" s="34" t="n">
        <x:f>IF(SUMIF($C$2:$C$367,C326,$E$2:$E$367)=0,"",SUMIF($C$2:C326,C326,$F$2:F326))</x:f>
        <x:v>0.865069616544016</x:v>
      </x:c>
    </x:row>
    <x:row r="327" ht="18" customHeight="1">
      <x:c r="A327" s="25" t="str">
        <x:f>'All Areas Data'!A327</x:f>
        <x:v>LME_020</x:v>
      </x:c>
      <x:c r="B327" s="25" t="str">
        <x:f>'All Areas Data'!B327</x:f>
        <x:v>Barents Sea</x:v>
      </x:c>
      <x:c r="C327" s="25" t="str">
        <x:f>'All Areas Data'!C327</x:f>
        <x:v>LME</x:v>
      </x:c>
      <x:c r="D327" s="32" t="n">
        <x:f>'All Areas Data'!E327</x:f>
        <x:v>675569.0179631643</x:v>
      </x:c>
      <x:c r="E327" s="32" t="n">
        <x:f>'All Areas Data'!K327</x:f>
        <x:v>661277433.8131701</x:v>
      </x:c>
      <x:c r="F327" s="34" t="n">
        <x:f>IF(SUMIF($C$2:$C$367,C327,$E$2:$E$367)=0,"",E327/SUMIF($C$2:$C$367,C327,$E$2:$E$367))</x:f>
        <x:v>0.011425625482598357</x:v>
      </x:c>
      <x:c r="G327" s="35" t="n">
        <x:f>COUNTIFS($C$2:$C$367,C327,$E$2:$E$367,"&gt;"&amp;E327)+COUNTIFS($C$2:C327,C327,$E$2:E327,E327)</x:f>
        <x:v>26</x:v>
      </x:c>
      <x:c r="H327" s="34" t="n">
        <x:f>IF(SUMIF($C$2:$C$367,C327,$E$2:$E$367)=0,"",SUMIF($C$2:C327,C327,$F$2:F327))</x:f>
        <x:v>0.8764952420266144</x:v>
      </x:c>
    </x:row>
    <x:row r="328" ht="18" customHeight="1">
      <x:c r="A328" s="25" t="str">
        <x:f>'All Areas Data'!A328</x:f>
        <x:v>LME_005</x:v>
      </x:c>
      <x:c r="B328" s="25" t="str">
        <x:f>'All Areas Data'!B328</x:f>
        <x:v>Gulf of Mexico</x:v>
      </x:c>
      <x:c r="C328" s="25" t="str">
        <x:f>'All Areas Data'!C328</x:f>
        <x:v>LME</x:v>
      </x:c>
      <x:c r="D328" s="32" t="n">
        <x:f>'All Areas Data'!E328</x:f>
        <x:v>1549275.8254257175</x:v>
      </x:c>
      <x:c r="E328" s="32" t="n">
        <x:f>'All Areas Data'!K328</x:f>
        <x:v>558361747.8475869</x:v>
      </x:c>
      <x:c r="F328" s="34" t="n">
        <x:f>IF(SUMIF($C$2:$C$367,C328,$E$2:$E$367)=0,"",E328/SUMIF($C$2:$C$367,C328,$E$2:$E$367))</x:f>
        <x:v>0.00964743674667413</x:v>
      </x:c>
      <x:c r="G328" s="35" t="n">
        <x:f>COUNTIFS($C$2:$C$367,C328,$E$2:$E$367,"&gt;"&amp;E328)+COUNTIFS($C$2:C328,C328,$E$2:E328,E328)</x:f>
        <x:v>27</x:v>
      </x:c>
      <x:c r="H328" s="34" t="n">
        <x:f>IF(SUMIF($C$2:$C$367,C328,$E$2:$E$367)=0,"",SUMIF($C$2:C328,C328,$F$2:F328))</x:f>
        <x:v>0.8861426787732886</x:v>
      </x:c>
    </x:row>
    <x:row r="329" ht="18" customHeight="1">
      <x:c r="A329" s="25" t="str">
        <x:f>'All Areas Data'!A329</x:f>
        <x:v>LME_051</x:v>
      </x:c>
      <x:c r="B329" s="25" t="str">
        <x:f>'All Areas Data'!B329</x:f>
        <x:v>Oyashio Current</x:v>
      </x:c>
      <x:c r="C329" s="25" t="str">
        <x:f>'All Areas Data'!C329</x:f>
        <x:v>LME</x:v>
      </x:c>
      <x:c r="D329" s="32" t="n">
        <x:f>'All Areas Data'!E329</x:f>
        <x:v>1092021.8374498228</x:v>
      </x:c>
      <x:c r="E329" s="32" t="n">
        <x:f>'All Areas Data'!K329</x:f>
        <x:v>528421987.24496377</x:v>
      </x:c>
      <x:c r="F329" s="34" t="n">
        <x:f>IF(SUMIF($C$2:$C$367,C329,$E$2:$E$367)=0,"",E329/SUMIF($C$2:$C$367,C329,$E$2:$E$367))</x:f>
        <x:v>0.009130134213436813</x:v>
      </x:c>
      <x:c r="G329" s="35" t="n">
        <x:f>COUNTIFS($C$2:$C$367,C329,$E$2:$E$367,"&gt;"&amp;E329)+COUNTIFS($C$2:C329,C329,$E$2:E329,E329)</x:f>
        <x:v>28</x:v>
      </x:c>
      <x:c r="H329" s="34" t="n">
        <x:f>IF(SUMIF($C$2:$C$367,C329,$E$2:$E$367)=0,"",SUMIF($C$2:C329,C329,$F$2:F329))</x:f>
        <x:v>0.8952728129867253</x:v>
      </x:c>
    </x:row>
    <x:row r="330" ht="18" customHeight="1">
      <x:c r="A330" s="25" t="str">
        <x:f>'All Areas Data'!A330</x:f>
        <x:v>LME_053</x:v>
      </x:c>
      <x:c r="B330" s="25" t="str">
        <x:f>'All Areas Data'!B330</x:f>
        <x:v>West Bering Sea</x:v>
      </x:c>
      <x:c r="C330" s="25" t="str">
        <x:f>'All Areas Data'!C330</x:f>
        <x:v>LME</x:v>
      </x:c>
      <x:c r="D330" s="32" t="n">
        <x:f>'All Areas Data'!E330</x:f>
        <x:v>705687.5220776038</x:v>
      </x:c>
      <x:c r="E330" s="32" t="n">
        <x:f>'All Areas Data'!K330</x:f>
        <x:v>511445832.0549839</x:v>
      </x:c>
      <x:c r="F330" s="34" t="n">
        <x:f>IF(SUMIF($C$2:$C$367,C330,$E$2:$E$367)=0,"",E330/SUMIF($C$2:$C$367,C330,$E$2:$E$367))</x:f>
        <x:v>0.008836818304837431</x:v>
      </x:c>
      <x:c r="G330" s="35" t="n">
        <x:f>COUNTIFS($C$2:$C$367,C330,$E$2:$E$367,"&gt;"&amp;E330)+COUNTIFS($C$2:C330,C330,$E$2:E330,E330)</x:f>
        <x:v>29</x:v>
      </x:c>
      <x:c r="H330" s="34" t="n">
        <x:f>IF(SUMIF($C$2:$C$367,C330,$E$2:$E$367)=0,"",SUMIF($C$2:C330,C330,$F$2:F330))</x:f>
        <x:v>0.9041096312915627</x:v>
      </x:c>
    </x:row>
    <x:row r="331" ht="18" customHeight="1">
      <x:c r="A331" s="25" t="str">
        <x:f>'All Areas Data'!A331</x:f>
        <x:v>LME_030</x:v>
      </x:c>
      <x:c r="B331" s="25" t="str">
        <x:f>'All Areas Data'!B331</x:f>
        <x:v>Agulhas Current</x:v>
      </x:c>
      <x:c r="C331" s="25" t="str">
        <x:f>'All Areas Data'!C331</x:f>
        <x:v>LME</x:v>
      </x:c>
      <x:c r="D331" s="32" t="n">
        <x:f>'All Areas Data'!E331</x:f>
        <x:v>794215.4259763142</x:v>
      </x:c>
      <x:c r="E331" s="32" t="n">
        <x:f>'All Areas Data'!K331</x:f>
        <x:v>482169734.53988993</x:v>
      </x:c>
      <x:c r="F331" s="34" t="n">
        <x:f>IF(SUMIF($C$2:$C$367,C331,$E$2:$E$367)=0,"",E331/SUMIF($C$2:$C$367,C331,$E$2:$E$367))</x:f>
        <x:v>0.008330982616674514</x:v>
      </x:c>
      <x:c r="G331" s="35" t="n">
        <x:f>COUNTIFS($C$2:$C$367,C331,$E$2:$E$367,"&gt;"&amp;E331)+COUNTIFS($C$2:C331,C331,$E$2:E331,E331)</x:f>
        <x:v>30</x:v>
      </x:c>
      <x:c r="H331" s="34" t="n">
        <x:f>IF(SUMIF($C$2:$C$367,C331,$E$2:$E$367)=0,"",SUMIF($C$2:C331,C331,$F$2:F331))</x:f>
        <x:v>0.9124406139082373</x:v>
      </x:c>
    </x:row>
    <x:row r="332" ht="18" customHeight="1">
      <x:c r="A332" s="25" t="str">
        <x:f>'All Areas Data'!A332</x:f>
        <x:v>LME_060</x:v>
      </x:c>
      <x:c r="B332" s="25" t="str">
        <x:f>'All Areas Data'!B332</x:f>
        <x:v>Faroe Plateau</x:v>
      </x:c>
      <x:c r="C332" s="25" t="str">
        <x:f>'All Areas Data'!C332</x:f>
        <x:v>LME</x:v>
      </x:c>
      <x:c r="D332" s="32" t="n">
        <x:f>'All Areas Data'!E332</x:f>
        <x:v>420222.2010145741</x:v>
      </x:c>
      <x:c r="E332" s="32" t="n">
        <x:f>'All Areas Data'!K332</x:f>
        <x:v>476451437.8234684</x:v>
      </x:c>
      <x:c r="F332" s="34" t="n">
        <x:f>IF(SUMIF($C$2:$C$367,C332,$E$2:$E$367)=0,"",E332/SUMIF($C$2:$C$367,C332,$E$2:$E$367))</x:f>
        <x:v>0.008232181246267152</x:v>
      </x:c>
      <x:c r="G332" s="35" t="n">
        <x:f>COUNTIFS($C$2:$C$367,C332,$E$2:$E$367,"&gt;"&amp;E332)+COUNTIFS($C$2:C332,C332,$E$2:E332,E332)</x:f>
        <x:v>31</x:v>
      </x:c>
      <x:c r="H332" s="34" t="n">
        <x:f>IF(SUMIF($C$2:$C$367,C332,$E$2:$E$367)=0,"",SUMIF($C$2:C332,C332,$F$2:F332))</x:f>
        <x:v>0.9206727951545044</x:v>
      </x:c>
    </x:row>
    <x:row r="333" ht="18" customHeight="1">
      <x:c r="A333" s="25" t="str">
        <x:f>'All Areas Data'!A333</x:f>
        <x:v>LME_007</x:v>
      </x:c>
      <x:c r="B333" s="25" t="str">
        <x:f>'All Areas Data'!B333</x:f>
        <x:v>Northeast U.S. Continental Shelf</x:v>
      </x:c>
      <x:c r="C333" s="25" t="str">
        <x:f>'All Areas Data'!C333</x:f>
        <x:v>LME</x:v>
      </x:c>
      <x:c r="D333" s="32" t="n">
        <x:f>'All Areas Data'!E333</x:f>
        <x:v>700878.7473042159</x:v>
      </x:c>
      <x:c r="E333" s="32" t="n">
        <x:f>'All Areas Data'!K333</x:f>
        <x:v>432863601.0788216</x:v>
      </x:c>
      <x:c r="F333" s="34" t="n">
        <x:f>IF(SUMIF($C$2:$C$367,C333,$E$2:$E$367)=0,"",E333/SUMIF($C$2:$C$367,C333,$E$2:$E$367))</x:f>
        <x:v>0.007479065726553716</x:v>
      </x:c>
      <x:c r="G333" s="35" t="n">
        <x:f>COUNTIFS($C$2:$C$367,C333,$E$2:$E$367,"&gt;"&amp;E333)+COUNTIFS($C$2:C333,C333,$E$2:E333,E333)</x:f>
        <x:v>32</x:v>
      </x:c>
      <x:c r="H333" s="34" t="n">
        <x:f>IF(SUMIF($C$2:$C$367,C333,$E$2:$E$367)=0,"",SUMIF($C$2:C333,C333,$F$2:F333))</x:f>
        <x:v>0.9281518608810582</x:v>
      </x:c>
    </x:row>
    <x:row r="334" ht="18" customHeight="1">
      <x:c r="A334" s="25" t="str">
        <x:f>'All Areas Data'!A334</x:f>
        <x:v>LME_012</x:v>
      </x:c>
      <x:c r="B334" s="25" t="str">
        <x:f>'All Areas Data'!B334</x:f>
        <x:v>Caribbean Sea</x:v>
      </x:c>
      <x:c r="C334" s="25" t="str">
        <x:f>'All Areas Data'!C334</x:f>
        <x:v>LME</x:v>
      </x:c>
      <x:c r="D334" s="32" t="n">
        <x:f>'All Areas Data'!E334</x:f>
        <x:v>625707.9632201534</x:v>
      </x:c>
      <x:c r="E334" s="32" t="n">
        <x:f>'All Areas Data'!K334</x:f>
        <x:v>398459551.5651003</x:v>
      </x:c>
      <x:c r="F334" s="34" t="n">
        <x:f>IF(SUMIF($C$2:$C$367,C334,$E$2:$E$367)=0,"",E334/SUMIF($C$2:$C$367,C334,$E$2:$E$367))</x:f>
        <x:v>0.006884628710062982</x:v>
      </x:c>
      <x:c r="G334" s="35" t="n">
        <x:f>COUNTIFS($C$2:$C$367,C334,$E$2:$E$367,"&gt;"&amp;E334)+COUNTIFS($C$2:C334,C334,$E$2:E334,E334)</x:f>
        <x:v>33</x:v>
      </x:c>
      <x:c r="H334" s="34" t="n">
        <x:f>IF(SUMIF($C$2:$C$367,C334,$E$2:$E$367)=0,"",SUMIF($C$2:C334,C334,$F$2:F334))</x:f>
        <x:v>0.9350364895911212</x:v>
      </x:c>
    </x:row>
    <x:row r="335" ht="18" customHeight="1">
      <x:c r="A335" s="25" t="str">
        <x:f>'All Areas Data'!A335</x:f>
        <x:v>LME_025</x:v>
      </x:c>
      <x:c r="B335" s="25" t="str">
        <x:f>'All Areas Data'!B335</x:f>
        <x:v>Iberian Coastal</x:v>
      </x:c>
      <x:c r="C335" s="25" t="str">
        <x:f>'All Areas Data'!C335</x:f>
        <x:v>LME</x:v>
      </x:c>
      <x:c r="D335" s="32" t="n">
        <x:f>'All Areas Data'!E335</x:f>
        <x:v>429516.3330948258</x:v>
      </x:c>
      <x:c r="E335" s="32" t="n">
        <x:f>'All Areas Data'!K335</x:f>
        <x:v>350502389.2247894</x:v>
      </x:c>
      <x:c r="F335" s="34" t="n">
        <x:f>IF(SUMIF($C$2:$C$367,C335,$E$2:$E$367)=0,"",E335/SUMIF($C$2:$C$367,C335,$E$2:$E$367))</x:f>
        <x:v>0.006056019493884328</x:v>
      </x:c>
      <x:c r="G335" s="35" t="n">
        <x:f>COUNTIFS($C$2:$C$367,C335,$E$2:$E$367,"&gt;"&amp;E335)+COUNTIFS($C$2:C335,C335,$E$2:E335,E335)</x:f>
        <x:v>34</x:v>
      </x:c>
      <x:c r="H335" s="34" t="n">
        <x:f>IF(SUMIF($C$2:$C$367,C335,$E$2:$E$367)=0,"",SUMIF($C$2:C335,C335,$F$2:F335))</x:f>
        <x:v>0.9410925090850055</x:v>
      </x:c>
    </x:row>
    <x:row r="336" ht="18" customHeight="1">
      <x:c r="A336" s="25" t="str">
        <x:f>'All Areas Data'!A336</x:f>
        <x:v>LME_021</x:v>
      </x:c>
      <x:c r="B336" s="25" t="str">
        <x:f>'All Areas Data'!B336</x:f>
        <x:v>Norwegian Sea</x:v>
      </x:c>
      <x:c r="C336" s="25" t="str">
        <x:f>'All Areas Data'!C336</x:f>
        <x:v>LME</x:v>
      </x:c>
      <x:c r="D336" s="32" t="n">
        <x:f>'All Areas Data'!E336</x:f>
        <x:v>707251.5165434971</x:v>
      </x:c>
      <x:c r="E336" s="32" t="n">
        <x:f>'All Areas Data'!K336</x:f>
        <x:v>338234665.9022903</x:v>
      </x:c>
      <x:c r="F336" s="34" t="n">
        <x:f>IF(SUMIF($C$2:$C$367,C336,$E$2:$E$367)=0,"",E336/SUMIF($C$2:$C$367,C336,$E$2:$E$367))</x:f>
        <x:v>0.005844056397852515</x:v>
      </x:c>
      <x:c r="G336" s="35" t="n">
        <x:f>COUNTIFS($C$2:$C$367,C336,$E$2:$E$367,"&gt;"&amp;E336)+COUNTIFS($C$2:C336,C336,$E$2:E336,E336)</x:f>
        <x:v>35</x:v>
      </x:c>
      <x:c r="H336" s="34" t="n">
        <x:f>IF(SUMIF($C$2:$C$367,C336,$E$2:$E$367)=0,"",SUMIF($C$2:C336,C336,$F$2:F336))</x:f>
        <x:v>0.9469365654828581</x:v>
      </x:c>
    </x:row>
    <x:row r="337" ht="18" customHeight="1">
      <x:c r="A337" s="25" t="str">
        <x:f>'All Areas Data'!A337</x:f>
        <x:v>LME_017</x:v>
      </x:c>
      <x:c r="B337" s="25" t="str">
        <x:f>'All Areas Data'!B337</x:f>
        <x:v>North Brazil Shelf</x:v>
      </x:c>
      <x:c r="C337" s="25" t="str">
        <x:f>'All Areas Data'!C337</x:f>
        <x:v>LME</x:v>
      </x:c>
      <x:c r="D337" s="32" t="n">
        <x:f>'All Areas Data'!E337</x:f>
        <x:v>453226.0308527972</x:v>
      </x:c>
      <x:c r="E337" s="32" t="n">
        <x:f>'All Areas Data'!K337</x:f>
        <x:v>292573328.34463125</x:v>
      </x:c>
      <x:c r="F337" s="34" t="n">
        <x:f>IF(SUMIF($C$2:$C$367,C337,$E$2:$E$367)=0,"",E337/SUMIF($C$2:$C$367,C337,$E$2:$E$367))</x:f>
        <x:v>0.005055114699116561</x:v>
      </x:c>
      <x:c r="G337" s="35" t="n">
        <x:f>COUNTIFS($C$2:$C$367,C337,$E$2:$E$367,"&gt;"&amp;E337)+COUNTIFS($C$2:C337,C337,$E$2:E337,E337)</x:f>
        <x:v>36</x:v>
      </x:c>
      <x:c r="H337" s="34" t="n">
        <x:f>IF(SUMIF($C$2:$C$367,C337,$E$2:$E$367)=0,"",SUMIF($C$2:C337,C337,$F$2:F337))</x:f>
        <x:v>0.9519916801819747</x:v>
      </x:c>
    </x:row>
    <x:row r="338" ht="18" customHeight="1">
      <x:c r="A338" s="25" t="str">
        <x:f>'All Areas Data'!A338</x:f>
        <x:v>LME_062</x:v>
      </x:c>
      <x:c r="B338" s="25" t="str">
        <x:f>'All Areas Data'!B338</x:f>
        <x:v>Black Sea</x:v>
      </x:c>
      <x:c r="C338" s="25" t="str">
        <x:f>'All Areas Data'!C338</x:f>
        <x:v>LME</x:v>
      </x:c>
      <x:c r="D338" s="32" t="n">
        <x:f>'All Areas Data'!E338</x:f>
        <x:v>1145168.1859547235</x:v>
      </x:c>
      <x:c r="E338" s="32" t="n">
        <x:f>'All Areas Data'!K338</x:f>
        <x:v>287609386.6659423</x:v>
      </x:c>
      <x:c r="F338" s="34" t="n">
        <x:f>IF(SUMIF($C$2:$C$367,C338,$E$2:$E$367)=0,"",E338/SUMIF($C$2:$C$367,C338,$E$2:$E$367))</x:f>
        <x:v>0.004969347159445482</x:v>
      </x:c>
      <x:c r="G338" s="35" t="n">
        <x:f>COUNTIFS($C$2:$C$367,C338,$E$2:$E$367,"&gt;"&amp;E338)+COUNTIFS($C$2:C338,C338,$E$2:E338,E338)</x:f>
        <x:v>37</x:v>
      </x:c>
      <x:c r="H338" s="34" t="n">
        <x:f>IF(SUMIF($C$2:$C$367,C338,$E$2:$E$367)=0,"",SUMIF($C$2:C338,C338,$F$2:F338))</x:f>
        <x:v>0.9569610273414202</x:v>
      </x:c>
    </x:row>
    <x:row r="339" ht="18" customHeight="1">
      <x:c r="A339" s="25" t="str">
        <x:f>'All Areas Data'!A339</x:f>
        <x:v>LME_009</x:v>
      </x:c>
      <x:c r="B339" s="25" t="str">
        <x:f>'All Areas Data'!B339</x:f>
        <x:v>Newfoundland-Labrador Shelf</x:v>
      </x:c>
      <x:c r="C339" s="25" t="str">
        <x:f>'All Areas Data'!C339</x:f>
        <x:v>LME</x:v>
      </x:c>
      <x:c r="D339" s="32" t="n">
        <x:f>'All Areas Data'!E339</x:f>
        <x:v>506689.9940610079</x:v>
      </x:c>
      <x:c r="E339" s="32" t="n">
        <x:f>'All Areas Data'!K339</x:f>
        <x:v>272326949.8167368</x:v>
      </x:c>
      <x:c r="F339" s="34" t="n">
        <x:f>IF(SUMIF($C$2:$C$367,C339,$E$2:$E$367)=0,"",E339/SUMIF($C$2:$C$367,C339,$E$2:$E$367))</x:f>
        <x:v>0.0047052955058246885</x:v>
      </x:c>
      <x:c r="G339" s="35" t="n">
        <x:f>COUNTIFS($C$2:$C$367,C339,$E$2:$E$367,"&gt;"&amp;E339)+COUNTIFS($C$2:C339,C339,$E$2:E339,E339)</x:f>
        <x:v>38</x:v>
      </x:c>
      <x:c r="H339" s="34" t="n">
        <x:f>IF(SUMIF($C$2:$C$367,C339,$E$2:$E$367)=0,"",SUMIF($C$2:C339,C339,$F$2:F339))</x:f>
        <x:v>0.9616663228472448</x:v>
      </x:c>
    </x:row>
    <x:row r="340" ht="18" customHeight="1">
      <x:c r="A340" s="25" t="str">
        <x:f>'All Areas Data'!A340</x:f>
        <x:v>LME_004</x:v>
      </x:c>
      <x:c r="B340" s="25" t="str">
        <x:f>'All Areas Data'!B340</x:f>
        <x:v>Gulf of California</x:v>
      </x:c>
      <x:c r="C340" s="25" t="str">
        <x:f>'All Areas Data'!C340</x:f>
        <x:v>LME</x:v>
      </x:c>
      <x:c r="D340" s="32" t="n">
        <x:f>'All Areas Data'!E340</x:f>
        <x:v>664877.8552277525</x:v>
      </x:c>
      <x:c r="E340" s="32" t="n">
        <x:f>'All Areas Data'!K340</x:f>
        <x:v>254257319.8187799</x:v>
      </x:c>
      <x:c r="F340" s="34" t="n">
        <x:f>IF(SUMIF($C$2:$C$367,C340,$E$2:$E$367)=0,"",E340/SUMIF($C$2:$C$367,C340,$E$2:$E$367))</x:f>
        <x:v>0.0043930864171593245</x:v>
      </x:c>
      <x:c r="G340" s="35" t="n">
        <x:f>COUNTIFS($C$2:$C$367,C340,$E$2:$E$367,"&gt;"&amp;E340)+COUNTIFS($C$2:C340,C340,$E$2:E340,E340)</x:f>
        <x:v>39</x:v>
      </x:c>
      <x:c r="H340" s="34" t="n">
        <x:f>IF(SUMIF($C$2:$C$367,C340,$E$2:$E$367)=0,"",SUMIF($C$2:C340,C340,$F$2:F340))</x:f>
        <x:v>0.9660594092644041</x:v>
      </x:c>
    </x:row>
    <x:row r="341" ht="18" customHeight="1">
      <x:c r="A341" s="25" t="str">
        <x:f>'All Areas Data'!A341</x:f>
        <x:v>LME_023</x:v>
      </x:c>
      <x:c r="B341" s="25" t="str">
        <x:f>'All Areas Data'!B341</x:f>
        <x:v>Baltic Sea</x:v>
      </x:c>
      <x:c r="C341" s="25" t="str">
        <x:f>'All Areas Data'!C341</x:f>
        <x:v>LME</x:v>
      </x:c>
      <x:c r="D341" s="32" t="n">
        <x:f>'All Areas Data'!E341</x:f>
        <x:v>937172.6469930056</x:v>
      </x:c>
      <x:c r="E341" s="32" t="n">
        <x:f>'All Areas Data'!K341</x:f>
        <x:v>250346631.3759637</x:v>
      </x:c>
      <x:c r="F341" s="34" t="n">
        <x:f>IF(SUMIF($C$2:$C$367,C341,$E$2:$E$367)=0,"",E341/SUMIF($C$2:$C$367,C341,$E$2:$E$367))</x:f>
        <x:v>0.004325517104731573</x:v>
      </x:c>
      <x:c r="G341" s="35" t="n">
        <x:f>COUNTIFS($C$2:$C$367,C341,$E$2:$E$367,"&gt;"&amp;E341)+COUNTIFS($C$2:C341,C341,$E$2:E341,E341)</x:f>
        <x:v>40</x:v>
      </x:c>
      <x:c r="H341" s="34" t="n">
        <x:f>IF(SUMIF($C$2:$C$367,C341,$E$2:$E$367)=0,"",SUMIF($C$2:C341,C341,$F$2:F341))</x:f>
        <x:v>0.9703849263691358</x:v>
      </x:c>
    </x:row>
    <x:row r="342" ht="18" customHeight="1">
      <x:c r="A342" s="25" t="str">
        <x:f>'All Areas Data'!A342</x:f>
        <x:v>LME_015</x:v>
      </x:c>
      <x:c r="B342" s="25" t="str">
        <x:f>'All Areas Data'!B342</x:f>
        <x:v>South Brazil Shelf</x:v>
      </x:c>
      <x:c r="C342" s="25" t="str">
        <x:f>'All Areas Data'!C342</x:f>
        <x:v>LME</x:v>
      </x:c>
      <x:c r="D342" s="32" t="n">
        <x:f>'All Areas Data'!E342</x:f>
        <x:v>292432.0999772061</x:v>
      </x:c>
      <x:c r="E342" s="32" t="n">
        <x:f>'All Areas Data'!K342</x:f>
        <x:v>226590038.89243436</x:v>
      </x:c>
      <x:c r="F342" s="34" t="n">
        <x:f>IF(SUMIF($C$2:$C$367,C342,$E$2:$E$367)=0,"",E342/SUMIF($C$2:$C$367,C342,$E$2:$E$367))</x:f>
        <x:v>0.003915048042005012</x:v>
      </x:c>
      <x:c r="G342" s="35" t="n">
        <x:f>COUNTIFS($C$2:$C$367,C342,$E$2:$E$367,"&gt;"&amp;E342)+COUNTIFS($C$2:C342,C342,$E$2:E342,E342)</x:f>
        <x:v>41</x:v>
      </x:c>
      <x:c r="H342" s="34" t="n">
        <x:f>IF(SUMIF($C$2:$C$367,C342,$E$2:$E$367)=0,"",SUMIF($C$2:C342,C342,$F$2:F342))</x:f>
        <x:v>0.9742999744111408</x:v>
      </x:c>
    </x:row>
    <x:row r="343" ht="18" customHeight="1">
      <x:c r="A343" s="25" t="str">
        <x:f>'All Areas Data'!A343</x:f>
        <x:v>LME_031</x:v>
      </x:c>
      <x:c r="B343" s="25" t="str">
        <x:f>'All Areas Data'!B343</x:f>
        <x:v>Somali Coastal Current</x:v>
      </x:c>
      <x:c r="C343" s="25" t="str">
        <x:f>'All Areas Data'!C343</x:f>
        <x:v>LME</x:v>
      </x:c>
      <x:c r="D343" s="32" t="n">
        <x:f>'All Areas Data'!E343</x:f>
        <x:v>237379.0786316204</x:v>
      </x:c>
      <x:c r="E343" s="32" t="n">
        <x:f>'All Areas Data'!K343</x:f>
        <x:v>220033882.6044375</x:v>
      </x:c>
      <x:c r="F343" s="34" t="n">
        <x:f>IF(SUMIF($C$2:$C$367,C343,$E$2:$E$367)=0,"",E343/SUMIF($C$2:$C$367,C343,$E$2:$E$367))</x:f>
        <x:v>0.0038017700401834684</x:v>
      </x:c>
      <x:c r="G343" s="35" t="n">
        <x:f>COUNTIFS($C$2:$C$367,C343,$E$2:$E$367,"&gt;"&amp;E343)+COUNTIFS($C$2:C343,C343,$E$2:E343,E343)</x:f>
        <x:v>42</x:v>
      </x:c>
      <x:c r="H343" s="34" t="n">
        <x:f>IF(SUMIF($C$2:$C$367,C343,$E$2:$E$367)=0,"",SUMIF($C$2:C343,C343,$F$2:F343))</x:f>
        <x:v>0.9781017444513243</x:v>
      </x:c>
    </x:row>
    <x:row r="344" ht="18" customHeight="1">
      <x:c r="A344" s="25" t="str">
        <x:f>'All Areas Data'!A344</x:f>
        <x:v>LME_018</x:v>
      </x:c>
      <x:c r="B344" s="25" t="str">
        <x:f>'All Areas Data'!B344</x:f>
        <x:v>Canadian Eastern Arctic -West Greenland</x:v>
      </x:c>
      <x:c r="C344" s="25" t="str">
        <x:f>'All Areas Data'!C344</x:f>
        <x:v>LME</x:v>
      </x:c>
      <x:c r="D344" s="32" t="n">
        <x:f>'All Areas Data'!E344</x:f>
        <x:v>219045.62416918145</x:v>
      </x:c>
      <x:c r="E344" s="32" t="n">
        <x:f>'All Areas Data'!K344</x:f>
        <x:v>208696707.97660503</x:v>
      </x:c>
      <x:c r="F344" s="34" t="n">
        <x:f>IF(SUMIF($C$2:$C$367,C344,$E$2:$E$367)=0,"",E344/SUMIF($C$2:$C$367,C344,$E$2:$E$367))</x:f>
        <x:v>0.003605885068604312</x:v>
      </x:c>
      <x:c r="G344" s="35" t="n">
        <x:f>COUNTIFS($C$2:$C$367,C344,$E$2:$E$367,"&gt;"&amp;E344)+COUNTIFS($C$2:C344,C344,$E$2:E344,E344)</x:f>
        <x:v>43</x:v>
      </x:c>
      <x:c r="H344" s="34" t="n">
        <x:f>IF(SUMIF($C$2:$C$367,C344,$E$2:$E$367)=0,"",SUMIF($C$2:C344,C344,$F$2:F344))</x:f>
        <x:v>0.9817076295199285</x:v>
      </x:c>
    </x:row>
    <x:row r="345" ht="18" customHeight="1">
      <x:c r="A345" s="25" t="str">
        <x:f>'All Areas Data'!A345</x:f>
        <x:v>LME_016</x:v>
      </x:c>
      <x:c r="B345" s="25" t="str">
        <x:f>'All Areas Data'!B345</x:f>
        <x:v>East Brazil Shelf</x:v>
      </x:c>
      <x:c r="C345" s="25" t="str">
        <x:f>'All Areas Data'!C345</x:f>
        <x:v>LME</x:v>
      </x:c>
      <x:c r="D345" s="32" t="n">
        <x:f>'All Areas Data'!E345</x:f>
        <x:v>306003.2887419415</x:v>
      </x:c>
      <x:c r="E345" s="32" t="n">
        <x:f>'All Areas Data'!K345</x:f>
        <x:v>201658143.7250421</x:v>
      </x:c>
      <x:c r="F345" s="34" t="n">
        <x:f>IF(SUMIF($C$2:$C$367,C345,$E$2:$E$367)=0,"",E345/SUMIF($C$2:$C$367,C345,$E$2:$E$367))</x:f>
        <x:v>0.0034842719680183267</x:v>
      </x:c>
      <x:c r="G345" s="35" t="n">
        <x:f>COUNTIFS($C$2:$C$367,C345,$E$2:$E$367,"&gt;"&amp;E345)+COUNTIFS($C$2:C345,C345,$E$2:E345,E345)</x:f>
        <x:v>44</x:v>
      </x:c>
      <x:c r="H345" s="34" t="n">
        <x:f>IF(SUMIF($C$2:$C$367,C345,$E$2:$E$367)=0,"",SUMIF($C$2:C345,C345,$F$2:F345))</x:f>
        <x:v>0.9851919014879469</x:v>
      </x:c>
    </x:row>
    <x:row r="346" ht="18" customHeight="1">
      <x:c r="A346" s="25" t="str">
        <x:f>'All Areas Data'!A346</x:f>
        <x:v>LME_054</x:v>
      </x:c>
      <x:c r="B346" s="25" t="str">
        <x:f>'All Areas Data'!B346</x:f>
        <x:v>Northern Bering - Chukchi Seas</x:v>
      </x:c>
      <x:c r="C346" s="25" t="str">
        <x:f>'All Areas Data'!C346</x:f>
        <x:v>LME</x:v>
      </x:c>
      <x:c r="D346" s="32" t="n">
        <x:f>'All Areas Data'!E346</x:f>
        <x:v>348828.221273396</x:v>
      </x:c>
      <x:c r="E346" s="32" t="n">
        <x:f>'All Areas Data'!K346</x:f>
        <x:v>188778895.78178987</x:v>
      </x:c>
      <x:c r="F346" s="34" t="n">
        <x:f>IF(SUMIF($C$2:$C$367,C346,$E$2:$E$367)=0,"",E346/SUMIF($C$2:$C$367,C346,$E$2:$E$367))</x:f>
        <x:v>0.00326174288117412</x:v>
      </x:c>
      <x:c r="G346" s="35" t="n">
        <x:f>COUNTIFS($C$2:$C$367,C346,$E$2:$E$367,"&gt;"&amp;E346)+COUNTIFS($C$2:C346,C346,$E$2:E346,E346)</x:f>
        <x:v>45</x:v>
      </x:c>
      <x:c r="H346" s="34" t="n">
        <x:f>IF(SUMIF($C$2:$C$367,C346,$E$2:$E$367)=0,"",SUMIF($C$2:C346,C346,$F$2:F346))</x:f>
        <x:v>0.988453644369121</x:v>
      </x:c>
    </x:row>
    <x:row r="347" ht="18" customHeight="1">
      <x:c r="A347" s="25" t="str">
        <x:f>'All Areas Data'!A347</x:f>
        <x:v>LME_033</x:v>
      </x:c>
      <x:c r="B347" s="25" t="str">
        <x:f>'All Areas Data'!B347</x:f>
        <x:v>Red Sea</x:v>
      </x:c>
      <x:c r="C347" s="25" t="str">
        <x:f>'All Areas Data'!C347</x:f>
        <x:v>LME</x:v>
      </x:c>
      <x:c r="D347" s="32" t="n">
        <x:f>'All Areas Data'!E347</x:f>
        <x:v>147100.3417814472</x:v>
      </x:c>
      <x:c r="E347" s="32" t="n">
        <x:f>'All Areas Data'!K347</x:f>
        <x:v>114071139.38229904</x:v>
      </x:c>
      <x:c r="F347" s="34" t="n">
        <x:f>IF(SUMIF($C$2:$C$367,C347,$E$2:$E$367)=0,"",E347/SUMIF($C$2:$C$367,C347,$E$2:$E$367))</x:f>
        <x:v>0.00197093390808744</x:v>
      </x:c>
      <x:c r="G347" s="35" t="n">
        <x:f>COUNTIFS($C$2:$C$367,C347,$E$2:$E$367,"&gt;"&amp;E347)+COUNTIFS($C$2:C347,C347,$E$2:E347,E347)</x:f>
        <x:v>46</x:v>
      </x:c>
      <x:c r="H347" s="34" t="n">
        <x:f>IF(SUMIF($C$2:$C$367,C347,$E$2:$E$367)=0,"",SUMIF($C$2:C347,C347,$F$2:F347))</x:f>
        <x:v>0.9904245782772084</x:v>
      </x:c>
    </x:row>
    <x:row r="348" ht="18" customHeight="1">
      <x:c r="A348" s="25" t="str">
        <x:f>'All Areas Data'!A348</x:f>
        <x:v>LME_006</x:v>
      </x:c>
      <x:c r="B348" s="25" t="str">
        <x:f>'All Areas Data'!B348</x:f>
        <x:v>Southeast U.S. Continental Shelf</x:v>
      </x:c>
      <x:c r="C348" s="25" t="str">
        <x:f>'All Areas Data'!C348</x:f>
        <x:v>LME</x:v>
      </x:c>
      <x:c r="D348" s="32" t="n">
        <x:f>'All Areas Data'!E348</x:f>
        <x:v>115599.570034811</x:v>
      </x:c>
      <x:c r="E348" s="32" t="n">
        <x:f>'All Areas Data'!K348</x:f>
        <x:v>104438774.10426636</x:v>
      </x:c>
      <x:c r="F348" s="34" t="n">
        <x:f>IF(SUMIF($C$2:$C$367,C348,$E$2:$E$367)=0,"",E348/SUMIF($C$2:$C$367,C348,$E$2:$E$367))</x:f>
        <x:v>0.001804504823181634</x:v>
      </x:c>
      <x:c r="G348" s="35" t="n">
        <x:f>COUNTIFS($C$2:$C$367,C348,$E$2:$E$367,"&gt;"&amp;E348)+COUNTIFS($C$2:C348,C348,$E$2:E348,E348)</x:f>
        <x:v>47</x:v>
      </x:c>
      <x:c r="H348" s="34" t="n">
        <x:f>IF(SUMIF($C$2:$C$367,C348,$E$2:$E$367)=0,"",SUMIF($C$2:C348,C348,$F$2:F348))</x:f>
        <x:v>0.99222908310039</x:v>
      </x:c>
    </x:row>
    <x:row r="349" ht="18" customHeight="1">
      <x:c r="A349" s="25" t="str">
        <x:f>'All Areas Data'!A349</x:f>
        <x:v>LME_065</x:v>
      </x:c>
      <x:c r="B349" s="25" t="str">
        <x:f>'All Areas Data'!B349</x:f>
        <x:v>Aleutian Islands</x:v>
      </x:c>
      <x:c r="C349" s="25" t="str">
        <x:f>'All Areas Data'!C349</x:f>
        <x:v>LME</x:v>
      </x:c>
      <x:c r="D349" s="32" t="n">
        <x:f>'All Areas Data'!E349</x:f>
        <x:v>151507.6717909796</x:v>
      </x:c>
      <x:c r="E349" s="32" t="n">
        <x:f>'All Areas Data'!K349</x:f>
        <x:v>85526381.4039745</x:v>
      </x:c>
      <x:c r="F349" s="34" t="n">
        <x:f>IF(SUMIF($C$2:$C$367,C349,$E$2:$E$367)=0,"",E349/SUMIF($C$2:$C$367,C349,$E$2:$E$367))</x:f>
        <x:v>0.0014777343862602793</x:v>
      </x:c>
      <x:c r="G349" s="35" t="n">
        <x:f>COUNTIFS($C$2:$C$367,C349,$E$2:$E$367,"&gt;"&amp;E349)+COUNTIFS($C$2:C349,C349,$E$2:E349,E349)</x:f>
        <x:v>48</x:v>
      </x:c>
      <x:c r="H349" s="34" t="n">
        <x:f>IF(SUMIF($C$2:$C$367,C349,$E$2:$E$367)=0,"",SUMIF($C$2:C349,C349,$F$2:F349))</x:f>
        <x:v>0.9937068174866504</x:v>
      </x:c>
    </x:row>
    <x:row r="350" ht="18" customHeight="1">
      <x:c r="A350" s="25" t="str">
        <x:f>'All Areas Data'!A350</x:f>
        <x:v>LME_019</x:v>
      </x:c>
      <x:c r="B350" s="25" t="str">
        <x:f>'All Areas Data'!B350</x:f>
        <x:v>Greenland Sea</x:v>
      </x:c>
      <x:c r="C350" s="25" t="str">
        <x:f>'All Areas Data'!C350</x:f>
        <x:v>LME</x:v>
      </x:c>
      <x:c r="D350" s="32" t="n">
        <x:f>'All Areas Data'!E350</x:f>
        <x:v>87093.8235737202</x:v>
      </x:c>
      <x:c r="E350" s="32" t="n">
        <x:f>'All Areas Data'!K350</x:f>
        <x:v>76279788.78654897</x:v>
      </x:c>
      <x:c r="F350" s="34" t="n">
        <x:f>IF(SUMIF($C$2:$C$367,C350,$E$2:$E$367)=0,"",E350/SUMIF($C$2:$C$367,C350,$E$2:$E$367))</x:f>
        <x:v>0.001317970724543204</x:v>
      </x:c>
      <x:c r="G350" s="35" t="n">
        <x:f>COUNTIFS($C$2:$C$367,C350,$E$2:$E$367,"&gt;"&amp;E350)+COUNTIFS($C$2:C350,C350,$E$2:E350,E350)</x:f>
        <x:v>49</x:v>
      </x:c>
      <x:c r="H350" s="34" t="n">
        <x:f>IF(SUMIF($C$2:$C$367,C350,$E$2:$E$367)=0,"",SUMIF($C$2:C350,C350,$F$2:F350))</x:f>
        <x:v>0.9950247882111936</x:v>
      </x:c>
    </x:row>
    <x:row r="351" ht="18" customHeight="1">
      <x:c r="A351" s="25" t="str">
        <x:f>'All Areas Data'!A351</x:f>
        <x:v>LME_008</x:v>
      </x:c>
      <x:c r="B351" s="25" t="str">
        <x:f>'All Areas Data'!B351</x:f>
        <x:v>Scotian Shelf</x:v>
      </x:c>
      <x:c r="C351" s="25" t="str">
        <x:f>'All Areas Data'!C351</x:f>
        <x:v>LME</x:v>
      </x:c>
      <x:c r="D351" s="32" t="n">
        <x:f>'All Areas Data'!E351</x:f>
        <x:v>148680.26073080715</x:v>
      </x:c>
      <x:c r="E351" s="32" t="n">
        <x:f>'All Areas Data'!K351</x:f>
        <x:v>75212513.43069898</x:v>
      </x:c>
      <x:c r="F351" s="34" t="n">
        <x:f>IF(SUMIF($C$2:$C$367,C351,$E$2:$E$367)=0,"",E351/SUMIF($C$2:$C$367,C351,$E$2:$E$367))</x:f>
        <x:v>0.0012995302215421682</x:v>
      </x:c>
      <x:c r="G351" s="35" t="n">
        <x:f>COUNTIFS($C$2:$C$367,C351,$E$2:$E$367,"&gt;"&amp;E351)+COUNTIFS($C$2:C351,C351,$E$2:E351,E351)</x:f>
        <x:v>50</x:v>
      </x:c>
      <x:c r="H351" s="34" t="n">
        <x:f>IF(SUMIF($C$2:$C$367,C351,$E$2:$E$367)=0,"",SUMIF($C$2:C351,C351,$F$2:F351))</x:f>
        <x:v>0.9963243184327357</x:v>
      </x:c>
    </x:row>
    <x:row r="352" ht="18" customHeight="1">
      <x:c r="A352" s="25" t="str">
        <x:f>'All Areas Data'!A352</x:f>
        <x:v>LME_010</x:v>
      </x:c>
      <x:c r="B352" s="25" t="str">
        <x:f>'All Areas Data'!B352</x:f>
        <x:v>Insular Pacific-Hawaiian</x:v>
      </x:c>
      <x:c r="C352" s="25" t="str">
        <x:f>'All Areas Data'!C352</x:f>
        <x:v>LME</x:v>
      </x:c>
      <x:c r="D352" s="32" t="n">
        <x:f>'All Areas Data'!E352</x:f>
        <x:v>21171.9533963985</x:v>
      </x:c>
      <x:c r="E352" s="32" t="n">
        <x:f>'All Areas Data'!K352</x:f>
        <x:v>44813494.47199182</x:v>
      </x:c>
      <x:c r="F352" s="34" t="n">
        <x:f>IF(SUMIF($C$2:$C$367,C352,$E$2:$E$367)=0,"",E352/SUMIF($C$2:$C$367,C352,$E$2:$E$367))</x:f>
        <x:v>0.0007742925710483739</x:v>
      </x:c>
      <x:c r="G352" s="35" t="n">
        <x:f>COUNTIFS($C$2:$C$367,C352,$E$2:$E$367,"&gt;"&amp;E352)+COUNTIFS($C$2:C352,C352,$E$2:E352,E352)</x:f>
        <x:v>51</x:v>
      </x:c>
      <x:c r="H352" s="34" t="n">
        <x:f>IF(SUMIF($C$2:$C$367,C352,$E$2:$E$367)=0,"",SUMIF($C$2:C352,C352,$F$2:F352))</x:f>
        <x:v>0.997098611003784</x:v>
      </x:c>
    </x:row>
    <x:row r="353" ht="18" customHeight="1">
      <x:c r="A353" s="25" t="str">
        <x:f>'All Areas Data'!A353</x:f>
        <x:v>LME_039</x:v>
      </x:c>
      <x:c r="B353" s="25" t="str">
        <x:f>'All Areas Data'!B353</x:f>
        <x:v>North Australian Shelf</x:v>
      </x:c>
      <x:c r="C353" s="25" t="str">
        <x:f>'All Areas Data'!C353</x:f>
        <x:v>LME</x:v>
      </x:c>
      <x:c r="D353" s="32" t="n">
        <x:f>'All Areas Data'!E353</x:f>
        <x:v>44872.4444403339</x:v>
      </x:c>
      <x:c r="E353" s="32" t="n">
        <x:f>'All Areas Data'!K353</x:f>
        <x:v>32609919.10129194</x:v>
      </x:c>
      <x:c r="F353" s="34" t="n">
        <x:f>IF(SUMIF($C$2:$C$367,C353,$E$2:$E$367)=0,"",E353/SUMIF($C$2:$C$367,C353,$E$2:$E$367))</x:f>
        <x:v>0.0005634378305043737</x:v>
      </x:c>
      <x:c r="G353" s="35" t="n">
        <x:f>COUNTIFS($C$2:$C$367,C353,$E$2:$E$367,"&gt;"&amp;E353)+COUNTIFS($C$2:C353,C353,$E$2:E353,E353)</x:f>
        <x:v>52</x:v>
      </x:c>
      <x:c r="H353" s="34" t="n">
        <x:f>IF(SUMIF($C$2:$C$367,C353,$E$2:$E$367)=0,"",SUMIF($C$2:C353,C353,$F$2:F353))</x:f>
        <x:v>0.9976620488342884</x:v>
      </x:c>
    </x:row>
    <x:row r="354" ht="18" customHeight="1">
      <x:c r="A354" s="25" t="str">
        <x:f>'All Areas Data'!A354</x:f>
        <x:v>LME_041</x:v>
      </x:c>
      <x:c r="B354" s="25" t="str">
        <x:f>'All Areas Data'!B354</x:f>
        <x:v>East-Central Australian Shelf</x:v>
      </x:c>
      <x:c r="C354" s="25" t="str">
        <x:f>'All Areas Data'!C354</x:f>
        <x:v>LME</x:v>
      </x:c>
      <x:c r="D354" s="32" t="n">
        <x:f>'All Areas Data'!E354</x:f>
        <x:v>39281.024733703096</x:v>
      </x:c>
      <x:c r="E354" s="32" t="n">
        <x:f>'All Areas Data'!K354</x:f>
        <x:v>32154354.584904723</x:v>
      </x:c>
      <x:c r="F354" s="34" t="n">
        <x:f>IF(SUMIF($C$2:$C$367,C354,$E$2:$E$367)=0,"",E354/SUMIF($C$2:$C$367,C354,$E$2:$E$367))</x:f>
        <x:v>0.0005555665358234304</x:v>
      </x:c>
      <x:c r="G354" s="35" t="n">
        <x:f>COUNTIFS($C$2:$C$367,C354,$E$2:$E$367,"&gt;"&amp;E354)+COUNTIFS($C$2:C354,C354,$E$2:E354,E354)</x:f>
        <x:v>53</x:v>
      </x:c>
      <x:c r="H354" s="34" t="n">
        <x:f>IF(SUMIF($C$2:$C$367,C354,$E$2:$E$367)=0,"",SUMIF($C$2:C354,C354,$F$2:F354))</x:f>
        <x:v>0.9982176153701119</x:v>
      </x:c>
    </x:row>
    <x:row r="355" ht="18" customHeight="1">
      <x:c r="A355" s="25" t="str">
        <x:f>'All Areas Data'!A355</x:f>
        <x:v>LME_040</x:v>
      </x:c>
      <x:c r="B355" s="25" t="str">
        <x:f>'All Areas Data'!B355</x:f>
        <x:v>Northeast Australian Shelf-Great Barrier Reef</x:v>
      </x:c>
      <x:c r="C355" s="25" t="str">
        <x:f>'All Areas Data'!C355</x:f>
        <x:v>LME</x:v>
      </x:c>
      <x:c r="D355" s="32" t="n">
        <x:f>'All Areas Data'!E355</x:f>
        <x:v>22842.5316976432</x:v>
      </x:c>
      <x:c r="E355" s="32" t="n">
        <x:f>'All Areas Data'!K355</x:f>
        <x:v>27661702.09258175</x:v>
      </x:c>
      <x:c r="F355" s="34" t="n">
        <x:f>IF(SUMIF($C$2:$C$367,C355,$E$2:$E$367)=0,"",E355/SUMIF($C$2:$C$367,C355,$E$2:$E$367))</x:f>
        <x:v>0.000477941983440403</x:v>
      </x:c>
      <x:c r="G355" s="35" t="n">
        <x:f>COUNTIFS($C$2:$C$367,C355,$E$2:$E$367,"&gt;"&amp;E355)+COUNTIFS($C$2:C355,C355,$E$2:E355,E355)</x:f>
        <x:v>54</x:v>
      </x:c>
      <x:c r="H355" s="34" t="n">
        <x:f>IF(SUMIF($C$2:$C$367,C355,$E$2:$E$367)=0,"",SUMIF($C$2:C355,C355,$F$2:F355))</x:f>
        <x:v>0.9986955573535523</x:v>
      </x:c>
    </x:row>
    <x:row r="356" ht="18" customHeight="1">
      <x:c r="A356" s="25" t="str">
        <x:f>'All Areas Data'!A356</x:f>
        <x:v>LME_042</x:v>
      </x:c>
      <x:c r="B356" s="25" t="str">
        <x:f>'All Areas Data'!B356</x:f>
        <x:v>Southeast Australian Shelf</x:v>
      </x:c>
      <x:c r="C356" s="25" t="str">
        <x:f>'All Areas Data'!C356</x:f>
        <x:v>LME</x:v>
      </x:c>
      <x:c r="D356" s="32" t="n">
        <x:f>'All Areas Data'!E356</x:f>
        <x:v>32645.7543579061</x:v>
      </x:c>
      <x:c r="E356" s="32" t="n">
        <x:f>'All Areas Data'!K356</x:f>
        <x:v>22122834.47721025</x:v>
      </x:c>
      <x:c r="F356" s="34" t="n">
        <x:f>IF(SUMIF($C$2:$C$367,C356,$E$2:$E$367)=0,"",E356/SUMIF($C$2:$C$367,C356,$E$2:$E$367))</x:f>
        <x:v>0.0003822408091148215</x:v>
      </x:c>
      <x:c r="G356" s="35" t="n">
        <x:f>COUNTIFS($C$2:$C$367,C356,$E$2:$E$367,"&gt;"&amp;E356)+COUNTIFS($C$2:C356,C356,$E$2:E356,E356)</x:f>
        <x:v>55</x:v>
      </x:c>
      <x:c r="H356" s="34" t="n">
        <x:f>IF(SUMIF($C$2:$C$367,C356,$E$2:$E$367)=0,"",SUMIF($C$2:C356,C356,$F$2:F356))</x:f>
        <x:v>0.9990777981626672</x:v>
      </x:c>
    </x:row>
    <x:row r="357" ht="18" customHeight="1">
      <x:c r="A357" s="25" t="str">
        <x:f>'All Areas Data'!A357</x:f>
        <x:v>LME_043</x:v>
      </x:c>
      <x:c r="B357" s="25" t="str">
        <x:f>'All Areas Data'!B357</x:f>
        <x:v>Southwest Australian Shelf</x:v>
      </x:c>
      <x:c r="C357" s="25" t="str">
        <x:f>'All Areas Data'!C357</x:f>
        <x:v>LME</x:v>
      </x:c>
      <x:c r="D357" s="32" t="n">
        <x:f>'All Areas Data'!E357</x:f>
        <x:v>30450.9174249122</x:v>
      </x:c>
      <x:c r="E357" s="32" t="n">
        <x:f>'All Areas Data'!K357</x:f>
        <x:v>21615913.49973341</x:v>
      </x:c>
      <x:c r="F357" s="34" t="n">
        <x:f>IF(SUMIF($C$2:$C$367,C357,$E$2:$E$367)=0,"",E357/SUMIF($C$2:$C$367,C357,$E$2:$E$367))</x:f>
        <x:v>0.00037348217175360853</x:v>
      </x:c>
      <x:c r="G357" s="35" t="n">
        <x:f>COUNTIFS($C$2:$C$367,C357,$E$2:$E$367,"&gt;"&amp;E357)+COUNTIFS($C$2:C357,C357,$E$2:E357,E357)</x:f>
        <x:v>56</x:v>
      </x:c>
      <x:c r="H357" s="34" t="n">
        <x:f>IF(SUMIF($C$2:$C$367,C357,$E$2:$E$367)=0,"",SUMIF($C$2:C357,C357,$F$2:F357))</x:f>
        <x:v>0.9994512803344208</x:v>
      </x:c>
    </x:row>
    <x:row r="358" ht="18" customHeight="1">
      <x:c r="A358" s="25" t="str">
        <x:f>'All Areas Data'!A358</x:f>
        <x:v>LME_045</x:v>
      </x:c>
      <x:c r="B358" s="25" t="str">
        <x:f>'All Areas Data'!B358</x:f>
        <x:v>Northwest Australian Shelf</x:v>
      </x:c>
      <x:c r="C358" s="25" t="str">
        <x:f>'All Areas Data'!C358</x:f>
        <x:v>LME</x:v>
      </x:c>
      <x:c r="D358" s="32" t="n">
        <x:f>'All Areas Data'!E358</x:f>
        <x:v>44647.94498142931</x:v>
      </x:c>
      <x:c r="E358" s="32" t="n">
        <x:f>'All Areas Data'!K358</x:f>
        <x:v>19198827.203371964</x:v>
      </x:c>
      <x:c r="F358" s="34" t="n">
        <x:f>IF(SUMIF($C$2:$C$367,C358,$E$2:$E$367)=0,"",E358/SUMIF($C$2:$C$367,C358,$E$2:$E$367))</x:f>
        <x:v>0.0003317194843107627</x:v>
      </x:c>
      <x:c r="G358" s="35" t="n">
        <x:f>COUNTIFS($C$2:$C$367,C358,$E$2:$E$367,"&gt;"&amp;E358)+COUNTIFS($C$2:C358,C358,$E$2:E358,E358)</x:f>
        <x:v>57</x:v>
      </x:c>
      <x:c r="H358" s="34" t="n">
        <x:f>IF(SUMIF($C$2:$C$367,C358,$E$2:$E$367)=0,"",SUMIF($C$2:C358,C358,$F$2:F358))</x:f>
        <x:v>0.9997829998187315</x:v>
      </x:c>
    </x:row>
    <x:row r="359" ht="18" customHeight="1">
      <x:c r="A359" s="25" t="str">
        <x:f>'All Areas Data'!A359</x:f>
        <x:v>LME_044</x:v>
      </x:c>
      <x:c r="B359" s="25" t="str">
        <x:f>'All Areas Data'!B359</x:f>
        <x:v>West-Central Australian Shelf</x:v>
      </x:c>
      <x:c r="C359" s="25" t="str">
        <x:f>'All Areas Data'!C359</x:f>
        <x:v>LME</x:v>
      </x:c>
      <x:c r="D359" s="32" t="n">
        <x:f>'All Areas Data'!E359</x:f>
        <x:v>19839.072931287603</x:v>
      </x:c>
      <x:c r="E359" s="32" t="n">
        <x:f>'All Areas Data'!K359</x:f>
        <x:v>8269244.800308174</x:v>
      </x:c>
      <x:c r="F359" s="34" t="n">
        <x:f>IF(SUMIF($C$2:$C$367,C359,$E$2:$E$367)=0,"",E359/SUMIF($C$2:$C$367,C359,$E$2:$E$367))</x:f>
        <x:v>0.00014287693679100916</x:v>
      </x:c>
      <x:c r="G359" s="35" t="n">
        <x:f>COUNTIFS($C$2:$C$367,C359,$E$2:$E$367,"&gt;"&amp;E359)+COUNTIFS($C$2:C359,C359,$E$2:E359,E359)</x:f>
        <x:v>58</x:v>
      </x:c>
      <x:c r="H359" s="34" t="n">
        <x:f>IF(SUMIF($C$2:$C$367,C359,$E$2:$E$367)=0,"",SUMIF($C$2:C359,C359,$F$2:F359))</x:f>
        <x:v>0.9999258767555226</x:v>
      </x:c>
    </x:row>
    <x:row r="360" ht="18" customHeight="1">
      <x:c r="A360" s="25" t="str">
        <x:f>'All Areas Data'!A360</x:f>
        <x:v>LME_063</x:v>
      </x:c>
      <x:c r="B360" s="25" t="str">
        <x:f>'All Areas Data'!B360</x:f>
        <x:v>Hudson Bay Complex</x:v>
      </x:c>
      <x:c r="C360" s="25" t="str">
        <x:f>'All Areas Data'!C360</x:f>
        <x:v>LME</x:v>
      </x:c>
      <x:c r="D360" s="32" t="n">
        <x:f>'All Areas Data'!E360</x:f>
        <x:v>1269.735630608</x:v>
      </x:c>
      <x:c r="E360" s="32" t="n">
        <x:f>'All Areas Data'!K360</x:f>
        <x:v>2919836.946188949</x:v>
      </x:c>
      <x:c r="F360" s="34" t="n">
        <x:f>IF(SUMIF($C$2:$C$367,C360,$E$2:$E$367)=0,"",E360/SUMIF($C$2:$C$367,C360,$E$2:$E$367))</x:f>
        <x:v>0.000050449269416373364</x:v>
      </x:c>
      <x:c r="G360" s="35" t="n">
        <x:f>COUNTIFS($C$2:$C$367,C360,$E$2:$E$367,"&gt;"&amp;E360)+COUNTIFS($C$2:C360,C360,$E$2:E360,E360)</x:f>
        <x:v>59</x:v>
      </x:c>
      <x:c r="H360" s="34" t="n">
        <x:f>IF(SUMIF($C$2:$C$367,C360,$E$2:$E$367)=0,"",SUMIF($C$2:C360,C360,$F$2:F360))</x:f>
        <x:v>0.9999763260249389</x:v>
      </x:c>
    </x:row>
    <x:row r="361" ht="18" customHeight="1">
      <x:c r="A361" s="25" t="str">
        <x:f>'All Areas Data'!A361</x:f>
        <x:v>LME_057</x:v>
      </x:c>
      <x:c r="B361" s="25" t="str">
        <x:f>'All Areas Data'!B361</x:f>
        <x:v>Laptev Sea</x:v>
      </x:c>
      <x:c r="C361" s="25" t="str">
        <x:f>'All Areas Data'!C361</x:f>
        <x:v>LME</x:v>
      </x:c>
      <x:c r="D361" s="32" t="n">
        <x:f>'All Areas Data'!E361</x:f>
        <x:v>2616.1834162357</x:v>
      </x:c>
      <x:c r="E361" s="32" t="n">
        <x:f>'All Areas Data'!K361</x:f>
        <x:v>507104.9804889677</x:v>
      </x:c>
      <x:c r="F361" s="34" t="n">
        <x:f>IF(SUMIF($C$2:$C$367,C361,$E$2:$E$367)=0,"",E361/SUMIF($C$2:$C$367,C361,$E$2:$E$367))</x:f>
        <x:v>0.000008761816585842034</x:v>
      </x:c>
      <x:c r="G361" s="35" t="n">
        <x:f>COUNTIFS($C$2:$C$367,C361,$E$2:$E$367,"&gt;"&amp;E361)+COUNTIFS($C$2:C361,C361,$E$2:E361,E361)</x:f>
        <x:v>60</x:v>
      </x:c>
      <x:c r="H361" s="34" t="n">
        <x:f>IF(SUMIF($C$2:$C$367,C361,$E$2:$E$367)=0,"",SUMIF($C$2:C361,C361,$F$2:F361))</x:f>
        <x:v>0.9999850878415247</x:v>
      </x:c>
    </x:row>
    <x:row r="362" ht="18" customHeight="1">
      <x:c r="A362" s="25" t="str">
        <x:f>'All Areas Data'!A362</x:f>
        <x:v>LME_055</x:v>
      </x:c>
      <x:c r="B362" s="25" t="str">
        <x:f>'All Areas Data'!B362</x:f>
        <x:v>Beaufort Sea</x:v>
      </x:c>
      <x:c r="C362" s="25" t="str">
        <x:f>'All Areas Data'!C362</x:f>
        <x:v>LME</x:v>
      </x:c>
      <x:c r="D362" s="32" t="n">
        <x:f>'All Areas Data'!E362</x:f>
        <x:v>212.788523028</x:v>
      </x:c>
      <x:c r="E362" s="32" t="n">
        <x:f>'All Areas Data'!K362</x:f>
        <x:v>439874.5102465751</x:v>
      </x:c>
      <x:c r="F362" s="34" t="n">
        <x:f>IF(SUMIF($C$2:$C$367,C362,$E$2:$E$367)=0,"",E362/SUMIF($C$2:$C$367,C362,$E$2:$E$367))</x:f>
        <x:v>0.000007600200999507698</x:v>
      </x:c>
      <x:c r="G362" s="35" t="n">
        <x:f>COUNTIFS($C$2:$C$367,C362,$E$2:$E$367,"&gt;"&amp;E362)+COUNTIFS($C$2:C362,C362,$E$2:E362,E362)</x:f>
        <x:v>61</x:v>
      </x:c>
      <x:c r="H362" s="34" t="n">
        <x:f>IF(SUMIF($C$2:$C$367,C362,$E$2:$E$367)=0,"",SUMIF($C$2:C362,C362,$F$2:F362))</x:f>
        <x:v>0.9999926880425243</x:v>
      </x:c>
    </x:row>
    <x:row r="363" ht="18" customHeight="1">
      <x:c r="A363" s="25" t="str">
        <x:f>'All Areas Data'!A363</x:f>
        <x:v>LME_056</x:v>
      </x:c>
      <x:c r="B363" s="25" t="str">
        <x:f>'All Areas Data'!B363</x:f>
        <x:v>East Siberian Sea</x:v>
      </x:c>
      <x:c r="C363" s="25" t="str">
        <x:f>'All Areas Data'!C363</x:f>
        <x:v>LME</x:v>
      </x:c>
      <x:c r="D363" s="32" t="n">
        <x:f>'All Areas Data'!E363</x:f>
        <x:v>1304.0687744917002</x:v>
      </x:c>
      <x:c r="E363" s="32" t="n">
        <x:f>'All Areas Data'!K363</x:f>
        <x:v>275429.0625472164</x:v>
      </x:c>
      <x:c r="F363" s="34" t="n">
        <x:f>IF(SUMIF($C$2:$C$367,C363,$E$2:$E$367)=0,"",E363/SUMIF($C$2:$C$367,C363,$E$2:$E$367))</x:f>
        <x:v>0.00000475889415663435</x:v>
      </x:c>
      <x:c r="G363" s="35" t="n">
        <x:f>COUNTIFS($C$2:$C$367,C363,$E$2:$E$367,"&gt;"&amp;E363)+COUNTIFS($C$2:C363,C363,$E$2:E363,E363)</x:f>
        <x:v>62</x:v>
      </x:c>
      <x:c r="H363" s="34" t="n">
        <x:f>IF(SUMIF($C$2:$C$367,C363,$E$2:$E$367)=0,"",SUMIF($C$2:C363,C363,$F$2:F363))</x:f>
        <x:v>0.9999974469366809</x:v>
      </x:c>
    </x:row>
    <x:row r="364" ht="18" customHeight="1">
      <x:c r="A364" s="25" t="str">
        <x:f>'All Areas Data'!A364</x:f>
        <x:v>LME_058</x:v>
      </x:c>
      <x:c r="B364" s="25" t="str">
        <x:f>'All Areas Data'!B364</x:f>
        <x:v>Kara Sea</x:v>
      </x:c>
      <x:c r="C364" s="25" t="str">
        <x:f>'All Areas Data'!C364</x:f>
        <x:v>LME</x:v>
      </x:c>
      <x:c r="D364" s="32" t="n">
        <x:f>'All Areas Data'!E364</x:f>
        <x:v>719.2892019078</x:v>
      </x:c>
      <x:c r="E364" s="32" t="n">
        <x:f>'All Areas Data'!K364</x:f>
        <x:v>137138.92556169763</x:v>
      </x:c>
      <x:c r="F364" s="34" t="n">
        <x:f>IF(SUMIF($C$2:$C$367,C364,$E$2:$E$367)=0,"",E364/SUMIF($C$2:$C$367,C364,$E$2:$E$367))</x:f>
        <x:v>0.0000023695016984302317</x:v>
      </x:c>
      <x:c r="G364" s="35" t="n">
        <x:f>COUNTIFS($C$2:$C$367,C364,$E$2:$E$367,"&gt;"&amp;E364)+COUNTIFS($C$2:C364,C364,$E$2:E364,E364)</x:f>
        <x:v>63</x:v>
      </x:c>
      <x:c r="H364" s="34" t="n">
        <x:f>IF(SUMIF($C$2:$C$367,C364,$E$2:$E$367)=0,"",SUMIF($C$2:C364,C364,$F$2:F364))</x:f>
        <x:v>0.9999998164383793</x:v>
      </x:c>
    </x:row>
    <x:row r="365" ht="18" customHeight="1">
      <x:c r="A365" s="25" t="str">
        <x:f>'All Areas Data'!A365</x:f>
        <x:v>LME_066</x:v>
      </x:c>
      <x:c r="B365" s="25" t="str">
        <x:f>'All Areas Data'!B365</x:f>
        <x:v>Canadian High Arctic - North Greenland</x:v>
      </x:c>
      <x:c r="C365" s="25" t="str">
        <x:f>'All Areas Data'!C365</x:f>
        <x:v>LME</x:v>
      </x:c>
      <x:c r="D365" s="32" t="n">
        <x:f>'All Areas Data'!E365</x:f>
        <x:v>53.5919340839</x:v>
      </x:c>
      <x:c r="E365" s="32" t="n">
        <x:f>'All Areas Data'!K365</x:f>
        <x:v>10566.2070599438</x:v>
      </x:c>
      <x:c r="F365" s="34" t="n">
        <x:f>IF(SUMIF($C$2:$C$367,C365,$E$2:$E$367)=0,"",E365/SUMIF($C$2:$C$367,C365,$E$2:$E$367))</x:f>
        <x:v>1.8256410768829136e-7</x:v>
      </x:c>
      <x:c r="G365" s="35" t="n">
        <x:f>COUNTIFS($C$2:$C$367,C365,$E$2:$E$367,"&gt;"&amp;E365)+COUNTIFS($C$2:C365,C365,$E$2:E365,E365)</x:f>
        <x:v>64</x:v>
      </x:c>
      <x:c r="H365" s="34" t="n">
        <x:f>IF(SUMIF($C$2:$C$367,C365,$E$2:$E$367)=0,"",SUMIF($C$2:C365,C365,$F$2:F365))</x:f>
        <x:v>0.999999999002487</x:v>
      </x:c>
    </x:row>
    <x:row r="366" ht="18" customHeight="1">
      <x:c r="A366" s="25" t="str">
        <x:f>'All Areas Data'!A366</x:f>
        <x:v>LME_061</x:v>
      </x:c>
      <x:c r="B366" s="25" t="str">
        <x:f>'All Areas Data'!B366</x:f>
        <x:v>Antarctic</x:v>
      </x:c>
      <x:c r="C366" s="25" t="str">
        <x:f>'All Areas Data'!C366</x:f>
        <x:v>LME</x:v>
      </x:c>
      <x:c r="D366" s="32" t="n">
        <x:f>'All Areas Data'!E366</x:f>
        <x:v>0.2496140134</x:v>
      </x:c>
      <x:c r="E366" s="32" t="n">
        <x:f>'All Areas Data'!K366</x:f>
        <x:v>57.73274163591119</x:v>
      </x:c>
      <x:c r="F366" s="34" t="n">
        <x:f>IF(SUMIF($C$2:$C$367,C366,$E$2:$E$367)=0,"",E366/SUMIF($C$2:$C$367,C366,$E$2:$E$367))</x:f>
        <x:v>9.975127689022264e-10</x:v>
      </x:c>
      <x:c r="G366" s="35" t="n">
        <x:f>COUNTIFS($C$2:$C$367,C366,$E$2:$E$367,"&gt;"&amp;E366)+COUNTIFS($C$2:C366,C366,$E$2:E366,E366)</x:f>
        <x:v>65</x:v>
      </x:c>
      <x:c r="H366" s="34" t="n">
        <x:f>IF(SUMIF($C$2:$C$367,C366,$E$2:$E$367)=0,"",SUMIF($C$2:C366,C366,$F$2:F366))</x:f>
        <x:v>0.9999999999999998</x:v>
      </x:c>
    </x:row>
    <x:row r="367" ht="18" customHeight="1">
      <x:c r="A367" s="25" t="str">
        <x:f>'All Areas Data'!A367</x:f>
        <x:v>LME_064</x:v>
      </x:c>
      <x:c r="B367" s="25" t="str">
        <x:f>'All Areas Data'!B367</x:f>
        <x:v>Central Arctic Ocean</x:v>
      </x:c>
      <x:c r="C367" s="25" t="str">
        <x:f>'All Areas Data'!C367</x:f>
        <x:v>LME</x:v>
      </x:c>
      <x:c r="D367" s="32" t="n">
        <x:f>'All Areas Data'!E367</x:f>
        <x:v>0</x:v>
      </x:c>
      <x:c r="E367" s="32" t="n">
        <x:f>'All Areas Data'!K367</x:f>
        <x:v>0</x:v>
      </x:c>
      <x:c r="F367" s="34" t="n">
        <x:f>IF(SUMIF($C$2:$C$367,C367,$E$2:$E$367)=0,"",E367/SUMIF($C$2:$C$367,C367,$E$2:$E$367))</x:f>
        <x:v>0</x:v>
      </x:c>
      <x:c r="G367" s="35" t="n">
        <x:f>COUNTIFS($C$2:$C$367,C367,$E$2:$E$367,"&gt;"&amp;E367)+COUNTIFS($C$2:C367,C367,$E$2:E367,E367)</x:f>
        <x:v>66</x:v>
      </x:c>
      <x:c r="H367" s="34" t="n">
        <x:f>IF(SUMIF($C$2:$C$367,C367,$E$2:$E$367)=0,"",SUMIF($C$2:C367,C367,$F$2:F367))</x:f>
        <x:v>0.9999999999999998</x:v>
      </x:c>
    </x:row>
  </x:sheetData>
  <x:pageMargins left="0.7" right="0.7" top="0.75" bottom="0.75" header="0.3" footer="0.3"/>
  <x:tableParts count="1">
    <x:tablePart xmlns:r="http://schemas.openxmlformats.org/officeDocument/2006/relationships" r:id="Rcfa6682f399742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Spatial flags — advisory only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Low LME overlap</x:v>
      </x:c>
      <x:c r="B4" s="37" t="n">
        <x:v>0.1</x:v>
      </x:c>
      <x:c r="C4" s="18" t="str">
        <x:v>Strictly less than; denominator = whole EEZ area; intersect union of LMEs</x:v>
      </x:c>
    </x:row>
    <x:row r="5">
      <x:c r="A5" s="22" t="str">
        <x:v>Mostly contained</x:v>
      </x:c>
      <x:c r="B5" s="37" t="n">
        <x:v>0.9</x:v>
      </x:c>
      <x:c r="C5" s="18" t="str">
        <x:v>At least this fraction of an LME lies inside the EEZ; provisional definition</x:v>
      </x:c>
    </x:row>
    <x:row r="6">
      <x:c r="A6" s="22" t="str">
        <x:v>Prefer EEZ area ratio</x:v>
      </x:c>
      <x:c r="B6" s="24" t="n">
        <x:v>1.2</x:v>
      </x:c>
      <x:c r="C6" s="18" t="str">
        <x:v>EEZ area / whole LME area, inclusive; AND mostly contained</x:v>
      </x:c>
    </x:row>
    <x:row r="7">
      <x:c r="A7" s="22" t="str">
        <x:v>Review area ratio</x:v>
      </x:c>
      <x:c r="B7" s="24" t="n">
        <x:v>1.1</x:v>
      </x:c>
      <x:c r="C7" s="18" t="str">
        <x:v>Inclusive lower bound; below preference ratio; AND mostly contained</x:v>
      </x:c>
    </x:row>
    <x:row r="8">
      <x:c r="A8" s="22" t="str">
        <x:v>No replacements</x:v>
      </x:c>
      <x:c r="B8" s="17" t="str">
        <x:v>All 282 EEZs retained</x:v>
      </x:c>
      <x:c r="C8" s="18" t="str">
        <x:v>Candidate flags are for later decisions; no catches are subtracted or prorated</x:v>
      </x:c>
    </x:row>
    <x:row r="9">
      <x:c r="A9" s="22" t="str">
        <x:v>Overlap warning</x:v>
      </x:c>
      <x:c r="B9" s="17" t="str">
        <x:v>Do not add EEZ + LME + HS</x:v>
      </x:c>
      <x:c r="C9" s="18" t="str">
        <x:v>All Areas Summary uses within-type shares and ranks, not a mixed-system total</x:v>
      </x:c>
    </x:row>
    <x:row r="10">
      <x:c r="A10" s="22" t="str">
        <x:v>Area source</x:v>
      </x:c>
      <x:c r="B10" s="17" t="str">
        <x:v>Sea Around Us polygons</x:v>
      </x:c>
      <x:c r="C10" s="18" t="str">
        <x:v>Repaired polygon topology; WGS84 area method and checks in spatial_validation.json</x:v>
      </x:c>
    </x:row>
    <x:row r="11">
      <x:c r="A11" s="22" t="str">
        <x:v>Area is not catch</x:v>
      </x:c>
      <x:c r="B11" s="17" t="str">
        <x:v>No area-weighted catch correction</x:v>
      </x:c>
      <x:c r="C11" s="18" t="str">
        <x:v>Fishing is not spatially uniform; exact deduplication needs spatial catch data</x:v>
      </x:c>
    </x:row>
    <x:row r="12">
      <x:c r="A12" s="22" t="str">
        <x:v>Official definitions</x:v>
      </x:c>
      <x:c r="B12" s="17" t="str">
        <x:v>https://www.seaaroundus.org/sea-around-us-area-parameters-and-definitions/</x:v>
      </x:c>
      <x:c r="C12" s="18" t="str">
        <x:v>EEZ units may be distinct facades/territories; boundaries are analytical, not legal</x:v>
      </x:c>
    </x:row>
    <x:row r="13">
      <x:c r="A13" s="22" t="str">
        <x:v>Linked LME ID lists</x:v>
      </x:c>
      <x:c r="B13" s="17" t="str">
        <x:v>Frozen at run thresholds</x:v>
      </x:c>
      <x:c r="C13" s="18" t="str">
        <x:v>Boolean flags recalculate here; rerun Python to regenerate candidate ID lists after changing thresholds</x:v>
      </x:c>
    </x:row>
    <x:row r="14">
      <x:c r="A14" s="23" t="str">
        <x:v>Flag display</x:v>
      </x:c>
      <x:c r="B14" s="20" t="str">
        <x:v>1 = yes; 0 = no</x:v>
      </x:c>
      <x:c r="C14" s="21" t="str">
        <x:v>Numeric flags remain filterable and formula-linked to the selection thresholds</x:v>
      </x:c>
    </x:row>
  </x:sheetData>
  <x:mergeCells>
    <x:mergeCell ref="A1:C1"/>
  </x:mergeCells>
  <x:pageMargins left="0.7" right="0.7" top="0.75" bottom="0.75" header="0.3" footer="0.3"/>
</x:worksheet>
</file>