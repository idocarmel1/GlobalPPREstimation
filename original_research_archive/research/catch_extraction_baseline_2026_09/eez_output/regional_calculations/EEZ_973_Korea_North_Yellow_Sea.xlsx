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a397ae864e4a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2e29bfc82ef4074"/>
    <x:sheet xmlns:r="http://schemas.openxmlformats.org/officeDocument/2006/relationships" name="Commercial" sheetId="2" r:id="R197f0b8c8f914bee"/>
    <x:sheet xmlns:r="http://schemas.openxmlformats.org/officeDocument/2006/relationships" name="Functional" sheetId="3" r:id="R399c3d52b771498c"/>
    <x:sheet xmlns:r="http://schemas.openxmlformats.org/officeDocument/2006/relationships" name="Missing TL" sheetId="4" r:id="R4a919dff557a48c5"/>
    <x:sheet xmlns:r="http://schemas.openxmlformats.org/officeDocument/2006/relationships" name="Validation" sheetId="5" r:id="R4183affc44fd412d"/>
    <x:sheet xmlns:r="http://schemas.openxmlformats.org/officeDocument/2006/relationships" name="Metadata" sheetId="6" r:id="Re933bb9845064f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33a3e073374b39" /><Relationship Type="http://schemas.openxmlformats.org/officeDocument/2006/relationships/theme" Target="/xl/theme/theme1.xml" Id="Rf693830581844b26" /><Relationship Type="http://schemas.microsoft.com/office/2022/11/relationships/FeaturePropertyBag" Target="/xl/featurePropertyBag/featurePropertyBag.xml" Id="R920b1234c7a34723" /><Relationship Type="http://schemas.openxmlformats.org/officeDocument/2006/relationships/sharedStrings" Target="/xl/sharedStrings.xml" Id="Rc0a2d97d60ce4801" /><Relationship Type="http://schemas.openxmlformats.org/officeDocument/2006/relationships/worksheet" Target="/xl/worksheets/sheet1.xml" Id="R32e29bfc82ef4074" /><Relationship Type="http://schemas.openxmlformats.org/officeDocument/2006/relationships/worksheet" Target="/xl/worksheets/sheet2.xml" Id="R197f0b8c8f914bee" /><Relationship Type="http://schemas.openxmlformats.org/officeDocument/2006/relationships/worksheet" Target="/xl/worksheets/sheet3.xml" Id="R399c3d52b771498c" /><Relationship Type="http://schemas.openxmlformats.org/officeDocument/2006/relationships/worksheet" Target="/xl/worksheets/sheet4.xml" Id="R4a919dff557a48c5" /><Relationship Type="http://schemas.openxmlformats.org/officeDocument/2006/relationships/worksheet" Target="/xl/worksheets/sheet5.xml" Id="R4183affc44fd412d" /><Relationship Type="http://schemas.openxmlformats.org/officeDocument/2006/relationships/worksheet" Target="/xl/worksheets/sheet6.xml" Id="Re933bb9845064f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73SpeciesTable" displayName="EEZ973SpeciesTable" ref="A1:U59" headerRowCount="1" totalsRowCount="0" totalsRowShown="0">
  <x:autoFilter ref="A1:U5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73CommercialTable" displayName="EEZ973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73FunctionalTable" displayName="EEZ973FunctionalTable" ref="A1:E19" headerRowCount="1" totalsRowCount="0" totalsRowShown="0">
  <x:autoFilter ref="A1:E1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73ValidationTable" displayName="EEZ973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1b10b3eeb54a7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8b9fe454e2a49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2ecb429f7f04a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bd759b447745a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EEZ_973</x:v>
      </x:c>
      <x:c r="B2" s="24" t="str">
        <x:v>Korea (North, Yellow Sea)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15053.6560477921</x:v>
      </x:c>
      <x:c r="J2" s="31" t="n">
        <x:v>13907.5231530972</x:v>
      </x:c>
      <x:c r="K2" s="31" t="n">
        <x:v>1146.1328946949</x:v>
      </x:c>
      <x:c r="L2" s="31" t="n">
        <x:v>12807.530931097199</x:v>
      </x:c>
      <x:c r="M2" s="31" t="n">
        <x:v>2246.1251166949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2868415.02607977</x:v>
      </x:c>
    </x:row>
    <x:row r="3" ht="18" customHeight="1">
      <x:c r="A3" s="24" t="str">
        <x:v>EEZ_973</x:v>
      </x:c>
      <x:c r="B3" s="24" t="str">
        <x:v>Korea (North, Yellow Sea)</x:v>
      </x:c>
      <x:c r="C3" s="24" t="str">
        <x:v>EEZ</x:v>
      </x:c>
      <x:c r="D3" s="30" t="n">
        <x:v>2019</x:v>
      </x:c>
      <x:c r="E3" s="24" t="str">
        <x:v>Todarodes pacificus</x:v>
      </x:c>
      <x:c r="F3" s="24" t="str">
        <x:v>Japanese flying squid</x:v>
      </x:c>
      <x:c r="G3" s="24" t="str">
        <x:v>Cephalopods</x:v>
      </x:c>
      <x:c r="H3" s="24" t="str">
        <x:v>Other fishes &amp; inverts</x:v>
      </x:c>
      <x:c r="I3" s="31" t="n">
        <x:v>12831.992814368401</x:v>
      </x:c>
      <x:c r="J3" s="31" t="n">
        <x:v>12831.992814368401</x:v>
      </x:c>
      <x:c r="K3" s="31" t="n">
        <x:v>0</x:v>
      </x:c>
      <x:c r="L3" s="31" t="n">
        <x:v>12831.992814368401</x:v>
      </x:c>
      <x:c r="M3" s="31" t="n">
        <x:v>0</x:v>
      </x:c>
      <x:c r="N3" s="24" t="str">
        <x:v>todarodes pacificus</x:v>
      </x:c>
      <x:c r="O3" s="32" t="n">
        <x:v>4.28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Todarodes pacificus</x:v>
      </x:c>
      <x:c r="T3" s="32" t="n">
        <x:f>IF(O3="","",(1/'Metadata'!$B$5)^(O3-1))</x:f>
        <x:v>1905.4607179632483</x:v>
      </x:c>
      <x:c r="U3" s="31" t="n">
        <x:f>IF(T3="","",I3*T3)</x:f>
        <x:v>24450858.240965657</x:v>
      </x:c>
    </x:row>
    <x:row r="4" ht="18" customHeight="1">
      <x:c r="A4" s="24" t="str">
        <x:v>EEZ_973</x:v>
      </x:c>
      <x:c r="B4" s="24" t="str">
        <x:v>Korea (North, Yellow Sea)</x:v>
      </x:c>
      <x:c r="C4" s="24" t="str">
        <x:v>EEZ</x:v>
      </x:c>
      <x:c r="D4" s="30" t="n">
        <x:v>2019</x:v>
      </x:c>
      <x:c r="E4" s="24" t="str">
        <x:v>Miscellaneous marine crustaceans</x:v>
      </x:c>
      <x:c r="F4" s="24" t="str">
        <x:v>Marine crabs, shrimps, lobsters nei</x:v>
      </x:c>
      <x:c r="G4" s="24" t="str">
        <x:v>Shrimps</x:v>
      </x:c>
      <x:c r="H4" s="24" t="str">
        <x:v>Crustaceans</x:v>
      </x:c>
      <x:c r="I4" s="31" t="n">
        <x:v>9465.2120931896</x:v>
      </x:c>
      <x:c r="J4" s="31" t="n">
        <x:v>9465.2120931896</x:v>
      </x:c>
      <x:c r="K4" s="31" t="n">
        <x:v>0</x:v>
      </x:c>
      <x:c r="L4" s="31" t="n">
        <x:v>8777.716954589601</x:v>
      </x:c>
      <x:c r="M4" s="31" t="n">
        <x:v>687.4951386</x:v>
      </x:c>
      <x:c r="N4" s="24" t="str">
        <x:v>miscellaneous marine crustaceans</x:v>
      </x:c>
      <x:c r="O4" s="32" t="n">
        <x:v>2.7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Miscellaneous marine crustaceans</x:v>
      </x:c>
      <x:c r="T4" s="32" t="n">
        <x:f>IF(O4="","",(1/'Metadata'!$B$5)^(O4-1))</x:f>
        <x:v>50.11872336272725</x:v>
      </x:c>
      <x:c r="U4" s="31" t="n">
        <x:f>IF(T4="","",I4*T4)</x:f>
        <x:v>474384.34646811016</x:v>
      </x:c>
    </x:row>
    <x:row r="5" ht="18" customHeight="1">
      <x:c r="A5" s="24" t="str">
        <x:v>EEZ_973</x:v>
      </x:c>
      <x:c r="B5" s="24" t="str">
        <x:v>Korea (North, Yellow Sea)</x:v>
      </x:c>
      <x:c r="C5" s="24" t="str">
        <x:v>EEZ</x:v>
      </x:c>
      <x:c r="D5" s="30" t="n">
        <x:v>2019</x:v>
      </x:c>
      <x:c r="E5" s="24" t="str">
        <x:v>Scomber japonicus</x:v>
      </x:c>
      <x:c r="F5" s="24" t="str">
        <x:v>Pacific chub mackerel</x:v>
      </x:c>
      <x:c r="G5" s="24" t="str">
        <x:v>Medium pelagics (30 - 89 cm)</x:v>
      </x:c>
      <x:c r="H5" s="24" t="str">
        <x:v>Perch-likes</x:v>
      </x:c>
      <x:c r="I5" s="31" t="n">
        <x:v>8295.9660751517</x:v>
      </x:c>
      <x:c r="J5" s="31" t="n">
        <x:v>8295.9660751517</x:v>
      </x:c>
      <x:c r="K5" s="31" t="n">
        <x:v>0</x:v>
      </x:c>
      <x:c r="L5" s="31" t="n">
        <x:v>8295.9660751517</x:v>
      </x:c>
      <x:c r="M5" s="31" t="n">
        <x:v>0</x:v>
      </x:c>
      <x:c r="N5" s="24" t="str">
        <x:v>scomber japonicus</x:v>
      </x:c>
      <x:c r="O5" s="32" t="n">
        <x:v>3.38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Scomber japonicus</x:v>
      </x:c>
      <x:c r="T5" s="32" t="n">
        <x:f>IF(O5="","",(1/'Metadata'!$B$5)^(O5-1))</x:f>
        <x:v>239.88329190194898</x:v>
      </x:c>
      <x:c r="U5" s="31" t="n">
        <x:f>IF(T5="","",I5*T5)</x:f>
        <x:v>1990063.6516142813</x:v>
      </x:c>
    </x:row>
    <x:row r="6" ht="18" customHeight="1">
      <x:c r="A6" s="24" t="str">
        <x:v>EEZ_973</x:v>
      </x:c>
      <x:c r="B6" s="24" t="str">
        <x:v>Korea (North, Yellow Sea)</x:v>
      </x:c>
      <x:c r="C6" s="24" t="str">
        <x:v>EEZ</x:v>
      </x:c>
      <x:c r="D6" s="30" t="n">
        <x:v>2019</x:v>
      </x:c>
      <x:c r="E6" s="24" t="str">
        <x:v>Teuthida</x:v>
      </x:c>
      <x:c r="F6" s="24" t="str">
        <x:v>Squids</x:v>
      </x:c>
      <x:c r="G6" s="24" t="str">
        <x:v>Cephalopods</x:v>
      </x:c>
      <x:c r="H6" s="24" t="str">
        <x:v>Other fishes &amp; inverts</x:v>
      </x:c>
      <x:c r="I6" s="31" t="n">
        <x:v>5390.8258400362</x:v>
      </x:c>
      <x:c r="J6" s="31" t="n">
        <x:v>5390.8258400362</x:v>
      </x:c>
      <x:c r="K6" s="31" t="n">
        <x:v>0</x:v>
      </x:c>
      <x:c r="L6" s="31" t="n">
        <x:v>5390.8258400362</x:v>
      </x:c>
      <x:c r="M6" s="31" t="n">
        <x:v>0</x:v>
      </x:c>
      <x:c r="N6" s="24" t="str">
        <x:v>teuthida</x:v>
      </x:c>
      <x:c r="O6" s="32" t="n">
        <x:v>4.13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Teuthida</x:v>
      </x:c>
      <x:c r="T6" s="32" t="n">
        <x:f>IF(O6="","",(1/'Metadata'!$B$5)^(O6-1))</x:f>
        <x:v>1348.9628825916532</x:v>
      </x:c>
      <x:c r="U6" s="31" t="n">
        <x:f>IF(T6="","",I6*T6)</x:f>
        <x:v>7272023.964724802</x:v>
      </x:c>
    </x:row>
    <x:row r="7" ht="18" customHeight="1">
      <x:c r="A7" s="24" t="str">
        <x:v>EEZ_973</x:v>
      </x:c>
      <x:c r="B7" s="24" t="str">
        <x:v>Korea (North, Yellow Sea)</x:v>
      </x:c>
      <x:c r="C7" s="24" t="str">
        <x:v>EEZ</x:v>
      </x:c>
      <x:c r="D7" s="30" t="n">
        <x:v>2019</x:v>
      </x:c>
      <x:c r="E7" s="24" t="str">
        <x:v>Trichiurus lepturus</x:v>
      </x:c>
      <x:c r="F7" s="24" t="str">
        <x:v>Largehead hairtail</x:v>
      </x:c>
      <x:c r="G7" s="24" t="str">
        <x:v>Large benthopelagics (&gt;=90 cm)</x:v>
      </x:c>
      <x:c r="H7" s="24" t="str">
        <x:v>Perch-likes</x:v>
      </x:c>
      <x:c r="I7" s="31" t="n">
        <x:v>3497.5175765792</x:v>
      </x:c>
      <x:c r="J7" s="31" t="n">
        <x:v>3497.5175765792</x:v>
      </x:c>
      <x:c r="K7" s="31" t="n">
        <x:v>0</x:v>
      </x:c>
      <x:c r="L7" s="31" t="n">
        <x:v>3497.5175765792</x:v>
      </x:c>
      <x:c r="M7" s="31" t="n">
        <x:v>0</x:v>
      </x:c>
      <x:c r="N7" s="24" t="str">
        <x:v>trichiurus lepturus</x:v>
      </x:c>
      <x:c r="O7" s="32" t="n">
        <x:v>4.42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Trichiurus lepturus</x:v>
      </x:c>
      <x:c r="T7" s="32" t="n">
        <x:f>IF(O7="","",(1/'Metadata'!$B$5)^(O7-1))</x:f>
        <x:v>2630.2679918953813</x:v>
      </x:c>
      <x:c r="U7" s="31" t="n">
        <x:f>IF(T7="","",I7*T7)</x:f>
        <x:v>9199408.532767773</x:v>
      </x:c>
    </x:row>
    <x:row r="8" ht="18" customHeight="1">
      <x:c r="A8" s="24" t="str">
        <x:v>EEZ_973</x:v>
      </x:c>
      <x:c r="B8" s="24" t="str">
        <x:v>Korea (North, Yellow Sea)</x:v>
      </x:c>
      <x:c r="C8" s="24" t="str">
        <x:v>EEZ</x:v>
      </x:c>
      <x:c r="D8" s="30" t="n">
        <x:v>2019</x:v>
      </x:c>
      <x:c r="E8" s="24" t="str">
        <x:v>Portunus trituberculatus</x:v>
      </x:c>
      <x:c r="F8" s="24" t="str">
        <x:v>Gazami crab</x:v>
      </x:c>
      <x:c r="G8" s="24" t="str">
        <x:v>Lobsters, crabs</x:v>
      </x:c>
      <x:c r="H8" s="24" t="str">
        <x:v>Crustaceans</x:v>
      </x:c>
      <x:c r="I8" s="31" t="n">
        <x:v>3308.8273600348</x:v>
      </x:c>
      <x:c r="J8" s="31" t="n">
        <x:v>3308.8273600348</x:v>
      </x:c>
      <x:c r="K8" s="31" t="n">
        <x:v>0</x:v>
      </x:c>
      <x:c r="L8" s="31" t="n">
        <x:v>3308.8273600348</x:v>
      </x:c>
      <x:c r="M8" s="31" t="n">
        <x:v>0</x:v>
      </x:c>
      <x:c r="N8" s="24" t="str">
        <x:v>portunus trituberculatus</x:v>
      </x:c>
      <x:c r="O8" s="32" t="n">
        <x:v>3.73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Portunus trituberculatus</x:v>
      </x:c>
      <x:c r="T8" s="32" t="n">
        <x:f>IF(O8="","",(1/'Metadata'!$B$5)^(O8-1))</x:f>
        <x:v>537.0317963702527</x:v>
      </x:c>
      <x:c r="U8" s="31" t="n">
        <x:f>IF(T8="","",I8*T8)</x:f>
        <x:v>1776945.5010385294</x:v>
      </x:c>
    </x:row>
    <x:row r="9" ht="18" customHeight="1">
      <x:c r="A9" s="24" t="str">
        <x:v>EEZ_973</x:v>
      </x:c>
      <x:c r="B9" s="24" t="str">
        <x:v>Korea (North, Yellow Sea)</x:v>
      </x:c>
      <x:c r="C9" s="24" t="str">
        <x:v>EEZ</x:v>
      </x:c>
      <x:c r="D9" s="30" t="n">
        <x:v>2019</x:v>
      </x:c>
      <x:c r="E9" s="24" t="str">
        <x:v>Sardinops sagax</x:v>
      </x:c>
      <x:c r="F9" s="24" t="str">
        <x:v>South American pilchard</x:v>
      </x:c>
      <x:c r="G9" s="24" t="str">
        <x:v>Medium pelagics (30 - 89 cm)</x:v>
      </x:c>
      <x:c r="H9" s="24" t="str">
        <x:v>Herring-likes</x:v>
      </x:c>
      <x:c r="I9" s="31" t="n">
        <x:v>3080.6484816816005</x:v>
      </x:c>
      <x:c r="J9" s="31" t="n">
        <x:v>3080.6484816816005</x:v>
      </x:c>
      <x:c r="K9" s="31" t="n">
        <x:v>0</x:v>
      </x:c>
      <x:c r="L9" s="31" t="n">
        <x:v>3080.6484816816005</x:v>
      </x:c>
      <x:c r="M9" s="31" t="n">
        <x:v>0</x:v>
      </x:c>
      <x:c r="N9" s="24" t="str">
        <x:v>sardinops sagax</x:v>
      </x:c>
      <x:c r="O9" s="32" t="n">
        <x:v>2.84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Sardinops sagax</x:v>
      </x:c>
      <x:c r="T9" s="32" t="n">
        <x:f>IF(O9="","",(1/'Metadata'!$B$5)^(O9-1))</x:f>
        <x:v>69.18309709189363</x:v>
      </x:c>
      <x:c r="U9" s="31" t="n">
        <x:f>IF(T9="","",I9*T9)</x:f>
        <x:v>213128.80301417285</x:v>
      </x:c>
    </x:row>
    <x:row r="10" ht="18" customHeight="1">
      <x:c r="A10" s="24" t="str">
        <x:v>EEZ_973</x:v>
      </x:c>
      <x:c r="B10" s="24" t="str">
        <x:v>Korea (North, Yellow Sea)</x:v>
      </x:c>
      <x:c r="C10" s="24" t="str">
        <x:v>EEZ</x:v>
      </x:c>
      <x:c r="D10" s="30" t="n">
        <x:v>2019</x:v>
      </x:c>
      <x:c r="E10" s="24" t="str">
        <x:v>Pampus</x:v>
      </x:c>
      <x:c r="F10" s="24" t="str">
        <x:v>Silver pomfrets</x:v>
      </x:c>
      <x:c r="G10" s="24" t="str">
        <x:v>Medium benthopelagics (30 - 89 cm)</x:v>
      </x:c>
      <x:c r="H10" s="24" t="str">
        <x:v>Perch-likes</x:v>
      </x:c>
      <x:c r="I10" s="31" t="n">
        <x:v>2943.7076602986</x:v>
      </x:c>
      <x:c r="J10" s="31" t="n">
        <x:v>2943.7076602986</x:v>
      </x:c>
      <x:c r="K10" s="31" t="n">
        <x:v>0</x:v>
      </x:c>
      <x:c r="L10" s="31" t="n">
        <x:v>2943.7076602986</x:v>
      </x:c>
      <x:c r="M10" s="31" t="n">
        <x:v>0</x:v>
      </x:c>
      <x:c r="N10" s="24" t="str">
        <x:v>pampus</x:v>
      </x:c>
      <x:c r="O10" s="32" t="n">
        <x:v>3.41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Pampus</x:v>
      </x:c>
      <x:c r="T10" s="32" t="n">
        <x:f>IF(O10="","",(1/'Metadata'!$B$5)^(O10-1))</x:f>
        <x:v>257.03957827688646</x:v>
      </x:c>
      <x:c r="U10" s="31" t="n">
        <x:f>IF(T10="","",I10*T10)</x:f>
        <x:v>756649.3755735923</x:v>
      </x:c>
    </x:row>
    <x:row r="11" ht="18" customHeight="1">
      <x:c r="A11" s="24" t="str">
        <x:v>EEZ_973</x:v>
      </x:c>
      <x:c r="B11" s="24" t="str">
        <x:v>Korea (North, Yellow Sea)</x:v>
      </x:c>
      <x:c r="C11" s="24" t="str">
        <x:v>EEZ</x:v>
      </x:c>
      <x:c r="D11" s="30" t="n">
        <x:v>2019</x:v>
      </x:c>
      <x:c r="E11" s="24" t="str">
        <x:v>Ammodytes personatus</x:v>
      </x:c>
      <x:c r="F11" s="24" t="str">
        <x:v>Pacific sandlance</x:v>
      </x:c>
      <x:c r="G11" s="24" t="str">
        <x:v>Small demersals (&lt;30 cm)</x:v>
      </x:c>
      <x:c r="H11" s="24" t="str">
        <x:v>Perch-likes</x:v>
      </x:c>
      <x:c r="I11" s="31" t="n">
        <x:v>2734.6356415598</x:v>
      </x:c>
      <x:c r="J11" s="31" t="n">
        <x:v>2734.6356415598</x:v>
      </x:c>
      <x:c r="K11" s="31" t="n">
        <x:v>0</x:v>
      </x:c>
      <x:c r="L11" s="31" t="n">
        <x:v>2734.6356415598</x:v>
      </x:c>
      <x:c r="M11" s="31" t="n">
        <x:v>0</x:v>
      </x:c>
      <x:c r="N11" s="24" t="str">
        <x:v>ammodytes personatus</x:v>
      </x:c>
      <x:c r="O11" s="32" t="n">
        <x:v>3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Ammodytes personatus</x:v>
      </x:c>
      <x:c r="T11" s="32" t="n">
        <x:f>IF(O11="","",(1/'Metadata'!$B$5)^(O11-1))</x:f>
        <x:v>100</x:v>
      </x:c>
      <x:c r="U11" s="31" t="n">
        <x:f>IF(T11="","",I11*T11)</x:f>
        <x:v>273463.56415598</x:v>
      </x:c>
    </x:row>
    <x:row r="12" ht="18" customHeight="1">
      <x:c r="A12" s="24" t="str">
        <x:v>EEZ_973</x:v>
      </x:c>
      <x:c r="B12" s="24" t="str">
        <x:v>Korea (North, Yellow Sea)</x:v>
      </x:c>
      <x:c r="C12" s="24" t="str">
        <x:v>EEZ</x:v>
      </x:c>
      <x:c r="D12" s="30" t="n">
        <x:v>2019</x:v>
      </x:c>
      <x:c r="E12" s="24" t="str">
        <x:v>Engraulis japonicus</x:v>
      </x:c>
      <x:c r="F12" s="24" t="str">
        <x:v>Japanese anchovy</x:v>
      </x:c>
      <x:c r="G12" s="24" t="str">
        <x:v>Small pelagics (&lt;30 cm)</x:v>
      </x:c>
      <x:c r="H12" s="24" t="str">
        <x:v>Anchovies</x:v>
      </x:c>
      <x:c r="I12" s="31" t="n">
        <x:v>2032.4354173112</x:v>
      </x:c>
      <x:c r="J12" s="31" t="n">
        <x:v>2032.4354173112</x:v>
      </x:c>
      <x:c r="K12" s="31" t="n">
        <x:v>0</x:v>
      </x:c>
      <x:c r="L12" s="31" t="n">
        <x:v>2032.4354173112</x:v>
      </x:c>
      <x:c r="M12" s="31" t="n">
        <x:v>0</x:v>
      </x:c>
      <x:c r="N12" s="24" t="str">
        <x:v>engraulis japonicus</x:v>
      </x:c>
      <x:c r="O12" s="32" t="n">
        <x:v>3.14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Engraulis japonicus</x:v>
      </x:c>
      <x:c r="T12" s="32" t="n">
        <x:f>IF(O12="","",(1/'Metadata'!$B$5)^(O12-1))</x:f>
        <x:v>138.03842646028852</x:v>
      </x:c>
      <x:c r="U12" s="31" t="n">
        <x:f>IF(T12="","",I12*T12)</x:f>
        <x:v>280554.1868877979</x:v>
      </x:c>
    </x:row>
    <x:row r="13" ht="18" customHeight="1">
      <x:c r="A13" s="24" t="str">
        <x:v>EEZ_973</x:v>
      </x:c>
      <x:c r="B13" s="24" t="str">
        <x:v>Korea (North, Yellow Sea)</x:v>
      </x:c>
      <x:c r="C13" s="24" t="str">
        <x:v>EEZ</x:v>
      </x:c>
      <x:c r="D13" s="30" t="n">
        <x:v>2019</x:v>
      </x:c>
      <x:c r="E13" s="24" t="str">
        <x:v>Pleuronectiformes</x:v>
      </x:c>
      <x:c r="F13" s="24" t="str">
        <x:v>Flatfishes</x:v>
      </x:c>
      <x:c r="G13" s="24" t="str">
        <x:v>Small to medium flatfishes (&lt;90 cm)</x:v>
      </x:c>
      <x:c r="H13" s="24" t="str">
        <x:v>Flatfishes</x:v>
      </x:c>
      <x:c r="I13" s="31" t="n">
        <x:v>1854.0760920619</x:v>
      </x:c>
      <x:c r="J13" s="31" t="n">
        <x:v>1854.0760920619</x:v>
      </x:c>
      <x:c r="K13" s="31" t="n">
        <x:v>0</x:v>
      </x:c>
      <x:c r="L13" s="31" t="n">
        <x:v>1854.0760920619</x:v>
      </x:c>
      <x:c r="M13" s="31" t="n">
        <x:v>0</x:v>
      </x:c>
      <x:c r="N13" s="24" t="str">
        <x:v>pleuronectiformes</x:v>
      </x:c>
      <x:c r="O13" s="32" t="n">
        <x:v>3.57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Pleuronectiformes</x:v>
      </x:c>
      <x:c r="T13" s="32" t="n">
        <x:f>IF(O13="","",(1/'Metadata'!$B$5)^(O13-1))</x:f>
        <x:v>371.5352290971724</x:v>
      </x:c>
      <x:c r="U13" s="31" t="n">
        <x:f>IF(T13="","",I13*T13)</x:f>
        <x:v>688854.5856278081</x:v>
      </x:c>
    </x:row>
    <x:row r="14" ht="18" customHeight="1">
      <x:c r="A14" s="24" t="str">
        <x:v>EEZ_973</x:v>
      </x:c>
      <x:c r="B14" s="24" t="str">
        <x:v>Korea (North, Yellow Sea)</x:v>
      </x:c>
      <x:c r="C14" s="24" t="str">
        <x:v>EEZ</x:v>
      </x:c>
      <x:c r="D14" s="30" t="n">
        <x:v>2019</x:v>
      </x:c>
      <x:c r="E14" s="24" t="str">
        <x:v>Larimichthys polyactis</x:v>
      </x:c>
      <x:c r="F14" s="24" t="str">
        <x:v>Yellow croaker</x:v>
      </x:c>
      <x:c r="G14" s="24" t="str">
        <x:v>Medium benthopelagics (30 - 89 cm)</x:v>
      </x:c>
      <x:c r="H14" s="24" t="str">
        <x:v>Perch-likes</x:v>
      </x:c>
      <x:c r="I14" s="31" t="n">
        <x:v>1622.2096168413002</x:v>
      </x:c>
      <x:c r="J14" s="31" t="n">
        <x:v>1622.2096168413002</x:v>
      </x:c>
      <x:c r="K14" s="31" t="n">
        <x:v>0</x:v>
      </x:c>
      <x:c r="L14" s="31" t="n">
        <x:v>1622.2096168413002</x:v>
      </x:c>
      <x:c r="M14" s="31" t="n">
        <x:v>0</x:v>
      </x:c>
      <x:c r="N14" s="24" t="str">
        <x:v>larimichthys polyactis</x:v>
      </x:c>
      <x:c r="O14" s="32" t="n">
        <x:v>3.64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Larimichthys polyactis</x:v>
      </x:c>
      <x:c r="T14" s="32" t="n">
        <x:f>IF(O14="","",(1/'Metadata'!$B$5)^(O14-1))</x:f>
        <x:v>436.5158322401661</x:v>
      </x:c>
      <x:c r="U14" s="31" t="n">
        <x:f>IF(T14="","",I14*T14)</x:f>
        <x:v>708120.1809634811</x:v>
      </x:c>
    </x:row>
    <x:row r="15" ht="18" customHeight="1">
      <x:c r="A15" s="24" t="str">
        <x:v>EEZ_973</x:v>
      </x:c>
      <x:c r="B15" s="24" t="str">
        <x:v>Korea (North, Yellow Sea)</x:v>
      </x:c>
      <x:c r="C15" s="24" t="str">
        <x:v>EEZ</x:v>
      </x:c>
      <x:c r="D15" s="30" t="n">
        <x:v>2019</x:v>
      </x:c>
      <x:c r="E15" s="24" t="str">
        <x:v>Sciaenidae</x:v>
      </x:c>
      <x:c r="F15" s="24" t="str">
        <x:v>Drums, croakers</x:v>
      </x:c>
      <x:c r="G15" s="24" t="str">
        <x:v>Medium demersals (30 - 89 cm)</x:v>
      </x:c>
      <x:c r="H15" s="24" t="str">
        <x:v>Perch-likes</x:v>
      </x:c>
      <x:c r="I15" s="31" t="n">
        <x:v>1472.5428254624</x:v>
      </x:c>
      <x:c r="J15" s="31" t="n">
        <x:v>1472.5428254624</x:v>
      </x:c>
      <x:c r="K15" s="31" t="n">
        <x:v>0</x:v>
      </x:c>
      <x:c r="L15" s="31" t="n">
        <x:v>1472.5428254624</x:v>
      </x:c>
      <x:c r="M15" s="31" t="n">
        <x:v>0</x:v>
      </x:c>
      <x:c r="N15" s="24" t="str">
        <x:v>sciaenidae</x:v>
      </x:c>
      <x:c r="O15" s="32" t="n">
        <x:v>3.76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Sciaenidae</x:v>
      </x:c>
      <x:c r="T15" s="32" t="n">
        <x:f>IF(O15="","",(1/'Metadata'!$B$5)^(O15-1))</x:f>
        <x:v>575.4399373371566</x:v>
      </x:c>
      <x:c r="U15" s="31" t="n">
        <x:f>IF(T15="","",I15*T15)</x:f>
        <x:v>847359.9512103631</x:v>
      </x:c>
    </x:row>
    <x:row r="16" ht="18" customHeight="1">
      <x:c r="A16" s="24" t="str">
        <x:v>EEZ_973</x:v>
      </x:c>
      <x:c r="B16" s="24" t="str">
        <x:v>Korea (North, Yellow Sea)</x:v>
      </x:c>
      <x:c r="C16" s="24" t="str">
        <x:v>EEZ</x:v>
      </x:c>
      <x:c r="D16" s="30" t="n">
        <x:v>2019</x:v>
      </x:c>
      <x:c r="E16" s="24" t="str">
        <x:v>Clupea pallasii</x:v>
      </x:c>
      <x:c r="F16" s="24" t="str">
        <x:v>Pacific herring</x:v>
      </x:c>
      <x:c r="G16" s="24" t="str">
        <x:v>Medium pelagics (30 - 89 cm)</x:v>
      </x:c>
      <x:c r="H16" s="24" t="str">
        <x:v>Herring-likes</x:v>
      </x:c>
      <x:c r="I16" s="31" t="n">
        <x:v>1316.4839356877</x:v>
      </x:c>
      <x:c r="J16" s="31" t="n">
        <x:v>1316.4839356877</x:v>
      </x:c>
      <x:c r="K16" s="31" t="n">
        <x:v>0</x:v>
      </x:c>
      <x:c r="L16" s="31" t="n">
        <x:v>1316.4839356877</x:v>
      </x:c>
      <x:c r="M16" s="31" t="n">
        <x:v>0</x:v>
      </x:c>
      <x:c r="N16" s="24" t="str">
        <x:v>clupea pallasii</x:v>
      </x:c>
      <x:c r="O16" s="32" t="n">
        <x:v>3.16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Clupea pallasii</x:v>
      </x:c>
      <x:c r="T16" s="32" t="n">
        <x:f>IF(O16="","",(1/'Metadata'!$B$5)^(O16-1))</x:f>
        <x:v>144.5439770745928</x:v>
      </x:c>
      <x:c r="U16" s="31" t="n">
        <x:f>IF(T16="","",I16*T16)</x:f>
        <x:v>190289.82381911261</x:v>
      </x:c>
    </x:row>
    <x:row r="17" ht="18" customHeight="1">
      <x:c r="A17" s="24" t="str">
        <x:v>EEZ_973</x:v>
      </x:c>
      <x:c r="B17" s="24" t="str">
        <x:v>Korea (North, Yellow Sea)</x:v>
      </x:c>
      <x:c r="C17" s="24" t="str">
        <x:v>EEZ</x:v>
      </x:c>
      <x:c r="D17" s="30" t="n">
        <x:v>2019</x:v>
      </x:c>
      <x:c r="E17" s="24" t="str">
        <x:v>Octopoda</x:v>
      </x:c>
      <x:c r="F17" s="24" t="str">
        <x:v>Octopuses, argonauts</x:v>
      </x:c>
      <x:c r="G17" s="24" t="str">
        <x:v>Cephalopods</x:v>
      </x:c>
      <x:c r="H17" s="24" t="str">
        <x:v>Other fishes &amp; inverts</x:v>
      </x:c>
      <x:c r="I17" s="31" t="n">
        <x:v>1285.0580609342</x:v>
      </x:c>
      <x:c r="J17" s="31" t="n">
        <x:v>1285.0580609342</x:v>
      </x:c>
      <x:c r="K17" s="31" t="n">
        <x:v>0</x:v>
      </x:c>
      <x:c r="L17" s="31" t="n">
        <x:v>1285.0580609342</x:v>
      </x:c>
      <x:c r="M17" s="31" t="n">
        <x:v>0</x:v>
      </x:c>
      <x:c r="N17" s="24" t="str">
        <x:v>octopoda</x:v>
      </x:c>
      <x:c r="O17" s="32" t="n">
        <x:v>3.58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Octopoda</x:v>
      </x:c>
      <x:c r="T17" s="32" t="n">
        <x:f>IF(O17="","",(1/'Metadata'!$B$5)^(O17-1))</x:f>
        <x:v>380.1893963205613</x:v>
      </x:c>
      <x:c r="U17" s="31" t="n">
        <x:f>IF(T17="","",I17*T17)</x:f>
        <x:v>488565.4484234446</x:v>
      </x:c>
    </x:row>
    <x:row r="18" ht="18" customHeight="1">
      <x:c r="A18" s="24" t="str">
        <x:v>EEZ_973</x:v>
      </x:c>
      <x:c r="B18" s="24" t="str">
        <x:v>Korea (North, Yellow Sea)</x:v>
      </x:c>
      <x:c r="C18" s="24" t="str">
        <x:v>EEZ</x:v>
      </x:c>
      <x:c r="D18" s="30" t="n">
        <x:v>2019</x:v>
      </x:c>
      <x:c r="E18" s="24" t="str">
        <x:v>Muraenesox cinereus</x:v>
      </x:c>
      <x:c r="F18" s="24" t="str">
        <x:v>Daggertooth pike conger</x:v>
      </x:c>
      <x:c r="G18" s="24" t="str">
        <x:v>Large demersals (&gt;=90 cm)</x:v>
      </x:c>
      <x:c r="H18" s="24" t="str">
        <x:v>Other fishes &amp; inverts</x:v>
      </x:c>
      <x:c r="I18" s="31" t="n">
        <x:v>1119.5905694711</x:v>
      </x:c>
      <x:c r="J18" s="31" t="n">
        <x:v>1119.5905694711</x:v>
      </x:c>
      <x:c r="K18" s="31" t="n">
        <x:v>0</x:v>
      </x:c>
      <x:c r="L18" s="31" t="n">
        <x:v>1119.5905694711</x:v>
      </x:c>
      <x:c r="M18" s="31" t="n">
        <x:v>0</x:v>
      </x:c>
      <x:c r="N18" s="24" t="str">
        <x:v>muraenesox cinereus</x:v>
      </x:c>
      <x:c r="O18" s="32" t="n">
        <x:v>4.38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Muraenesox cinereus</x:v>
      </x:c>
      <x:c r="T18" s="32" t="n">
        <x:f>IF(O18="","",(1/'Metadata'!$B$5)^(O18-1))</x:f>
        <x:v>2398.83291901949</x:v>
      </x:c>
      <x:c r="U18" s="31" t="n">
        <x:f>IF(T18="","",I18*T18)</x:f>
        <x:v>2685710.713871052</x:v>
      </x:c>
    </x:row>
    <x:row r="19" ht="18" customHeight="1">
      <x:c r="A19" s="24" t="str">
        <x:v>EEZ_973</x:v>
      </x:c>
      <x:c r="B19" s="24" t="str">
        <x:v>Korea (North, Yellow Sea)</x:v>
      </x:c>
      <x:c r="C19" s="24" t="str">
        <x:v>EEZ</x:v>
      </x:c>
      <x:c r="D19" s="30" t="n">
        <x:v>2019</x:v>
      </x:c>
      <x:c r="E19" s="24" t="str">
        <x:v>Squillidae</x:v>
      </x:c>
      <x:c r="F19" s="24" t="str">
        <x:v>Squilla mantis shrimps</x:v>
      </x:c>
      <x:c r="G19" s="24" t="str">
        <x:v>Shrimps</x:v>
      </x:c>
      <x:c r="H19" s="24" t="str">
        <x:v>Crustaceans</x:v>
      </x:c>
      <x:c r="I19" s="31" t="n">
        <x:v>1090.5017168929999</x:v>
      </x:c>
      <x:c r="J19" s="31" t="n">
        <x:v>1090.5017168929999</x:v>
      </x:c>
      <x:c r="K19" s="31" t="n">
        <x:v>0</x:v>
      </x:c>
      <x:c r="L19" s="31" t="n">
        <x:v>1090.5017168929999</x:v>
      </x:c>
      <x:c r="M19" s="31" t="n">
        <x:v>0</x:v>
      </x:c>
      <x:c r="N19" s="24" t="str">
        <x:v>squillidae</x:v>
      </x:c>
      <x:c r="O19" s="32" t="n">
        <x:v>3.5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Squillidae</x:v>
      </x:c>
      <x:c r="T19" s="32" t="n">
        <x:f>IF(O19="","",(1/'Metadata'!$B$5)^(O19-1))</x:f>
        <x:v>316.22776601683796</x:v>
      </x:c>
      <x:c r="U19" s="31" t="n">
        <x:f>IF(T19="","",I19*T19)</x:f>
        <x:v>344846.9217705996</x:v>
      </x:c>
    </x:row>
    <x:row r="20" ht="18" customHeight="1">
      <x:c r="A20" s="24" t="str">
        <x:v>EEZ_973</x:v>
      </x:c>
      <x:c r="B20" s="24" t="str">
        <x:v>Korea (North, Yellow Sea)</x:v>
      </x:c>
      <x:c r="C20" s="24" t="str">
        <x:v>EEZ</x:v>
      </x:c>
      <x:c r="D20" s="30" t="n">
        <x:v>2019</x:v>
      </x:c>
      <x:c r="E20" s="24" t="str">
        <x:v>Sepiida</x:v>
      </x:c>
      <x:c r="F20" s="24" t="str">
        <x:v>Cuttlefishes, bobtail squids</x:v>
      </x:c>
      <x:c r="G20" s="24" t="str">
        <x:v>Cephalopods</x:v>
      </x:c>
      <x:c r="H20" s="24" t="str">
        <x:v>Other fishes &amp; inverts</x:v>
      </x:c>
      <x:c r="I20" s="31" t="n">
        <x:v>1072.6118161421998</x:v>
      </x:c>
      <x:c r="J20" s="31" t="n">
        <x:v>1072.6118161421998</x:v>
      </x:c>
      <x:c r="K20" s="31" t="n">
        <x:v>0</x:v>
      </x:c>
      <x:c r="L20" s="31" t="n">
        <x:v>1072.6118161421998</x:v>
      </x:c>
      <x:c r="M20" s="31" t="n">
        <x:v>0</x:v>
      </x:c>
      <x:c r="N20" s="24" t="str">
        <x:v>sepiida</x:v>
      </x:c>
      <x:c r="O20" s="32" t="n">
        <x:v>3.7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Sepiida</x:v>
      </x:c>
      <x:c r="T20" s="32" t="n">
        <x:f>IF(O20="","",(1/'Metadata'!$B$5)^(O20-1))</x:f>
        <x:v>501.18723362727246</x:v>
      </x:c>
      <x:c r="U20" s="31" t="n">
        <x:f>IF(T20="","",I20*T20)</x:f>
        <x:v>537579.3488882338</x:v>
      </x:c>
    </x:row>
    <x:row r="21" ht="18" customHeight="1">
      <x:c r="A21" s="24" t="str">
        <x:v>EEZ_973</x:v>
      </x:c>
      <x:c r="B21" s="24" t="str">
        <x:v>Korea (North, Yellow Sea)</x:v>
      </x:c>
      <x:c r="C21" s="24" t="str">
        <x:v>EEZ</x:v>
      </x:c>
      <x:c r="D21" s="30" t="n">
        <x:v>2019</x:v>
      </x:c>
      <x:c r="E21" s="24" t="str">
        <x:v>Brachyura</x:v>
      </x:c>
      <x:c r="F21" s="24" t="str">
        <x:v>Marine crabs</x:v>
      </x:c>
      <x:c r="G21" s="24" t="str">
        <x:v>Lobsters, crabs</x:v>
      </x:c>
      <x:c r="H21" s="24" t="str">
        <x:v>Crustaceans</x:v>
      </x:c>
      <x:c r="I21" s="31" t="n">
        <x:v>1065.6309208891</x:v>
      </x:c>
      <x:c r="J21" s="31" t="n">
        <x:v>1065.6309208891</x:v>
      </x:c>
      <x:c r="K21" s="31" t="n">
        <x:v>0</x:v>
      </x:c>
      <x:c r="L21" s="31" t="n">
        <x:v>1065.6309208891</x:v>
      </x:c>
      <x:c r="M21" s="31" t="n">
        <x:v>0</x:v>
      </x:c>
      <x:c r="N21" s="24" t="str">
        <x:v>brachyura</x:v>
      </x:c>
      <x:c r="O21" s="32" t="n">
        <x:v>2.6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Brachyura</x:v>
      </x:c>
      <x:c r="T21" s="32" t="n">
        <x:f>IF(O21="","",(1/'Metadata'!$B$5)^(O21-1))</x:f>
        <x:v>39.810717055349734</x:v>
      </x:c>
      <x:c r="U21" s="31" t="n">
        <x:f>IF(T21="","",I21*T21)</x:f>
        <x:v>42423.53107694774</x:v>
      </x:c>
    </x:row>
    <x:row r="22" ht="18" customHeight="1">
      <x:c r="A22" s="24" t="str">
        <x:v>EEZ_973</x:v>
      </x:c>
      <x:c r="B22" s="24" t="str">
        <x:v>Korea (North, Yellow Sea)</x:v>
      </x:c>
      <x:c r="C22" s="24" t="str">
        <x:v>EEZ</x:v>
      </x:c>
      <x:c r="D22" s="30" t="n">
        <x:v>2019</x:v>
      </x:c>
      <x:c r="E22" s="24" t="str">
        <x:v>Echinoidea</x:v>
      </x:c>
      <x:c r="F22" s="24" t="str">
        <x:v>Sea urchins, sea hedgehogs</x:v>
      </x:c>
      <x:c r="G22" s="24" t="str">
        <x:v>Other demersal invertebrates</x:v>
      </x:c>
      <x:c r="H22" s="24" t="str">
        <x:v>Other fishes &amp; inverts</x:v>
      </x:c>
      <x:c r="I22" s="31" t="n">
        <x:v>616.2735407355</x:v>
      </x:c>
      <x:c r="J22" s="31" t="n">
        <x:v>616.2735407355</x:v>
      </x:c>
      <x:c r="K22" s="31" t="n">
        <x:v>0</x:v>
      </x:c>
      <x:c r="L22" s="31" t="n">
        <x:v>616.2735407355</x:v>
      </x:c>
      <x:c r="M22" s="31" t="n">
        <x:v>0</x:v>
      </x:c>
      <x:c r="N22" s="24" t="str">
        <x:v>echinoidea</x:v>
      </x:c>
      <x:c r="O22" s="32" t="n">
        <x:v>2.51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Echinoidea</x:v>
      </x:c>
      <x:c r="T22" s="32" t="n">
        <x:f>IF(O22="","",(1/'Metadata'!$B$5)^(O22-1))</x:f>
        <x:v>32.35936569296281</x:v>
      </x:c>
      <x:c r="U22" s="31" t="n">
        <x:f>IF(T22="","",I22*T22)</x:f>
        <x:v>19942.220871557056</x:v>
      </x:c>
    </x:row>
    <x:row r="23" ht="18" customHeight="1">
      <x:c r="A23" s="24" t="str">
        <x:v>EEZ_973</x:v>
      </x:c>
      <x:c r="B23" s="24" t="str">
        <x:v>Korea (North, Yellow Sea)</x:v>
      </x:c>
      <x:c r="C23" s="24" t="str">
        <x:v>EEZ</x:v>
      </x:c>
      <x:c r="D23" s="30" t="n">
        <x:v>2019</x:v>
      </x:c>
      <x:c r="E23" s="24" t="str">
        <x:v>Arctoscopus japonicus</x:v>
      </x:c>
      <x:c r="F23" s="24" t="str">
        <x:v>Japanese sandfish</x:v>
      </x:c>
      <x:c r="G23" s="24" t="str">
        <x:v>Small bathydemersals (&lt;30 cm)</x:v>
      </x:c>
      <x:c r="H23" s="24" t="str">
        <x:v>Perch-likes</x:v>
      </x:c>
      <x:c r="I23" s="31" t="n">
        <x:v>615.9356551874</x:v>
      </x:c>
      <x:c r="J23" s="31" t="n">
        <x:v>615.9356551874</x:v>
      </x:c>
      <x:c r="K23" s="31" t="n">
        <x:v>0</x:v>
      </x:c>
      <x:c r="L23" s="31" t="n">
        <x:v>615.9356551874</x:v>
      </x:c>
      <x:c r="M23" s="31" t="n">
        <x:v>0</x:v>
      </x:c>
      <x:c r="N23" s="24" t="str">
        <x:v>arctoscopus japonicus</x:v>
      </x:c>
      <x:c r="O23" s="32" t="n">
        <x:v>3.51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Arctoscopus japonicus</x:v>
      </x:c>
      <x:c r="T23" s="32" t="n">
        <x:f>IF(O23="","",(1/'Metadata'!$B$5)^(O23-1))</x:f>
        <x:v>323.5936569296281</x:v>
      </x:c>
      <x:c r="U23" s="31" t="n">
        <x:f>IF(T23="","",I23*T23)</x:f>
        <x:v>199312.8710954372</x:v>
      </x:c>
    </x:row>
    <x:row r="24" ht="18" customHeight="1">
      <x:c r="A24" s="24" t="str">
        <x:v>EEZ_973</x:v>
      </x:c>
      <x:c r="B24" s="24" t="str">
        <x:v>Korea (North, Yellow Sea)</x:v>
      </x:c>
      <x:c r="C24" s="24" t="str">
        <x:v>EEZ</x:v>
      </x:c>
      <x:c r="D24" s="30" t="n">
        <x:v>2019</x:v>
      </x:c>
      <x:c r="E24" s="24" t="str">
        <x:v>Pleurogrammus azonus</x:v>
      </x:c>
      <x:c r="F24" s="24" t="str">
        <x:v>Okhotsk atka mackerel</x:v>
      </x:c>
      <x:c r="G24" s="24" t="str">
        <x:v>Medium demersals (30 - 89 cm)</x:v>
      </x:c>
      <x:c r="H24" s="24" t="str">
        <x:v>Scorpionfishes</x:v>
      </x:c>
      <x:c r="I24" s="31" t="n">
        <x:v>614.3466416158</x:v>
      </x:c>
      <x:c r="J24" s="31" t="n">
        <x:v>614.3466416158</x:v>
      </x:c>
      <x:c r="K24" s="31" t="n">
        <x:v>0</x:v>
      </x:c>
      <x:c r="L24" s="31" t="n">
        <x:v>614.3466416158</x:v>
      </x:c>
      <x:c r="M24" s="31" t="n">
        <x:v>0</x:v>
      </x:c>
      <x:c r="N24" s="24" t="str">
        <x:v>pleurogrammus azonus</x:v>
      </x:c>
      <x:c r="O24" s="32" t="n">
        <x:v>3.6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Pleurogrammus azonus</x:v>
      </x:c>
      <x:c r="T24" s="32" t="n">
        <x:f>IF(O24="","",(1/'Metadata'!$B$5)^(O24-1))</x:f>
        <x:v>398.1071705534973</x:v>
      </x:c>
      <x:c r="U24" s="31" t="n">
        <x:f>IF(T24="","",I24*T24)</x:f>
        <x:v>244575.8032327096</x:v>
      </x:c>
    </x:row>
    <x:row r="25" ht="18" customHeight="1">
      <x:c r="A25" s="24" t="str">
        <x:v>EEZ_973</x:v>
      </x:c>
      <x:c r="B25" s="24" t="str">
        <x:v>Korea (North, Yellow Sea)</x:v>
      </x:c>
      <x:c r="C25" s="24" t="str">
        <x:v>EEZ</x:v>
      </x:c>
      <x:c r="D25" s="30" t="n">
        <x:v>2019</x:v>
      </x:c>
      <x:c r="E25" s="24" t="str">
        <x:v>Trachysalambria curvirostris</x:v>
      </x:c>
      <x:c r="F25" s="24" t="str">
        <x:v>Southern rough shrimp</x:v>
      </x:c>
      <x:c r="G25" s="24" t="str">
        <x:v>Shrimps</x:v>
      </x:c>
      <x:c r="H25" s="24" t="str">
        <x:v>Crustaceans</x:v>
      </x:c>
      <x:c r="I25" s="31" t="n">
        <x:v>491.9566950717</x:v>
      </x:c>
      <x:c r="J25" s="31" t="n">
        <x:v>491.9566950717</x:v>
      </x:c>
      <x:c r="K25" s="31" t="n">
        <x:v>0</x:v>
      </x:c>
      <x:c r="L25" s="31" t="n">
        <x:v>491.9566950717</x:v>
      </x:c>
      <x:c r="M25" s="31" t="n">
        <x:v>0</x:v>
      </x:c>
      <x:c r="N25" s="24" t="str">
        <x:v>trachysalambria curvirostris</x:v>
      </x:c>
      <x:c r="O25" s="32" t="n">
        <x:v>2.7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Trachysalambria curvirostris</x:v>
      </x:c>
      <x:c r="T25" s="32" t="n">
        <x:f>IF(O25="","",(1/'Metadata'!$B$5)^(O25-1))</x:f>
        <x:v>50.11872336272725</x:v>
      </x:c>
      <x:c r="U25" s="31" t="n">
        <x:f>IF(T25="","",I25*T25)</x:f>
        <x:v>24656.241506740098</x:v>
      </x:c>
    </x:row>
    <x:row r="26" ht="18" customHeight="1">
      <x:c r="A26" s="24" t="str">
        <x:v>EEZ_973</x:v>
      </x:c>
      <x:c r="B26" s="24" t="str">
        <x:v>Korea (North, Yellow Sea)</x:v>
      </x:c>
      <x:c r="C26" s="24" t="str">
        <x:v>EEZ</x:v>
      </x:c>
      <x:c r="D26" s="30" t="n">
        <x:v>2019</x:v>
      </x:c>
      <x:c r="E26" s="24" t="str">
        <x:v>Miscellaneous aquatic invertebrates</x:v>
      </x:c>
      <x:c r="F26" s="24" t="str">
        <x:v>Aquatic invertebrates</x:v>
      </x:c>
      <x:c r="G26" s="24" t="str">
        <x:v>Other demersal invertebrates</x:v>
      </x:c>
      <x:c r="H26" s="24" t="str">
        <x:v>Other fishes &amp; inverts</x:v>
      </x:c>
      <x:c r="I26" s="31" t="n">
        <x:v>491.07616613929997</x:v>
      </x:c>
      <x:c r="J26" s="31" t="n">
        <x:v>491.07616613929997</x:v>
      </x:c>
      <x:c r="K26" s="31" t="n">
        <x:v>0</x:v>
      </x:c>
      <x:c r="L26" s="31" t="n">
        <x:v>491.07616613929997</x:v>
      </x:c>
      <x:c r="M26" s="31" t="n">
        <x:v>0</x:v>
      </x:c>
      <x:c r="N26" s="24" t="str">
        <x:v>miscellaneous aquatic invertebrates</x:v>
      </x:c>
      <x:c r="O26" s="32" t="n">
        <x:v>2.43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Miscellaneous aquatic invertebrates</x:v>
      </x:c>
      <x:c r="T26" s="32" t="n">
        <x:f>IF(O26="","",(1/'Metadata'!$B$5)^(O26-1))</x:f>
        <x:v>26.915348039269166</x:v>
      </x:c>
      <x:c r="U26" s="31" t="n">
        <x:f>IF(T26="","",I26*T26)</x:f>
        <x:v>13217.485925429226</x:v>
      </x:c>
    </x:row>
    <x:row r="27" ht="18" customHeight="1">
      <x:c r="A27" s="24" t="str">
        <x:v>EEZ_973</x:v>
      </x:c>
      <x:c r="B27" s="24" t="str">
        <x:v>Korea (North, Yellow Sea)</x:v>
      </x:c>
      <x:c r="C27" s="24" t="str">
        <x:v>EEZ</x:v>
      </x:c>
      <x:c r="D27" s="30" t="n">
        <x:v>2019</x:v>
      </x:c>
      <x:c r="E27" s="24" t="str">
        <x:v>Gadus macrocephalus</x:v>
      </x:c>
      <x:c r="F27" s="24" t="str">
        <x:v>Pacific cod</x:v>
      </x:c>
      <x:c r="G27" s="24" t="str">
        <x:v>Large demersals (&gt;=90 cm)</x:v>
      </x:c>
      <x:c r="H27" s="24" t="str">
        <x:v>Cod-likes</x:v>
      </x:c>
      <x:c r="I27" s="31" t="n">
        <x:v>482.9157456254</x:v>
      </x:c>
      <x:c r="J27" s="31" t="n">
        <x:v>482.9157456254</x:v>
      </x:c>
      <x:c r="K27" s="31" t="n">
        <x:v>0</x:v>
      </x:c>
      <x:c r="L27" s="31" t="n">
        <x:v>482.9157456254</x:v>
      </x:c>
      <x:c r="M27" s="31" t="n">
        <x:v>0</x:v>
      </x:c>
      <x:c r="N27" s="24" t="str">
        <x:v>gadus macrocephalus</x:v>
      </x:c>
      <x:c r="O27" s="32" t="n">
        <x:v>4.16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Gadus macrocephalus</x:v>
      </x:c>
      <x:c r="T27" s="32" t="n">
        <x:f>IF(O27="","",(1/'Metadata'!$B$5)^(O27-1))</x:f>
        <x:v>1445.439770745928</x:v>
      </x:c>
      <x:c r="U27" s="31" t="n">
        <x:f>IF(T27="","",I27*T27)</x:f>
        <x:v>698025.624646377</x:v>
      </x:c>
    </x:row>
    <x:row r="28" ht="18" customHeight="1">
      <x:c r="A28" s="24" t="str">
        <x:v>EEZ_973</x:v>
      </x:c>
      <x:c r="B28" s="24" t="str">
        <x:v>Korea (North, Yellow Sea)</x:v>
      </x:c>
      <x:c r="C28" s="24" t="str">
        <x:v>EEZ</x:v>
      </x:c>
      <x:c r="D28" s="30" t="n">
        <x:v>2019</x:v>
      </x:c>
      <x:c r="E28" s="24" t="str">
        <x:v>Monacanthidae</x:v>
      </x:c>
      <x:c r="F28" s="24" t="str">
        <x:v>Filefishes</x:v>
      </x:c>
      <x:c r="G28" s="24" t="str">
        <x:v>Medium reef assoc. fish (30 - 89 cm)</x:v>
      </x:c>
      <x:c r="H28" s="24" t="str">
        <x:v>Other fishes &amp; inverts</x:v>
      </x:c>
      <x:c r="I28" s="31" t="n">
        <x:v>452.0836202265</x:v>
      </x:c>
      <x:c r="J28" s="31" t="n">
        <x:v>452.0836202265</x:v>
      </x:c>
      <x:c r="K28" s="31" t="n">
        <x:v>0</x:v>
      </x:c>
      <x:c r="L28" s="31" t="n">
        <x:v>452.0836202265</x:v>
      </x:c>
      <x:c r="M28" s="31" t="n">
        <x:v>0</x:v>
      </x:c>
      <x:c r="N28" s="24" t="str">
        <x:v>monacanthidae</x:v>
      </x:c>
      <x:c r="O28" s="32" t="n">
        <x:v>3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Monacanthidae</x:v>
      </x:c>
      <x:c r="T28" s="32" t="n">
        <x:f>IF(O28="","",(1/'Metadata'!$B$5)^(O28-1))</x:f>
        <x:v>100</x:v>
      </x:c>
      <x:c r="U28" s="31" t="n">
        <x:f>IF(T28="","",I28*T28)</x:f>
        <x:v>45208.36202265</x:v>
      </x:c>
    </x:row>
    <x:row r="29" ht="18" customHeight="1">
      <x:c r="A29" s="24" t="str">
        <x:v>EEZ_973</x:v>
      </x:c>
      <x:c r="B29" s="24" t="str">
        <x:v>Korea (North, Yellow Sea)</x:v>
      </x:c>
      <x:c r="C29" s="24" t="str">
        <x:v>EEZ</x:v>
      </x:c>
      <x:c r="D29" s="30" t="n">
        <x:v>2019</x:v>
      </x:c>
      <x:c r="E29" s="24" t="str">
        <x:v>Epinephelus</x:v>
      </x:c>
      <x:c r="F29" s="24" t="str">
        <x:v>Seabasses, hinds</x:v>
      </x:c>
      <x:c r="G29" s="24" t="str">
        <x:v>Medium reef assoc. fish (30 - 89 cm)</x:v>
      </x:c>
      <x:c r="H29" s="24" t="str">
        <x:v>Perch-likes</x:v>
      </x:c>
      <x:c r="I29" s="31" t="n">
        <x:v>421.0255521683</x:v>
      </x:c>
      <x:c r="J29" s="31" t="n">
        <x:v>421.0255521683</x:v>
      </x:c>
      <x:c r="K29" s="31" t="n">
        <x:v>0</x:v>
      </x:c>
      <x:c r="L29" s="31" t="n">
        <x:v>421.0255521683</x:v>
      </x:c>
      <x:c r="M29" s="31" t="n">
        <x:v>0</x:v>
      </x:c>
      <x:c r="N29" s="24" t="str">
        <x:v>epinephelus</x:v>
      </x:c>
      <x:c r="O29" s="32" t="n">
        <x:v>3.84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Epinephelus</x:v>
      </x:c>
      <x:c r="T29" s="32" t="n">
        <x:f>IF(O29="","",(1/'Metadata'!$B$5)^(O29-1))</x:f>
        <x:v>691.8309709189363</x:v>
      </x:c>
      <x:c r="U29" s="31" t="n">
        <x:f>IF(T29="","",I29*T29)</x:f>
        <x:v>291278.5165382762</x:v>
      </x:c>
    </x:row>
    <x:row r="30" ht="18" customHeight="1">
      <x:c r="A30" s="24" t="str">
        <x:v>EEZ_973</x:v>
      </x:c>
      <x:c r="B30" s="24" t="str">
        <x:v>Korea (North, Yellow Sea)</x:v>
      </x:c>
      <x:c r="C30" s="24" t="str">
        <x:v>EEZ</x:v>
      </x:c>
      <x:c r="D30" s="30" t="n">
        <x:v>2019</x:v>
      </x:c>
      <x:c r="E30" s="24" t="str">
        <x:v>Mollusca</x:v>
      </x:c>
      <x:c r="F30" s="24" t="str">
        <x:v>Clams, seasnails, squids, octopuses</x:v>
      </x:c>
      <x:c r="G30" s="24" t="str">
        <x:v>Other demersal invertebrates</x:v>
      </x:c>
      <x:c r="H30" s="24" t="str">
        <x:v>Molluscs</x:v>
      </x:c>
      <x:c r="I30" s="31" t="n">
        <x:v>354.1630014731</x:v>
      </x:c>
      <x:c r="J30" s="31" t="n">
        <x:v>354.1630014731</x:v>
      </x:c>
      <x:c r="K30" s="31" t="n">
        <x:v>0</x:v>
      </x:c>
      <x:c r="L30" s="31" t="n">
        <x:v>354.1630014731</x:v>
      </x:c>
      <x:c r="M30" s="31" t="n">
        <x:v>0</x:v>
      </x:c>
      <x:c r="N30" s="24" t="str">
        <x:v>mollusca</x:v>
      </x:c>
      <x:c r="O30" s="32" t="n">
        <x:v>2.1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Mollusca</x:v>
      </x:c>
      <x:c r="T30" s="32" t="n">
        <x:f>IF(O30="","",(1/'Metadata'!$B$5)^(O30-1))</x:f>
        <x:v>12.589254117941675</x:v>
      </x:c>
      <x:c r="U30" s="31" t="n">
        <x:f>IF(T30="","",I30*T30)</x:f>
        <x:v>4458.648024717808</x:v>
      </x:c>
    </x:row>
    <x:row r="31" ht="18" customHeight="1">
      <x:c r="A31" s="24" t="str">
        <x:v>EEZ_973</x:v>
      </x:c>
      <x:c r="B31" s="24" t="str">
        <x:v>Korea (North, Yellow Sea)</x:v>
      </x:c>
      <x:c r="C31" s="24" t="str">
        <x:v>EEZ</x:v>
      </x:c>
      <x:c r="D31" s="30" t="n">
        <x:v>2019</x:v>
      </x:c>
      <x:c r="E31" s="24" t="str">
        <x:v>Portunus pelagicus</x:v>
      </x:c>
      <x:c r="F31" s="24" t="str">
        <x:v>Blue swimming crab</x:v>
      </x:c>
      <x:c r="G31" s="24" t="str">
        <x:v>Lobsters, crabs</x:v>
      </x:c>
      <x:c r="H31" s="24" t="str">
        <x:v>Crustaceans</x:v>
      </x:c>
      <x:c r="I31" s="31" t="n">
        <x:v>340.717221295</x:v>
      </x:c>
      <x:c r="J31" s="31" t="n">
        <x:v>340.717221295</x:v>
      </x:c>
      <x:c r="K31" s="31" t="n">
        <x:v>0</x:v>
      </x:c>
      <x:c r="L31" s="31" t="n">
        <x:v>340.717221295</x:v>
      </x:c>
      <x:c r="M31" s="31" t="n">
        <x:v>0</x:v>
      </x:c>
      <x:c r="N31" s="24" t="str">
        <x:v>portunus pelagicus</x:v>
      </x:c>
      <x:c r="O31" s="32" t="n">
        <x:v>2.48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Portunus pelagicus</x:v>
      </x:c>
      <x:c r="T31" s="32" t="n">
        <x:f>IF(O31="","",(1/'Metadata'!$B$5)^(O31-1))</x:f>
        <x:v>30.19951720402016</x:v>
      </x:c>
      <x:c r="U31" s="31" t="n">
        <x:f>IF(T31="","",I31*T31)</x:f>
        <x:v>10289.495586204297</x:v>
      </x:c>
    </x:row>
    <x:row r="32" ht="18" customHeight="1">
      <x:c r="A32" s="24" t="str">
        <x:v>EEZ_973</x:v>
      </x:c>
      <x:c r="B32" s="24" t="str">
        <x:v>Korea (North, Yellow Sea)</x:v>
      </x:c>
      <x:c r="C32" s="24" t="str">
        <x:v>EEZ</x:v>
      </x:c>
      <x:c r="D32" s="30" t="n">
        <x:v>2019</x:v>
      </x:c>
      <x:c r="E32" s="24" t="str">
        <x:v>Malacostraca</x:v>
      </x:c>
      <x:c r="F32" s="24" t="str">
        <x:v>Lobsters, crabs, shrimps, krill</x:v>
      </x:c>
      <x:c r="G32" s="24" t="str">
        <x:v>Shrimps</x:v>
      </x:c>
      <x:c r="H32" s="24" t="str">
        <x:v>Crustaceans</x:v>
      </x:c>
      <x:c r="I32" s="31" t="n">
        <x:v>307.96782728820006</x:v>
      </x:c>
      <x:c r="J32" s="31" t="n">
        <x:v>307.96782728820006</x:v>
      </x:c>
      <x:c r="K32" s="31" t="n">
        <x:v>0</x:v>
      </x:c>
      <x:c r="L32" s="31" t="n">
        <x:v>307.96782728820006</x:v>
      </x:c>
      <x:c r="M32" s="31" t="n">
        <x:v>0</x:v>
      </x:c>
      <x:c r="N32" s="24" t="str">
        <x:v>malacostraca</x:v>
      </x:c>
      <x:c r="O32" s="32" t="n">
        <x:v>3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Malacostraca</x:v>
      </x:c>
      <x:c r="T32" s="32" t="n">
        <x:f>IF(O32="","",(1/'Metadata'!$B$5)^(O32-1))</x:f>
        <x:v>100</x:v>
      </x:c>
      <x:c r="U32" s="31" t="n">
        <x:f>IF(T32="","",I32*T32)</x:f>
        <x:v>30796.782728820006</x:v>
      </x:c>
    </x:row>
    <x:row r="33" ht="18" customHeight="1">
      <x:c r="A33" s="24" t="str">
        <x:v>EEZ_973</x:v>
      </x:c>
      <x:c r="B33" s="24" t="str">
        <x:v>Korea (North, Yellow Sea)</x:v>
      </x:c>
      <x:c r="C33" s="24" t="str">
        <x:v>EEZ</x:v>
      </x:c>
      <x:c r="D33" s="30" t="n">
        <x:v>2019</x:v>
      </x:c>
      <x:c r="E33" s="24" t="str">
        <x:v>Octopus</x:v>
      </x:c>
      <x:c r="F33" s="24" t="str">
        <x:v>Octopuses, pikas</x:v>
      </x:c>
      <x:c r="G33" s="24" t="str">
        <x:v>Cephalopods</x:v>
      </x:c>
      <x:c r="H33" s="24" t="str">
        <x:v>Other fishes &amp; inverts</x:v>
      </x:c>
      <x:c r="I33" s="31" t="n">
        <x:v>290.39644719489996</x:v>
      </x:c>
      <x:c r="J33" s="31" t="n">
        <x:v>290.39644719489996</x:v>
      </x:c>
      <x:c r="K33" s="31" t="n">
        <x:v>0</x:v>
      </x:c>
      <x:c r="L33" s="31" t="n">
        <x:v>15.3983913949</x:v>
      </x:c>
      <x:c r="M33" s="31" t="n">
        <x:v>274.9980558</x:v>
      </x:c>
      <x:c r="N33" s="24" t="str">
        <x:v>octopus</x:v>
      </x:c>
      <x:c r="O33" s="32" t="n">
        <x:v>3.8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Octopus</x:v>
      </x:c>
      <x:c r="T33" s="32" t="n">
        <x:f>IF(O33="","",(1/'Metadata'!$B$5)^(O33-1))</x:f>
        <x:v>630.957344480193</x:v>
      </x:c>
      <x:c r="U33" s="31" t="n">
        <x:f>IF(T33="","",I33*T33)</x:f>
        <x:v>183227.77116857667</x:v>
      </x:c>
    </x:row>
    <x:row r="34" ht="18" customHeight="1">
      <x:c r="A34" s="24" t="str">
        <x:v>EEZ_973</x:v>
      </x:c>
      <x:c r="B34" s="24" t="str">
        <x:v>Korea (North, Yellow Sea)</x:v>
      </x:c>
      <x:c r="C34" s="24" t="str">
        <x:v>EEZ</x:v>
      </x:c>
      <x:c r="D34" s="30" t="n">
        <x:v>2019</x:v>
      </x:c>
      <x:c r="E34" s="24" t="str">
        <x:v>Cololabis saira</x:v>
      </x:c>
      <x:c r="F34" s="24" t="str">
        <x:v>Pacific saury</x:v>
      </x:c>
      <x:c r="G34" s="24" t="str">
        <x:v>Medium pelagics (30 - 89 cm)</x:v>
      </x:c>
      <x:c r="H34" s="24" t="str">
        <x:v>Other fishes &amp; inverts</x:v>
      </x:c>
      <x:c r="I34" s="31" t="n">
        <x:v>288.9637276645</x:v>
      </x:c>
      <x:c r="J34" s="31" t="n">
        <x:v>288.9637276645</x:v>
      </x:c>
      <x:c r="K34" s="31" t="n">
        <x:v>0</x:v>
      </x:c>
      <x:c r="L34" s="31" t="n">
        <x:v>288.9637276645</x:v>
      </x:c>
      <x:c r="M34" s="31" t="n">
        <x:v>0</x:v>
      </x:c>
      <x:c r="N34" s="24" t="str">
        <x:v>cololabis saira</x:v>
      </x:c>
      <x:c r="O34" s="32" t="n">
        <x:v>3.71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Cololabis saira</x:v>
      </x:c>
      <x:c r="T34" s="32" t="n">
        <x:f>IF(O34="","",(1/'Metadata'!$B$5)^(O34-1))</x:f>
        <x:v>512.8613839913648</x:v>
      </x:c>
      <x:c r="U34" s="31" t="n">
        <x:f>IF(T34="","",I34*T34)</x:f>
        <x:v>148198.33729331932</x:v>
      </x:c>
    </x:row>
    <x:row r="35" ht="18" customHeight="1">
      <x:c r="A35" s="24" t="str">
        <x:v>EEZ_973</x:v>
      </x:c>
      <x:c r="B35" s="24" t="str">
        <x:v>Korea (North, Yellow Sea)</x:v>
      </x:c>
      <x:c r="C35" s="24" t="str">
        <x:v>EEZ</x:v>
      </x:c>
      <x:c r="D35" s="30" t="n">
        <x:v>2019</x:v>
      </x:c>
      <x:c r="E35" s="24" t="str">
        <x:v>Portunidae</x:v>
      </x:c>
      <x:c r="F35" s="24" t="str">
        <x:v>Swimming crabs</x:v>
      </x:c>
      <x:c r="G35" s="24" t="str">
        <x:v>Lobsters, crabs</x:v>
      </x:c>
      <x:c r="H35" s="24" t="str">
        <x:v>Crustaceans</x:v>
      </x:c>
      <x:c r="I35" s="31" t="n">
        <x:v>274.9980558</x:v>
      </x:c>
      <x:c r="J35" s="31" t="n">
        <x:v>274.9980558</x:v>
      </x:c>
      <x:c r="K35" s="31" t="n">
        <x:v>0</x:v>
      </x:c>
      <x:c r="L35" s="31" t="n">
        <x:v>0</x:v>
      </x:c>
      <x:c r="M35" s="31" t="n">
        <x:v>274.9980558</x:v>
      </x:c>
      <x:c r="N35" s="24" t="str">
        <x:v>portunidae</x:v>
      </x:c>
      <x:c r="O35" s="32" t="n">
        <x:v>3.56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Portunidae</x:v>
      </x:c>
      <x:c r="T35" s="32" t="n">
        <x:f>IF(O35="","",(1/'Metadata'!$B$5)^(O35-1))</x:f>
        <x:v>363.0780547701014</x:v>
      </x:c>
      <x:c r="U35" s="31" t="n">
        <x:f>IF(T35="","",I35*T35)</x:f>
        <x:v>99845.75916542379</x:v>
      </x:c>
    </x:row>
    <x:row r="36" ht="18" customHeight="1">
      <x:c r="A36" s="24" t="str">
        <x:v>EEZ_973</x:v>
      </x:c>
      <x:c r="B36" s="24" t="str">
        <x:v>Korea (North, Yellow Sea)</x:v>
      </x:c>
      <x:c r="C36" s="24" t="str">
        <x:v>EEZ</x:v>
      </x:c>
      <x:c r="D36" s="30" t="n">
        <x:v>2019</x:v>
      </x:c>
      <x:c r="E36" s="24" t="str">
        <x:v>Ostreidae</x:v>
      </x:c>
      <x:c r="F36" s="24" t="str">
        <x:v>True oysters</x:v>
      </x:c>
      <x:c r="G36" s="24" t="str">
        <x:v>Other demersal invertebrates</x:v>
      </x:c>
      <x:c r="H36" s="24" t="str">
        <x:v>Molluscs</x:v>
      </x:c>
      <x:c r="I36" s="31" t="n">
        <x:v>274.9980558</x:v>
      </x:c>
      <x:c r="J36" s="31" t="n">
        <x:v>274.9980558</x:v>
      </x:c>
      <x:c r="K36" s="31" t="n">
        <x:v>0</x:v>
      </x:c>
      <x:c r="L36" s="31" t="n">
        <x:v>0</x:v>
      </x:c>
      <x:c r="M36" s="31" t="n">
        <x:v>274.9980558</x:v>
      </x:c>
      <x:c r="N36" s="24" t="str">
        <x:v>ostreidae</x:v>
      </x:c>
      <x:c r="O36" s="32" t="n">
        <x:v>2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Ostreidae</x:v>
      </x:c>
      <x:c r="T36" s="32" t="n">
        <x:f>IF(O36="","",(1/'Metadata'!$B$5)^(O36-1))</x:f>
        <x:v>10</x:v>
      </x:c>
      <x:c r="U36" s="31" t="n">
        <x:f>IF(T36="","",I36*T36)</x:f>
        <x:v>2749.9805579999997</x:v>
      </x:c>
    </x:row>
    <x:row r="37" ht="18" customHeight="1">
      <x:c r="A37" s="24" t="str">
        <x:v>EEZ_973</x:v>
      </x:c>
      <x:c r="B37" s="24" t="str">
        <x:v>Korea (North, Yellow Sea)</x:v>
      </x:c>
      <x:c r="C37" s="24" t="str">
        <x:v>EEZ</x:v>
      </x:c>
      <x:c r="D37" s="30" t="n">
        <x:v>2019</x:v>
      </x:c>
      <x:c r="E37" s="24" t="str">
        <x:v>Sparidae</x:v>
      </x:c>
      <x:c r="F37" s="24" t="str">
        <x:v>Porgies, seabreams</x:v>
      </x:c>
      <x:c r="G37" s="24" t="str">
        <x:v>Medium benthopelagics (30 - 89 cm)</x:v>
      </x:c>
      <x:c r="H37" s="24" t="str">
        <x:v>Perch-likes</x:v>
      </x:c>
      <x:c r="I37" s="31" t="n">
        <x:v>250.7216197757</x:v>
      </x:c>
      <x:c r="J37" s="31" t="n">
        <x:v>250.7216197757</x:v>
      </x:c>
      <x:c r="K37" s="31" t="n">
        <x:v>0</x:v>
      </x:c>
      <x:c r="L37" s="31" t="n">
        <x:v>250.7216197757</x:v>
      </x:c>
      <x:c r="M37" s="31" t="n">
        <x:v>0</x:v>
      </x:c>
      <x:c r="N37" s="24" t="str">
        <x:v>sparidae</x:v>
      </x:c>
      <x:c r="O37" s="32" t="n">
        <x:v>3.31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Sparidae</x:v>
      </x:c>
      <x:c r="T37" s="32" t="n">
        <x:f>IF(O37="","",(1/'Metadata'!$B$5)^(O37-1))</x:f>
        <x:v>204.17379446695296</x:v>
      </x:c>
      <x:c r="U37" s="31" t="n">
        <x:f>IF(T37="","",I37*T37)</x:f>
        <x:v>51190.7844645053</x:v>
      </x:c>
    </x:row>
    <x:row r="38" ht="18" customHeight="1">
      <x:c r="A38" s="24" t="str">
        <x:v>EEZ_973</x:v>
      </x:c>
      <x:c r="B38" s="24" t="str">
        <x:v>Korea (North, Yellow Sea)</x:v>
      </x:c>
      <x:c r="C38" s="24" t="str">
        <x:v>EEZ</x:v>
      </x:c>
      <x:c r="D38" s="30" t="n">
        <x:v>2019</x:v>
      </x:c>
      <x:c r="E38" s="24" t="str">
        <x:v>Decapoda</x:v>
      </x:c>
      <x:c r="F38" s="24" t="str">
        <x:v>Crabs, lobsters, shrimps</x:v>
      </x:c>
      <x:c r="G38" s="24" t="str">
        <x:v>Lobsters, crabs</x:v>
      </x:c>
      <x:c r="H38" s="24" t="str">
        <x:v>Crustaceans</x:v>
      </x:c>
      <x:c r="I38" s="31" t="n">
        <x:v>242.783044222</x:v>
      </x:c>
      <x:c r="J38" s="31" t="n">
        <x:v>242.783044222</x:v>
      </x:c>
      <x:c r="K38" s="31" t="n">
        <x:v>0</x:v>
      </x:c>
      <x:c r="L38" s="31" t="n">
        <x:v>242.783044222</x:v>
      </x:c>
      <x:c r="M38" s="31" t="n">
        <x:v>0</x:v>
      </x:c>
      <x:c r="N38" s="24" t="str">
        <x:v>decapoda</x:v>
      </x:c>
      <x:c r="O38" s="32" t="n">
        <x:v>3.43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Decapoda</x:v>
      </x:c>
      <x:c r="T38" s="32" t="n">
        <x:f>IF(O38="","",(1/'Metadata'!$B$5)^(O38-1))</x:f>
        <x:v>269.1534803926917</x:v>
      </x:c>
      <x:c r="U38" s="31" t="n">
        <x:f>IF(T38="","",I38*T38)</x:f>
        <x:v>65345.90133268407</x:v>
      </x:c>
    </x:row>
    <x:row r="39" ht="18" customHeight="1">
      <x:c r="A39" s="24" t="str">
        <x:v>EEZ_973</x:v>
      </x:c>
      <x:c r="B39" s="24" t="str">
        <x:v>Korea (North, Yellow Sea)</x:v>
      </x:c>
      <x:c r="C39" s="24" t="str">
        <x:v>EEZ</x:v>
      </x:c>
      <x:c r="D39" s="30" t="n">
        <x:v>2019</x:v>
      </x:c>
      <x:c r="E39" s="24" t="str">
        <x:v>Anadara</x:v>
      </x:c>
      <x:c r="F39" s="24" t="str">
        <x:v>Arks, blood cockles</x:v>
      </x:c>
      <x:c r="G39" s="24" t="str">
        <x:v>Other demersal invertebrates</x:v>
      </x:c>
      <x:c r="H39" s="24" t="str">
        <x:v>Molluscs</x:v>
      </x:c>
      <x:c r="I39" s="31" t="n">
        <x:v>221.5395350293</x:v>
      </x:c>
      <x:c r="J39" s="31" t="n">
        <x:v>221.5395350293</x:v>
      </x:c>
      <x:c r="K39" s="31" t="n">
        <x:v>0</x:v>
      </x:c>
      <x:c r="L39" s="31" t="n">
        <x:v>221.5395350293</x:v>
      </x:c>
      <x:c r="M39" s="31" t="n">
        <x:v>0</x:v>
      </x:c>
      <x:c r="N39" s="24" t="str">
        <x:v>anadara</x:v>
      </x:c>
      <x:c r="O39" s="32" t="n">
        <x:v>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Anadara</x:v>
      </x:c>
      <x:c r="T39" s="32" t="n">
        <x:f>IF(O39="","",(1/'Metadata'!$B$5)^(O39-1))</x:f>
        <x:v>10</x:v>
      </x:c>
      <x:c r="U39" s="31" t="n">
        <x:f>IF(T39="","",I39*T39)</x:f>
        <x:v>2215.395350293</x:v>
      </x:c>
    </x:row>
    <x:row r="40" ht="18" customHeight="1">
      <x:c r="A40" s="24" t="str">
        <x:v>EEZ_973</x:v>
      </x:c>
      <x:c r="B40" s="24" t="str">
        <x:v>Korea (North, Yellow Sea)</x:v>
      </x:c>
      <x:c r="C40" s="24" t="str">
        <x:v>EEZ</x:v>
      </x:c>
      <x:c r="D40" s="30" t="n">
        <x:v>2019</x:v>
      </x:c>
      <x:c r="E40" s="24" t="str">
        <x:v>Scomberomorus</x:v>
      </x:c>
      <x:c r="F40" s="24" t="str">
        <x:v>Spanish mackerels</x:v>
      </x:c>
      <x:c r="G40" s="24" t="str">
        <x:v>Large pelagics (&gt;=90 cm)</x:v>
      </x:c>
      <x:c r="H40" s="24" t="str">
        <x:v>Perch-likes</x:v>
      </x:c>
      <x:c r="I40" s="31" t="n">
        <x:v>196.1396377177</x:v>
      </x:c>
      <x:c r="J40" s="31" t="n">
        <x:v>196.1396377177</x:v>
      </x:c>
      <x:c r="K40" s="31" t="n">
        <x:v>0</x:v>
      </x:c>
      <x:c r="L40" s="31" t="n">
        <x:v>196.1396377177</x:v>
      </x:c>
      <x:c r="M40" s="31" t="n">
        <x:v>0</x:v>
      </x:c>
      <x:c r="N40" s="24" t="str">
        <x:v>scomberomorus</x:v>
      </x:c>
      <x:c r="O40" s="32" t="n">
        <x:v>4.35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Scomberomorus</x:v>
      </x:c>
      <x:c r="T40" s="32" t="n">
        <x:f>IF(O40="","",(1/'Metadata'!$B$5)^(O40-1))</x:f>
        <x:v>2238.7211385683377</x:v>
      </x:c>
      <x:c r="U40" s="31" t="n">
        <x:f>IF(T40="","",I40*T40)</x:f>
        <x:v>439101.9530697506</x:v>
      </x:c>
    </x:row>
    <x:row r="41" ht="18" customHeight="1">
      <x:c r="A41" s="24" t="str">
        <x:v>EEZ_973</x:v>
      </x:c>
      <x:c r="B41" s="24" t="str">
        <x:v>Korea (North, Yellow Sea)</x:v>
      </x:c>
      <x:c r="C41" s="24" t="str">
        <x:v>EEZ</x:v>
      </x:c>
      <x:c r="D41" s="30" t="n">
        <x:v>2019</x:v>
      </x:c>
      <x:c r="E41" s="24" t="str">
        <x:v>Erimacrus isenbeckii</x:v>
      </x:c>
      <x:c r="F41" s="24" t="str">
        <x:v>Hair Crab</x:v>
      </x:c>
      <x:c r="G41" s="24" t="str">
        <x:v>Lobsters, crabs</x:v>
      </x:c>
      <x:c r="H41" s="24" t="str">
        <x:v>Crustaceans</x:v>
      </x:c>
      <x:c r="I41" s="31" t="n">
        <x:v>153.9839139496</x:v>
      </x:c>
      <x:c r="J41" s="31" t="n">
        <x:v>153.9839139496</x:v>
      </x:c>
      <x:c r="K41" s="31" t="n">
        <x:v>0</x:v>
      </x:c>
      <x:c r="L41" s="31" t="n">
        <x:v>153.9839139496</x:v>
      </x:c>
      <x:c r="M41" s="31" t="n">
        <x:v>0</x:v>
      </x:c>
      <x:c r="N41" s="24" t="str">
        <x:v>erimacrus isenbeckii</x:v>
      </x:c>
      <x:c r="O41" s="32" t="n">
        <x:v>2.6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Erimacrus isenbeckii</x:v>
      </x:c>
      <x:c r="T41" s="32" t="n">
        <x:f>IF(O41="","",(1/'Metadata'!$B$5)^(O41-1))</x:f>
        <x:v>39.810717055349734</x:v>
      </x:c>
      <x:c r="U41" s="31" t="n">
        <x:f>IF(T41="","",I41*T41)</x:f>
        <x:v>6130.210029322847</x:v>
      </x:c>
    </x:row>
    <x:row r="42" ht="18" customHeight="1">
      <x:c r="A42" s="24" t="str">
        <x:v>EEZ_973</x:v>
      </x:c>
      <x:c r="B42" s="24" t="str">
        <x:v>Korea (North, Yellow Sea)</x:v>
      </x:c>
      <x:c r="C42" s="24" t="str">
        <x:v>EEZ</x:v>
      </x:c>
      <x:c r="D42" s="30" t="n">
        <x:v>2019</x:v>
      </x:c>
      <x:c r="E42" s="24" t="str">
        <x:v>Holothuroidea</x:v>
      </x:c>
      <x:c r="F42" s="24" t="str">
        <x:v>Sea cucumbers</x:v>
      </x:c>
      <x:c r="G42" s="24" t="str">
        <x:v>Other demersal invertebrates</x:v>
      </x:c>
      <x:c r="H42" s="24" t="str">
        <x:v>Other fishes &amp; inverts</x:v>
      </x:c>
      <x:c r="I42" s="31" t="n">
        <x:v>153.98391394959998</x:v>
      </x:c>
      <x:c r="J42" s="31" t="n">
        <x:v>153.98391394959998</x:v>
      </x:c>
      <x:c r="K42" s="31" t="n">
        <x:v>0</x:v>
      </x:c>
      <x:c r="L42" s="31" t="n">
        <x:v>153.98391394959998</x:v>
      </x:c>
      <x:c r="M42" s="31" t="n">
        <x:v>0</x:v>
      </x:c>
      <x:c r="N42" s="24" t="str">
        <x:v>holothuroidea</x:v>
      </x:c>
      <x:c r="O42" s="32" t="n">
        <x:v>2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Holothuroidea</x:v>
      </x:c>
      <x:c r="T42" s="32" t="n">
        <x:f>IF(O42="","",(1/'Metadata'!$B$5)^(O42-1))</x:f>
        <x:v>10</x:v>
      </x:c>
      <x:c r="U42" s="31" t="n">
        <x:f>IF(T42="","",I42*T42)</x:f>
        <x:v>1539.839139496</x:v>
      </x:c>
    </x:row>
    <x:row r="43" ht="18" customHeight="1">
      <x:c r="A43" s="24" t="str">
        <x:v>EEZ_973</x:v>
      </x:c>
      <x:c r="B43" s="24" t="str">
        <x:v>Korea (North, Yellow Sea)</x:v>
      </x:c>
      <x:c r="C43" s="24" t="str">
        <x:v>EEZ</x:v>
      </x:c>
      <x:c r="D43" s="30" t="n">
        <x:v>2019</x:v>
      </x:c>
      <x:c r="E43" s="24" t="str">
        <x:v>Mugil cephalus</x:v>
      </x:c>
      <x:c r="F43" s="24" t="str">
        <x:v>Flathead grey mullet</x:v>
      </x:c>
      <x:c r="G43" s="24" t="str">
        <x:v>Large benthopelagics (&gt;=90 cm)</x:v>
      </x:c>
      <x:c r="H43" s="24" t="str">
        <x:v>Perch-likes</x:v>
      </x:c>
      <x:c r="I43" s="31" t="n">
        <x:v>152.2087164333</x:v>
      </x:c>
      <x:c r="J43" s="31" t="n">
        <x:v>152.2087164333</x:v>
      </x:c>
      <x:c r="K43" s="31" t="n">
        <x:v>0</x:v>
      </x:c>
      <x:c r="L43" s="31" t="n">
        <x:v>152.2087164333</x:v>
      </x:c>
      <x:c r="M43" s="31" t="n">
        <x:v>0</x:v>
      </x:c>
      <x:c r="N43" s="24" t="str">
        <x:v>mugil cephalus</x:v>
      </x:c>
      <x:c r="O43" s="32" t="n">
        <x:v>2.14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Mugil cephalus</x:v>
      </x:c>
      <x:c r="T43" s="32" t="n">
        <x:f>IF(O43="","",(1/'Metadata'!$B$5)^(O43-1))</x:f>
        <x:v>13.803842646028853</x:v>
      </x:c>
      <x:c r="U43" s="31" t="n">
        <x:f>IF(T43="","",I43*T43)</x:f>
        <x:v>2101.0651709992994</x:v>
      </x:c>
    </x:row>
    <x:row r="44" ht="18" customHeight="1">
      <x:c r="A44" s="24" t="str">
        <x:v>EEZ_973</x:v>
      </x:c>
      <x:c r="B44" s="24" t="str">
        <x:v>Korea (North, Yellow Sea)</x:v>
      </x:c>
      <x:c r="C44" s="24" t="str">
        <x:v>EEZ</x:v>
      </x:c>
      <x:c r="D44" s="30" t="n">
        <x:v>2019</x:v>
      </x:c>
      <x:c r="E44" s="24" t="str">
        <x:v>Gastropoda</x:v>
      </x:c>
      <x:c r="F44" s="24" t="str">
        <x:v>Sea snails</x:v>
      </x:c>
      <x:c r="G44" s="24" t="str">
        <x:v>Other demersal invertebrates</x:v>
      </x:c>
      <x:c r="H44" s="24" t="str">
        <x:v>Molluscs</x:v>
      </x:c>
      <x:c r="I44" s="31" t="n">
        <x:v>140.092682062</x:v>
      </x:c>
      <x:c r="J44" s="31" t="n">
        <x:v>140.092682062</x:v>
      </x:c>
      <x:c r="K44" s="31" t="n">
        <x:v>0</x:v>
      </x:c>
      <x:c r="L44" s="31" t="n">
        <x:v>140.092682062</x:v>
      </x:c>
      <x:c r="M44" s="31" t="n">
        <x:v>0</x:v>
      </x:c>
      <x:c r="N44" s="24" t="str">
        <x:v>gastropoda</x:v>
      </x:c>
      <x:c r="O44" s="32" t="n">
        <x:v>3.06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Gastropoda</x:v>
      </x:c>
      <x:c r="T44" s="32" t="n">
        <x:f>IF(O44="","",(1/'Metadata'!$B$5)^(O44-1))</x:f>
        <x:v>114.81536214968828</x:v>
      </x:c>
      <x:c r="U44" s="31" t="n">
        <x:f>IF(T44="","",I44*T44)</x:f>
        <x:v>16084.79202546967</x:v>
      </x:c>
    </x:row>
    <x:row r="45" ht="18" customHeight="1">
      <x:c r="A45" s="24" t="str">
        <x:v>EEZ_973</x:v>
      </x:c>
      <x:c r="B45" s="24" t="str">
        <x:v>Korea (North, Yellow Sea)</x:v>
      </x:c>
      <x:c r="C45" s="24" t="str">
        <x:v>EEZ</x:v>
      </x:c>
      <x:c r="D45" s="30" t="n">
        <x:v>2019</x:v>
      </x:c>
      <x:c r="E45" s="24" t="str">
        <x:v>Holothuriidae</x:v>
      </x:c>
      <x:c r="F45" s="24" t="str">
        <x:v>Fleshy sea cucumbers</x:v>
      </x:c>
      <x:c r="G45" s="24" t="str">
        <x:v>Other demersal invertebrates</x:v>
      </x:c>
      <x:c r="H45" s="24" t="str">
        <x:v>Other fishes &amp; inverts</x:v>
      </x:c>
      <x:c r="I45" s="31" t="n">
        <x:v>137.4990276</x:v>
      </x:c>
      <x:c r="J45" s="31" t="n">
        <x:v>137.4990276</x:v>
      </x:c>
      <x:c r="K45" s="31" t="n">
        <x:v>0</x:v>
      </x:c>
      <x:c r="L45" s="31" t="n">
        <x:v>0</x:v>
      </x:c>
      <x:c r="M45" s="31" t="n">
        <x:v>137.4990276</x:v>
      </x:c>
      <x:c r="N45" s="24" t="str">
        <x:v>holothuriidae</x:v>
      </x:c>
      <x:c r="O45" s="32" t="n">
        <x:v>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Holothuriidae</x:v>
      </x:c>
      <x:c r="T45" s="32" t="n">
        <x:f>IF(O45="","",(1/'Metadata'!$B$5)^(O45-1))</x:f>
        <x:v>10</x:v>
      </x:c>
      <x:c r="U45" s="31" t="n">
        <x:f>IF(T45="","",I45*T45)</x:f>
        <x:v>1374.990276</x:v>
      </x:c>
    </x:row>
    <x:row r="46" ht="18" customHeight="1">
      <x:c r="A46" s="24" t="str">
        <x:v>EEZ_973</x:v>
      </x:c>
      <x:c r="B46" s="24" t="str">
        <x:v>Korea (North, Yellow Sea)</x:v>
      </x:c>
      <x:c r="C46" s="24" t="str">
        <x:v>EEZ</x:v>
      </x:c>
      <x:c r="D46" s="30" t="n">
        <x:v>2019</x:v>
      </x:c>
      <x:c r="E46" s="24" t="str">
        <x:v>Tetraodontidae</x:v>
      </x:c>
      <x:c r="F46" s="24" t="str">
        <x:v>Puffers, tobies</x:v>
      </x:c>
      <x:c r="G46" s="24" t="str">
        <x:v>Large reef assoc. fish (&gt;=90 cm)</x:v>
      </x:c>
      <x:c r="H46" s="24" t="str">
        <x:v>Other fishes &amp; inverts</x:v>
      </x:c>
      <x:c r="I46" s="31" t="n">
        <x:v>110.0472142481</x:v>
      </x:c>
      <x:c r="J46" s="31" t="n">
        <x:v>110.0472142481</x:v>
      </x:c>
      <x:c r="K46" s="31" t="n">
        <x:v>0</x:v>
      </x:c>
      <x:c r="L46" s="31" t="n">
        <x:v>110.0472142481</x:v>
      </x:c>
      <x:c r="M46" s="31" t="n">
        <x:v>0</x:v>
      </x:c>
      <x:c r="N46" s="24" t="str">
        <x:v>tetraodontidae</x:v>
      </x:c>
      <x:c r="O46" s="32" t="n">
        <x:v>3.5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Tetraodontidae</x:v>
      </x:c>
      <x:c r="T46" s="32" t="n">
        <x:f>IF(O46="","",(1/'Metadata'!$B$5)^(O46-1))</x:f>
        <x:v>316.22776601683796</x:v>
      </x:c>
      <x:c r="U46" s="31" t="n">
        <x:f>IF(T46="","",I46*T46)</x:f>
        <x:v>34799.984718053005</x:v>
      </x:c>
    </x:row>
    <x:row r="47" ht="18" customHeight="1">
      <x:c r="A47" s="24" t="str">
        <x:v>EEZ_973</x:v>
      </x:c>
      <x:c r="B47" s="24" t="str">
        <x:v>Korea (North, Yellow Sea)</x:v>
      </x:c>
      <x:c r="C47" s="24" t="str">
        <x:v>EEZ</x:v>
      </x:c>
      <x:c r="D47" s="30" t="n">
        <x:v>2019</x:v>
      </x:c>
      <x:c r="E47" s="24" t="str">
        <x:v>Konosirus punctatus</x:v>
      </x:c>
      <x:c r="F47" s="24" t="str">
        <x:v>Dotted gizzard shad</x:v>
      </x:c>
      <x:c r="G47" s="24" t="str">
        <x:v>Small pelagics (&lt;30 cm)</x:v>
      </x:c>
      <x:c r="H47" s="24" t="str">
        <x:v>Herring-likes</x:v>
      </x:c>
      <x:c r="I47" s="31" t="n">
        <x:v>76.9919569747</x:v>
      </x:c>
      <x:c r="J47" s="31" t="n">
        <x:v>76.9919569747</x:v>
      </x:c>
      <x:c r="K47" s="31" t="n">
        <x:v>0</x:v>
      </x:c>
      <x:c r="L47" s="31" t="n">
        <x:v>76.9919569747</x:v>
      </x:c>
      <x:c r="M47" s="31" t="n">
        <x:v>0</x:v>
      </x:c>
      <x:c r="N47" s="24" t="str">
        <x:v>konosirus punctatus</x:v>
      </x:c>
      <x:c r="O47" s="32" t="n">
        <x:v>2.87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Konosirus punctatus</x:v>
      </x:c>
      <x:c r="T47" s="32" t="n">
        <x:f>IF(O47="","",(1/'Metadata'!$B$5)^(O47-1))</x:f>
        <x:v>74.13102413009177</x:v>
      </x:c>
      <x:c r="U47" s="31" t="n">
        <x:f>IF(T47="","",I47*T47)</x:f>
        <x:v>5707.492620314473</x:v>
      </x:c>
    </x:row>
    <x:row r="48" ht="18" customHeight="1">
      <x:c r="A48" s="24" t="str">
        <x:v>EEZ_973</x:v>
      </x:c>
      <x:c r="B48" s="24" t="str">
        <x:v>Korea (North, Yellow Sea)</x:v>
      </x:c>
      <x:c r="C48" s="24" t="str">
        <x:v>EEZ</x:v>
      </x:c>
      <x:c r="D48" s="30" t="n">
        <x:v>2019</x:v>
      </x:c>
      <x:c r="E48" s="24" t="str">
        <x:v>Pectinidae</x:v>
      </x:c>
      <x:c r="F48" s="24" t="str">
        <x:v>Scallops</x:v>
      </x:c>
      <x:c r="G48" s="24" t="str">
        <x:v>Other demersal invertebrates</x:v>
      </x:c>
      <x:c r="H48" s="24" t="str">
        <x:v>Molluscs</x:v>
      </x:c>
      <x:c r="I48" s="31" t="n">
        <x:v>61.5935655798</x:v>
      </x:c>
      <x:c r="J48" s="31" t="n">
        <x:v>61.5935655798</x:v>
      </x:c>
      <x:c r="K48" s="31" t="n">
        <x:v>0</x:v>
      </x:c>
      <x:c r="L48" s="31" t="n">
        <x:v>61.5935655798</x:v>
      </x:c>
      <x:c r="M48" s="31" t="n">
        <x:v>0</x:v>
      </x:c>
      <x:c r="N48" s="24" t="str">
        <x:v>pectinidae</x:v>
      </x:c>
      <x:c r="O48" s="32" t="n">
        <x:v>2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Pectinidae</x:v>
      </x:c>
      <x:c r="T48" s="32" t="n">
        <x:f>IF(O48="","",(1/'Metadata'!$B$5)^(O48-1))</x:f>
        <x:v>10</x:v>
      </x:c>
      <x:c r="U48" s="31" t="n">
        <x:f>IF(T48="","",I48*T48)</x:f>
        <x:v>615.935655798</x:v>
      </x:c>
    </x:row>
    <x:row r="49" ht="18" customHeight="1">
      <x:c r="A49" s="24" t="str">
        <x:v>EEZ_973</x:v>
      </x:c>
      <x:c r="B49" s="24" t="str">
        <x:v>Korea (North, Yellow Sea)</x:v>
      </x:c>
      <x:c r="C49" s="24" t="str">
        <x:v>EEZ</x:v>
      </x:c>
      <x:c r="D49" s="30" t="n">
        <x:v>2019</x:v>
      </x:c>
      <x:c r="E49" s="24" t="str">
        <x:v>Ilisha elongata</x:v>
      </x:c>
      <x:c r="F49" s="24" t="str">
        <x:v>Elongate ilisha</x:v>
      </x:c>
      <x:c r="G49" s="24" t="str">
        <x:v>Medium pelagics (30 - 89 cm)</x:v>
      </x:c>
      <x:c r="H49" s="24" t="str">
        <x:v>Herring-likes</x:v>
      </x:c>
      <x:c r="I49" s="31" t="n">
        <x:v>60.3029587373</x:v>
      </x:c>
      <x:c r="J49" s="31" t="n">
        <x:v>60.3029587373</x:v>
      </x:c>
      <x:c r="K49" s="31" t="n">
        <x:v>0</x:v>
      </x:c>
      <x:c r="L49" s="31" t="n">
        <x:v>60.3029587373</x:v>
      </x:c>
      <x:c r="M49" s="31" t="n">
        <x:v>0</x:v>
      </x:c>
      <x:c r="N49" s="24" t="str">
        <x:v>ilisha elongata</x:v>
      </x:c>
      <x:c r="O49" s="32" t="n">
        <x:v>3.79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Ilisha elongata</x:v>
      </x:c>
      <x:c r="T49" s="32" t="n">
        <x:f>IF(O49="","",(1/'Metadata'!$B$5)^(O49-1))</x:f>
        <x:v>616.5950018614822</x:v>
      </x:c>
      <x:c r="U49" s="31" t="n">
        <x:f>IF(T49="","",I49*T49)</x:f>
        <x:v>37182.50295487838</x:v>
      </x:c>
    </x:row>
    <x:row r="50" ht="18" customHeight="1">
      <x:c r="A50" s="24" t="str">
        <x:v>EEZ_973</x:v>
      </x:c>
      <x:c r="B50" s="24" t="str">
        <x:v>Korea (North, Yellow Sea)</x:v>
      </x:c>
      <x:c r="C50" s="24" t="str">
        <x:v>EEZ</x:v>
      </x:c>
      <x:c r="D50" s="30" t="n">
        <x:v>2019</x:v>
      </x:c>
      <x:c r="E50" s="24" t="str">
        <x:v>Pleuronectidae</x:v>
      </x:c>
      <x:c r="F50" s="24" t="str">
        <x:v>Righteye flounders</x:v>
      </x:c>
      <x:c r="G50" s="24" t="str">
        <x:v>Small to medium flatfishes (&lt;90 cm)</x:v>
      </x:c>
      <x:c r="H50" s="24" t="str">
        <x:v>Flatfishes</x:v>
      </x:c>
      <x:c r="I50" s="31" t="n">
        <x:v>48.11997310939999</x:v>
      </x:c>
      <x:c r="J50" s="31" t="n">
        <x:v>48.11997310939999</x:v>
      </x:c>
      <x:c r="K50" s="31" t="n">
        <x:v>0</x:v>
      </x:c>
      <x:c r="L50" s="31" t="n">
        <x:v>48.11997310939999</x:v>
      </x:c>
      <x:c r="M50" s="31" t="n">
        <x:v>0</x:v>
      </x:c>
      <x:c r="N50" s="24" t="str">
        <x:v>pleuronectidae</x:v>
      </x:c>
      <x:c r="O50" s="32" t="n">
        <x:v>3.49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Pleuronectidae</x:v>
      </x:c>
      <x:c r="T50" s="32" t="n">
        <x:f>IF(O50="","",(1/'Metadata'!$B$5)^(O50-1))</x:f>
        <x:v>309.0295432513592</x:v>
      </x:c>
      <x:c r="U50" s="31" t="n">
        <x:f>IF(T50="","",I50*T50)</x:f>
        <x:v>14870.493311265567</x:v>
      </x:c>
    </x:row>
    <x:row r="51" ht="18" customHeight="1">
      <x:c r="A51" s="24" t="str">
        <x:v>EEZ_973</x:v>
      </x:c>
      <x:c r="B51" s="24" t="str">
        <x:v>Korea (North, Yellow Sea)</x:v>
      </x:c>
      <x:c r="C51" s="24" t="str">
        <x:v>EEZ</x:v>
      </x:c>
      <x:c r="D51" s="30" t="n">
        <x:v>2019</x:v>
      </x:c>
      <x:c r="E51" s="24" t="str">
        <x:v>Cephalopoda</x:v>
      </x:c>
      <x:c r="F51" s="24" t="str">
        <x:v>Squids, cuttlefishes, octopuses</x:v>
      </x:c>
      <x:c r="G51" s="24" t="str">
        <x:v>Cephalopods</x:v>
      </x:c>
      <x:c r="H51" s="24" t="str">
        <x:v>Other fishes &amp; inverts</x:v>
      </x:c>
      <x:c r="I51" s="31" t="n">
        <x:v>41.810168165600004</x:v>
      </x:c>
      <x:c r="J51" s="31" t="n">
        <x:v>41.810168165600004</x:v>
      </x:c>
      <x:c r="K51" s="31" t="n">
        <x:v>0</x:v>
      </x:c>
      <x:c r="L51" s="31" t="n">
        <x:v>41.810168165600004</x:v>
      </x:c>
      <x:c r="M51" s="31" t="n">
        <x:v>0</x:v>
      </x:c>
      <x:c r="N51" s="24" t="str">
        <x:v>cephalopoda</x:v>
      </x:c>
      <x:c r="O51" s="32" t="n">
        <x:v>3.81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Cephalopoda</x:v>
      </x:c>
      <x:c r="T51" s="32" t="n">
        <x:f>IF(O51="","",(1/'Metadata'!$B$5)^(O51-1))</x:f>
        <x:v>645.6542290346556</x:v>
      </x:c>
      <x:c r="U51" s="31" t="n">
        <x:f>IF(T51="","",I51*T51)</x:f>
        <x:v>26994.91189276977</x:v>
      </x:c>
    </x:row>
    <x:row r="52" ht="18" customHeight="1">
      <x:c r="A52" s="24" t="str">
        <x:v>EEZ_973</x:v>
      </x:c>
      <x:c r="B52" s="24" t="str">
        <x:v>Korea (North, Yellow Sea)</x:v>
      </x:c>
      <x:c r="C52" s="24" t="str">
        <x:v>EEZ</x:v>
      </x:c>
      <x:c r="D52" s="30" t="n">
        <x:v>2019</x:v>
      </x:c>
      <x:c r="E52" s="24" t="str">
        <x:v>Sebastes</x:v>
      </x:c>
      <x:c r="F52" s="24" t="str">
        <x:v>Redfishes</x:v>
      </x:c>
      <x:c r="G52" s="24" t="str">
        <x:v>Large reef assoc. fish (&gt;=90 cm)</x:v>
      </x:c>
      <x:c r="H52" s="24" t="str">
        <x:v>Scorpionfishes</x:v>
      </x:c>
      <x:c r="I52" s="31" t="n">
        <x:v>38.4959784874</x:v>
      </x:c>
      <x:c r="J52" s="31" t="n">
        <x:v>38.4959784874</x:v>
      </x:c>
      <x:c r="K52" s="31" t="n">
        <x:v>0</x:v>
      </x:c>
      <x:c r="L52" s="31" t="n">
        <x:v>38.4959784874</x:v>
      </x:c>
      <x:c r="M52" s="31" t="n">
        <x:v>0</x:v>
      </x:c>
      <x:c r="N52" s="24" t="str">
        <x:v>sebastes</x:v>
      </x:c>
      <x:c r="O52" s="32" t="n">
        <x:v>3.79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Sebastes</x:v>
      </x:c>
      <x:c r="T52" s="32" t="n">
        <x:f>IF(O52="","",(1/'Metadata'!$B$5)^(O52-1))</x:f>
        <x:v>616.5950018614822</x:v>
      </x:c>
      <x:c r="U52" s="31" t="n">
        <x:f>IF(T52="","",I52*T52)</x:f>
        <x:v>23736.427927097982</x:v>
      </x:c>
    </x:row>
    <x:row r="53" ht="18" customHeight="1">
      <x:c r="A53" s="24" t="str">
        <x:v>EEZ_973</x:v>
      </x:c>
      <x:c r="B53" s="24" t="str">
        <x:v>Korea (North, Yellow Sea)</x:v>
      </x:c>
      <x:c r="C53" s="24" t="str">
        <x:v>EEZ</x:v>
      </x:c>
      <x:c r="D53" s="30" t="n">
        <x:v>2019</x:v>
      </x:c>
      <x:c r="E53" s="24" t="str">
        <x:v>Paralichthys olivaceus</x:v>
      </x:c>
      <x:c r="F53" s="24" t="str">
        <x:v>Bastard halibut</x:v>
      </x:c>
      <x:c r="G53" s="24" t="str">
        <x:v>Large flatfishes (&gt;=90 cm)</x:v>
      </x:c>
      <x:c r="H53" s="24" t="str">
        <x:v>Flatfishes</x:v>
      </x:c>
      <x:c r="I53" s="31" t="n">
        <x:v>38.4959784874</x:v>
      </x:c>
      <x:c r="J53" s="31" t="n">
        <x:v>38.4959784874</x:v>
      </x:c>
      <x:c r="K53" s="31" t="n">
        <x:v>0</x:v>
      </x:c>
      <x:c r="L53" s="31" t="n">
        <x:v>38.4959784874</x:v>
      </x:c>
      <x:c r="M53" s="31" t="n">
        <x:v>0</x:v>
      </x:c>
      <x:c r="N53" s="24" t="str">
        <x:v>paralichthys olivaceus</x:v>
      </x:c>
      <x:c r="O53" s="32" t="n">
        <x:v>4.25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Paralichthys olivaceus</x:v>
      </x:c>
      <x:c r="T53" s="32" t="n">
        <x:f>IF(O53="","",(1/'Metadata'!$B$5)^(O53-1))</x:f>
        <x:v>1778.2794100389228</x:v>
      </x:c>
      <x:c r="U53" s="31" t="n">
        <x:f>IF(T53="","",I53*T53)</x:f>
        <x:v>68456.60591344474</x:v>
      </x:c>
    </x:row>
    <x:row r="54" ht="18" customHeight="1">
      <x:c r="A54" s="24" t="str">
        <x:v>EEZ_973</x:v>
      </x:c>
      <x:c r="B54" s="24" t="str">
        <x:v>Korea (North, Yellow Sea)</x:v>
      </x:c>
      <x:c r="C54" s="24" t="str">
        <x:v>EEZ</x:v>
      </x:c>
      <x:c r="D54" s="30" t="n">
        <x:v>2019</x:v>
      </x:c>
      <x:c r="E54" s="24" t="str">
        <x:v>Scombridae</x:v>
      </x:c>
      <x:c r="F54" s="24" t="str">
        <x:v>Mackerels, tunas, bonitos</x:v>
      </x:c>
      <x:c r="G54" s="24" t="str">
        <x:v>Medium pelagics (30 - 89 cm)</x:v>
      </x:c>
      <x:c r="H54" s="24" t="str">
        <x:v>Perch-likes</x:v>
      </x:c>
      <x:c r="I54" s="31" t="n">
        <x:v>33.3490843416</x:v>
      </x:c>
      <x:c r="J54" s="31" t="n">
        <x:v>33.3490843416</x:v>
      </x:c>
      <x:c r="K54" s="31" t="n">
        <x:v>0</x:v>
      </x:c>
      <x:c r="L54" s="31" t="n">
        <x:v>33.3490843416</x:v>
      </x:c>
      <x:c r="M54" s="31" t="n">
        <x:v>0</x:v>
      </x:c>
      <x:c r="N54" s="24" t="str">
        <x:v>scombridae</x:v>
      </x:c>
      <x:c r="O54" s="32" t="n">
        <x:v>4.26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Scombridae</x:v>
      </x:c>
      <x:c r="T54" s="32" t="n">
        <x:f>IF(O54="","",(1/'Metadata'!$B$5)^(O54-1))</x:f>
        <x:v>1819.7008586099826</x:v>
      </x:c>
      <x:c r="U54" s="31" t="n">
        <x:f>IF(T54="","",I54*T54)</x:f>
        <x:v>60685.35741026624</x:v>
      </x:c>
    </x:row>
    <x:row r="55" ht="18" customHeight="1">
      <x:c r="A55" s="24" t="str">
        <x:v>EEZ_973</x:v>
      </x:c>
      <x:c r="B55" s="24" t="str">
        <x:v>Korea (North, Yellow Sea)</x:v>
      </x:c>
      <x:c r="C55" s="24" t="str">
        <x:v>EEZ</x:v>
      </x:c>
      <x:c r="D55" s="30" t="n">
        <x:v>2019</x:v>
      </x:c>
      <x:c r="E55" s="24" t="str">
        <x:v>Haliotidae</x:v>
      </x:c>
      <x:c r="F55" s="24" t="str">
        <x:v>Abalones, ear shells</x:v>
      </x:c>
      <x:c r="G55" s="24" t="str">
        <x:v>Other demersal invertebrates</x:v>
      </x:c>
      <x:c r="H55" s="24" t="str">
        <x:v>Molluscs</x:v>
      </x:c>
      <x:c r="I55" s="31" t="n">
        <x:v>30.79678279</x:v>
      </x:c>
      <x:c r="J55" s="31" t="n">
        <x:v>30.79678279</x:v>
      </x:c>
      <x:c r="K55" s="31" t="n">
        <x:v>0</x:v>
      </x:c>
      <x:c r="L55" s="31" t="n">
        <x:v>30.79678279</x:v>
      </x:c>
      <x:c r="M55" s="31" t="n">
        <x:v>0</x:v>
      </x:c>
      <x:c r="N55" s="24" t="str">
        <x:v>haliotidae</x:v>
      </x:c>
      <x:c r="O55" s="32" t="n">
        <x:v>2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Haliotidae</x:v>
      </x:c>
      <x:c r="T55" s="32" t="n">
        <x:f>IF(O55="","",(1/'Metadata'!$B$5)^(O55-1))</x:f>
        <x:v>10</x:v>
      </x:c>
      <x:c r="U55" s="31" t="n">
        <x:f>IF(T55="","",I55*T55)</x:f>
        <x:v>307.96782790000003</x:v>
      </x:c>
    </x:row>
    <x:row r="56" ht="18" customHeight="1">
      <x:c r="A56" s="24" t="str">
        <x:v>EEZ_973</x:v>
      </x:c>
      <x:c r="B56" s="24" t="str">
        <x:v>Korea (North, Yellow Sea)</x:v>
      </x:c>
      <x:c r="C56" s="24" t="str">
        <x:v>EEZ</x:v>
      </x:c>
      <x:c r="D56" s="30" t="n">
        <x:v>2019</x:v>
      </x:c>
      <x:c r="E56" s="24" t="str">
        <x:v>Charybdis</x:v>
      </x:c>
      <x:c r="F56" s="24" t="str">
        <x:v>Whirlpool swimming crabs</x:v>
      </x:c>
      <x:c r="G56" s="24" t="str">
        <x:v>Lobsters, crabs</x:v>
      </x:c>
      <x:c r="H56" s="24" t="str">
        <x:v>Crustaceans</x:v>
      </x:c>
      <x:c r="I56" s="31" t="n">
        <x:v>4.367136744</x:v>
      </x:c>
      <x:c r="J56" s="31" t="n">
        <x:v>4.367136744</x:v>
      </x:c>
      <x:c r="K56" s="31" t="n">
        <x:v>0</x:v>
      </x:c>
      <x:c r="L56" s="31" t="n">
        <x:v>4.367136744</x:v>
      </x:c>
      <x:c r="M56" s="31" t="n">
        <x:v>0</x:v>
      </x:c>
      <x:c r="N56" s="24" t="str">
        <x:v>charybdis</x:v>
      </x:c>
      <x:c r="O56" s="32" t="n">
        <x:v>2.7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Charybdis</x:v>
      </x:c>
      <x:c r="T56" s="32" t="n">
        <x:f>IF(O56="","",(1/'Metadata'!$B$5)^(O56-1))</x:f>
        <x:v>50.11872336272725</x:v>
      </x:c>
      <x:c r="U56" s="31" t="n">
        <x:f>IF(T56="","",I56*T56)</x:f>
        <x:v>218.8753183597374</x:v>
      </x:c>
    </x:row>
    <x:row r="57" ht="18" customHeight="1">
      <x:c r="A57" s="24" t="str">
        <x:v>EEZ_973</x:v>
      </x:c>
      <x:c r="B57" s="24" t="str">
        <x:v>Korea (North, Yellow Sea)</x:v>
      </x:c>
      <x:c r="C57" s="24" t="str">
        <x:v>EEZ</x:v>
      </x:c>
      <x:c r="D57" s="30" t="n">
        <x:v>2019</x:v>
      </x:c>
      <x:c r="E57" s="24" t="str">
        <x:v>Trachurus japonicus</x:v>
      </x:c>
      <x:c r="F57" s="24" t="str">
        <x:v>Japanese jack mackerel</x:v>
      </x:c>
      <x:c r="G57" s="24" t="str">
        <x:v>Medium demersals (30 - 89 cm)</x:v>
      </x:c>
      <x:c r="H57" s="24" t="str">
        <x:v>Perch-likes</x:v>
      </x:c>
      <x:c r="I57" s="31" t="n">
        <x:v>0.1341715026</x:v>
      </x:c>
      <x:c r="J57" s="31" t="n">
        <x:v>0.1341715026</x:v>
      </x:c>
      <x:c r="K57" s="31" t="n">
        <x:v>0</x:v>
      </x:c>
      <x:c r="L57" s="31" t="n">
        <x:v>0.1341715026</x:v>
      </x:c>
      <x:c r="M57" s="31" t="n">
        <x:v>0</x:v>
      </x:c>
      <x:c r="N57" s="24" t="str">
        <x:v>trachurus japonicus</x:v>
      </x:c>
      <x:c r="O57" s="32" t="n">
        <x:v>3.4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Trachurus japonicus</x:v>
      </x:c>
      <x:c r="T57" s="32" t="n">
        <x:f>IF(O57="","",(1/'Metadata'!$B$5)^(O57-1))</x:f>
        <x:v>251.18864315095797</x:v>
      </x:c>
      <x:c r="U57" s="31" t="n">
        <x:f>IF(T57="","",I57*T57)</x:f>
        <x:v>33.70235768761923</x:v>
      </x:c>
    </x:row>
    <x:row r="58" ht="18" customHeight="1">
      <x:c r="A58" s="24" t="str">
        <x:v>EEZ_973</x:v>
      </x:c>
      <x:c r="B58" s="24" t="str">
        <x:v>Korea (North, Yellow Sea)</x:v>
      </x:c>
      <x:c r="C58" s="24" t="str">
        <x:v>EEZ</x:v>
      </x:c>
      <x:c r="D58" s="30" t="n">
        <x:v>2019</x:v>
      </x:c>
      <x:c r="E58" s="24" t="str">
        <x:v>Nemipterus</x:v>
      </x:c>
      <x:c r="F58" s="24" t="str">
        <x:v>Threadfin breams</x:v>
      </x:c>
      <x:c r="G58" s="24" t="str">
        <x:v>Small demersals (&lt;30 cm)</x:v>
      </x:c>
      <x:c r="H58" s="24" t="str">
        <x:v>Perch-likes</x:v>
      </x:c>
      <x:c r="I58" s="31" t="n">
        <x:v>0.0748896285</x:v>
      </x:c>
      <x:c r="J58" s="31" t="n">
        <x:v>0.0748896285</x:v>
      </x:c>
      <x:c r="K58" s="31" t="n">
        <x:v>0</x:v>
      </x:c>
      <x:c r="L58" s="31" t="n">
        <x:v>0.0748896285</x:v>
      </x:c>
      <x:c r="M58" s="31" t="n">
        <x:v>0</x:v>
      </x:c>
      <x:c r="N58" s="24" t="str">
        <x:v>nemipterus</x:v>
      </x:c>
      <x:c r="O58" s="32" t="n">
        <x:v>3.72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Nemipterus</x:v>
      </x:c>
      <x:c r="T58" s="32" t="n">
        <x:f>IF(O58="","",(1/'Metadata'!$B$5)^(O58-1))</x:f>
        <x:v>524.8074602497728</x:v>
      </x:c>
      <x:c r="U58" s="31" t="n">
        <x:f>IF(T58="","",I58*T58)</x:f>
        <x:v>39.302635732134</x:v>
      </x:c>
    </x:row>
    <x:row r="59" ht="18" customHeight="1">
      <x:c r="A59" s="24" t="str">
        <x:v>EEZ_973</x:v>
      </x:c>
      <x:c r="B59" s="24" t="str">
        <x:v>Korea (North, Yellow Sea)</x:v>
      </x:c>
      <x:c r="C59" s="24" t="str">
        <x:v>EEZ</x:v>
      </x:c>
      <x:c r="D59" s="30" t="n">
        <x:v>2019</x:v>
      </x:c>
      <x:c r="E59" s="24" t="str">
        <x:v>Prionace glauca</x:v>
      </x:c>
      <x:c r="F59" s="24" t="str">
        <x:v>Blue shark</x:v>
      </x:c>
      <x:c r="G59" s="24" t="str">
        <x:v>Large sharks (&gt;=90 cm)</x:v>
      </x:c>
      <x:c r="H59" s="24" t="str">
        <x:v>Sharks &amp; rays</x:v>
      </x:c>
      <x:c r="I59" s="31" t="n">
        <x:v>1.475e-7</x:v>
      </x:c>
      <x:c r="J59" s="31" t="n">
        <x:v>1.475e-7</x:v>
      </x:c>
      <x:c r="K59" s="31" t="n">
        <x:v>0</x:v>
      </x:c>
      <x:c r="L59" s="31" t="n">
        <x:v>1.475e-7</x:v>
      </x:c>
      <x:c r="M59" s="31" t="n">
        <x:v>0</x:v>
      </x:c>
      <x:c r="N59" s="24" t="str">
        <x:v>prionace glauca</x:v>
      </x:c>
      <x:c r="O59" s="32" t="n">
        <x:v>4.35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Prionace glauca</x:v>
      </x:c>
      <x:c r="T59" s="32" t="n">
        <x:f>IF(O59="","",(1/'Metadata'!$B$5)^(O59-1))</x:f>
        <x:v>2238.7211385683377</x:v>
      </x:c>
      <x:c r="U59" s="31" t="n">
        <x:f>IF(T59="","",I59*T59)</x:f>
        <x:v>0.0003302113679388298</x:v>
      </x:c>
    </x:row>
  </x:sheetData>
  <x:conditionalFormatting sqref="R2:R5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81b10b3eeb54a7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2032.4354173112</x:v>
      </x:c>
      <x:c r="C2" s="32" t="n">
        <x:v>3.14</x:v>
      </x:c>
      <x:c r="D2" s="32" t="n">
        <x:f>IF(C2="","",(1/'Metadata'!$B$5)^(C2-1))</x:f>
        <x:v>138.03842646028852</x:v>
      </x:c>
      <x:c r="E2" s="31" t="n">
        <x:f>IF(B2=0,"",B2*D2)</x:f>
        <x:v>280554.1868877979</x:v>
      </x:c>
    </x:row>
    <x:row r="3" ht="18" customHeight="1">
      <x:c r="A3" s="24" t="str">
        <x:v>Cod-likes</x:v>
      </x:c>
      <x:c r="B3" s="31" t="n">
        <x:v>482.9157456254</x:v>
      </x:c>
      <x:c r="C3" s="32" t="n">
        <x:v>4.16</x:v>
      </x:c>
      <x:c r="D3" s="32" t="n">
        <x:f>IF(C3="","",(1/'Metadata'!$B$5)^(C3-1))</x:f>
        <x:v>1445.439770745928</x:v>
      </x:c>
      <x:c r="E3" s="31" t="n">
        <x:f>IF(B3=0,"",B3*D3)</x:f>
        <x:v>698025.624646377</x:v>
      </x:c>
    </x:row>
    <x:row r="4" ht="18" customHeight="1">
      <x:c r="A4" s="24" t="str">
        <x:v>Crustaceans</x:v>
      </x:c>
      <x:c r="B4" s="31" t="n">
        <x:v>16746.945985377002</x:v>
      </x:c>
      <x:c r="C4" s="32" t="n">
        <x:v>2.9740615861928257</x:v>
      </x:c>
      <x:c r="D4" s="32" t="n">
        <x:f>IF(C4="","",(1/'Metadata'!$B$5)^(C4-1))</x:f>
        <x:v>94.20231729551102</x:v>
      </x:c>
      <x:c r="E4" s="31" t="n">
        <x:f>IF(B4=0,"",B4*D4)</x:f>
        <x:v>1577601.1194452688</x:v>
      </x:c>
    </x:row>
    <x:row r="5" ht="18" customHeight="1">
      <x:c r="A5" s="24" t="str">
        <x:v>Flatfishes</x:v>
      </x:c>
      <x:c r="B5" s="31" t="n">
        <x:v>1940.6920436587</x:v>
      </x:c>
      <x:c r="C5" s="32" t="n">
        <x:v>3.581505002865157</x:v>
      </x:c>
      <x:c r="D5" s="32" t="n">
        <x:f>IF(C5="","",(1/'Metadata'!$B$5)^(C5-1))</x:f>
        <x:v>381.5091890579015</x:v>
      </x:c>
      <x:c r="E5" s="31" t="n">
        <x:f>IF(B5=0,"",B5*D5)</x:f>
        <x:v>740391.8477873522</x:v>
      </x:c>
    </x:row>
    <x:row r="6" ht="18" customHeight="1">
      <x:c r="A6" s="24" t="str">
        <x:v>Herring-likes</x:v>
      </x:c>
      <x:c r="B6" s="31" t="n">
        <x:v>4534.427333081301</x:v>
      </x:c>
      <x:c r="C6" s="32" t="n">
        <x:v>2.946049208335856</x:v>
      </x:c>
      <x:c r="D6" s="32" t="n">
        <x:f>IF(C6="","",(1/'Metadata'!$B$5)^(C6-1))</x:f>
        <x:v>88.3179964674706</x:v>
      </x:c>
      <x:c r="E6" s="31" t="n">
        <x:f>IF(B6=0,"",B6*D6)</x:f>
        <x:v>400471.5371850765</x:v>
      </x:c>
    </x:row>
    <x:row r="7" ht="18" customHeight="1">
      <x:c r="A7" s="24" t="str">
        <x:v>Molluscs</x:v>
      </x:c>
      <x:c r="B7" s="31" t="n">
        <x:v>1083.1836227341998</x:v>
      </x:c>
      <x:c r="C7" s="32" t="n">
        <x:v>2.169790734712909</x:v>
      </x:c>
      <x:c r="D7" s="32" t="n">
        <x:f>IF(C7="","",(1/'Metadata'!$B$5)^(C7-1))</x:f>
        <x:v>14.783958498016775</x:v>
      </x:c>
      <x:c r="E7" s="31" t="n">
        <x:f>IF(B7=0,"",B7*D7)</x:f>
        <x:v>16013.74172423387</x:v>
      </x:c>
    </x:row>
    <x:row r="8" ht="18" customHeight="1">
      <x:c r="A8" s="24" t="str">
        <x:v>Other fishes &amp; inverts</x:v>
      </x:c>
      <x:c r="B8" s="31" t="n">
        <x:v>39335.86897466821</x:v>
      </x:c>
      <x:c r="C8" s="32" t="n">
        <x:v>3.748065474363922</x:v>
      </x:c>
      <x:c r="D8" s="32" t="n">
        <x:f>IF(C8="","",(1/'Metadata'!$B$5)^(C8-1))</x:f>
        <x:v>559.8419970774621</x:v>
      </x:c>
      <x:c r="E8" s="31" t="n">
        <x:f>IF(B8=0,"",B8*D8)</x:f>
        <x:v>22021871.44355563</x:v>
      </x:c>
    </x:row>
    <x:row r="9" ht="18" customHeight="1">
      <x:c r="A9" s="24" t="str">
        <x:v>Perch-likes</x:v>
      </x:c>
      <x:c r="B9" s="31" t="n">
        <x:v>22236.1687226481</x:v>
      </x:c>
      <x:c r="C9" s="32" t="n">
        <x:v>3.557863086270141</x:v>
      </x:c>
      <x:c r="D9" s="32" t="n">
        <x:f>IF(C9="","",(1/'Metadata'!$B$5)^(C9-1))</x:f>
        <x:v>361.2959441454794</x:v>
      </x:c>
      <x:c r="E9" s="31" t="n">
        <x:f>IF(B9=0,"",B9*D9)</x:f>
        <x:v>8033837.572827324</x:v>
      </x:c>
    </x:row>
    <x:row r="10" ht="18" customHeight="1">
      <x:c r="A10" s="24" t="str">
        <x:v>Scorpionfishes</x:v>
      </x:c>
      <x:c r="B10" s="31" t="n">
        <x:v>652.8426201031999</x:v>
      </x:c>
      <x:c r="C10" s="32" t="n">
        <x:v>3.611203674036248</x:v>
      </x:c>
      <x:c r="D10" s="32" t="n">
        <x:f>IF(C10="","",(1/'Metadata'!$B$5)^(C10-1))</x:f>
        <x:v>408.5109235614953</x:v>
      </x:c>
      <x:c r="E10" s="31" t="n">
        <x:f>IF(B10=0,"",B10*D10)</x:f>
        <x:v>266693.3416786646</x:v>
      </x:c>
    </x:row>
    <x:row r="11" ht="18" customHeight="1">
      <x:c r="A11" s="24" t="str">
        <x:v>Sharks &amp; rays</x:v>
      </x:c>
      <x:c r="B11" s="31" t="n">
        <x:v>1.475e-7</x:v>
      </x:c>
      <x:c r="C11" s="32" t="n">
        <x:v>4.35</x:v>
      </x:c>
      <x:c r="D11" s="32" t="n">
        <x:f>IF(C11="","",(1/'Metadata'!$B$5)^(C11-1))</x:f>
        <x:v>2238.7211385683377</x:v>
      </x:c>
      <x:c r="E11" s="31" t="n">
        <x:f>IF(B11=0,"",B11*D11)</x:f>
        <x:v>0.0003302113679388298</x:v>
      </x:c>
    </x:row>
  </x:sheetData>
  <x:pageMargins left="0.7" right="0.7" top="0.75" bottom="0.75" header="0.3" footer="0.3"/>
  <x:tableParts count="1">
    <x:tablePart xmlns:r="http://schemas.openxmlformats.org/officeDocument/2006/relationships" r:id="Rb8b9fe454e2a49d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20912.6951468415</x:v>
      </x:c>
      <x:c r="C2" s="32" t="n">
        <x:v>4.160966062564673</x:v>
      </x:c>
      <x:c r="D2" s="32" t="n">
        <x:f>IF(C2="","",(1/'Metadata'!$B$5)^(C2-1))</x:f>
        <x:v>1448.6586453827656</x:v>
      </x:c>
      <x:c r="E2" s="31" t="n">
        <x:f>IF(B2=0,"",B2*D2)</x:f>
        <x:v>30295356.622726142</x:v>
      </x:c>
    </x:row>
    <x:row r="3" ht="18" customHeight="1">
      <x:c r="A3" s="24" t="str">
        <x:v>Large benthopelagics (&gt;=90 cm)</x:v>
      </x:c>
      <x:c r="B3" s="31" t="n">
        <x:v>3649.7262930125003</x:v>
      </x:c>
      <x:c r="C3" s="32" t="n">
        <x:v>4.324914548213565</x:v>
      </x:c>
      <x:c r="D3" s="32" t="n">
        <x:f>IF(C3="","",(1/'Metadata'!$B$5)^(C3-1))</x:f>
        <x:v>2113.073230621501</x:v>
      </x:c>
      <x:c r="E3" s="31" t="n">
        <x:f>IF(B3=0,"",B3*D3)</x:f>
        <x:v>7712138.928860159</x:v>
      </x:c>
    </x:row>
    <x:row r="4" ht="18" customHeight="1">
      <x:c r="A4" s="24" t="str">
        <x:v>Large demersals (&gt;=90 cm)</x:v>
      </x:c>
      <x:c r="B4" s="31" t="n">
        <x:v>1602.5063150965</x:v>
      </x:c>
      <x:c r="C4" s="32" t="n">
        <x:v>4.31370293580953</x:v>
      </x:c>
      <x:c r="D4" s="32" t="n">
        <x:f>IF(C4="","",(1/'Metadata'!$B$5)^(C4-1))</x:f>
        <x:v>2059.22089226273</x:v>
      </x:c>
      <x:c r="E4" s="31" t="n">
        <x:f>IF(B4=0,"",B4*D4)</x:f>
        <x:v>3299914.4840296744</x:v>
      </x:c>
    </x:row>
    <x:row r="5" ht="18" customHeight="1">
      <x:c r="A5" s="24" t="str">
        <x:v>Large flatfishes (&gt;=90 cm)</x:v>
      </x:c>
      <x:c r="B5" s="31" t="n">
        <x:v>38.4959784874</x:v>
      </x:c>
      <x:c r="C5" s="32" t="n">
        <x:v>4.25</x:v>
      </x:c>
      <x:c r="D5" s="32" t="n">
        <x:f>IF(C5="","",(1/'Metadata'!$B$5)^(C5-1))</x:f>
        <x:v>1778.2794100389228</x:v>
      </x:c>
      <x:c r="E5" s="31" t="n">
        <x:f>IF(B5=0,"",B5*D5)</x:f>
        <x:v>68456.60591344474</x:v>
      </x:c>
    </x:row>
    <x:row r="6" ht="18" customHeight="1">
      <x:c r="A6" s="24" t="str">
        <x:v>Large pelagics (&gt;=90 cm)</x:v>
      </x:c>
      <x:c r="B6" s="31" t="n">
        <x:v>196.1396377177</x:v>
      </x:c>
      <x:c r="C6" s="32" t="n">
        <x:v>4.35</x:v>
      </x:c>
      <x:c r="D6" s="32" t="n">
        <x:f>IF(C6="","",(1/'Metadata'!$B$5)^(C6-1))</x:f>
        <x:v>2238.7211385683377</x:v>
      </x:c>
      <x:c r="E6" s="31" t="n">
        <x:f>IF(B6=0,"",B6*D6)</x:f>
        <x:v>439101.9530697506</x:v>
      </x:c>
    </x:row>
    <x:row r="7" ht="18" customHeight="1">
      <x:c r="A7" s="24" t="str">
        <x:v>Large reef assoc. fish (&gt;=90 cm)</x:v>
      </x:c>
      <x:c r="B7" s="31" t="n">
        <x:v>148.5431927355</x:v>
      </x:c>
      <x:c r="C7" s="32" t="n">
        <x:v>3.5751554719927467</x:v>
      </x:c>
      <x:c r="D7" s="32" t="n">
        <x:f>IF(C7="","",(1/'Metadata'!$B$5)^(C7-1))</x:f>
        <x:v>375.97197346413844</x:v>
      </x:c>
      <x:c r="E7" s="31" t="n">
        <x:f>IF(B7=0,"",B7*D7)</x:f>
        <x:v>55848.077317429816</x:v>
      </x:c>
    </x:row>
    <x:row r="8" ht="18" customHeight="1">
      <x:c r="A8" s="24" t="str">
        <x:v>Large sharks (&gt;=90 cm)</x:v>
      </x:c>
      <x:c r="B8" s="31" t="n">
        <x:v>1.475e-7</x:v>
      </x:c>
      <x:c r="C8" s="32" t="n">
        <x:v>4.35</x:v>
      </x:c>
      <x:c r="D8" s="32" t="n">
        <x:f>IF(C8="","",(1/'Metadata'!$B$5)^(C8-1))</x:f>
        <x:v>2238.7211385683377</x:v>
      </x:c>
      <x:c r="E8" s="31" t="n">
        <x:f>IF(B8=0,"",B8*D8)</x:f>
        <x:v>0.0003302113679388298</x:v>
      </x:c>
    </x:row>
    <x:row r="9" ht="18" customHeight="1">
      <x:c r="A9" s="24" t="str">
        <x:v>Lobsters, crabs</x:v>
      </x:c>
      <x:c r="B9" s="31" t="n">
        <x:v>5391.3076529345</x:v>
      </x:c>
      <x:c r="C9" s="32" t="n">
        <x:v>3.372360601970858</x:v>
      </x:c>
      <x:c r="D9" s="32" t="n">
        <x:f>IF(C9="","",(1/'Metadata'!$B$5)^(C9-1))</x:f>
        <x:v>235.7005532739654</x:v>
      </x:c>
      <x:c r="E9" s="31" t="n">
        <x:f>IF(B9=0,"",B9*D9)</x:f>
        <x:v>1270734.1966668253</x:v>
      </x:c>
    </x:row>
    <x:row r="10" ht="18" customHeight="1">
      <x:c r="A10" s="24" t="str">
        <x:v>Medium benthopelagics (30 - 89 cm)</x:v>
      </x:c>
      <x:c r="B10" s="31" t="n">
        <x:v>4816.6388969156</x:v>
      </x:c>
      <x:c r="C10" s="32" t="n">
        <x:v>3.4822570359423874</x:v>
      </x:c>
      <x:c r="D10" s="32" t="n">
        <x:f>IF(C10="","",(1/'Metadata'!$B$5)^(C10-1))</x:f>
        <x:v>303.5687315447393</x:v>
      </x:c>
      <x:c r="E10" s="31" t="n">
        <x:f>IF(B10=0,"",B10*D10)</x:f>
        <x:v>1462180.960245721</x:v>
      </x:c>
    </x:row>
    <x:row r="11" ht="18" customHeight="1">
      <x:c r="A11" s="24" t="str">
        <x:v>Medium demersals (30 - 89 cm)</x:v>
      </x:c>
      <x:c r="B11" s="31" t="n">
        <x:v>17140.6796863729</x:v>
      </x:c>
      <x:c r="C11" s="32" t="n">
        <x:v>3.3327066369974556</x:v>
      </x:c>
      <x:c r="D11" s="32" t="n">
        <x:f>IF(C11="","",(1/'Metadata'!$B$5)^(C11-1))</x:f>
        <x:v>215.13280361738802</x:v>
      </x:c>
      <x:c r="E11" s="31" t="n">
        <x:f>IF(B11=0,"",B11*D11)</x:f>
        <x:v>3687522.476837013</x:v>
      </x:c>
    </x:row>
    <x:row r="12" ht="18" customHeight="1">
      <x:c r="A12" s="24" t="str">
        <x:v>Medium pelagics (30 - 89 cm)</x:v>
      </x:c>
      <x:c r="B12" s="31" t="n">
        <x:v>13075.714263264403</x:v>
      </x:c>
      <x:c r="C12" s="32" t="n">
        <x:v>3.2420536383549825</x:v>
      </x:c>
      <x:c r="D12" s="32" t="n">
        <x:f>IF(C12="","",(1/'Metadata'!$B$5)^(C12-1))</x:f>
        <x:v>174.6037787277591</x:v>
      </x:c>
      <x:c r="E12" s="31" t="n">
        <x:f>IF(B12=0,"",B12*D12)</x:f>
        <x:v>2283069.1199304215</x:v>
      </x:c>
    </x:row>
    <x:row r="13" ht="18" customHeight="1">
      <x:c r="A13" s="24" t="str">
        <x:v>Medium reef assoc. fish (30 - 89 cm)</x:v>
      </x:c>
      <x:c r="B13" s="31" t="n">
        <x:v>873.1091723948</x:v>
      </x:c>
      <x:c r="C13" s="32" t="n">
        <x:v>3.405059842460863</x:v>
      </x:c>
      <x:c r="D13" s="32" t="n">
        <x:f>IF(C13="","",(1/'Metadata'!$B$5)^(C13-1))</x:f>
        <x:v>254.1322856294301</x:v>
      </x:c>
      <x:c r="E13" s="31" t="n">
        <x:f>IF(B13=0,"",B13*D13)</x:f>
        <x:v>221885.22958471064</x:v>
      </x:c>
    </x:row>
    <x:row r="14" ht="18" customHeight="1">
      <x:c r="A14" s="24" t="str">
        <x:v>Other demersal invertebrates</x:v>
      </x:c>
      <x:c r="B14" s="31" t="n">
        <x:v>2482.0162711586</x:v>
      </x:c>
      <x:c r="C14" s="32" t="n">
        <x:v>2.2858066679864666</x:v>
      </x:c>
      <x:c r="D14" s="32" t="n">
        <x:f>IF(C14="","",(1/'Metadata'!$B$5)^(C14-1))</x:f>
        <x:v>19.311084668094743</x:v>
      </x:c>
      <x:c r="E14" s="31" t="n">
        <x:f>IF(B14=0,"",B14*D14)</x:f>
        <x:v>47930.42635993252</x:v>
      </x:c>
    </x:row>
    <x:row r="15" ht="18" customHeight="1">
      <x:c r="A15" s="24" t="str">
        <x:v>Shrimps</x:v>
      </x:c>
      <x:c r="B15" s="31" t="n">
        <x:v>11355.6383324425</x:v>
      </x:c>
      <x:c r="C15" s="32" t="n">
        <x:v>2.7849614696643252</x:v>
      </x:c>
      <x:c r="D15" s="32" t="n">
        <x:f>IF(C15="","",(1/'Metadata'!$B$5)^(C15-1))</x:f>
        <x:v>60.94828219054605</x:v>
      </x:c>
      <x:c r="E15" s="31" t="n">
        <x:f>IF(B15=0,"",B15*D15)</x:f>
        <x:v>692106.6495394873</x:v>
      </x:c>
    </x:row>
    <x:row r="16" ht="18" customHeight="1">
      <x:c r="A16" s="24" t="str">
        <x:v>Small bathydemersals (&lt;30 cm)</x:v>
      </x:c>
      <x:c r="B16" s="31" t="n">
        <x:v>615.9356551874</x:v>
      </x:c>
      <x:c r="C16" s="32" t="n">
        <x:v>3.51</x:v>
      </x:c>
      <x:c r="D16" s="32" t="n">
        <x:f>IF(C16="","",(1/'Metadata'!$B$5)^(C16-1))</x:f>
        <x:v>323.5936569296281</x:v>
      </x:c>
      <x:c r="E16" s="31" t="n">
        <x:f>IF(B16=0,"",B16*D16)</x:f>
        <x:v>199312.8710954372</x:v>
      </x:c>
    </x:row>
    <x:row r="17" ht="18" customHeight="1">
      <x:c r="A17" s="24" t="str">
        <x:v>Small demersals (&lt;30 cm)</x:v>
      </x:c>
      <x:c r="B17" s="31" t="n">
        <x:v>2734.7105311883</x:v>
      </x:c>
      <x:c r="C17" s="32" t="n">
        <x:v>3.0000197170895806</x:v>
      </x:c>
      <x:c r="D17" s="32" t="n">
        <x:f>IF(C17="","",(1/'Metadata'!$B$5)^(C17-1))</x:f>
        <x:v>100.00454013071537</x:v>
      </x:c>
      <x:c r="E17" s="31" t="n">
        <x:f>IF(B17=0,"",B17*D17)</x:f>
        <x:v>273483.4690621103</x:v>
      </x:c>
    </x:row>
    <x:row r="18" ht="18" customHeight="1">
      <x:c r="A18" s="24" t="str">
        <x:v>Small pelagics (&lt;30 cm)</x:v>
      </x:c>
      <x:c r="B18" s="31" t="n">
        <x:v>2109.4273742859</x:v>
      </x:c>
      <x:c r="C18" s="32" t="n">
        <x:v>3.130145274193094</x:v>
      </x:c>
      <x:c r="D18" s="32" t="n">
        <x:f>IF(C18="","",(1/'Metadata'!$B$5)^(C18-1))</x:f>
        <x:v>134.94141945069768</x:v>
      </x:c>
      <x:c r="E18" s="31" t="n">
        <x:f>IF(B18=0,"",B18*D18)</x:f>
        <x:v>284649.1241142975</x:v>
      </x:c>
    </x:row>
    <x:row r="19" ht="18" customHeight="1">
      <x:c r="A19" s="24" t="str">
        <x:v>Small to medium flatfishes (&lt;90 cm)</x:v>
      </x:c>
      <x:c r="B19" s="31" t="n">
        <x:v>1902.1960651713</x:v>
      </x:c>
      <x:c r="C19" s="32" t="n">
        <x:v>3.5679762349847963</x:v>
      </x:c>
      <x:c r="D19" s="32" t="n">
        <x:f>IF(C19="","",(1/'Metadata'!$B$5)^(C19-1))</x:f>
        <x:v>369.8079429773242</x:v>
      </x:c>
      <x:c r="E19" s="31" t="n">
        <x:f>IF(B19=0,"",B19*D19)</x:f>
        <x:v>703447.2140005586</x:v>
      </x:c>
    </x:row>
  </x:sheetData>
  <x:pageMargins left="0.7" right="0.7" top="0.75" bottom="0.75" header="0.3" footer="0.3"/>
  <x:tableParts count="1">
    <x:tablePart xmlns:r="http://schemas.openxmlformats.org/officeDocument/2006/relationships" r:id="R82ecb429f7f04ad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EEZ_973</x:v>
      </x:c>
      <x:c r="B2" s="24" t="str">
        <x:v>raw_filtered_tonnes</x:v>
      </x:c>
      <x:c r="C2" s="24" t="n">
        <x:v>89045.4804653548</x:v>
      </x:c>
      <x:c r="D2" s="24" t="str">
        <x:v>tonnes</x:v>
      </x:c>
    </x:row>
    <x:row r="3" ht="18" customHeight="1">
      <x:c r="A3" s="24" t="str">
        <x:v>EEZ_973</x:v>
      </x:c>
      <x:c r="B3" s="24" t="str">
        <x:v>species_catch_tonnes</x:v>
      </x:c>
      <x:c r="C3" s="24" t="n">
        <x:v>89045.48046535479</x:v>
      </x:c>
      <x:c r="D3" s="24" t="str">
        <x:v>tonnes</x:v>
      </x:c>
    </x:row>
    <x:row r="4" ht="18" customHeight="1">
      <x:c r="A4" s="24" t="str">
        <x:v>EEZ_973</x:v>
      </x:c>
      <x:c r="B4" s="24" t="str">
        <x:v>catch_difference_tonnes</x:v>
      </x:c>
      <x:c r="C4" s="24" t="n">
        <x:v>-1.4551915228366852e-11</x:v>
      </x:c>
      <x:c r="D4" s="24" t="str">
        <x:v>tonnes</x:v>
      </x:c>
    </x:row>
    <x:row r="5" ht="18" customHeight="1">
      <x:c r="A5" s="24" t="str">
        <x:v>EEZ_973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EEZ_973</x:v>
      </x:c>
      <x:c r="B6" s="24" t="str">
        <x:v>matched_catch_tonnes</x:v>
      </x:c>
      <x:c r="C6" s="24" t="n">
        <x:v>89045.48046535479</x:v>
      </x:c>
      <x:c r="D6" s="24" t="str">
        <x:v>tonnes</x:v>
      </x:c>
    </x:row>
    <x:row r="7" ht="18" customHeight="1">
      <x:c r="A7" s="24" t="str">
        <x:v>EEZ_973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EEZ_973</x:v>
      </x:c>
      <x:c r="B8" s="24" t="str">
        <x:v>taxa_count</x:v>
      </x:c>
      <x:c r="C8" s="24" t="n">
        <x:v>58</x:v>
      </x:c>
      <x:c r="D8" s="24" t="str">
        <x:v>count</x:v>
      </x:c>
    </x:row>
    <x:row r="9" ht="18" customHeight="1">
      <x:c r="A9" s="24" t="str">
        <x:v>EEZ_973</x:v>
      </x:c>
      <x:c r="B9" s="24" t="str">
        <x:v>matched_taxa_count</x:v>
      </x:c>
      <x:c r="C9" s="24" t="n">
        <x:v>58</x:v>
      </x:c>
      <x:c r="D9" s="24" t="str">
        <x:v>count</x:v>
      </x:c>
    </x:row>
    <x:row r="10" ht="18" customHeight="1">
      <x:c r="A10" s="24" t="str">
        <x:v>EEZ_973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EEZ_973</x:v>
      </x:c>
      <x:c r="B11" s="24" t="str">
        <x:v>species_ppr</x:v>
      </x:c>
      <x:c r="C11" s="24" t="n">
        <x:v>58964164.09103803</x:v>
      </x:c>
      <x:c r="D11" s="24" t="str">
        <x:v>tonnes_primary_production_equivalent</x:v>
      </x:c>
    </x:row>
    <x:row r="12" ht="18" customHeight="1">
      <x:c r="A12" s="24" t="str">
        <x:v>EEZ_973</x:v>
      </x:c>
      <x:c r="B12" s="24" t="str">
        <x:v>commercial_ppr</x:v>
      </x:c>
      <x:c r="C12" s="24" t="n">
        <x:v>34035460.416067936</x:v>
      </x:c>
      <x:c r="D12" s="24" t="str">
        <x:v>tonnes_primary_production_equivalent</x:v>
      </x:c>
    </x:row>
    <x:row r="13" ht="18" customHeight="1">
      <x:c r="A13" s="24" t="str">
        <x:v>EEZ_973</x:v>
      </x:c>
      <x:c r="B13" s="24" t="str">
        <x:v>functional_ppr</x:v>
      </x:c>
      <x:c r="C13" s="24" t="n">
        <x:v>52997138.40968333</x:v>
      </x:c>
      <x:c r="D13" s="24" t="str">
        <x:v>tonnes_primary_production_equivalent</x:v>
      </x:c>
    </x:row>
    <x:row r="14" ht="18" customHeight="1">
      <x:c r="A14" s="24" t="str">
        <x:v>EEZ_973</x:v>
      </x:c>
      <x:c r="B14" s="24" t="str">
        <x:v>commercial_ppr_difference</x:v>
      </x:c>
      <x:c r="C14" s="24" t="n">
        <x:v>-24928703.674970098</x:v>
      </x:c>
      <x:c r="D14" s="24" t="str">
        <x:v>tonnes_primary_production_equivalent</x:v>
      </x:c>
    </x:row>
    <x:row r="15" ht="18" customHeight="1">
      <x:c r="A15" s="24" t="str">
        <x:v>EEZ_973</x:v>
      </x:c>
      <x:c r="B15" s="24" t="str">
        <x:v>functional_ppr_difference</x:v>
      </x:c>
      <x:c r="C15" s="24" t="n">
        <x:v>-5967025.6813547015</x:v>
      </x:c>
      <x:c r="D15" s="24" t="str">
        <x:v>tonnes_primary_production_equivalent</x:v>
      </x:c>
    </x:row>
    <x:row r="16" ht="18" customHeight="1">
      <x:c r="A16" s="24" t="str">
        <x:v>EEZ_973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EEZ_973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17bd759b447745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EEZ_973 - Korea (North, Yellow Sea)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EEZ_973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raw_data/SAU_downloads/EEZ_973-catch.zip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