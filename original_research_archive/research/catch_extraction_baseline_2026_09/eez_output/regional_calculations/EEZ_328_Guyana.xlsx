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37115d5dc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2042533130f432f"/>
    <x:sheet xmlns:r="http://schemas.openxmlformats.org/officeDocument/2006/relationships" name="Commercial" sheetId="2" r:id="R60561d43042c4441"/>
    <x:sheet xmlns:r="http://schemas.openxmlformats.org/officeDocument/2006/relationships" name="Functional" sheetId="3" r:id="Re90156dfb54445a8"/>
    <x:sheet xmlns:r="http://schemas.openxmlformats.org/officeDocument/2006/relationships" name="Missing TL" sheetId="4" r:id="Rc165bc3609cd4e66"/>
    <x:sheet xmlns:r="http://schemas.openxmlformats.org/officeDocument/2006/relationships" name="Validation" sheetId="5" r:id="R27fc75422a504334"/>
    <x:sheet xmlns:r="http://schemas.openxmlformats.org/officeDocument/2006/relationships" name="Metadata" sheetId="6" r:id="R96285ff4c6a8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2d4c01c904b6e" /><Relationship Type="http://schemas.openxmlformats.org/officeDocument/2006/relationships/theme" Target="/xl/theme/theme1.xml" Id="R04a1d673cb924fbe" /><Relationship Type="http://schemas.microsoft.com/office/2022/11/relationships/FeaturePropertyBag" Target="/xl/featurePropertyBag/featurePropertyBag.xml" Id="R42e52f5131044d0d" /><Relationship Type="http://schemas.openxmlformats.org/officeDocument/2006/relationships/sharedStrings" Target="/xl/sharedStrings.xml" Id="R0bddfe3dfee64ea4" /><Relationship Type="http://schemas.openxmlformats.org/officeDocument/2006/relationships/worksheet" Target="/xl/worksheets/sheet1.xml" Id="Re2042533130f432f" /><Relationship Type="http://schemas.openxmlformats.org/officeDocument/2006/relationships/worksheet" Target="/xl/worksheets/sheet2.xml" Id="R60561d43042c4441" /><Relationship Type="http://schemas.openxmlformats.org/officeDocument/2006/relationships/worksheet" Target="/xl/worksheets/sheet3.xml" Id="Re90156dfb54445a8" /><Relationship Type="http://schemas.openxmlformats.org/officeDocument/2006/relationships/worksheet" Target="/xl/worksheets/sheet4.xml" Id="Rc165bc3609cd4e66" /><Relationship Type="http://schemas.openxmlformats.org/officeDocument/2006/relationships/worksheet" Target="/xl/worksheets/sheet5.xml" Id="R27fc75422a504334" /><Relationship Type="http://schemas.openxmlformats.org/officeDocument/2006/relationships/worksheet" Target="/xl/worksheets/sheet6.xml" Id="R96285ff4c6a845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28SpeciesTable" displayName="EEZ328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28CommercialTable" displayName="EEZ328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28FunctionalTable" displayName="EEZ328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28ValidationTable" displayName="EEZ32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527568a29c4e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c6f3140ea342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ba52d42ad546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864f3823b746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EEZ_328</x:v>
      </x:c>
      <x:c r="B2" s="24" t="str">
        <x:v>Guyana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17578.378596694998</x:v>
      </x:c>
      <x:c r="J2" s="31" t="n">
        <x:v>12148.534723380999</x:v>
      </x:c>
      <x:c r="K2" s="31" t="n">
        <x:v>5429.843873314</x:v>
      </x:c>
      <x:c r="L2" s="31" t="n">
        <x:v>8626.511391761</x:v>
      </x:c>
      <x:c r="M2" s="31" t="n">
        <x:v>8951.867204934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3349490.9901488214</x:v>
      </x:c>
    </x:row>
    <x:row r="3" ht="18" customHeight="1">
      <x:c r="A3" s="24" t="str">
        <x:v>EEZ_328</x:v>
      </x:c>
      <x:c r="B3" s="24" t="str">
        <x:v>Guyana</x:v>
      </x:c>
      <x:c r="C3" s="24" t="str">
        <x:v>EEZ</x:v>
      </x:c>
      <x:c r="D3" s="30" t="n">
        <x:v>2019</x:v>
      </x:c>
      <x:c r="E3" s="24" t="str">
        <x:v>Xiphopenaeus kroyeri</x:v>
      </x:c>
      <x:c r="F3" s="24" t="str">
        <x:v>Atlantic seabob</x:v>
      </x:c>
      <x:c r="G3" s="24" t="str">
        <x:v>Shrimps</x:v>
      </x:c>
      <x:c r="H3" s="24" t="str">
        <x:v>Crustaceans</x:v>
      </x:c>
      <x:c r="I3" s="31" t="n">
        <x:v>14068.33925545</x:v>
      </x:c>
      <x:c r="J3" s="31" t="n">
        <x:v>14068.33925545</x:v>
      </x:c>
      <x:c r="K3" s="31" t="n">
        <x:v>0</x:v>
      </x:c>
      <x:c r="L3" s="31" t="n">
        <x:v>14040</x:v>
      </x:c>
      <x:c r="M3" s="31" t="n">
        <x:v>28.33925545</x:v>
      </x:c>
      <x:c r="N3" s="24" t="str">
        <x:v>xiphopenaeus kroyeri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Xiphopenaeus kroyeri</x:v>
      </x:c>
      <x:c r="T3" s="32" t="n">
        <x:f>IF(O3="","",(1/'Metadata'!$B$5)^(O3-1))</x:f>
        <x:v>50.11872336272725</x:v>
      </x:c>
      <x:c r="U3" s="31" t="n">
        <x:f>IF(T3="","",I3*T3)</x:f>
        <x:v>705087.2033168948</x:v>
      </x:c>
    </x:row>
    <x:row r="4" ht="18" customHeight="1">
      <x:c r="A4" s="24" t="str">
        <x:v>EEZ_328</x:v>
      </x:c>
      <x:c r="B4" s="24" t="str">
        <x:v>Guyana</x:v>
      </x:c>
      <x:c r="C4" s="24" t="str">
        <x:v>EEZ</x:v>
      </x:c>
      <x:c r="D4" s="30" t="n">
        <x:v>2019</x:v>
      </x:c>
      <x:c r="E4" s="24" t="str">
        <x:v>Porichthys porosissimus</x:v>
      </x:c>
      <x:c r="F4" s="24" t="str">
        <x:v>South American toadfish</x:v>
      </x:c>
      <x:c r="G4" s="24" t="str">
        <x:v>Small demersals (&lt;30 cm)</x:v>
      </x:c>
      <x:c r="H4" s="24" t="str">
        <x:v>Other fishes &amp; inverts</x:v>
      </x:c>
      <x:c r="I4" s="31" t="n">
        <x:v>3087.55153</x:v>
      </x:c>
      <x:c r="J4" s="31" t="n">
        <x:v>0</x:v>
      </x:c>
      <x:c r="K4" s="31" t="n">
        <x:v>3087.55153</x:v>
      </x:c>
      <x:c r="L4" s="31" t="n">
        <x:v>0</x:v>
      </x:c>
      <x:c r="M4" s="31" t="n">
        <x:v>3087.55153</x:v>
      </x:c>
      <x:c r="N4" s="24" t="str">
        <x:v>porichthys porosissimus</x:v>
      </x:c>
      <x:c r="O4" s="32" t="n">
        <x:v>3.73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Porichthys porosissimus</x:v>
      </x:c>
      <x:c r="T4" s="32" t="n">
        <x:f>IF(O4="","",(1/'Metadata'!$B$5)^(O4-1))</x:f>
        <x:v>537.0317963702527</x:v>
      </x:c>
      <x:c r="U4" s="31" t="n">
        <x:f>IF(T4="","",I4*T4)</x:f>
        <x:v>1658113.344541622</x:v>
      </x:c>
    </x:row>
    <x:row r="5" ht="18" customHeight="1">
      <x:c r="A5" s="24" t="str">
        <x:v>EEZ_328</x:v>
      </x:c>
      <x:c r="B5" s="24" t="str">
        <x:v>Guyana</x:v>
      </x:c>
      <x:c r="C5" s="24" t="str">
        <x:v>EEZ</x:v>
      </x:c>
      <x:c r="D5" s="30" t="n">
        <x:v>2019</x:v>
      </x:c>
      <x:c r="E5" s="24" t="str">
        <x:v>Lutjanus purpureus</x:v>
      </x:c>
      <x:c r="F5" s="24" t="str">
        <x:v>Southern red snapper</x:v>
      </x:c>
      <x:c r="G5" s="24" t="str">
        <x:v>Medium demersals (30 - 89 cm)</x:v>
      </x:c>
      <x:c r="H5" s="24" t="str">
        <x:v>Perch-likes</x:v>
      </x:c>
      <x:c r="I5" s="31" t="n">
        <x:v>2103.17438919</x:v>
      </x:c>
      <x:c r="J5" s="31" t="n">
        <x:v>2103.17438919</x:v>
      </x:c>
      <x:c r="K5" s="31" t="n">
        <x:v>0</x:v>
      </x:c>
      <x:c r="L5" s="31" t="n">
        <x:v>1736.0000000999999</x:v>
      </x:c>
      <x:c r="M5" s="31" t="n">
        <x:v>367.17438909</x:v>
      </x:c>
      <x:c r="N5" s="24" t="str">
        <x:v>lutjanus purpureus</x:v>
      </x:c>
      <x:c r="O5" s="32" t="n">
        <x:v>3.58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Lutjanus purpureus</x:v>
      </x:c>
      <x:c r="T5" s="32" t="n">
        <x:f>IF(O5="","",(1/'Metadata'!$B$5)^(O5-1))</x:f>
        <x:v>380.1893963205613</x:v>
      </x:c>
      <x:c r="U5" s="31" t="n">
        <x:f>IF(T5="","",I5*T5)</x:f>
        <x:v>799604.6013830113</x:v>
      </x:c>
    </x:row>
    <x:row r="6" ht="18" customHeight="1">
      <x:c r="A6" s="24" t="str">
        <x:v>EEZ_328</x:v>
      </x:c>
      <x:c r="B6" s="24" t="str">
        <x:v>Guyana</x:v>
      </x:c>
      <x:c r="C6" s="24" t="str">
        <x:v>EEZ</x:v>
      </x:c>
      <x:c r="D6" s="30" t="n">
        <x:v>2019</x:v>
      </x:c>
      <x:c r="E6" s="24" t="str">
        <x:v>Rhomboplites aurorubens</x:v>
      </x:c>
      <x:c r="F6" s="24" t="str">
        <x:v>Vermilion snapper</x:v>
      </x:c>
      <x:c r="G6" s="24" t="str">
        <x:v>Medium demersals (30 - 89 cm)</x:v>
      </x:c>
      <x:c r="H6" s="24" t="str">
        <x:v>Perch-likes</x:v>
      </x:c>
      <x:c r="I6" s="31" t="n">
        <x:v>1926.1035826</x:v>
      </x:c>
      <x:c r="J6" s="31" t="n">
        <x:v>1926.1035826</x:v>
      </x:c>
      <x:c r="K6" s="31" t="n">
        <x:v>0</x:v>
      </x:c>
      <x:c r="L6" s="31" t="n">
        <x:v>1382.8785502</x:v>
      </x:c>
      <x:c r="M6" s="31" t="n">
        <x:v>543.2250324</x:v>
      </x:c>
      <x:c r="N6" s="24" t="str">
        <x:v>rhomboplites aurorubens</x:v>
      </x:c>
      <x:c r="O6" s="32" t="n">
        <x:v>4.36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Rhomboplites aurorubens</x:v>
      </x:c>
      <x:c r="T6" s="32" t="n">
        <x:f>IF(O6="","",(1/'Metadata'!$B$5)^(O6-1))</x:f>
        <x:v>2290.867652767775</x:v>
      </x:c>
      <x:c r="U6" s="31" t="n">
        <x:f>IF(T6="","",I6*T6)</x:f>
        <x:v>4412448.393258464</x:v>
      </x:c>
    </x:row>
    <x:row r="7" ht="18" customHeight="1">
      <x:c r="A7" s="24" t="str">
        <x:v>EEZ_328</x:v>
      </x:c>
      <x:c r="B7" s="24" t="str">
        <x:v>Guyana</x:v>
      </x:c>
      <x:c r="C7" s="24" t="str">
        <x:v>EEZ</x:v>
      </x:c>
      <x:c r="D7" s="30" t="n">
        <x:v>2019</x:v>
      </x:c>
      <x:c r="E7" s="24" t="str">
        <x:v>Lutjanus synagris</x:v>
      </x:c>
      <x:c r="F7" s="24" t="str">
        <x:v>Lane snapper</x:v>
      </x:c>
      <x:c r="G7" s="24" t="str">
        <x:v>Medium reef assoc. fish (30 - 89 cm)</x:v>
      </x:c>
      <x:c r="H7" s="24" t="str">
        <x:v>Perch-likes</x:v>
      </x:c>
      <x:c r="I7" s="31" t="n">
        <x:v>1901.8743287</x:v>
      </x:c>
      <x:c r="J7" s="31" t="n">
        <x:v>1901.8743287</x:v>
      </x:c>
      <x:c r="K7" s="31" t="n">
        <x:v>0</x:v>
      </x:c>
      <x:c r="L7" s="31" t="n">
        <x:v>1358.6492964</x:v>
      </x:c>
      <x:c r="M7" s="31" t="n">
        <x:v>543.2250323000001</x:v>
      </x:c>
      <x:c r="N7" s="24" t="str">
        <x:v>lutjanus synagris</x:v>
      </x:c>
      <x:c r="O7" s="32" t="n">
        <x:v>3.82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Lutjanus synagris</x:v>
      </x:c>
      <x:c r="T7" s="32" t="n">
        <x:f>IF(O7="","",(1/'Metadata'!$B$5)^(O7-1))</x:f>
        <x:v>660.6934480075957</x:v>
      </x:c>
      <x:c r="U7" s="31" t="n">
        <x:f>IF(T7="","",I7*T7)</x:f>
        <x:v>1256555.9079059346</x:v>
      </x:c>
    </x:row>
    <x:row r="8" ht="18" customHeight="1">
      <x:c r="A8" s="24" t="str">
        <x:v>EEZ_328</x:v>
      </x:c>
      <x:c r="B8" s="24" t="str">
        <x:v>Guyana</x:v>
      </x:c>
      <x:c r="C8" s="24" t="str">
        <x:v>EEZ</x:v>
      </x:c>
      <x:c r="D8" s="30" t="n">
        <x:v>2019</x:v>
      </x:c>
      <x:c r="E8" s="24" t="str">
        <x:v>Nematopalaemon schmitti</x:v>
      </x:c>
      <x:c r="F8" s="24" t="str">
        <x:v>Whitebelly prawn</x:v>
      </x:c>
      <x:c r="G8" s="24" t="str">
        <x:v>Shrimps</x:v>
      </x:c>
      <x:c r="H8" s="24" t="str">
        <x:v>Crustaceans</x:v>
      </x:c>
      <x:c r="I8" s="31" t="n">
        <x:v>1318.33925545</x:v>
      </x:c>
      <x:c r="J8" s="31" t="n">
        <x:v>1318.33925545</x:v>
      </x:c>
      <x:c r="K8" s="31" t="n">
        <x:v>0</x:v>
      </x:c>
      <x:c r="L8" s="31" t="n">
        <x:v>1290</x:v>
      </x:c>
      <x:c r="M8" s="31" t="n">
        <x:v>28.33925545</x:v>
      </x:c>
      <x:c r="N8" s="24" t="str">
        <x:v>nematopalaemon schmitti</x:v>
      </x:c>
      <x:c r="O8" s="32" t="n">
        <x:v>2.2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Nematopalaemon schmitti</x:v>
      </x:c>
      <x:c r="T8" s="32" t="n">
        <x:f>IF(O8="","",(1/'Metadata'!$B$5)^(O8-1))</x:f>
        <x:v>15.848931924611142</x:v>
      </x:c>
      <x:c r="U8" s="31" t="n">
        <x:f>IF(T8="","",I8*T8)</x:f>
        <x:v>20894.26911316959</x:v>
      </x:c>
    </x:row>
    <x:row r="9" ht="18" customHeight="1">
      <x:c r="A9" s="24" t="str">
        <x:v>EEZ_328</x:v>
      </x:c>
      <x:c r="B9" s="24" t="str">
        <x:v>Guyana</x:v>
      </x:c>
      <x:c r="C9" s="24" t="str">
        <x:v>EEZ</x:v>
      </x:c>
      <x:c r="D9" s="30" t="n">
        <x:v>2019</x:v>
      </x:c>
      <x:c r="E9" s="24" t="str">
        <x:v>Megalops atlanticus</x:v>
      </x:c>
      <x:c r="F9" s="24" t="str">
        <x:v>Tarpon</x:v>
      </x:c>
      <x:c r="G9" s="24" t="str">
        <x:v>Large pelagics (&gt;=90 cm)</x:v>
      </x:c>
      <x:c r="H9" s="24" t="str">
        <x:v>Other fishes &amp; inverts</x:v>
      </x:c>
      <x:c r="I9" s="31" t="n">
        <x:v>1068.6100781149999</x:v>
      </x:c>
      <x:c r="J9" s="31" t="n">
        <x:v>1068.6100781149999</x:v>
      </x:c>
      <x:c r="K9" s="31" t="n">
        <x:v>0</x:v>
      </x:c>
      <x:c r="L9" s="31" t="n">
        <x:v>689.808761812</x:v>
      </x:c>
      <x:c r="M9" s="31" t="n">
        <x:v>378.80131630299996</x:v>
      </x:c>
      <x:c r="N9" s="24" t="str">
        <x:v>megalops atlanticus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Megalops atlanticus</x:v>
      </x:c>
      <x:c r="T9" s="32" t="n">
        <x:f>IF(O9="","",(1/'Metadata'!$B$5)^(O9-1))</x:f>
        <x:v>3162.2776601683795</x:v>
      </x:c>
      <x:c r="U9" s="31" t="n">
        <x:f>IF(T9="","",I9*T9)</x:f>
        <x:v>3379241.777453851</x:v>
      </x:c>
    </x:row>
    <x:row r="10" ht="18" customHeight="1">
      <x:c r="A10" s="24" t="str">
        <x:v>EEZ_328</x:v>
      </x:c>
      <x:c r="B10" s="24" t="str">
        <x:v>Guyana</x:v>
      </x:c>
      <x:c r="C10" s="24" t="str">
        <x:v>EEZ</x:v>
      </x:c>
      <x:c r="D10" s="30" t="n">
        <x:v>2019</x:v>
      </x:c>
      <x:c r="E10" s="24" t="str">
        <x:v>Cynoscion acoupa</x:v>
      </x:c>
      <x:c r="F10" s="24" t="str">
        <x:v>Acoupa weakfish</x:v>
      </x:c>
      <x:c r="G10" s="24" t="str">
        <x:v>Large demersals (&gt;=90 cm)</x:v>
      </x:c>
      <x:c r="H10" s="24" t="str">
        <x:v>Perch-likes</x:v>
      </x:c>
      <x:c r="I10" s="31" t="n">
        <x:v>973.96649048</x:v>
      </x:c>
      <x:c r="J10" s="31" t="n">
        <x:v>973.96649048</x:v>
      </x:c>
      <x:c r="K10" s="31" t="n">
        <x:v>0</x:v>
      </x:c>
      <x:c r="L10" s="31" t="n">
        <x:v>689.8087618100001</x:v>
      </x:c>
      <x:c r="M10" s="31" t="n">
        <x:v>284.15772867</x:v>
      </x:c>
      <x:c r="N10" s="24" t="str">
        <x:v>cynoscion acoupa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Cynoscion acoupa</x:v>
      </x:c>
      <x:c r="T10" s="32" t="n">
        <x:f>IF(O10="","",(1/'Metadata'!$B$5)^(O10-1))</x:f>
        <x:v>1122.018454301963</x:v>
      </x:c>
      <x:c r="U10" s="31" t="n">
        <x:f>IF(T10="","",I10*T10)</x:f>
        <x:v>1092808.376190277</x:v>
      </x:c>
    </x:row>
    <x:row r="11" ht="18" customHeight="1">
      <x:c r="A11" s="24" t="str">
        <x:v>EEZ_328</x:v>
      </x:c>
      <x:c r="B11" s="24" t="str">
        <x:v>Guyana</x:v>
      </x:c>
      <x:c r="C11" s="24" t="str">
        <x:v>EEZ</x:v>
      </x:c>
      <x:c r="D11" s="30" t="n">
        <x:v>2019</x:v>
      </x:c>
      <x:c r="E11" s="24" t="str">
        <x:v>Notarius grandicassis</x:v>
      </x:c>
      <x:c r="F11" s="24" t="str">
        <x:v>Thomas sea catfish</x:v>
      </x:c>
      <x:c r="G11" s="24" t="str">
        <x:v>Medium demersals (30 - 89 cm)</x:v>
      </x:c>
      <x:c r="H11" s="24" t="str">
        <x:v>Other fishes &amp; inverts</x:v>
      </x:c>
      <x:c r="I11" s="31" t="n">
        <x:v>973.9657821999999</x:v>
      </x:c>
      <x:c r="J11" s="31" t="n">
        <x:v>973.9657821999999</x:v>
      </x:c>
      <x:c r="K11" s="31" t="n">
        <x:v>0</x:v>
      </x:c>
      <x:c r="L11" s="31" t="n">
        <x:v>689.8087618</x:v>
      </x:c>
      <x:c r="M11" s="31" t="n">
        <x:v>284.15702039999996</x:v>
      </x:c>
      <x:c r="N11" s="24" t="str">
        <x:v>notarius grandicassis</x:v>
      </x:c>
      <x:c r="O11" s="32" t="n">
        <x:v>3.6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Notarius grandicassis</x:v>
      </x:c>
      <x:c r="T11" s="32" t="n">
        <x:f>IF(O11="","",(1/'Metadata'!$B$5)^(O11-1))</x:f>
        <x:v>398.1071705534973</x:v>
      </x:c>
      <x:c r="U11" s="31" t="n">
        <x:f>IF(T11="","",I11*T11)</x:f>
        <x:v>387742.7617675658</x:v>
      </x:c>
    </x:row>
    <x:row r="12" ht="18" customHeight="1">
      <x:c r="A12" s="24" t="str">
        <x:v>EEZ_328</x:v>
      </x:c>
      <x:c r="B12" s="24" t="str">
        <x:v>Guyana</x:v>
      </x:c>
      <x:c r="C12" s="24" t="str">
        <x:v>EEZ</x:v>
      </x:c>
      <x:c r="D12" s="30" t="n">
        <x:v>2019</x:v>
      </x:c>
      <x:c r="E12" s="24" t="str">
        <x:v>Cynoscion virescens</x:v>
      </x:c>
      <x:c r="F12" s="24" t="str">
        <x:v>Green weakfish</x:v>
      </x:c>
      <x:c r="G12" s="24" t="str">
        <x:v>Large demersals (&gt;=90 cm)</x:v>
      </x:c>
      <x:c r="H12" s="24" t="str">
        <x:v>Perch-likes</x:v>
      </x:c>
      <x:c r="I12" s="31" t="n">
        <x:v>973.965782195</x:v>
      </x:c>
      <x:c r="J12" s="31" t="n">
        <x:v>973.965782195</x:v>
      </x:c>
      <x:c r="K12" s="31" t="n">
        <x:v>0</x:v>
      </x:c>
      <x:c r="L12" s="31" t="n">
        <x:v>689.8087617589999</x:v>
      </x:c>
      <x:c r="M12" s="31" t="n">
        <x:v>284.157020436</x:v>
      </x:c>
      <x:c r="N12" s="24" t="str">
        <x:v>cynoscion virescens</x:v>
      </x:c>
      <x:c r="O12" s="32" t="n">
        <x:v>4.03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Cynoscion virescens</x:v>
      </x:c>
      <x:c r="T12" s="32" t="n">
        <x:f>IF(O12="","",(1/'Metadata'!$B$5)^(O12-1))</x:f>
        <x:v>1071.519305237607</x:v>
      </x:c>
      <x:c r="U12" s="31" t="n">
        <x:f>IF(T12="","",I12*T12)</x:f>
        <x:v>1043623.138262789</x:v>
      </x:c>
    </x:row>
    <x:row r="13" ht="18" customHeight="1">
      <x:c r="A13" s="24" t="str">
        <x:v>EEZ_328</x:v>
      </x:c>
      <x:c r="B13" s="24" t="str">
        <x:v>Guyana</x:v>
      </x:c>
      <x:c r="C13" s="24" t="str">
        <x:v>EEZ</x:v>
      </x:c>
      <x:c r="D13" s="30" t="n">
        <x:v>2019</x:v>
      </x:c>
      <x:c r="E13" s="24" t="str">
        <x:v>Lobotes surinamensis</x:v>
      </x:c>
      <x:c r="F13" s="24" t="str">
        <x:v>Tripletail</x:v>
      </x:c>
      <x:c r="G13" s="24" t="str">
        <x:v>Large benthopelagics (&gt;=90 cm)</x:v>
      </x:c>
      <x:c r="H13" s="24" t="str">
        <x:v>Perch-likes</x:v>
      </x:c>
      <x:c r="I13" s="31" t="n">
        <x:v>973.965782176</x:v>
      </x:c>
      <x:c r="J13" s="31" t="n">
        <x:v>973.965782176</x:v>
      </x:c>
      <x:c r="K13" s="31" t="n">
        <x:v>0</x:v>
      </x:c>
      <x:c r="L13" s="31" t="n">
        <x:v>689.808761806</x:v>
      </x:c>
      <x:c r="M13" s="31" t="n">
        <x:v>284.15702037</x:v>
      </x:c>
      <x:c r="N13" s="24" t="str">
        <x:v>lobotes surinamensis</x:v>
      </x:c>
      <x:c r="O13" s="32" t="n">
        <x:v>4.04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Lobotes surinamensis</x:v>
      </x:c>
      <x:c r="T13" s="32" t="n">
        <x:f>IF(O13="","",(1/'Metadata'!$B$5)^(O13-1))</x:f>
        <x:v>1096.4781961431852</x:v>
      </x:c>
      <x:c r="U13" s="31" t="n">
        <x:f>IF(T13="","",I13*T13)</x:f>
        <x:v>1067932.243945527</x:v>
      </x:c>
    </x:row>
    <x:row r="14" ht="18" customHeight="1">
      <x:c r="A14" s="24" t="str">
        <x:v>EEZ_328</x:v>
      </x:c>
      <x:c r="B14" s="24" t="str">
        <x:v>Guyana</x:v>
      </x:c>
      <x:c r="C14" s="24" t="str">
        <x:v>EEZ</x:v>
      </x:c>
      <x:c r="D14" s="30" t="n">
        <x:v>2019</x:v>
      </x:c>
      <x:c r="E14" s="24" t="str">
        <x:v>Cynoscion jamaicensis</x:v>
      </x:c>
      <x:c r="F14" s="24" t="str">
        <x:v>Jamaica weakfish</x:v>
      </x:c>
      <x:c r="G14" s="24" t="str">
        <x:v>Medium demersals (30 - 89 cm)</x:v>
      </x:c>
      <x:c r="H14" s="24" t="str">
        <x:v>Perch-likes</x:v>
      </x:c>
      <x:c r="I14" s="31" t="n">
        <x:v>973.96578216</x:v>
      </x:c>
      <x:c r="J14" s="31" t="n">
        <x:v>973.96578216</x:v>
      </x:c>
      <x:c r="K14" s="31" t="n">
        <x:v>0</x:v>
      </x:c>
      <x:c r="L14" s="31" t="n">
        <x:v>689.80876175</x:v>
      </x:c>
      <x:c r="M14" s="31" t="n">
        <x:v>284.15702041</x:v>
      </x:c>
      <x:c r="N14" s="24" t="str">
        <x:v>cynoscion jamaicensis</x:v>
      </x:c>
      <x:c r="O14" s="32" t="n">
        <x:v>3.84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Cynoscion jamaicensis</x:v>
      </x:c>
      <x:c r="T14" s="32" t="n">
        <x:f>IF(O14="","",(1/'Metadata'!$B$5)^(O14-1))</x:f>
        <x:v>691.8309709189363</x:v>
      </x:c>
      <x:c r="U14" s="31" t="n">
        <x:f>IF(T14="","",I14*T14)</x:f>
        <x:v>673819.6927135739</x:v>
      </x:c>
    </x:row>
    <x:row r="15" ht="18" customHeight="1">
      <x:c r="A15" s="24" t="str">
        <x:v>EEZ_328</x:v>
      </x:c>
      <x:c r="B15" s="24" t="str">
        <x:v>Guyana</x:v>
      </x:c>
      <x:c r="C15" s="24" t="str">
        <x:v>EEZ</x:v>
      </x:c>
      <x:c r="D15" s="30" t="n">
        <x:v>2019</x:v>
      </x:c>
      <x:c r="E15" s="24" t="str">
        <x:v>Chondrichthyes</x:v>
      </x:c>
      <x:c r="F15" s="24" t="str">
        <x:v>Sharks, rays, chimaeras</x:v>
      </x:c>
      <x:c r="G15" s="24" t="str">
        <x:v>Large sharks (&gt;=90 cm)</x:v>
      </x:c>
      <x:c r="H15" s="24" t="str">
        <x:v>Sharks &amp; rays</x:v>
      </x:c>
      <x:c r="I15" s="31" t="n">
        <x:v>877.7618408</x:v>
      </x:c>
      <x:c r="J15" s="31" t="n">
        <x:v>877.7618408</x:v>
      </x:c>
      <x:c r="K15" s="31" t="n">
        <x:v>0</x:v>
      </x:c>
      <x:c r="L15" s="31" t="n">
        <x:v>774</x:v>
      </x:c>
      <x:c r="M15" s="31" t="n">
        <x:v>103.7618408</x:v>
      </x:c>
      <x:c r="N15" s="24" t="str">
        <x:v>chondrichthyes</x:v>
      </x:c>
      <x:c r="O15" s="32" t="n">
        <x:v>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Chondrichthyes</x:v>
      </x:c>
      <x:c r="T15" s="32" t="n">
        <x:f>IF(O15="","",(1/'Metadata'!$B$5)^(O15-1))</x:f>
        <x:v>1000</x:v>
      </x:c>
      <x:c r="U15" s="31" t="n">
        <x:f>IF(T15="","",I15*T15)</x:f>
        <x:v>877761.8408</x:v>
      </x:c>
    </x:row>
    <x:row r="16" ht="18" customHeight="1">
      <x:c r="A16" s="24" t="str">
        <x:v>EEZ_328</x:v>
      </x:c>
      <x:c r="B16" s="24" t="str">
        <x:v>Guyana</x:v>
      </x:c>
      <x:c r="C16" s="24" t="str">
        <x:v>EEZ</x:v>
      </x:c>
      <x:c r="D16" s="30" t="n">
        <x:v>2019</x:v>
      </x:c>
      <x:c r="E16" s="24" t="str">
        <x:v>Mullidae</x:v>
      </x:c>
      <x:c r="F16" s="24" t="str">
        <x:v>Goatfishes</x:v>
      </x:c>
      <x:c r="G16" s="24" t="str">
        <x:v>Medium reef assoc. fish (30 - 89 cm)</x:v>
      </x:c>
      <x:c r="H16" s="24" t="str">
        <x:v>Perch-likes</x:v>
      </x:c>
      <x:c r="I16" s="31" t="n">
        <x:v>850.5012076</x:v>
      </x:c>
      <x:c r="J16" s="31" t="n">
        <x:v>0</x:v>
      </x:c>
      <x:c r="K16" s="31" t="n">
        <x:v>850.5012076</x:v>
      </x:c>
      <x:c r="L16" s="31" t="n">
        <x:v>0</x:v>
      </x:c>
      <x:c r="M16" s="31" t="n">
        <x:v>850.5012076</x:v>
      </x:c>
      <x:c r="N16" s="24" t="str">
        <x:v>mullidae</x:v>
      </x:c>
      <x:c r="O16" s="32" t="n">
        <x:v>3.46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Mullidae</x:v>
      </x:c>
      <x:c r="T16" s="32" t="n">
        <x:f>IF(O16="","",(1/'Metadata'!$B$5)^(O16-1))</x:f>
        <x:v>288.40315031266056</x:v>
      </x:c>
      <x:c r="U16" s="31" t="n">
        <x:f>IF(T16="","",I16*T16)</x:f>
        <x:v>245287.22761656213</x:v>
      </x:c>
    </x:row>
    <x:row r="17" ht="18" customHeight="1">
      <x:c r="A17" s="24" t="str">
        <x:v>EEZ_328</x:v>
      </x:c>
      <x:c r="B17" s="24" t="str">
        <x:v>Guyana</x:v>
      </x:c>
      <x:c r="C17" s="24" t="str">
        <x:v>EEZ</x:v>
      </x:c>
      <x:c r="D17" s="30" t="n">
        <x:v>2019</x:v>
      </x:c>
      <x:c r="E17" s="24" t="str">
        <x:v>Macrodon ancylodon</x:v>
      </x:c>
      <x:c r="F17" s="24" t="str">
        <x:v>King weakfish</x:v>
      </x:c>
      <x:c r="G17" s="24" t="str">
        <x:v>Medium demersals (30 - 89 cm)</x:v>
      </x:c>
      <x:c r="H17" s="24" t="str">
        <x:v>Perch-likes</x:v>
      </x:c>
      <x:c r="I17" s="31" t="n">
        <x:v>722.360226638</x:v>
      </x:c>
      <x:c r="J17" s="31" t="n">
        <x:v>722.360226638</x:v>
      </x:c>
      <x:c r="K17" s="31" t="n">
        <x:v>0</x:v>
      </x:c>
      <x:c r="L17" s="31" t="n">
        <x:v>518.236624693</x:v>
      </x:c>
      <x:c r="M17" s="31" t="n">
        <x:v>204.123601945</x:v>
      </x:c>
      <x:c r="N17" s="24" t="str">
        <x:v>macrodon ancylodon</x:v>
      </x:c>
      <x:c r="O17" s="32" t="n">
        <x:v>3.9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Macrodon ancylodon</x:v>
      </x:c>
      <x:c r="T17" s="32" t="n">
        <x:f>IF(O17="","",(1/'Metadata'!$B$5)^(O17-1))</x:f>
        <x:v>794.3282347242813</x:v>
      </x:c>
      <x:c r="U17" s="31" t="n">
        <x:f>IF(T17="","",I17*T17)</x:f>
        <x:v>573791.1236603942</x:v>
      </x:c>
    </x:row>
    <x:row r="18" ht="18" customHeight="1">
      <x:c r="A18" s="24" t="str">
        <x:v>EEZ_328</x:v>
      </x:c>
      <x:c r="B18" s="24" t="str">
        <x:v>Guyana</x:v>
      </x:c>
      <x:c r="C18" s="24" t="str">
        <x:v>EEZ</x:v>
      </x:c>
      <x:c r="D18" s="30" t="n">
        <x:v>2019</x:v>
      </x:c>
      <x:c r="E18" s="24" t="str">
        <x:v>Scomberomorus brasiliensis</x:v>
      </x:c>
      <x:c r="F18" s="24" t="str">
        <x:v>Serra Spanish mackerel</x:v>
      </x:c>
      <x:c r="G18" s="24" t="str">
        <x:v>Large pelagics (&gt;=90 cm)</x:v>
      </x:c>
      <x:c r="H18" s="24" t="str">
        <x:v>Perch-likes</x:v>
      </x:c>
      <x:c r="I18" s="31" t="n">
        <x:v>701</x:v>
      </x:c>
      <x:c r="J18" s="31" t="n">
        <x:v>701</x:v>
      </x:c>
      <x:c r="K18" s="31" t="n">
        <x:v>0</x:v>
      </x:c>
      <x:c r="L18" s="31" t="n">
        <x:v>701</x:v>
      </x:c>
      <x:c r="M18" s="31" t="n">
        <x:v>0</x:v>
      </x:c>
      <x:c r="N18" s="24" t="str">
        <x:v>scomberomorus brasiliensis</x:v>
      </x:c>
      <x:c r="O18" s="32" t="n">
        <x:v>3.31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brasiliensis</x:v>
      </x:c>
      <x:c r="T18" s="32" t="n">
        <x:f>IF(O18="","",(1/'Metadata'!$B$5)^(O18-1))</x:f>
        <x:v>204.17379446695296</x:v>
      </x:c>
      <x:c r="U18" s="31" t="n">
        <x:f>IF(T18="","",I18*T18)</x:f>
        <x:v>143125.82992133402</x:v>
      </x:c>
    </x:row>
    <x:row r="19" ht="18" customHeight="1">
      <x:c r="A19" s="24" t="str">
        <x:v>EEZ_328</x:v>
      </x:c>
      <x:c r="B19" s="24" t="str">
        <x:v>Guyana</x:v>
      </x:c>
      <x:c r="C19" s="24" t="str">
        <x:v>EEZ</x:v>
      </x:c>
      <x:c r="D19" s="30" t="n">
        <x:v>2019</x:v>
      </x:c>
      <x:c r="E19" s="24" t="str">
        <x:v>Chloroscombrus chrysurus</x:v>
      </x:c>
      <x:c r="F19" s="24" t="str">
        <x:v>Atlantic bumper</x:v>
      </x:c>
      <x:c r="G19" s="24" t="str">
        <x:v>Medium pelagics (30 - 89 cm)</x:v>
      </x:c>
      <x:c r="H19" s="24" t="str">
        <x:v>Perch-likes</x:v>
      </x:c>
      <x:c r="I19" s="31" t="n">
        <x:v>555.0417311</x:v>
      </x:c>
      <x:c r="J19" s="31" t="n">
        <x:v>0</x:v>
      </x:c>
      <x:c r="K19" s="31" t="n">
        <x:v>555.0417311</x:v>
      </x:c>
      <x:c r="L19" s="31" t="n">
        <x:v>0</x:v>
      </x:c>
      <x:c r="M19" s="31" t="n">
        <x:v>555.0417311</x:v>
      </x:c>
      <x:c r="N19" s="24" t="str">
        <x:v>chloroscombrus chrysurus</x:v>
      </x:c>
      <x:c r="O19" s="32" t="n">
        <x:v>3.54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Chloroscombrus chrysurus</x:v>
      </x:c>
      <x:c r="T19" s="32" t="n">
        <x:f>IF(O19="","",(1/'Metadata'!$B$5)^(O19-1))</x:f>
        <x:v>346.73685045253166</x:v>
      </x:c>
      <x:c r="U19" s="31" t="n">
        <x:f>IF(T19="","",I19*T19)</x:f>
        <x:v>192453.421711335</x:v>
      </x:c>
    </x:row>
    <x:row r="20" ht="18" customHeight="1">
      <x:c r="A20" s="24" t="str">
        <x:v>EEZ_328</x:v>
      </x:c>
      <x:c r="B20" s="24" t="str">
        <x:v>Guyana</x:v>
      </x:c>
      <x:c r="C20" s="24" t="str">
        <x:v>EEZ</x:v>
      </x:c>
      <x:c r="D20" s="30" t="n">
        <x:v>2019</x:v>
      </x:c>
      <x:c r="E20" s="24" t="str">
        <x:v>Nebris microps</x:v>
      </x:c>
      <x:c r="F20" s="24" t="str">
        <x:v>Smalleye croaker</x:v>
      </x:c>
      <x:c r="G20" s="24" t="str">
        <x:v>Medium demersals (30 - 89 cm)</x:v>
      </x:c>
      <x:c r="H20" s="24" t="str">
        <x:v>Perch-likes</x:v>
      </x:c>
      <x:c r="I20" s="31" t="n">
        <x:v>533.237574524</x:v>
      </x:c>
      <x:c r="J20" s="31" t="n">
        <x:v>533.237574524</x:v>
      </x:c>
      <x:c r="K20" s="31" t="n">
        <x:v>0</x:v>
      </x:c>
      <x:c r="L20" s="31" t="n">
        <x:v>388.447889401</x:v>
      </x:c>
      <x:c r="M20" s="31" t="n">
        <x:v>144.789685123</x:v>
      </x:c>
      <x:c r="N20" s="24" t="str">
        <x:v>nebris microps</x:v>
      </x:c>
      <x:c r="O20" s="32" t="n">
        <x:v>3.6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Nebris microps</x:v>
      </x:c>
      <x:c r="T20" s="32" t="n">
        <x:f>IF(O20="","",(1/'Metadata'!$B$5)^(O20-1))</x:f>
        <x:v>398.1071705534973</x:v>
      </x:c>
      <x:c r="U20" s="31" t="n">
        <x:f>IF(T20="","",I20*T20)</x:f>
        <x:v>212285.70202655933</x:v>
      </x:c>
    </x:row>
    <x:row r="21" ht="18" customHeight="1">
      <x:c r="A21" s="24" t="str">
        <x:v>EEZ_328</x:v>
      </x:c>
      <x:c r="B21" s="24" t="str">
        <x:v>Guyana</x:v>
      </x:c>
      <x:c r="C21" s="24" t="str">
        <x:v>EEZ</x:v>
      </x:c>
      <x:c r="D21" s="30" t="n">
        <x:v>2019</x:v>
      </x:c>
      <x:c r="E21" s="24" t="str">
        <x:v>Bothidae</x:v>
      </x:c>
      <x:c r="F21" s="24" t="str">
        <x:v>Lefteye flounders</x:v>
      </x:c>
      <x:c r="G21" s="24" t="str">
        <x:v>Small to medium flatfishes (&lt;90 cm)</x:v>
      </x:c>
      <x:c r="H21" s="24" t="str">
        <x:v>Flatfishes</x:v>
      </x:c>
      <x:c r="I21" s="31" t="n">
        <x:v>454.591606626</x:v>
      </x:c>
      <x:c r="J21" s="31" t="n">
        <x:v>454.591606626</x:v>
      </x:c>
      <x:c r="K21" s="31" t="n">
        <x:v>0</x:v>
      </x:c>
      <x:c r="L21" s="31" t="n">
        <x:v>454.591606626</x:v>
      </x:c>
      <x:c r="M21" s="31" t="n">
        <x:v>0</x:v>
      </x:c>
      <x:c r="N21" s="24" t="str">
        <x:v>bothidae</x:v>
      </x:c>
      <x:c r="O21" s="32" t="n">
        <x:v>3.77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Bothidae</x:v>
      </x:c>
      <x:c r="T21" s="32" t="n">
        <x:f>IF(O21="","",(1/'Metadata'!$B$5)^(O21-1))</x:f>
        <x:v>588.843655355589</x:v>
      </x:c>
      <x:c r="U21" s="31" t="n">
        <x:f>IF(T21="","",I21*T21)</x:f>
        <x:v>267683.38333962386</x:v>
      </x:c>
    </x:row>
    <x:row r="22" ht="18" customHeight="1">
      <x:c r="A22" s="24" t="str">
        <x:v>EEZ_328</x:v>
      </x:c>
      <x:c r="B22" s="24" t="str">
        <x:v>Guyana</x:v>
      </x:c>
      <x:c r="C22" s="24" t="str">
        <x:v>EEZ</x:v>
      </x:c>
      <x:c r="D22" s="30" t="n">
        <x:v>2019</x:v>
      </x:c>
      <x:c r="E22" s="24" t="str">
        <x:v>Scomberomorus cavalla</x:v>
      </x:c>
      <x:c r="F22" s="24" t="str">
        <x:v>King mackerel</x:v>
      </x:c>
      <x:c r="G22" s="24" t="str">
        <x:v>Large pelagics (&gt;=90 cm)</x:v>
      </x:c>
      <x:c r="H22" s="24" t="str">
        <x:v>Perch-likes</x:v>
      </x:c>
      <x:c r="I22" s="31" t="n">
        <x:v>398.0223408188</x:v>
      </x:c>
      <x:c r="J22" s="31" t="n">
        <x:v>398.0223408188</x:v>
      </x:c>
      <x:c r="K22" s="31" t="n">
        <x:v>0</x:v>
      </x:c>
      <x:c r="L22" s="31" t="n">
        <x:v>398.0223408188</x:v>
      </x:c>
      <x:c r="M22" s="31" t="n">
        <x:v>0</x:v>
      </x:c>
      <x:c r="N22" s="24" t="str">
        <x:v>scomberomorus cavalla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Scomberomorus cavalla</x:v>
      </x:c>
      <x:c r="T22" s="32" t="n">
        <x:f>IF(O22="","",(1/'Metadata'!$B$5)^(O22-1))</x:f>
        <x:v>2630.2679918953813</x:v>
      </x:c>
      <x:c r="U22" s="31" t="n">
        <x:f>IF(T22="","",I22*T22)</x:f>
        <x:v>1046905.4231149642</x:v>
      </x:c>
    </x:row>
    <x:row r="23" ht="18" customHeight="1">
      <x:c r="A23" s="24" t="str">
        <x:v>EEZ_328</x:v>
      </x:c>
      <x:c r="B23" s="24" t="str">
        <x:v>Guyana</x:v>
      </x:c>
      <x:c r="C23" s="24" t="str">
        <x:v>EEZ</x:v>
      </x:c>
      <x:c r="D23" s="30" t="n">
        <x:v>2019</x:v>
      </x:c>
      <x:c r="E23" s="24" t="str">
        <x:v>Mugilidae</x:v>
      </x:c>
      <x:c r="F23" s="24" t="str">
        <x:v>Mullets, grey mullets</x:v>
      </x:c>
      <x:c r="G23" s="24" t="str">
        <x:v>Medium reef assoc. fish (30 - 89 cm)</x:v>
      </x:c>
      <x:c r="H23" s="24" t="str">
        <x:v>Perch-likes</x:v>
      </x:c>
      <x:c r="I23" s="31" t="n">
        <x:v>376.059411353</x:v>
      </x:c>
      <x:c r="J23" s="31" t="n">
        <x:v>376.059411353</x:v>
      </x:c>
      <x:c r="K23" s="31" t="n">
        <x:v>0</x:v>
      </x:c>
      <x:c r="L23" s="31" t="n">
        <x:v>259.57747063700003</x:v>
      </x:c>
      <x:c r="M23" s="31" t="n">
        <x:v>116.481940716</x:v>
      </x:c>
      <x:c r="N23" s="24" t="str">
        <x:v>mugilidae</x:v>
      </x:c>
      <x:c r="O23" s="32" t="n">
        <x:v>2.53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Mugilidae</x:v>
      </x:c>
      <x:c r="T23" s="32" t="n">
        <x:f>IF(O23="","",(1/'Metadata'!$B$5)^(O23-1))</x:f>
        <x:v>33.88441561392024</x:v>
      </x:c>
      <x:c r="U23" s="31" t="n">
        <x:f>IF(T23="","",I23*T23)</x:f>
        <x:v>12742.553389811246</x:v>
      </x:c>
    </x:row>
    <x:row r="24" ht="18" customHeight="1">
      <x:c r="A24" s="24" t="str">
        <x:v>EEZ_328</x:v>
      </x:c>
      <x:c r="B24" s="24" t="str">
        <x:v>Guyana</x:v>
      </x:c>
      <x:c r="C24" s="24" t="str">
        <x:v>EEZ</x:v>
      </x:c>
      <x:c r="D24" s="30" t="n">
        <x:v>2019</x:v>
      </x:c>
      <x:c r="E24" s="24" t="str">
        <x:v>Bagre bagre</x:v>
      </x:c>
      <x:c r="F24" s="24" t="str">
        <x:v>Coco sea catfish</x:v>
      </x:c>
      <x:c r="G24" s="24" t="str">
        <x:v>Medium demersals (30 - 89 cm)</x:v>
      </x:c>
      <x:c r="H24" s="24" t="str">
        <x:v>Other fishes &amp; inverts</x:v>
      </x:c>
      <x:c r="I24" s="31" t="n">
        <x:v>365.668749132</x:v>
      </x:c>
      <x:c r="J24" s="31" t="n">
        <x:v>365.668749132</x:v>
      </x:c>
      <x:c r="K24" s="31" t="n">
        <x:v>0</x:v>
      </x:c>
      <x:c r="L24" s="31" t="n">
        <x:v>258.965259602</x:v>
      </x:c>
      <x:c r="M24" s="31" t="n">
        <x:v>106.70348953</x:v>
      </x:c>
      <x:c r="N24" s="24" t="str">
        <x:v>bagre bagre</x:v>
      </x:c>
      <x:c r="O24" s="32" t="n">
        <x:v>4.01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Bagre bagre</x:v>
      </x:c>
      <x:c r="T24" s="32" t="n">
        <x:f>IF(O24="","",(1/'Metadata'!$B$5)^(O24-1))</x:f>
        <x:v>1023.2929922807537</x:v>
      </x:c>
      <x:c r="U24" s="31" t="n">
        <x:f>IF(T24="","",I24*T24)</x:f>
        <x:v>374186.2684828445</x:v>
      </x:c>
    </x:row>
    <x:row r="25" ht="18" customHeight="1">
      <x:c r="A25" s="24" t="str">
        <x:v>EEZ_328</x:v>
      </x:c>
      <x:c r="B25" s="24" t="str">
        <x:v>Guyana</x:v>
      </x:c>
      <x:c r="C25" s="24" t="str">
        <x:v>EEZ</x:v>
      </x:c>
      <x:c r="D25" s="30" t="n">
        <x:v>2019</x:v>
      </x:c>
      <x:c r="E25" s="24" t="str">
        <x:v>Notarius phrygiatus</x:v>
      </x:c>
      <x:c r="F25" s="24" t="str">
        <x:v>Kukwari sea catfish</x:v>
      </x:c>
      <x:c r="G25" s="24" t="str">
        <x:v>Small demersals (&lt;30 cm)</x:v>
      </x:c>
      <x:c r="H25" s="24" t="str">
        <x:v>Other fishes &amp; inverts</x:v>
      </x:c>
      <x:c r="I25" s="31" t="n">
        <x:v>365.666765793</x:v>
      </x:c>
      <x:c r="J25" s="31" t="n">
        <x:v>365.666765793</x:v>
      </x:c>
      <x:c r="K25" s="31" t="n">
        <x:v>0</x:v>
      </x:c>
      <x:c r="L25" s="31" t="n">
        <x:v>258.965259593</x:v>
      </x:c>
      <x:c r="M25" s="31" t="n">
        <x:v>106.7015062</x:v>
      </x:c>
      <x:c r="N25" s="24" t="str">
        <x:v>notarius phrygiatus</x:v>
      </x:c>
      <x:c r="O25" s="32" t="n">
        <x:v>3.5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Notarius phrygiatus</x:v>
      </x:c>
      <x:c r="T25" s="32" t="n">
        <x:f>IF(O25="","",(1/'Metadata'!$B$5)^(O25-1))</x:f>
        <x:v>316.22776601683796</x:v>
      </x:c>
      <x:c r="U25" s="31" t="n">
        <x:f>IF(T25="","",I25*T25)</x:f>
        <x:v>115633.9844533227</x:v>
      </x:c>
    </x:row>
    <x:row r="26" ht="18" customHeight="1">
      <x:c r="A26" s="24" t="str">
        <x:v>EEZ_328</x:v>
      </x:c>
      <x:c r="B26" s="24" t="str">
        <x:v>Guyana</x:v>
      </x:c>
      <x:c r="C26" s="24" t="str">
        <x:v>EEZ</x:v>
      </x:c>
      <x:c r="D26" s="30" t="n">
        <x:v>2019</x:v>
      </x:c>
      <x:c r="E26" s="24" t="str">
        <x:v>Sciades parkeri</x:v>
      </x:c>
      <x:c r="F26" s="24" t="str">
        <x:v>Gillbacker sea catfish</x:v>
      </x:c>
      <x:c r="G26" s="24" t="str">
        <x:v>Large demersals (&gt;=90 cm)</x:v>
      </x:c>
      <x:c r="H26" s="24" t="str">
        <x:v>Other fishes &amp; inverts</x:v>
      </x:c>
      <x:c r="I26" s="31" t="n">
        <x:v>365.666765793</x:v>
      </x:c>
      <x:c r="J26" s="31" t="n">
        <x:v>365.666765793</x:v>
      </x:c>
      <x:c r="K26" s="31" t="n">
        <x:v>0</x:v>
      </x:c>
      <x:c r="L26" s="31" t="n">
        <x:v>258.965259593</x:v>
      </x:c>
      <x:c r="M26" s="31" t="n">
        <x:v>106.7015062</x:v>
      </x:c>
      <x:c r="N26" s="24" t="str">
        <x:v>sciades parkeri</x:v>
      </x:c>
      <x:c r="O26" s="32" t="n">
        <x:v>4.14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Sciades parkeri</x:v>
      </x:c>
      <x:c r="T26" s="32" t="n">
        <x:f>IF(O26="","",(1/'Metadata'!$B$5)^(O26-1))</x:f>
        <x:v>1380.3842646028838</x:v>
      </x:c>
      <x:c r="U26" s="31" t="n">
        <x:f>IF(T26="","",I26*T26)</x:f>
        <x:v>504760.6495888853</x:v>
      </x:c>
    </x:row>
    <x:row r="27" ht="18" customHeight="1">
      <x:c r="A27" s="24" t="str">
        <x:v>EEZ_328</x:v>
      </x:c>
      <x:c r="B27" s="24" t="str">
        <x:v>Guyana</x:v>
      </x:c>
      <x:c r="C27" s="24" t="str">
        <x:v>EEZ</x:v>
      </x:c>
      <x:c r="D27" s="30" t="n">
        <x:v>2019</x:v>
      </x:c>
      <x:c r="E27" s="24" t="str">
        <x:v>Scorpaeniformes</x:v>
      </x:c>
      <x:c r="F27" s="24" t="str">
        <x:v>Scorpionfishes, flatheads</x:v>
      </x:c>
      <x:c r="G27" s="24" t="str">
        <x:v>Medium demersals (30 - 89 cm)</x:v>
      </x:c>
      <x:c r="H27" s="24" t="str">
        <x:v>Scorpionfishes</x:v>
      </x:c>
      <x:c r="I27" s="31" t="n">
        <x:v>357.28379665700004</x:v>
      </x:c>
      <x:c r="J27" s="31" t="n">
        <x:v>357.28379665700004</x:v>
      </x:c>
      <x:c r="K27" s="31" t="n">
        <x:v>0</x:v>
      </x:c>
      <x:c r="L27" s="31" t="n">
        <x:v>357.28379665700004</x:v>
      </x:c>
      <x:c r="M27" s="31" t="n">
        <x:v>0</x:v>
      </x:c>
      <x:c r="N27" s="24" t="str">
        <x:v>scorpaeniformes</x:v>
      </x:c>
      <x:c r="O27" s="32" t="n">
        <x:v>3.78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Scorpaeniformes</x:v>
      </x:c>
      <x:c r="T27" s="32" t="n">
        <x:f>IF(O27="","",(1/'Metadata'!$B$5)^(O27-1))</x:f>
        <x:v>602.5595860743575</x:v>
      </x:c>
      <x:c r="U27" s="31" t="n">
        <x:f>IF(T27="","",I27*T27)</x:f>
        <x:v>215284.77662471688</x:v>
      </x:c>
    </x:row>
    <x:row r="28" ht="18" customHeight="1">
      <x:c r="A28" s="24" t="str">
        <x:v>EEZ_328</x:v>
      </x:c>
      <x:c r="B28" s="24" t="str">
        <x:v>Guyana</x:v>
      </x:c>
      <x:c r="C28" s="24" t="str">
        <x:v>EEZ</x:v>
      </x:c>
      <x:c r="D28" s="30" t="n">
        <x:v>2019</x:v>
      </x:c>
      <x:c r="E28" s="24" t="str">
        <x:v>Scombroidei</x:v>
      </x:c>
      <x:c r="F28" s="24" t="str">
        <x:v>Tunas, bonitos, billfishes</x:v>
      </x:c>
      <x:c r="G28" s="24" t="str">
        <x:v>Large pelagics (&gt;=90 cm)</x:v>
      </x:c>
      <x:c r="H28" s="24" t="str">
        <x:v>Tuna &amp; billfishes</x:v>
      </x:c>
      <x:c r="I28" s="31" t="n">
        <x:v>311.999999937</x:v>
      </x:c>
      <x:c r="J28" s="31" t="n">
        <x:v>311.999999937</x:v>
      </x:c>
      <x:c r="K28" s="31" t="n">
        <x:v>0</x:v>
      </x:c>
      <x:c r="L28" s="31" t="n">
        <x:v>311.999999937</x:v>
      </x:c>
      <x:c r="M28" s="31" t="n">
        <x:v>0</x:v>
      </x:c>
      <x:c r="N28" s="24" t="str">
        <x:v>scombroidei</x:v>
      </x:c>
      <x:c r="O28" s="32" t="n">
        <x:v>4.2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Scombroidei</x:v>
      </x:c>
      <x:c r="T28" s="32" t="n">
        <x:f>IF(O28="","",(1/'Metadata'!$B$5)^(O28-1))</x:f>
        <x:v>1584.893192461114</x:v>
      </x:c>
      <x:c r="U28" s="31" t="n">
        <x:f>IF(T28="","",I28*T28)</x:f>
        <x:v>494486.67594801926</x:v>
      </x:c>
    </x:row>
    <x:row r="29" ht="18" customHeight="1">
      <x:c r="A29" s="24" t="str">
        <x:v>EEZ_328</x:v>
      </x:c>
      <x:c r="B29" s="24" t="str">
        <x:v>Guyana</x:v>
      </x:c>
      <x:c r="C29" s="24" t="str">
        <x:v>EEZ</x:v>
      </x:c>
      <x:c r="D29" s="30" t="n">
        <x:v>2019</x:v>
      </x:c>
      <x:c r="E29" s="24" t="str">
        <x:v>Bairdiella ronchus</x:v>
      </x:c>
      <x:c r="F29" s="24" t="str">
        <x:v>Ground croaker</x:v>
      </x:c>
      <x:c r="G29" s="24" t="str">
        <x:v>Small demersals (&lt;30 cm)</x:v>
      </x:c>
      <x:c r="H29" s="24" t="str">
        <x:v>Perch-likes</x:v>
      </x:c>
      <x:c r="I29" s="31" t="n">
        <x:v>301.7907511</x:v>
      </x:c>
      <x:c r="J29" s="31" t="n">
        <x:v>0</x:v>
      </x:c>
      <x:c r="K29" s="31" t="n">
        <x:v>301.7907511</x:v>
      </x:c>
      <x:c r="L29" s="31" t="n">
        <x:v>0</x:v>
      </x:c>
      <x:c r="M29" s="31" t="n">
        <x:v>301.7907511</x:v>
      </x:c>
      <x:c r="N29" s="24" t="str">
        <x:v>bairdiella ronchus</x:v>
      </x:c>
      <x:c r="O29" s="32" t="n">
        <x:v>3.53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Bairdiella ronchus</x:v>
      </x:c>
      <x:c r="T29" s="32" t="n">
        <x:f>IF(O29="","",(1/'Metadata'!$B$5)^(O29-1))</x:f>
        <x:v>338.84415613920237</x:v>
      </x:c>
      <x:c r="U29" s="31" t="n">
        <x:f>IF(T29="","",I29*T29)</x:f>
        <x:v>102260.03238709556</x:v>
      </x:c>
    </x:row>
    <x:row r="30" ht="18" customHeight="1">
      <x:c r="A30" s="24" t="str">
        <x:v>EEZ_328</x:v>
      </x:c>
      <x:c r="B30" s="24" t="str">
        <x:v>Guyana</x:v>
      </x:c>
      <x:c r="C30" s="24" t="str">
        <x:v>EEZ</x:v>
      </x:c>
      <x:c r="D30" s="30" t="n">
        <x:v>2019</x:v>
      </x:c>
      <x:c r="E30" s="24" t="str">
        <x:v>Penaeus subtilis</x:v>
      </x:c>
      <x:c r="F30" s="24" t="str">
        <x:v>Southern brown shrimp</x:v>
      </x:c>
      <x:c r="G30" s="24" t="str">
        <x:v>Shrimps</x:v>
      </x:c>
      <x:c r="H30" s="24" t="str">
        <x:v>Crustaceans</x:v>
      </x:c>
      <x:c r="I30" s="31" t="n">
        <x:v>207.0494737</x:v>
      </x:c>
      <x:c r="J30" s="31" t="n">
        <x:v>207.0494737</x:v>
      </x:c>
      <x:c r="K30" s="31" t="n">
        <x:v>0</x:v>
      </x:c>
      <x:c r="L30" s="31" t="n">
        <x:v>207.0494737</x:v>
      </x:c>
      <x:c r="M30" s="31" t="n">
        <x:v>0</x:v>
      </x:c>
      <x:c r="N30" s="24" t="str">
        <x:v>penaeus subtilis</x:v>
      </x:c>
      <x:c r="O30" s="32" t="n">
        <x:v>2.76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Penaeus subtilis</x:v>
      </x:c>
      <x:c r="T30" s="32" t="n">
        <x:f>IF(O30="","",(1/'Metadata'!$B$5)^(O30-1))</x:f>
        <x:v>57.543993733715666</x:v>
      </x:c>
      <x:c r="U30" s="31" t="n">
        <x:f>IF(T30="","",I30*T30)</x:f>
        <x:v>11914.453617161926</x:v>
      </x:c>
    </x:row>
    <x:row r="31" ht="18" customHeight="1">
      <x:c r="A31" s="24" t="str">
        <x:v>EEZ_328</x:v>
      </x:c>
      <x:c r="B31" s="24" t="str">
        <x:v>Guyana</x:v>
      </x:c>
      <x:c r="C31" s="24" t="str">
        <x:v>EEZ</x:v>
      </x:c>
      <x:c r="D31" s="30" t="n">
        <x:v>2019</x:v>
      </x:c>
      <x:c r="E31" s="24" t="str">
        <x:v>Micropogonias furnieri</x:v>
      </x:c>
      <x:c r="F31" s="24" t="str">
        <x:v>Whitemouth croaker</x:v>
      </x:c>
      <x:c r="G31" s="24" t="str">
        <x:v>Medium demersals (30 - 89 cm)</x:v>
      </x:c>
      <x:c r="H31" s="24" t="str">
        <x:v>Perch-likes</x:v>
      </x:c>
      <x:c r="I31" s="31" t="n">
        <x:v>188.029705667</x:v>
      </x:c>
      <x:c r="J31" s="31" t="n">
        <x:v>188.029705667</x:v>
      </x:c>
      <x:c r="K31" s="31" t="n">
        <x:v>0</x:v>
      </x:c>
      <x:c r="L31" s="31" t="n">
        <x:v>129.788735312</x:v>
      </x:c>
      <x:c r="M31" s="31" t="n">
        <x:v>58.240970355</x:v>
      </x:c>
      <x:c r="N31" s="24" t="str">
        <x:v>micropogonias furnieri</x:v>
      </x:c>
      <x:c r="O31" s="32" t="n">
        <x:v>3.09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Micropogonias furnieri</x:v>
      </x:c>
      <x:c r="T31" s="32" t="n">
        <x:f>IF(O31="","",(1/'Metadata'!$B$5)^(O31-1))</x:f>
        <x:v>123.02687708123811</x:v>
      </x:c>
      <x:c r="U31" s="31" t="n">
        <x:f>IF(T31="","",I31*T31)</x:f>
        <x:v>23132.70748671539</x:v>
      </x:c>
    </x:row>
    <x:row r="32" ht="18" customHeight="1">
      <x:c r="A32" s="24" t="str">
        <x:v>EEZ_328</x:v>
      </x:c>
      <x:c r="B32" s="24" t="str">
        <x:v>Guyana</x:v>
      </x:c>
      <x:c r="C32" s="24" t="str">
        <x:v>EEZ</x:v>
      </x:c>
      <x:c r="D32" s="30" t="n">
        <x:v>2019</x:v>
      </x:c>
      <x:c r="E32" s="24" t="str">
        <x:v>Centropomus</x:v>
      </x:c>
      <x:c r="F32" s="24" t="str">
        <x:v>Fat snooks</x:v>
      </x:c>
      <x:c r="G32" s="24" t="str">
        <x:v>Medium benthopelagics (30 - 89 cm)</x:v>
      </x:c>
      <x:c r="H32" s="24" t="str">
        <x:v>Perch-likes</x:v>
      </x:c>
      <x:c r="I32" s="31" t="n">
        <x:v>188.029705664</x:v>
      </x:c>
      <x:c r="J32" s="31" t="n">
        <x:v>188.029705664</x:v>
      </x:c>
      <x:c r="K32" s="31" t="n">
        <x:v>0</x:v>
      </x:c>
      <x:c r="L32" s="31" t="n">
        <x:v>129.788735304</x:v>
      </x:c>
      <x:c r="M32" s="31" t="n">
        <x:v>58.24097036</x:v>
      </x:c>
      <x:c r="N32" s="24" t="str">
        <x:v>centropomus</x:v>
      </x:c>
      <x:c r="O32" s="32" t="n">
        <x:v>3.92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Centropomus</x:v>
      </x:c>
      <x:c r="T32" s="32" t="n">
        <x:f>IF(O32="","",(1/'Metadata'!$B$5)^(O32-1))</x:f>
        <x:v>831.7637711026708</x:v>
      </x:c>
      <x:c r="U32" s="31" t="n">
        <x:f>IF(T32="","",I32*T32)</x:f>
        <x:v>156396.29706241388</x:v>
      </x:c>
    </x:row>
    <x:row r="33" ht="18" customHeight="1">
      <x:c r="A33" s="24" t="str">
        <x:v>EEZ_328</x:v>
      </x:c>
      <x:c r="B33" s="24" t="str">
        <x:v>Guyana</x:v>
      </x:c>
      <x:c r="C33" s="24" t="str">
        <x:v>EEZ</x:v>
      </x:c>
      <x:c r="D33" s="30" t="n">
        <x:v>2019</x:v>
      </x:c>
      <x:c r="E33" s="24" t="str">
        <x:v>Ariidae</x:v>
      </x:c>
      <x:c r="F33" s="24" t="str">
        <x:v>Sea catfishes, coblers</x:v>
      </x:c>
      <x:c r="G33" s="24" t="str">
        <x:v>Medium demersals (30 - 89 cm)</x:v>
      </x:c>
      <x:c r="H33" s="24" t="str">
        <x:v>Other fishes &amp; inverts</x:v>
      </x:c>
      <x:c r="I33" s="31" t="n">
        <x:v>188.029705662</x:v>
      </x:c>
      <x:c r="J33" s="31" t="n">
        <x:v>188.029705662</x:v>
      </x:c>
      <x:c r="K33" s="31" t="n">
        <x:v>0</x:v>
      </x:c>
      <x:c r="L33" s="31" t="n">
        <x:v>129.788735313</x:v>
      </x:c>
      <x:c r="M33" s="31" t="n">
        <x:v>58.240970349</x:v>
      </x:c>
      <x:c r="N33" s="24" t="str">
        <x:v>ariidae</x:v>
      </x:c>
      <x:c r="O33" s="32" t="n">
        <x:v>3.48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Ariidae</x:v>
      </x:c>
      <x:c r="T33" s="32" t="n">
        <x:f>IF(O33="","",(1/'Metadata'!$B$5)^(O33-1))</x:f>
        <x:v>301.9951720402016</x:v>
      </x:c>
      <x:c r="U33" s="31" t="n">
        <x:f>IF(T33="","",I33*T33)</x:f>
        <x:v>56784.063310064164</x:v>
      </x:c>
    </x:row>
    <x:row r="34" ht="18" customHeight="1">
      <x:c r="A34" s="24" t="str">
        <x:v>EEZ_328</x:v>
      </x:c>
      <x:c r="B34" s="24" t="str">
        <x:v>Guyana</x:v>
      </x:c>
      <x:c r="C34" s="24" t="str">
        <x:v>EEZ</x:v>
      </x:c>
      <x:c r="D34" s="30" t="n">
        <x:v>2019</x:v>
      </x:c>
      <x:c r="E34" s="24" t="str">
        <x:v>Ctenosciaena gracilicirrhus</x:v>
      </x:c>
      <x:c r="F34" s="24" t="str">
        <x:v>Barbel drum</x:v>
      </x:c>
      <x:c r="G34" s="24" t="str">
        <x:v>Small demersals (&lt;30 cm)</x:v>
      </x:c>
      <x:c r="H34" s="24" t="str">
        <x:v>Perch-likes</x:v>
      </x:c>
      <x:c r="I34" s="31" t="n">
        <x:v>175.16526112</x:v>
      </x:c>
      <x:c r="J34" s="31" t="n">
        <x:v>0</x:v>
      </x:c>
      <x:c r="K34" s="31" t="n">
        <x:v>175.16526112</x:v>
      </x:c>
      <x:c r="L34" s="31" t="n">
        <x:v>0</x:v>
      </x:c>
      <x:c r="M34" s="31" t="n">
        <x:v>175.16526112</x:v>
      </x:c>
      <x:c r="N34" s="24" t="str">
        <x:v>ctenosciaena gracilicirrhus</x:v>
      </x:c>
      <x:c r="O34" s="32" t="n">
        <x:v>3.87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Ctenosciaena gracilicirrhus</x:v>
      </x:c>
      <x:c r="T34" s="32" t="n">
        <x:f>IF(O34="","",(1/'Metadata'!$B$5)^(O34-1))</x:f>
        <x:v>741.3102413009177</x:v>
      </x:c>
      <x:c r="U34" s="31" t="n">
        <x:f>IF(T34="","",I34*T34)</x:f>
        <x:v>129851.80198840545</x:v>
      </x:c>
    </x:row>
    <x:row r="35" ht="18" customHeight="1">
      <x:c r="A35" s="24" t="str">
        <x:v>EEZ_328</x:v>
      </x:c>
      <x:c r="B35" s="24" t="str">
        <x:v>Guyana</x:v>
      </x:c>
      <x:c r="C35" s="24" t="str">
        <x:v>EEZ</x:v>
      </x:c>
      <x:c r="D35" s="30" t="n">
        <x:v>2019</x:v>
      </x:c>
      <x:c r="E35" s="24" t="str">
        <x:v>Chaetodipterus faber</x:v>
      </x:c>
      <x:c r="F35" s="24" t="str">
        <x:v>Atlantic spadefish</x:v>
      </x:c>
      <x:c r="G35" s="24" t="str">
        <x:v>Medium demersals (30 - 89 cm)</x:v>
      </x:c>
      <x:c r="H35" s="24" t="str">
        <x:v>Perch-likes</x:v>
      </x:c>
      <x:c r="I35" s="31" t="n">
        <x:v>157.22665005</x:v>
      </x:c>
      <x:c r="J35" s="31" t="n">
        <x:v>0</x:v>
      </x:c>
      <x:c r="K35" s="31" t="n">
        <x:v>157.22665005</x:v>
      </x:c>
      <x:c r="L35" s="31" t="n">
        <x:v>0</x:v>
      </x:c>
      <x:c r="M35" s="31" t="n">
        <x:v>157.22665005</x:v>
      </x:c>
      <x:c r="N35" s="24" t="str">
        <x:v>chaetodipterus faber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Chaetodipterus faber</x:v>
      </x:c>
      <x:c r="T35" s="32" t="n">
        <x:f>IF(O35="","",(1/'Metadata'!$B$5)^(O35-1))</x:f>
        <x:v>3162.2776601683795</x:v>
      </x:c>
      <x:c r="U35" s="31" t="n">
        <x:f>IF(T35="","",I35*T35)</x:f>
        <x:v>497194.3230362266</x:v>
      </x:c>
    </x:row>
    <x:row r="36" ht="18" customHeight="1">
      <x:c r="A36" s="24" t="str">
        <x:v>EEZ_328</x:v>
      </x:c>
      <x:c r="B36" s="24" t="str">
        <x:v>Guyana</x:v>
      </x:c>
      <x:c r="C36" s="24" t="str">
        <x:v>EEZ</x:v>
      </x:c>
      <x:c r="D36" s="30" t="n">
        <x:v>2019</x:v>
      </x:c>
      <x:c r="E36" s="24" t="str">
        <x:v>Marine pelagic fishes not identified</x:v>
      </x:c>
      <x:c r="F36" s="24" t="str">
        <x:v>Pelagic fishes</x:v>
      </x:c>
      <x:c r="G36" s="24" t="str">
        <x:v>Medium pelagics (30 - 89 cm)</x:v>
      </x:c>
      <x:c r="H36" s="24" t="str">
        <x:v>Other fishes &amp; inverts</x:v>
      </x:c>
      <x:c r="I36" s="31" t="n">
        <x:v>153.65082914579997</x:v>
      </x:c>
      <x:c r="J36" s="31" t="n">
        <x:v>153.65082914579997</x:v>
      </x:c>
      <x:c r="K36" s="31" t="n">
        <x:v>0</x:v>
      </x:c>
      <x:c r="L36" s="31" t="n">
        <x:v>153.65082914579997</x:v>
      </x:c>
      <x:c r="M36" s="31" t="n">
        <x:v>0</x:v>
      </x:c>
      <x:c r="N36" s="24" t="str">
        <x:v>marine pelagic fishes not identified</x:v>
      </x:c>
      <x:c r="O36" s="32" t="n">
        <x:v>3.35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Marine pelagic fishes not identified</x:v>
      </x:c>
      <x:c r="T36" s="32" t="n">
        <x:f>IF(O36="","",(1/'Metadata'!$B$5)^(O36-1))</x:f>
        <x:v>223.872113856834</x:v>
      </x:c>
      <x:c r="U36" s="31" t="n">
        <x:f>IF(T36="","",I36*T36)</x:f>
        <x:v>34398.13591672548</x:v>
      </x:c>
    </x:row>
    <x:row r="37" ht="18" customHeight="1">
      <x:c r="A37" s="24" t="str">
        <x:v>EEZ_328</x:v>
      </x:c>
      <x:c r="B37" s="24" t="str">
        <x:v>Guyana</x:v>
      </x:c>
      <x:c r="C37" s="24" t="str">
        <x:v>EEZ</x:v>
      </x:c>
      <x:c r="D37" s="30" t="n">
        <x:v>2019</x:v>
      </x:c>
      <x:c r="E37" s="24" t="str">
        <x:v>Thunnus albacares</x:v>
      </x:c>
      <x:c r="F37" s="24" t="str">
        <x:v>Yellowfin tuna</x:v>
      </x:c>
      <x:c r="G37" s="24" t="str">
        <x:v>Large pelagics (&gt;=90 cm)</x:v>
      </x:c>
      <x:c r="H37" s="24" t="str">
        <x:v>Tuna &amp; billfishes</x:v>
      </x:c>
      <x:c r="I37" s="31" t="n">
        <x:v>127.7601310838</x:v>
      </x:c>
      <x:c r="J37" s="31" t="n">
        <x:v>127.7601310838</x:v>
      </x:c>
      <x:c r="K37" s="31" t="n">
        <x:v>0</x:v>
      </x:c>
      <x:c r="L37" s="31" t="n">
        <x:v>127.7601310838</x:v>
      </x:c>
      <x:c r="M37" s="31" t="n">
        <x:v>0</x:v>
      </x:c>
      <x:c r="N37" s="24" t="str">
        <x:v>thunnus albacares</x:v>
      </x:c>
      <x:c r="O37" s="32" t="n">
        <x:v>4.41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albacares</x:v>
      </x:c>
      <x:c r="T37" s="32" t="n">
        <x:f>IF(O37="","",(1/'Metadata'!$B$5)^(O37-1))</x:f>
        <x:v>2570.3957827688646</x:v>
      </x:c>
      <x:c r="U37" s="31" t="n">
        <x:f>IF(T37="","",I37*T37)</x:f>
        <x:v>328394.10214379686</x:v>
      </x:c>
    </x:row>
    <x:row r="38" ht="18" customHeight="1">
      <x:c r="A38" s="24" t="str">
        <x:v>EEZ_328</x:v>
      </x:c>
      <x:c r="B38" s="24" t="str">
        <x:v>Guyana</x:v>
      </x:c>
      <x:c r="C38" s="24" t="str">
        <x:v>EEZ</x:v>
      </x:c>
      <x:c r="D38" s="30" t="n">
        <x:v>2019</x:v>
      </x:c>
      <x:c r="E38" s="24" t="str">
        <x:v>Coryphaena hippurus</x:v>
      </x:c>
      <x:c r="F38" s="24" t="str">
        <x:v>Common dolphinfish</x:v>
      </x:c>
      <x:c r="G38" s="24" t="str">
        <x:v>Large pelagics (&gt;=90 cm)</x:v>
      </x:c>
      <x:c r="H38" s="24" t="str">
        <x:v>Perch-likes</x:v>
      </x:c>
      <x:c r="I38" s="31" t="n">
        <x:v>112.48272132929999</x:v>
      </x:c>
      <x:c r="J38" s="31" t="n">
        <x:v>112.48272132929999</x:v>
      </x:c>
      <x:c r="K38" s="31" t="n">
        <x:v>0</x:v>
      </x:c>
      <x:c r="L38" s="31" t="n">
        <x:v>112.48272132929999</x:v>
      </x:c>
      <x:c r="M38" s="31" t="n">
        <x:v>0</x:v>
      </x:c>
      <x:c r="N38" s="24" t="str">
        <x:v>coryphaena hippurus</x:v>
      </x:c>
      <x:c r="O38" s="32" t="n">
        <x:v>4.37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Coryphaena hippurus</x:v>
      </x:c>
      <x:c r="T38" s="32" t="n">
        <x:f>IF(O38="","",(1/'Metadata'!$B$5)^(O38-1))</x:f>
        <x:v>2344.228815319923</x:v>
      </x:c>
      <x:c r="U38" s="31" t="n">
        <x:f>IF(T38="","",I38*T38)</x:f>
        <x:v>263685.23656574596</x:v>
      </x:c>
    </x:row>
    <x:row r="39" ht="18" customHeight="1">
      <x:c r="A39" s="24" t="str">
        <x:v>EEZ_328</x:v>
      </x:c>
      <x:c r="B39" s="24" t="str">
        <x:v>Guyana</x:v>
      </x:c>
      <x:c r="C39" s="24" t="str">
        <x:v>EEZ</x:v>
      </x:c>
      <x:c r="D39" s="30" t="n">
        <x:v>2019</x:v>
      </x:c>
      <x:c r="E39" s="24" t="str">
        <x:v>Penaeus brasiliensis</x:v>
      </x:c>
      <x:c r="F39" s="24" t="str">
        <x:v>Redspotted shrimp</x:v>
      </x:c>
      <x:c r="G39" s="24" t="str">
        <x:v>Shrimps</x:v>
      </x:c>
      <x:c r="H39" s="24" t="str">
        <x:v>Crustaceans</x:v>
      </x:c>
      <x:c r="I39" s="31" t="n">
        <x:v>96.35473684</x:v>
      </x:c>
      <x:c r="J39" s="31" t="n">
        <x:v>96.35473684</x:v>
      </x:c>
      <x:c r="K39" s="31" t="n">
        <x:v>0</x:v>
      </x:c>
      <x:c r="L39" s="31" t="n">
        <x:v>96.35473684</x:v>
      </x:c>
      <x:c r="M39" s="31" t="n">
        <x:v>0</x:v>
      </x:c>
      <x:c r="N39" s="24" t="str">
        <x:v>penaeus brasiliensis</x:v>
      </x:c>
      <x:c r="O39" s="32" t="n">
        <x:v>2.7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Penaeus brasiliensis</x:v>
      </x:c>
      <x:c r="T39" s="32" t="n">
        <x:f>IF(O39="","",(1/'Metadata'!$B$5)^(O39-1))</x:f>
        <x:v>50.11872336272725</x:v>
      </x:c>
      <x:c r="U39" s="31" t="n">
        <x:f>IF(T39="","",I39*T39)</x:f>
        <x:v>4829.176400372345</x:v>
      </x:c>
    </x:row>
    <x:row r="40" ht="18" customHeight="1">
      <x:c r="A40" s="24" t="str">
        <x:v>EEZ_328</x:v>
      </x:c>
      <x:c r="B40" s="24" t="str">
        <x:v>Guyana</x:v>
      </x:c>
      <x:c r="C40" s="24" t="str">
        <x:v>EEZ</x:v>
      </x:c>
      <x:c r="D40" s="30" t="n">
        <x:v>2019</x:v>
      </x:c>
      <x:c r="E40" s="24" t="str">
        <x:v>Diodontidae</x:v>
      </x:c>
      <x:c r="F40" s="24" t="str">
        <x:v>Porcupine-, burrfishes</x:v>
      </x:c>
      <x:c r="G40" s="24" t="str">
        <x:v>Medium reef assoc. fish (30 - 89 cm)</x:v>
      </x:c>
      <x:c r="H40" s="24" t="str">
        <x:v>Other fishes &amp; inverts</x:v>
      </x:c>
      <x:c r="I40" s="31" t="n">
        <x:v>40.09807182</x:v>
      </x:c>
      <x:c r="J40" s="31" t="n">
        <x:v>0</x:v>
      </x:c>
      <x:c r="K40" s="31" t="n">
        <x:v>40.09807182</x:v>
      </x:c>
      <x:c r="L40" s="31" t="n">
        <x:v>0</x:v>
      </x:c>
      <x:c r="M40" s="31" t="n">
        <x:v>40.09807182</x:v>
      </x:c>
      <x:c r="N40" s="24" t="str">
        <x:v>diodontidae</x:v>
      </x:c>
      <x:c r="O40" s="32" t="n">
        <x:v>3.36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Diodontidae</x:v>
      </x:c>
      <x:c r="T40" s="32" t="n">
        <x:f>IF(O40="","",(1/'Metadata'!$B$5)^(O40-1))</x:f>
        <x:v>229.08676527677724</x:v>
      </x:c>
      <x:c r="U40" s="31" t="n">
        <x:f>IF(T40="","",I40*T40)</x:f>
        <x:v>9185.937567079696</x:v>
      </x:c>
    </x:row>
    <x:row r="41" ht="18" customHeight="1">
      <x:c r="A41" s="24" t="str">
        <x:v>EEZ_328</x:v>
      </x:c>
      <x:c r="B41" s="24" t="str">
        <x:v>Guyana</x:v>
      </x:c>
      <x:c r="C41" s="24" t="str">
        <x:v>EEZ</x:v>
      </x:c>
      <x:c r="D41" s="30" t="n">
        <x:v>2019</x:v>
      </x:c>
      <x:c r="E41" s="24" t="str">
        <x:v>Trichiurus lepturus</x:v>
      </x:c>
      <x:c r="F41" s="24" t="str">
        <x:v>Largehead hairtail</x:v>
      </x:c>
      <x:c r="G41" s="24" t="str">
        <x:v>Large benthopelagics (&gt;=90 cm)</x:v>
      </x:c>
      <x:c r="H41" s="24" t="str">
        <x:v>Perch-likes</x:v>
      </x:c>
      <x:c r="I41" s="31" t="n">
        <x:v>35.87722216</x:v>
      </x:c>
      <x:c r="J41" s="31" t="n">
        <x:v>0</x:v>
      </x:c>
      <x:c r="K41" s="31" t="n">
        <x:v>35.87722216</x:v>
      </x:c>
      <x:c r="L41" s="31" t="n">
        <x:v>0</x:v>
      </x:c>
      <x:c r="M41" s="31" t="n">
        <x:v>35.87722216</x:v>
      </x:c>
      <x:c r="N41" s="24" t="str">
        <x:v>trichiurus lepturus</x:v>
      </x:c>
      <x:c r="O41" s="32" t="n">
        <x:v>4.42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Trichiurus lepturus</x:v>
      </x:c>
      <x:c r="T41" s="32" t="n">
        <x:f>IF(O41="","",(1/'Metadata'!$B$5)^(O41-1))</x:f>
        <x:v>2630.2679918953813</x:v>
      </x:c>
      <x:c r="U41" s="31" t="n">
        <x:f>IF(T41="","",I41*T41)</x:f>
        <x:v>94366.70908556768</x:v>
      </x:c>
    </x:row>
    <x:row r="42" ht="18" customHeight="1">
      <x:c r="A42" s="24" t="str">
        <x:v>EEZ_328</x:v>
      </x:c>
      <x:c r="B42" s="24" t="str">
        <x:v>Guyana</x:v>
      </x:c>
      <x:c r="C42" s="24" t="str">
        <x:v>EEZ</x:v>
      </x:c>
      <x:c r="D42" s="30" t="n">
        <x:v>2019</x:v>
      </x:c>
      <x:c r="E42" s="24" t="str">
        <x:v>Scombridae</x:v>
      </x:c>
      <x:c r="F42" s="24" t="str">
        <x:v>Mackerels, tunas, bonitos</x:v>
      </x:c>
      <x:c r="G42" s="24" t="str">
        <x:v>Medium pelagics (30 - 89 cm)</x:v>
      </x:c>
      <x:c r="H42" s="24" t="str">
        <x:v>Perch-likes</x:v>
      </x:c>
      <x:c r="I42" s="31" t="n">
        <x:v>34.4048474064</x:v>
      </x:c>
      <x:c r="J42" s="31" t="n">
        <x:v>34.4048474064</x:v>
      </x:c>
      <x:c r="K42" s="31" t="n">
        <x:v>0</x:v>
      </x:c>
      <x:c r="L42" s="31" t="n">
        <x:v>34.4048474064</x:v>
      </x:c>
      <x:c r="M42" s="31" t="n">
        <x:v>0</x:v>
      </x:c>
      <x:c r="N42" s="24" t="str">
        <x:v>scombridae</x:v>
      </x:c>
      <x:c r="O42" s="32" t="n">
        <x:v>4.26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Scombridae</x:v>
      </x:c>
      <x:c r="T42" s="32" t="n">
        <x:f>IF(O42="","",(1/'Metadata'!$B$5)^(O42-1))</x:f>
        <x:v>1819.7008586099826</x:v>
      </x:c>
      <x:c r="U42" s="31" t="n">
        <x:f>IF(T42="","",I42*T42)</x:f>
        <x:v>62606.53036577151</x:v>
      </x:c>
    </x:row>
    <x:row r="43" ht="18" customHeight="1">
      <x:c r="A43" s="24" t="str">
        <x:v>EEZ_328</x:v>
      </x:c>
      <x:c r="B43" s="24" t="str">
        <x:v>Guyana</x:v>
      </x:c>
      <x:c r="C43" s="24" t="str">
        <x:v>EEZ</x:v>
      </x:c>
      <x:c r="D43" s="30" t="n">
        <x:v>2019</x:v>
      </x:c>
      <x:c r="E43" s="24" t="str">
        <x:v>Istiophorus albicans</x:v>
      </x:c>
      <x:c r="F43" s="24" t="str">
        <x:v>Atlantic sailfish</x:v>
      </x:c>
      <x:c r="G43" s="24" t="str">
        <x:v>Large pelagics (&gt;=90 cm)</x:v>
      </x:c>
      <x:c r="H43" s="24" t="str">
        <x:v>Tuna &amp; billfishes</x:v>
      </x:c>
      <x:c r="I43" s="31" t="n">
        <x:v>31.7620735155</x:v>
      </x:c>
      <x:c r="J43" s="31" t="n">
        <x:v>31.7620735155</x:v>
      </x:c>
      <x:c r="K43" s="31" t="n">
        <x:v>0</x:v>
      </x:c>
      <x:c r="L43" s="31" t="n">
        <x:v>31.7620735155</x:v>
      </x:c>
      <x:c r="M43" s="31" t="n">
        <x:v>0</x:v>
      </x:c>
      <x:c r="N43" s="24" t="str">
        <x:v>istiophorus albicans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Istiophorus albicans</x:v>
      </x:c>
      <x:c r="T43" s="32" t="n">
        <x:f>IF(O43="","",(1/'Metadata'!$B$5)^(O43-1))</x:f>
        <x:v>3162.2776601683795</x:v>
      </x:c>
      <x:c r="U43" s="31" t="n">
        <x:f>IF(T43="","",I43*T43)</x:f>
        <x:v>100440.49551869139</x:v>
      </x:c>
    </x:row>
    <x:row r="44" ht="18" customHeight="1">
      <x:c r="A44" s="24" t="str">
        <x:v>EEZ_328</x:v>
      </x:c>
      <x:c r="B44" s="24" t="str">
        <x:v>Guyana</x:v>
      </x:c>
      <x:c r="C44" s="24" t="str">
        <x:v>EEZ</x:v>
      </x:c>
      <x:c r="D44" s="30" t="n">
        <x:v>2019</x:v>
      </x:c>
      <x:c r="E44" s="24" t="str">
        <x:v>Eucinostomus argenteus</x:v>
      </x:c>
      <x:c r="F44" s="24" t="str">
        <x:v>Silver mojarra</x:v>
      </x:c>
      <x:c r="G44" s="24" t="str">
        <x:v>Small demersals (&lt;30 cm)</x:v>
      </x:c>
      <x:c r="H44" s="24" t="str">
        <x:v>Perch-likes</x:v>
      </x:c>
      <x:c r="I44" s="31" t="n">
        <x:v>30.775060418</x:v>
      </x:c>
      <x:c r="J44" s="31" t="n">
        <x:v>30.775060418</x:v>
      </x:c>
      <x:c r="K44" s="31" t="n">
        <x:v>0</x:v>
      </x:c>
      <x:c r="L44" s="31" t="n">
        <x:v>30.775060418</x:v>
      </x:c>
      <x:c r="M44" s="31" t="n">
        <x:v>0</x:v>
      </x:c>
      <x:c r="N44" s="24" t="str">
        <x:v>eucinostomus argenteus</x:v>
      </x:c>
      <x:c r="O44" s="32" t="n">
        <x:v>3.24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Eucinostomus argenteus</x:v>
      </x:c>
      <x:c r="T44" s="32" t="n">
        <x:f>IF(O44="","",(1/'Metadata'!$B$5)^(O44-1))</x:f>
        <x:v>173.78008287493762</x:v>
      </x:c>
      <x:c r="U44" s="31" t="n">
        <x:f>IF(T44="","",I44*T44)</x:f>
        <x:v>5348.092549921253</x:v>
      </x:c>
    </x:row>
    <x:row r="45" ht="18" customHeight="1">
      <x:c r="A45" s="24" t="str">
        <x:v>EEZ_328</x:v>
      </x:c>
      <x:c r="B45" s="24" t="str">
        <x:v>Guyana</x:v>
      </x:c>
      <x:c r="C45" s="24" t="str">
        <x:v>EEZ</x:v>
      </x:c>
      <x:c r="D45" s="30" t="n">
        <x:v>2019</x:v>
      </x:c>
      <x:c r="E45" s="24" t="str">
        <x:v>Diapterus rhombeus</x:v>
      </x:c>
      <x:c r="F45" s="24" t="str">
        <x:v>Caitipa mojarra</x:v>
      </x:c>
      <x:c r="G45" s="24" t="str">
        <x:v>Medium demersals (30 - 89 cm)</x:v>
      </x:c>
      <x:c r="H45" s="24" t="str">
        <x:v>Perch-likes</x:v>
      </x:c>
      <x:c r="I45" s="31" t="n">
        <x:v>30.60116007</x:v>
      </x:c>
      <x:c r="J45" s="31" t="n">
        <x:v>0</x:v>
      </x:c>
      <x:c r="K45" s="31" t="n">
        <x:v>30.60116007</x:v>
      </x:c>
      <x:c r="L45" s="31" t="n">
        <x:v>0</x:v>
      </x:c>
      <x:c r="M45" s="31" t="n">
        <x:v>30.60116007</x:v>
      </x:c>
      <x:c r="N45" s="24" t="str">
        <x:v>diapterus rhombeus</x:v>
      </x:c>
      <x:c r="O45" s="32" t="n">
        <x:v>3.01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Diapterus rhombeus</x:v>
      </x:c>
      <x:c r="T45" s="32" t="n">
        <x:f>IF(O45="","",(1/'Metadata'!$B$5)^(O45-1))</x:f>
        <x:v>102.32929922807536</x:v>
      </x:c>
      <x:c r="U45" s="31" t="n">
        <x:f>IF(T45="","",I45*T45)</x:f>
        <x:v>3131.3952655292615</x:v>
      </x:c>
    </x:row>
    <x:row r="46" ht="18" customHeight="1">
      <x:c r="A46" s="24" t="str">
        <x:v>EEZ_328</x:v>
      </x:c>
      <x:c r="B46" s="24" t="str">
        <x:v>Guyana</x:v>
      </x:c>
      <x:c r="C46" s="24" t="str">
        <x:v>EEZ</x:v>
      </x:c>
      <x:c r="D46" s="30" t="n">
        <x:v>2019</x:v>
      </x:c>
      <x:c r="E46" s="24" t="str">
        <x:v>Thunnus alalunga</x:v>
      </x:c>
      <x:c r="F46" s="24" t="str">
        <x:v>Albacore</x:v>
      </x:c>
      <x:c r="G46" s="24" t="str">
        <x:v>Large pelagics (&gt;=90 cm)</x:v>
      </x:c>
      <x:c r="H46" s="24" t="str">
        <x:v>Tuna &amp; billfishes</x:v>
      </x:c>
      <x:c r="I46" s="31" t="n">
        <x:v>30.4665646812</x:v>
      </x:c>
      <x:c r="J46" s="31" t="n">
        <x:v>30.4665646812</x:v>
      </x:c>
      <x:c r="K46" s="31" t="n">
        <x:v>0</x:v>
      </x:c>
      <x:c r="L46" s="31" t="n">
        <x:v>30.4665646812</x:v>
      </x:c>
      <x:c r="M46" s="31" t="n">
        <x:v>0</x:v>
      </x:c>
      <x:c r="N46" s="24" t="str">
        <x:v>thunnus alalunga</x:v>
      </x:c>
      <x:c r="O46" s="32" t="n">
        <x:v>4.3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alalunga</x:v>
      </x:c>
      <x:c r="T46" s="32" t="n">
        <x:f>IF(O46="","",(1/'Metadata'!$B$5)^(O46-1))</x:f>
        <x:v>1995.2623149688789</x:v>
      </x:c>
      <x:c r="U46" s="31" t="n">
        <x:f>IF(T46="","",I46*T46)</x:f>
        <x:v>60788.7883749602</x:v>
      </x:c>
    </x:row>
    <x:row r="47" ht="18" customHeight="1">
      <x:c r="A47" s="24" t="str">
        <x:v>EEZ_328</x:v>
      </x:c>
      <x:c r="B47" s="24" t="str">
        <x:v>Guyana</x:v>
      </x:c>
      <x:c r="C47" s="24" t="str">
        <x:v>EEZ</x:v>
      </x:c>
      <x:c r="D47" s="30" t="n">
        <x:v>2019</x:v>
      </x:c>
      <x:c r="E47" s="24" t="str">
        <x:v>Penaeus notialis</x:v>
      </x:c>
      <x:c r="F47" s="24" t="str">
        <x:v>Southern pink shrimp</x:v>
      </x:c>
      <x:c r="G47" s="24" t="str">
        <x:v>Shrimps</x:v>
      </x:c>
      <x:c r="H47" s="24" t="str">
        <x:v>Crustaceans</x:v>
      </x:c>
      <x:c r="I47" s="31" t="n">
        <x:v>25.15789474</x:v>
      </x:c>
      <x:c r="J47" s="31" t="n">
        <x:v>25.15789474</x:v>
      </x:c>
      <x:c r="K47" s="31" t="n">
        <x:v>0</x:v>
      </x:c>
      <x:c r="L47" s="31" t="n">
        <x:v>25.15789474</x:v>
      </x:c>
      <x:c r="M47" s="31" t="n">
        <x:v>0</x:v>
      </x:c>
      <x:c r="N47" s="24" t="str">
        <x:v>penaeus notialis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Penaeus notialis</x:v>
      </x:c>
      <x:c r="T47" s="32" t="n">
        <x:f>IF(O47="","",(1/'Metadata'!$B$5)^(O47-1))</x:f>
        <x:v>50.11872336272725</x:v>
      </x:c>
      <x:c r="U47" s="31" t="n">
        <x:f>IF(T47="","",I47*T47)</x:f>
        <x:v>1260.881566862671</x:v>
      </x:c>
    </x:row>
    <x:row r="48" ht="18" customHeight="1">
      <x:c r="A48" s="24" t="str">
        <x:v>EEZ_328</x:v>
      </x:c>
      <x:c r="B48" s="24" t="str">
        <x:v>Guyana</x:v>
      </x:c>
      <x:c r="C48" s="24" t="str">
        <x:v>EEZ</x:v>
      </x:c>
      <x:c r="D48" s="30" t="n">
        <x:v>2019</x:v>
      </x:c>
      <x:c r="E48" s="24" t="str">
        <x:v>Sphyraena guachancho</x:v>
      </x:c>
      <x:c r="F48" s="24" t="str">
        <x:v>Guachanche barracuda</x:v>
      </x:c>
      <x:c r="G48" s="24" t="str">
        <x:v>Large pelagics (&gt;=90 cm)</x:v>
      </x:c>
      <x:c r="H48" s="24" t="str">
        <x:v>Perch-likes</x:v>
      </x:c>
      <x:c r="I48" s="31" t="n">
        <x:v>17.938611079</x:v>
      </x:c>
      <x:c r="J48" s="31" t="n">
        <x:v>0</x:v>
      </x:c>
      <x:c r="K48" s="31" t="n">
        <x:v>17.938611079</x:v>
      </x:c>
      <x:c r="L48" s="31" t="n">
        <x:v>0</x:v>
      </x:c>
      <x:c r="M48" s="31" t="n">
        <x:v>17.938611079</x:v>
      </x:c>
      <x:c r="N48" s="24" t="str">
        <x:v>sphyraena guachancho</x:v>
      </x:c>
      <x:c r="O48" s="32" t="n">
        <x:v>4.35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Sphyraena guachancho</x:v>
      </x:c>
      <x:c r="T48" s="32" t="n">
        <x:f>IF(O48="","",(1/'Metadata'!$B$5)^(O48-1))</x:f>
        <x:v>2238.7211385683377</x:v>
      </x:c>
      <x:c r="U48" s="31" t="n">
        <x:f>IF(T48="","",I48*T48)</x:f>
        <x:v>40159.547819113475</x:v>
      </x:c>
    </x:row>
    <x:row r="49" ht="18" customHeight="1">
      <x:c r="A49" s="24" t="str">
        <x:v>EEZ_328</x:v>
      </x:c>
      <x:c r="B49" s="24" t="str">
        <x:v>Guyana</x:v>
      </x:c>
      <x:c r="C49" s="24" t="str">
        <x:v>EEZ</x:v>
      </x:c>
      <x:c r="D49" s="30" t="n">
        <x:v>2019</x:v>
      </x:c>
      <x:c r="E49" s="24" t="str">
        <x:v>Makaira nigricans</x:v>
      </x:c>
      <x:c r="F49" s="24" t="str">
        <x:v>Blue marlin</x:v>
      </x:c>
      <x:c r="G49" s="24" t="str">
        <x:v>Large pelagics (&gt;=90 cm)</x:v>
      </x:c>
      <x:c r="H49" s="24" t="str">
        <x:v>Tuna &amp; billfishes</x:v>
      </x:c>
      <x:c r="I49" s="31" t="n">
        <x:v>16.343676079199998</x:v>
      </x:c>
      <x:c r="J49" s="31" t="n">
        <x:v>16.343676079199998</x:v>
      </x:c>
      <x:c r="K49" s="31" t="n">
        <x:v>0</x:v>
      </x:c>
      <x:c r="L49" s="31" t="n">
        <x:v>16.343676079199998</x:v>
      </x:c>
      <x:c r="M49" s="31" t="n">
        <x:v>0</x:v>
      </x:c>
      <x:c r="N49" s="24" t="str">
        <x:v>makaira nigricans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Makaira nigricans</x:v>
      </x:c>
      <x:c r="T49" s="32" t="n">
        <x:f>IF(O49="","",(1/'Metadata'!$B$5)^(O49-1))</x:f>
        <x:v>3090.295432513592</x:v>
      </x:c>
      <x:c r="U49" s="31" t="n">
        <x:f>IF(T49="","",I49*T49)</x:f>
        <x:v>50506.78753803341</x:v>
      </x:c>
    </x:row>
    <x:row r="50" ht="18" customHeight="1">
      <x:c r="A50" s="24" t="str">
        <x:v>EEZ_328</x:v>
      </x:c>
      <x:c r="B50" s="24" t="str">
        <x:v>Guyana</x:v>
      </x:c>
      <x:c r="C50" s="24" t="str">
        <x:v>EEZ</x:v>
      </x:c>
      <x:c r="D50" s="30" t="n">
        <x:v>2019</x:v>
      </x:c>
      <x:c r="E50" s="24" t="str">
        <x:v>Haemulon steindachneri</x:v>
      </x:c>
      <x:c r="F50" s="24" t="str">
        <x:v>Chere-chere grunt</x:v>
      </x:c>
      <x:c r="G50" s="24" t="str">
        <x:v>Small reef assoc. fish (&lt;30 cm)</x:v>
      </x:c>
      <x:c r="H50" s="24" t="str">
        <x:v>Perch-likes</x:v>
      </x:c>
      <x:c r="I50" s="31" t="n">
        <x:v>14.752489278</x:v>
      </x:c>
      <x:c r="J50" s="31" t="n">
        <x:v>14.752489278</x:v>
      </x:c>
      <x:c r="K50" s="31" t="n">
        <x:v>0</x:v>
      </x:c>
      <x:c r="L50" s="31" t="n">
        <x:v>14.752489278</x:v>
      </x:c>
      <x:c r="M50" s="31" t="n">
        <x:v>0</x:v>
      </x:c>
      <x:c r="N50" s="24" t="str">
        <x:v>haemulon steindachneri</x:v>
      </x:c>
      <x:c r="O50" s="32" t="n">
        <x:v>3.73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Haemulon steindachneri</x:v>
      </x:c>
      <x:c r="T50" s="32" t="n">
        <x:f>IF(O50="","",(1/'Metadata'!$B$5)^(O50-1))</x:f>
        <x:v>537.0317963702527</x:v>
      </x:c>
      <x:c r="U50" s="31" t="n">
        <x:f>IF(T50="","",I50*T50)</x:f>
        <x:v>7922.555817897232</x:v>
      </x:c>
    </x:row>
    <x:row r="51" ht="18" customHeight="1">
      <x:c r="A51" s="24" t="str">
        <x:v>EEZ_328</x:v>
      </x:c>
      <x:c r="B51" s="24" t="str">
        <x:v>Guyana</x:v>
      </x:c>
      <x:c r="C51" s="24" t="str">
        <x:v>EEZ</x:v>
      </x:c>
      <x:c r="D51" s="30" t="n">
        <x:v>2019</x:v>
      </x:c>
      <x:c r="E51" s="24" t="str">
        <x:v>Menticirrhus americanus</x:v>
      </x:c>
      <x:c r="F51" s="24" t="str">
        <x:v>Southern kingcroaker</x:v>
      </x:c>
      <x:c r="G51" s="24" t="str">
        <x:v>Medium demersals (30 - 89 cm)</x:v>
      </x:c>
      <x:c r="H51" s="24" t="str">
        <x:v>Perch-likes</x:v>
      </x:c>
      <x:c r="I51" s="31" t="n">
        <x:v>14.752489278</x:v>
      </x:c>
      <x:c r="J51" s="31" t="n">
        <x:v>14.752489278</x:v>
      </x:c>
      <x:c r="K51" s="31" t="n">
        <x:v>0</x:v>
      </x:c>
      <x:c r="L51" s="31" t="n">
        <x:v>14.752489278</x:v>
      </x:c>
      <x:c r="M51" s="31" t="n">
        <x:v>0</x:v>
      </x:c>
      <x:c r="N51" s="24" t="str">
        <x:v>menticirrhus americanus</x:v>
      </x:c>
      <x:c r="O51" s="32" t="n">
        <x:v>3.5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Menticirrhus americanus</x:v>
      </x:c>
      <x:c r="T51" s="32" t="n">
        <x:f>IF(O51="","",(1/'Metadata'!$B$5)^(O51-1))</x:f>
        <x:v>316.22776601683796</x:v>
      </x:c>
      <x:c r="U51" s="31" t="n">
        <x:f>IF(T51="","",I51*T51)</x:f>
        <x:v>4665.146727569295</x:v>
      </x:c>
    </x:row>
    <x:row r="52" ht="18" customHeight="1">
      <x:c r="A52" s="24" t="str">
        <x:v>EEZ_328</x:v>
      </x:c>
      <x:c r="B52" s="24" t="str">
        <x:v>Guyana</x:v>
      </x:c>
      <x:c r="C52" s="24" t="str">
        <x:v>EEZ</x:v>
      </x:c>
      <x:c r="D52" s="30" t="n">
        <x:v>2019</x:v>
      </x:c>
      <x:c r="E52" s="24" t="str">
        <x:v>Xiphias gladius</x:v>
      </x:c>
      <x:c r="F52" s="24" t="str">
        <x:v>Swordfish</x:v>
      </x:c>
      <x:c r="G52" s="24" t="str">
        <x:v>Large pelagics (&gt;=90 cm)</x:v>
      </x:c>
      <x:c r="H52" s="24" t="str">
        <x:v>Tuna &amp; billfishes</x:v>
      </x:c>
      <x:c r="I52" s="31" t="n">
        <x:v>14.705904749299998</x:v>
      </x:c>
      <x:c r="J52" s="31" t="n">
        <x:v>14.705904749299998</x:v>
      </x:c>
      <x:c r="K52" s="31" t="n">
        <x:v>0</x:v>
      </x:c>
      <x:c r="L52" s="31" t="n">
        <x:v>14.705904749299998</x:v>
      </x:c>
      <x:c r="M52" s="31" t="n">
        <x:v>0</x:v>
      </x:c>
      <x:c r="N52" s="24" t="str">
        <x:v>xiphias gladius</x:v>
      </x:c>
      <x:c r="O52" s="32" t="n">
        <x:v>4.53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Xiphias gladius</x:v>
      </x:c>
      <x:c r="T52" s="32" t="n">
        <x:f>IF(O52="","",(1/'Metadata'!$B$5)^(O52-1))</x:f>
        <x:v>3388.4415613920273</x:v>
      </x:c>
      <x:c r="U52" s="31" t="n">
        <x:f>IF(T52="","",I52*T52)</x:f>
        <x:v>49830.098850400514</x:v>
      </x:c>
    </x:row>
    <x:row r="53" ht="18" customHeight="1">
      <x:c r="A53" s="24" t="str">
        <x:v>EEZ_328</x:v>
      </x:c>
      <x:c r="B53" s="24" t="str">
        <x:v>Guyana</x:v>
      </x:c>
      <x:c r="C53" s="24" t="str">
        <x:v>EEZ</x:v>
      </x:c>
      <x:c r="D53" s="30" t="n">
        <x:v>2019</x:v>
      </x:c>
      <x:c r="E53" s="24" t="str">
        <x:v>Acanthocybium solandri</x:v>
      </x:c>
      <x:c r="F53" s="24" t="str">
        <x:v>Wahoo</x:v>
      </x:c>
      <x:c r="G53" s="24" t="str">
        <x:v>Large pelagics (&gt;=90 cm)</x:v>
      </x:c>
      <x:c r="H53" s="24" t="str">
        <x:v>Perch-likes</x:v>
      </x:c>
      <x:c r="I53" s="31" t="n">
        <x:v>13.494379980600002</x:v>
      </x:c>
      <x:c r="J53" s="31" t="n">
        <x:v>13.494379980600002</x:v>
      </x:c>
      <x:c r="K53" s="31" t="n">
        <x:v>0</x:v>
      </x:c>
      <x:c r="L53" s="31" t="n">
        <x:v>13.494379980600002</x:v>
      </x:c>
      <x:c r="M53" s="31" t="n">
        <x:v>0</x:v>
      </x:c>
      <x:c r="N53" s="24" t="str">
        <x:v>acanthocybium solandri</x:v>
      </x:c>
      <x:c r="O53" s="32" t="n">
        <x:v>4.26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Acanthocybium solandri</x:v>
      </x:c>
      <x:c r="T53" s="32" t="n">
        <x:f>IF(O53="","",(1/'Metadata'!$B$5)^(O53-1))</x:f>
        <x:v>1819.7008586099826</x:v>
      </x:c>
      <x:c r="U53" s="31" t="n">
        <x:f>IF(T53="","",I53*T53)</x:f>
        <x:v>24555.734837107182</x:v>
      </x:c>
    </x:row>
    <x:row r="54" ht="18" customHeight="1">
      <x:c r="A54" s="24" t="str">
        <x:v>EEZ_328</x:v>
      </x:c>
      <x:c r="B54" s="24" t="str">
        <x:v>Guyana</x:v>
      </x:c>
      <x:c r="C54" s="24" t="str">
        <x:v>EEZ</x:v>
      </x:c>
      <x:c r="D54" s="30" t="n">
        <x:v>2019</x:v>
      </x:c>
      <x:c r="E54" s="24" t="str">
        <x:v>Haemulopsis corvinaeformis</x:v>
      </x:c>
      <x:c r="F54" s="24" t="str">
        <x:v>Roughneck grunt</x:v>
      </x:c>
      <x:c r="G54" s="24" t="str">
        <x:v>Small demersals (&lt;30 cm)</x:v>
      </x:c>
      <x:c r="H54" s="24" t="str">
        <x:v>Perch-likes</x:v>
      </x:c>
      <x:c r="I54" s="31" t="n">
        <x:v>12.40772277</x:v>
      </x:c>
      <x:c r="J54" s="31" t="n">
        <x:v>12.40772277</x:v>
      </x:c>
      <x:c r="K54" s="31" t="n">
        <x:v>0</x:v>
      </x:c>
      <x:c r="L54" s="31" t="n">
        <x:v>12.40772277</x:v>
      </x:c>
      <x:c r="M54" s="31" t="n">
        <x:v>0</x:v>
      </x:c>
      <x:c r="N54" s="24" t="str">
        <x:v>haemulopsis corvinaeformis</x:v>
      </x:c>
      <x:c r="O54" s="32" t="n">
        <x:v>3.59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Haemulopsis corvinaeformis</x:v>
      </x:c>
      <x:c r="T54" s="32" t="n">
        <x:f>IF(O54="","",(1/'Metadata'!$B$5)^(O54-1))</x:f>
        <x:v>389.04514499428046</x:v>
      </x:c>
      <x:c r="U54" s="31" t="n">
        <x:f>IF(T54="","",I54*T54)</x:f>
        <x:v>4827.164304103485</x:v>
      </x:c>
    </x:row>
    <x:row r="55" ht="18" customHeight="1">
      <x:c r="A55" s="24" t="str">
        <x:v>EEZ_328</x:v>
      </x:c>
      <x:c r="B55" s="24" t="str">
        <x:v>Guyana</x:v>
      </x:c>
      <x:c r="C55" s="24" t="str">
        <x:v>EEZ</x:v>
      </x:c>
      <x:c r="D55" s="30" t="n">
        <x:v>2019</x:v>
      </x:c>
      <x:c r="E55" s="24" t="str">
        <x:v>Thunnus thynnus</x:v>
      </x:c>
      <x:c r="F55" s="24" t="str">
        <x:v>Atlantic bluefin tuna</x:v>
      </x:c>
      <x:c r="G55" s="24" t="str">
        <x:v>Large pelagics (&gt;=90 cm)</x:v>
      </x:c>
      <x:c r="H55" s="24" t="str">
        <x:v>Tuna &amp; billfishes</x:v>
      </x:c>
      <x:c r="I55" s="31" t="n">
        <x:v>10.928130788</x:v>
      </x:c>
      <x:c r="J55" s="31" t="n">
        <x:v>10.928130788</x:v>
      </x:c>
      <x:c r="K55" s="31" t="n">
        <x:v>0</x:v>
      </x:c>
      <x:c r="L55" s="31" t="n">
        <x:v>10.928130788</x:v>
      </x:c>
      <x:c r="M55" s="31" t="n">
        <x:v>0</x:v>
      </x:c>
      <x:c r="N55" s="24" t="str">
        <x:v>thunnus thynnus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thynnus</x:v>
      </x:c>
      <x:c r="T55" s="32" t="n">
        <x:f>IF(O55="","",(1/'Metadata'!$B$5)^(O55-1))</x:f>
        <x:v>2818.382931264455</x:v>
      </x:c>
      <x:c r="U55" s="31" t="n">
        <x:f>IF(T55="","",I55*T55)</x:f>
        <x:v>30799.65728352478</x:v>
      </x:c>
    </x:row>
    <x:row r="56" ht="18" customHeight="1">
      <x:c r="A56" s="24" t="str">
        <x:v>EEZ_328</x:v>
      </x:c>
      <x:c r="B56" s="24" t="str">
        <x:v>Guyana</x:v>
      </x:c>
      <x:c r="C56" s="24" t="str">
        <x:v>EEZ</x:v>
      </x:c>
      <x:c r="D56" s="30" t="n">
        <x:v>2019</x:v>
      </x:c>
      <x:c r="E56" s="24" t="str">
        <x:v>Priacanthus arenatus</x:v>
      </x:c>
      <x:c r="F56" s="24" t="str">
        <x:v>Atlantic bigeye</x:v>
      </x:c>
      <x:c r="G56" s="24" t="str">
        <x:v>Medium reef assoc. fish (30 - 89 cm)</x:v>
      </x:c>
      <x:c r="H56" s="24" t="str">
        <x:v>Perch-likes</x:v>
      </x:c>
      <x:c r="I56" s="31" t="n">
        <x:v>9.476764635</x:v>
      </x:c>
      <x:c r="J56" s="31" t="n">
        <x:v>9.476764635</x:v>
      </x:c>
      <x:c r="K56" s="31" t="n">
        <x:v>0</x:v>
      </x:c>
      <x:c r="L56" s="31" t="n">
        <x:v>9.476764635</x:v>
      </x:c>
      <x:c r="M56" s="31" t="n">
        <x:v>0</x:v>
      </x:c>
      <x:c r="N56" s="24" t="str">
        <x:v>priacanthus arenatus</x:v>
      </x:c>
      <x:c r="O56" s="32" t="n">
        <x:v>4.04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Priacanthus arenatus</x:v>
      </x:c>
      <x:c r="T56" s="32" t="n">
        <x:f>IF(O56="","",(1/'Metadata'!$B$5)^(O56-1))</x:f>
        <x:v>1096.4781961431852</x:v>
      </x:c>
      <x:c r="U56" s="31" t="n">
        <x:f>IF(T56="","",I56*T56)</x:f>
        <x:v>10391.06579225833</x:v>
      </x:c>
    </x:row>
    <x:row r="57" ht="18" customHeight="1">
      <x:c r="A57" s="24" t="str">
        <x:v>EEZ_328</x:v>
      </x:c>
      <x:c r="B57" s="24" t="str">
        <x:v>Guyana</x:v>
      </x:c>
      <x:c r="C57" s="24" t="str">
        <x:v>EEZ</x:v>
      </x:c>
      <x:c r="D57" s="30" t="n">
        <x:v>2019</x:v>
      </x:c>
      <x:c r="E57" s="24" t="str">
        <x:v>Thunnus obesus</x:v>
      </x:c>
      <x:c r="F57" s="24" t="str">
        <x:v>Bigeye tuna</x:v>
      </x:c>
      <x:c r="G57" s="24" t="str">
        <x:v>Large pelagics (&gt;=90 cm)</x:v>
      </x:c>
      <x:c r="H57" s="24" t="str">
        <x:v>Tuna &amp; billfishes</x:v>
      </x:c>
      <x:c r="I57" s="31" t="n">
        <x:v>8.6870906948</x:v>
      </x:c>
      <x:c r="J57" s="31" t="n">
        <x:v>8.6870906948</x:v>
      </x:c>
      <x:c r="K57" s="31" t="n">
        <x:v>0</x:v>
      </x:c>
      <x:c r="L57" s="31" t="n">
        <x:v>8.6870906948</x:v>
      </x:c>
      <x:c r="M57" s="31" t="n">
        <x:v>0</x:v>
      </x:c>
      <x:c r="N57" s="24" t="str">
        <x:v>thunnus obesus</x:v>
      </x:c>
      <x:c r="O57" s="32" t="n">
        <x:v>4.49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Thunnus obesus</x:v>
      </x:c>
      <x:c r="T57" s="32" t="n">
        <x:f>IF(O57="","",(1/'Metadata'!$B$5)^(O57-1))</x:f>
        <x:v>3090.295432513592</x:v>
      </x:c>
      <x:c r="U57" s="31" t="n">
        <x:f>IF(T57="","",I57*T57)</x:f>
        <x:v>26845.676695971768</x:v>
      </x:c>
    </x:row>
    <x:row r="58" ht="18" customHeight="1">
      <x:c r="A58" s="24" t="str">
        <x:v>EEZ_328</x:v>
      </x:c>
      <x:c r="B58" s="24" t="str">
        <x:v>Guyana</x:v>
      </x:c>
      <x:c r="C58" s="24" t="str">
        <x:v>EEZ</x:v>
      </x:c>
      <x:c r="D58" s="30" t="n">
        <x:v>2019</x:v>
      </x:c>
      <x:c r="E58" s="24" t="str">
        <x:v>Haemulon aurolineatum</x:v>
      </x:c>
      <x:c r="F58" s="24" t="str">
        <x:v>Tomtate grunt</x:v>
      </x:c>
      <x:c r="G58" s="24" t="str">
        <x:v>Small reef assoc. fish (&lt;30 cm)</x:v>
      </x:c>
      <x:c r="H58" s="24" t="str">
        <x:v>Perch-likes</x:v>
      </x:c>
      <x:c r="I58" s="31" t="n">
        <x:v>8.206682777</x:v>
      </x:c>
      <x:c r="J58" s="31" t="n">
        <x:v>8.206682777</x:v>
      </x:c>
      <x:c r="K58" s="31" t="n">
        <x:v>0</x:v>
      </x:c>
      <x:c r="L58" s="31" t="n">
        <x:v>8.206682777</x:v>
      </x:c>
      <x:c r="M58" s="31" t="n">
        <x:v>0</x:v>
      </x:c>
      <x:c r="N58" s="24" t="str">
        <x:v>haemulon aurolineatum</x:v>
      </x:c>
      <x:c r="O58" s="32" t="n">
        <x:v>4.35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Haemulon aurolineatum</x:v>
      </x:c>
      <x:c r="T58" s="32" t="n">
        <x:f>IF(O58="","",(1/'Metadata'!$B$5)^(O58-1))</x:f>
        <x:v>2238.7211385683377</x:v>
      </x:c>
      <x:c r="U58" s="31" t="n">
        <x:f>IF(T58="","",I58*T58)</x:f>
        <x:v>18372.474210394605</x:v>
      </x:c>
    </x:row>
    <x:row r="59" ht="18" customHeight="1">
      <x:c r="A59" s="24" t="str">
        <x:v>EEZ_328</x:v>
      </x:c>
      <x:c r="B59" s="24" t="str">
        <x:v>Guyana</x:v>
      </x:c>
      <x:c r="C59" s="24" t="str">
        <x:v>EEZ</x:v>
      </x:c>
      <x:c r="D59" s="30" t="n">
        <x:v>2019</x:v>
      </x:c>
      <x:c r="E59" s="24" t="str">
        <x:v>Thunnus atlanticus</x:v>
      </x:c>
      <x:c r="F59" s="24" t="str">
        <x:v>Blackfin tuna</x:v>
      </x:c>
      <x:c r="G59" s="24" t="str">
        <x:v>Large pelagics (&gt;=90 cm)</x:v>
      </x:c>
      <x:c r="H59" s="24" t="str">
        <x:v>Tuna &amp; billfishes</x:v>
      </x:c>
      <x:c r="I59" s="31" t="n">
        <x:v>6.959687300200001</x:v>
      </x:c>
      <x:c r="J59" s="31" t="n">
        <x:v>6.959687300200001</x:v>
      </x:c>
      <x:c r="K59" s="31" t="n">
        <x:v>0</x:v>
      </x:c>
      <x:c r="L59" s="31" t="n">
        <x:v>6.959687300200001</x:v>
      </x:c>
      <x:c r="M59" s="31" t="n">
        <x:v>0</x:v>
      </x:c>
      <x:c r="N59" s="24" t="str">
        <x:v>thunnus atlanticus</x:v>
      </x:c>
      <x:c r="O59" s="32" t="n">
        <x:v>4.35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atlanticus</x:v>
      </x:c>
      <x:c r="T59" s="32" t="n">
        <x:f>IF(O59="","",(1/'Metadata'!$B$5)^(O59-1))</x:f>
        <x:v>2238.7211385683377</x:v>
      </x:c>
      <x:c r="U59" s="31" t="n">
        <x:f>IF(T59="","",I59*T59)</x:f>
        <x:v>15580.799076783345</x:v>
      </x:c>
    </x:row>
    <x:row r="60" ht="18" customHeight="1">
      <x:c r="A60" s="24" t="str">
        <x:v>EEZ_328</x:v>
      </x:c>
      <x:c r="B60" s="24" t="str">
        <x:v>Guyana</x:v>
      </x:c>
      <x:c r="C60" s="24" t="str">
        <x:v>EEZ</x:v>
      </x:c>
      <x:c r="D60" s="30" t="n">
        <x:v>2019</x:v>
      </x:c>
      <x:c r="E60" s="24" t="str">
        <x:v>Selene setapinnis</x:v>
      </x:c>
      <x:c r="F60" s="24" t="str">
        <x:v>Atlantic moonfish</x:v>
      </x:c>
      <x:c r="G60" s="24" t="str">
        <x:v>Medium demersals (30 - 89 cm)</x:v>
      </x:c>
      <x:c r="H60" s="24" t="str">
        <x:v>Perch-likes</x:v>
      </x:c>
      <x:c r="I60" s="31" t="n">
        <x:v>6.545806501</x:v>
      </x:c>
      <x:c r="J60" s="31" t="n">
        <x:v>6.545806501</x:v>
      </x:c>
      <x:c r="K60" s="31" t="n">
        <x:v>0</x:v>
      </x:c>
      <x:c r="L60" s="31" t="n">
        <x:v>6.545806501</x:v>
      </x:c>
      <x:c r="M60" s="31" t="n">
        <x:v>0</x:v>
      </x:c>
      <x:c r="N60" s="24" t="str">
        <x:v>selene setapinnis</x:v>
      </x:c>
      <x:c r="O60" s="32" t="n">
        <x:v>3.72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Selene setapinnis</x:v>
      </x:c>
      <x:c r="T60" s="32" t="n">
        <x:f>IF(O60="","",(1/'Metadata'!$B$5)^(O60-1))</x:f>
        <x:v>524.8074602497728</x:v>
      </x:c>
      <x:c r="U60" s="31" t="n">
        <x:f>IF(T60="","",I60*T60)</x:f>
        <x:v>3435.288085076262</x:v>
      </x:c>
    </x:row>
    <x:row r="61" ht="18" customHeight="1">
      <x:c r="A61" s="24" t="str">
        <x:v>EEZ_328</x:v>
      </x:c>
      <x:c r="B61" s="24" t="str">
        <x:v>Guyana</x:v>
      </x:c>
      <x:c r="C61" s="24" t="str">
        <x:v>EEZ</x:v>
      </x:c>
      <x:c r="D61" s="30" t="n">
        <x:v>2019</x:v>
      </x:c>
      <x:c r="E61" s="24" t="str">
        <x:v>Conodon nobilis</x:v>
      </x:c>
      <x:c r="F61" s="24" t="str">
        <x:v>Barred grunt</x:v>
      </x:c>
      <x:c r="G61" s="24" t="str">
        <x:v>Small demersals (&lt;30 cm)</x:v>
      </x:c>
      <x:c r="H61" s="24" t="str">
        <x:v>Perch-likes</x:v>
      </x:c>
      <x:c r="I61" s="31" t="n">
        <x:v>6.545806501</x:v>
      </x:c>
      <x:c r="J61" s="31" t="n">
        <x:v>6.545806501</x:v>
      </x:c>
      <x:c r="K61" s="31" t="n">
        <x:v>0</x:v>
      </x:c>
      <x:c r="L61" s="31" t="n">
        <x:v>6.545806501</x:v>
      </x:c>
      <x:c r="M61" s="31" t="n">
        <x:v>0</x:v>
      </x:c>
      <x:c r="N61" s="24" t="str">
        <x:v>conodon nobilis</x:v>
      </x:c>
      <x:c r="O61" s="32" t="n">
        <x:v>3.61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Conodon nobilis</x:v>
      </x:c>
      <x:c r="T61" s="32" t="n">
        <x:f>IF(O61="","",(1/'Metadata'!$B$5)^(O61-1))</x:f>
        <x:v>407.3802778041126</x:v>
      </x:c>
      <x:c r="U61" s="31" t="n">
        <x:f>IF(T61="","",I61*T61)</x:f>
        <x:v>2666.6324708293464</x:v>
      </x:c>
    </x:row>
    <x:row r="62" ht="18" customHeight="1">
      <x:c r="A62" s="24" t="str">
        <x:v>EEZ_328</x:v>
      </x:c>
      <x:c r="B62" s="24" t="str">
        <x:v>Guyana</x:v>
      </x:c>
      <x:c r="C62" s="24" t="str">
        <x:v>EEZ</x:v>
      </x:c>
      <x:c r="D62" s="30" t="n">
        <x:v>2019</x:v>
      </x:c>
      <x:c r="E62" s="24" t="str">
        <x:v>Kajikia albida</x:v>
      </x:c>
      <x:c r="F62" s="24" t="str">
        <x:v>Atlantic white marlin</x:v>
      </x:c>
      <x:c r="G62" s="24" t="str">
        <x:v>Large pelagics (&gt;=90 cm)</x:v>
      </x:c>
      <x:c r="H62" s="24" t="str">
        <x:v>Tuna &amp; billfishes</x:v>
      </x:c>
      <x:c r="I62" s="31" t="n">
        <x:v>5.6141999721</x:v>
      </x:c>
      <x:c r="J62" s="31" t="n">
        <x:v>5.6141999721</x:v>
      </x:c>
      <x:c r="K62" s="31" t="n">
        <x:v>0</x:v>
      </x:c>
      <x:c r="L62" s="31" t="n">
        <x:v>5.6141999721</x:v>
      </x:c>
      <x:c r="M62" s="31" t="n">
        <x:v>0</x:v>
      </x:c>
      <x:c r="N62" s="24" t="str">
        <x:v>kajikia albida</x:v>
      </x:c>
      <x:c r="O62" s="32" t="n">
        <x:v>4.49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Kajikia albida</x:v>
      </x:c>
      <x:c r="T62" s="32" t="n">
        <x:f>IF(O62="","",(1/'Metadata'!$B$5)^(O62-1))</x:f>
        <x:v>3090.295432513592</x:v>
      </x:c>
      <x:c r="U62" s="31" t="n">
        <x:f>IF(T62="","",I62*T62)</x:f>
        <x:v>17349.536530998565</x:v>
      </x:c>
    </x:row>
    <x:row r="63" ht="18" customHeight="1">
      <x:c r="A63" s="24" t="str">
        <x:v>EEZ_328</x:v>
      </x:c>
      <x:c r="B63" s="24" t="str">
        <x:v>Guyana</x:v>
      </x:c>
      <x:c r="C63" s="24" t="str">
        <x:v>EEZ</x:v>
      </x:c>
      <x:c r="D63" s="30" t="n">
        <x:v>2019</x:v>
      </x:c>
      <x:c r="E63" s="24" t="str">
        <x:v>Prionace glauca</x:v>
      </x:c>
      <x:c r="F63" s="24" t="str">
        <x:v>Blue shark</x:v>
      </x:c>
      <x:c r="G63" s="24" t="str">
        <x:v>Large sharks (&gt;=90 cm)</x:v>
      </x:c>
      <x:c r="H63" s="24" t="str">
        <x:v>Sharks &amp; rays</x:v>
      </x:c>
      <x:c r="I63" s="31" t="n">
        <x:v>4.9120483126000005</x:v>
      </x:c>
      <x:c r="J63" s="31" t="n">
        <x:v>4.9120483126000005</x:v>
      </x:c>
      <x:c r="K63" s="31" t="n">
        <x:v>0</x:v>
      </x:c>
      <x:c r="L63" s="31" t="n">
        <x:v>4.9120483126000005</x:v>
      </x:c>
      <x:c r="M63" s="31" t="n">
        <x:v>0</x:v>
      </x:c>
      <x:c r="N63" s="24" t="str">
        <x:v>prionace glauca</x:v>
      </x:c>
      <x:c r="O63" s="32" t="n">
        <x:v>4.35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Prionace glauca</x:v>
      </x:c>
      <x:c r="T63" s="32" t="n">
        <x:f>IF(O63="","",(1/'Metadata'!$B$5)^(O63-1))</x:f>
        <x:v>2238.7211385683377</x:v>
      </x:c>
      <x:c r="U63" s="31" t="n">
        <x:f>IF(T63="","",I63*T63)</x:f>
        <x:v>10996.706391086555</x:v>
      </x:c>
    </x:row>
    <x:row r="64" ht="18" customHeight="1">
      <x:c r="A64" s="24" t="str">
        <x:v>EEZ_328</x:v>
      </x:c>
      <x:c r="B64" s="24" t="str">
        <x:v>Guyana</x:v>
      </x:c>
      <x:c r="C64" s="24" t="str">
        <x:v>EEZ</x:v>
      </x:c>
      <x:c r="D64" s="30" t="n">
        <x:v>2019</x:v>
      </x:c>
      <x:c r="E64" s="24" t="str">
        <x:v>Sarda sarda</x:v>
      </x:c>
      <x:c r="F64" s="24" t="str">
        <x:v>Atlantic bonito</x:v>
      </x:c>
      <x:c r="G64" s="24" t="str">
        <x:v>Medium pelagics (30 - 89 cm)</x:v>
      </x:c>
      <x:c r="H64" s="24" t="str">
        <x:v>Tuna &amp; billfishes</x:v>
      </x:c>
      <x:c r="I64" s="31" t="n">
        <x:v>0.9833501393999999</x:v>
      </x:c>
      <x:c r="J64" s="31" t="n">
        <x:v>0.9833501393999999</x:v>
      </x:c>
      <x:c r="K64" s="31" t="n">
        <x:v>0</x:v>
      </x:c>
      <x:c r="L64" s="31" t="n">
        <x:v>0.9833501393999999</x:v>
      </x:c>
      <x:c r="M64" s="31" t="n">
        <x:v>0</x:v>
      </x:c>
      <x:c r="N64" s="24" t="str">
        <x:v>sarda sarda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Sarda sarda</x:v>
      </x:c>
      <x:c r="T64" s="32" t="n">
        <x:f>IF(O64="","",(1/'Metadata'!$B$5)^(O64-1))</x:f>
        <x:v>3162.2776601683795</x:v>
      </x:c>
      <x:c r="U64" s="31" t="n">
        <x:f>IF(T64="","",I64*T64)</x:f>
        <x:v>3109.6261779480815</x:v>
      </x:c>
    </x:row>
    <x:row r="65" ht="18" customHeight="1">
      <x:c r="A65" s="24" t="str">
        <x:v>EEZ_328</x:v>
      </x:c>
      <x:c r="B65" s="24" t="str">
        <x:v>Guyana</x:v>
      </x:c>
      <x:c r="C65" s="24" t="str">
        <x:v>EEZ</x:v>
      </x:c>
      <x:c r="D65" s="30" t="n">
        <x:v>2019</x:v>
      </x:c>
      <x:c r="E65" s="24" t="str">
        <x:v>Isurus oxyrinchus</x:v>
      </x:c>
      <x:c r="F65" s="24" t="str">
        <x:v>Shortfin mako</x:v>
      </x:c>
      <x:c r="G65" s="24" t="str">
        <x:v>Large sharks (&gt;=90 cm)</x:v>
      </x:c>
      <x:c r="H65" s="24" t="str">
        <x:v>Sharks &amp; rays</x:v>
      </x:c>
      <x:c r="I65" s="31" t="n">
        <x:v>0.783334012</x:v>
      </x:c>
      <x:c r="J65" s="31" t="n">
        <x:v>0.783334012</x:v>
      </x:c>
      <x:c r="K65" s="31" t="n">
        <x:v>0</x:v>
      </x:c>
      <x:c r="L65" s="31" t="n">
        <x:v>0.783334012</x:v>
      </x:c>
      <x:c r="M65" s="31" t="n">
        <x:v>0</x:v>
      </x:c>
      <x:c r="N65" s="24" t="str">
        <x:v>isurus oxyrinchus</x:v>
      </x:c>
      <x:c r="O65" s="32" t="n">
        <x:v>4.5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Isurus oxyrinchus</x:v>
      </x:c>
      <x:c r="T65" s="32" t="n">
        <x:f>IF(O65="","",(1/'Metadata'!$B$5)^(O65-1))</x:f>
        <x:v>3162.2776601683795</x:v>
      </x:c>
      <x:c r="U65" s="31" t="n">
        <x:f>IF(T65="","",I65*T65)</x:f>
        <x:v>2477.119646597669</x:v>
      </x:c>
    </x:row>
    <x:row r="66" ht="18" customHeight="1">
      <x:c r="A66" s="24" t="str">
        <x:v>EEZ_328</x:v>
      </x:c>
      <x:c r="B66" s="24" t="str">
        <x:v>Guyana</x:v>
      </x:c>
      <x:c r="C66" s="24" t="str">
        <x:v>EEZ</x:v>
      </x:c>
      <x:c r="D66" s="30" t="n">
        <x:v>2019</x:v>
      </x:c>
      <x:c r="E66" s="24" t="str">
        <x:v>Harengula jaguana</x:v>
      </x:c>
      <x:c r="F66" s="24" t="str">
        <x:v>Scaled herring</x:v>
      </x:c>
      <x:c r="G66" s="24" t="str">
        <x:v>Small pelagics (&lt;30 cm)</x:v>
      </x:c>
      <x:c r="H66" s="24" t="str">
        <x:v>Herring-likes</x:v>
      </x:c>
      <x:c r="I66" s="31" t="n">
        <x:v>0.683890231</x:v>
      </x:c>
      <x:c r="J66" s="31" t="n">
        <x:v>0.683890231</x:v>
      </x:c>
      <x:c r="K66" s="31" t="n">
        <x:v>0</x:v>
      </x:c>
      <x:c r="L66" s="31" t="n">
        <x:v>0.683890231</x:v>
      </x:c>
      <x:c r="M66" s="31" t="n">
        <x:v>0</x:v>
      </x:c>
      <x:c r="N66" s="24" t="str">
        <x:v>harengula jaguana</x:v>
      </x:c>
      <x:c r="O66" s="32" t="n">
        <x:v>3.42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Harengula jaguana</x:v>
      </x:c>
      <x:c r="T66" s="32" t="n">
        <x:f>IF(O66="","",(1/'Metadata'!$B$5)^(O66-1))</x:f>
        <x:v>263.02679918953817</x:v>
      </x:c>
      <x:c r="U66" s="31" t="n">
        <x:f>IF(T66="","",I66*T66)</x:f>
        <x:v>179.88145845692387</x:v>
      </x:c>
    </x:row>
    <x:row r="67" ht="18" customHeight="1">
      <x:c r="A67" s="24" t="str">
        <x:v>EEZ_328</x:v>
      </x:c>
      <x:c r="B67" s="24" t="str">
        <x:v>Guyana</x:v>
      </x:c>
      <x:c r="C67" s="24" t="str">
        <x:v>EEZ</x:v>
      </x:c>
      <x:c r="D67" s="30" t="n">
        <x:v>2019</x:v>
      </x:c>
      <x:c r="E67" s="24" t="str">
        <x:v>Sphyraena barracuda</x:v>
      </x:c>
      <x:c r="F67" s="24" t="str">
        <x:v>Great barracuda</x:v>
      </x:c>
      <x:c r="G67" s="24" t="str">
        <x:v>Large pelagics (&gt;=90 cm)</x:v>
      </x:c>
      <x:c r="H67" s="24" t="str">
        <x:v>Perch-likes</x:v>
      </x:c>
      <x:c r="I67" s="31" t="n">
        <x:v>0.4548687113</x:v>
      </x:c>
      <x:c r="J67" s="31" t="n">
        <x:v>0.4548687113</x:v>
      </x:c>
      <x:c r="K67" s="31" t="n">
        <x:v>0</x:v>
      </x:c>
      <x:c r="L67" s="31" t="n">
        <x:v>0.4548687113</x:v>
      </x:c>
      <x:c r="M67" s="31" t="n">
        <x:v>0</x:v>
      </x:c>
      <x:c r="N67" s="24" t="str">
        <x:v>sphyraena barracuda</x:v>
      </x:c>
      <x:c r="O67" s="32" t="n">
        <x:v>4.49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Sphyraena barracuda</x:v>
      </x:c>
      <x:c r="T67" s="32" t="n">
        <x:f>IF(O67="","",(1/'Metadata'!$B$5)^(O67-1))</x:f>
        <x:v>3090.295432513592</x:v>
      </x:c>
      <x:c r="U67" s="31" t="n">
        <x:f>IF(T67="","",I67*T67)</x:f>
        <x:v>1405.6787009237337</x:v>
      </x:c>
    </x:row>
    <x:row r="68" ht="18" customHeight="1">
      <x:c r="A68" s="24" t="str">
        <x:v>EEZ_328</x:v>
      </x:c>
      <x:c r="B68" s="24" t="str">
        <x:v>Guyana</x:v>
      </x:c>
      <x:c r="C68" s="24" t="str">
        <x:v>EEZ</x:v>
      </x:c>
      <x:c r="D68" s="30" t="n">
        <x:v>2019</x:v>
      </x:c>
      <x:c r="E68" s="24" t="str">
        <x:v>Tetrapturus pfluegeri</x:v>
      </x:c>
      <x:c r="F68" s="24" t="str">
        <x:v>Longbill spearfish</x:v>
      </x:c>
      <x:c r="G68" s="24" t="str">
        <x:v>Large pelagics (&gt;=90 cm)</x:v>
      </x:c>
      <x:c r="H68" s="24" t="str">
        <x:v>Tuna &amp; billfishes</x:v>
      </x:c>
      <x:c r="I68" s="31" t="n">
        <x:v>0.4093392737</x:v>
      </x:c>
      <x:c r="J68" s="31" t="n">
        <x:v>0.4093392737</x:v>
      </x:c>
      <x:c r="K68" s="31" t="n">
        <x:v>0</x:v>
      </x:c>
      <x:c r="L68" s="31" t="n">
        <x:v>0.4093392737</x:v>
      </x:c>
      <x:c r="M68" s="31" t="n">
        <x:v>0</x:v>
      </x:c>
      <x:c r="N68" s="24" t="str">
        <x:v>tetrapturus pfluegeri</x:v>
      </x:c>
      <x:c r="O68" s="32" t="n">
        <x:v>4.4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Tetrapturus pfluegeri</x:v>
      </x:c>
      <x:c r="T68" s="32" t="n">
        <x:f>IF(O68="","",(1/'Metadata'!$B$5)^(O68-1))</x:f>
        <x:v>2511.886431509582</x:v>
      </x:c>
      <x:c r="U68" s="31" t="n">
        <x:f>IF(T68="","",I68*T68)</x:f>
        <x:v>1028.213767491017</x:v>
      </x:c>
    </x:row>
    <x:row r="69" ht="18" customHeight="1">
      <x:c r="A69" s="24" t="str">
        <x:v>EEZ_328</x:v>
      </x:c>
      <x:c r="B69" s="24" t="str">
        <x:v>Guyana</x:v>
      </x:c>
      <x:c r="C69" s="24" t="str">
        <x:v>EEZ</x:v>
      </x:c>
      <x:c r="D69" s="30" t="n">
        <x:v>2019</x:v>
      </x:c>
      <x:c r="E69" s="24" t="str">
        <x:v>Katsuwonus pelamis</x:v>
      </x:c>
      <x:c r="F69" s="24" t="str">
        <x:v>Skipjack tuna</x:v>
      </x:c>
      <x:c r="G69" s="24" t="str">
        <x:v>Large pelagics (&gt;=90 cm)</x:v>
      </x:c>
      <x:c r="H69" s="24" t="str">
        <x:v>Tuna &amp; billfishes</x:v>
      </x:c>
      <x:c r="I69" s="31" t="n">
        <x:v>0.3982261775</x:v>
      </x:c>
      <x:c r="J69" s="31" t="n">
        <x:v>0.3982261775</x:v>
      </x:c>
      <x:c r="K69" s="31" t="n">
        <x:v>0</x:v>
      </x:c>
      <x:c r="L69" s="31" t="n">
        <x:v>0.3982261775</x:v>
      </x:c>
      <x:c r="M69" s="31" t="n">
        <x:v>0</x:v>
      </x:c>
      <x:c r="N69" s="24" t="str">
        <x:v>katsuwonus pelamis</x:v>
      </x:c>
      <x:c r="O69" s="32" t="n">
        <x:v>4.43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Katsuwonus pelamis</x:v>
      </x:c>
      <x:c r="T69" s="32" t="n">
        <x:f>IF(O69="","",(1/'Metadata'!$B$5)^(O69-1))</x:f>
        <x:v>2691.534803926914</x:v>
      </x:c>
      <x:c r="U69" s="31" t="n">
        <x:f>IF(T69="","",I69*T69)</x:f>
        <x:v>1071.8396165760269</x:v>
      </x:c>
    </x:row>
    <x:row r="70" ht="18" customHeight="1">
      <x:c r="A70" s="24" t="str">
        <x:v>EEZ_328</x:v>
      </x:c>
      <x:c r="B70" s="24" t="str">
        <x:v>Guyana</x:v>
      </x:c>
      <x:c r="C70" s="24" t="str">
        <x:v>EEZ</x:v>
      </x:c>
      <x:c r="D70" s="30" t="n">
        <x:v>2019</x:v>
      </x:c>
      <x:c r="E70" s="24" t="str">
        <x:v>Istiophoridae</x:v>
      </x:c>
      <x:c r="F70" s="24" t="str">
        <x:v>Billfishes</x:v>
      </x:c>
      <x:c r="G70" s="24" t="str">
        <x:v>Large pelagics (&gt;=90 cm)</x:v>
      </x:c>
      <x:c r="H70" s="24" t="str">
        <x:v>Tuna &amp; billfishes</x:v>
      </x:c>
      <x:c r="I70" s="31" t="n">
        <x:v>0.1528455662</x:v>
      </x:c>
      <x:c r="J70" s="31" t="n">
        <x:v>0.1528455662</x:v>
      </x:c>
      <x:c r="K70" s="31" t="n">
        <x:v>0</x:v>
      </x:c>
      <x:c r="L70" s="31" t="n">
        <x:v>0.1528455662</x:v>
      </x:c>
      <x:c r="M70" s="31" t="n">
        <x:v>0</x:v>
      </x:c>
      <x:c r="N70" s="24" t="str">
        <x:v>istiophoridae</x:v>
      </x:c>
      <x:c r="O70" s="32" t="n">
        <x:v>4.48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Istiophoridae</x:v>
      </x:c>
      <x:c r="T70" s="32" t="n">
        <x:f>IF(O70="","",(1/'Metadata'!$B$5)^(O70-1))</x:f>
        <x:v>3019.951720402019</x:v>
      </x:c>
      <x:c r="U70" s="31" t="n">
        <x:f>IF(T70="","",I70*T70)</x:f>
        <x:v>461.5862306015107</x:v>
      </x:c>
    </x:row>
    <x:row r="71" ht="18" customHeight="1">
      <x:c r="A71" s="24" t="str">
        <x:v>EEZ_328</x:v>
      </x:c>
      <x:c r="B71" s="24" t="str">
        <x:v>Guyana</x:v>
      </x:c>
      <x:c r="C71" s="24" t="str">
        <x:v>EEZ</x:v>
      </x:c>
      <x:c r="D71" s="30" t="n">
        <x:v>2019</x:v>
      </x:c>
      <x:c r="E71" s="24" t="str">
        <x:v>Ruvettus pretiosus</x:v>
      </x:c>
      <x:c r="F71" s="24" t="str">
        <x:v>Oilfish</x:v>
      </x:c>
      <x:c r="G71" s="24" t="str">
        <x:v>Large benthopelagics (&gt;=90 cm)</x:v>
      </x:c>
      <x:c r="H71" s="24" t="str">
        <x:v>Perch-likes</x:v>
      </x:c>
      <x:c r="I71" s="31" t="n">
        <x:v>0.0504628221</x:v>
      </x:c>
      <x:c r="J71" s="31" t="n">
        <x:v>0.0504628221</x:v>
      </x:c>
      <x:c r="K71" s="31" t="n">
        <x:v>0</x:v>
      </x:c>
      <x:c r="L71" s="31" t="n">
        <x:v>0.0504628221</x:v>
      </x:c>
      <x:c r="M71" s="31" t="n">
        <x:v>0</x:v>
      </x:c>
      <x:c r="N71" s="24" t="str">
        <x:v>ruvettus pretiosus</x:v>
      </x:c>
      <x:c r="O71" s="32" t="n">
        <x:v>4.18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Ruvettus pretiosus</x:v>
      </x:c>
      <x:c r="T71" s="32" t="n">
        <x:f>IF(O71="","",(1/'Metadata'!$B$5)^(O71-1))</x:f>
        <x:v>1513.5612484362073</x:v>
      </x:c>
      <x:c r="U71" s="31" t="n">
        <x:f>IF(T71="","",I71*T71)</x:f>
        <x:v>76.37857201729022</x:v>
      </x:c>
    </x:row>
    <x:row r="72" ht="18" customHeight="1">
      <x:c r="A72" s="24" t="str">
        <x:v>EEZ_328</x:v>
      </x:c>
      <x:c r="B72" s="24" t="str">
        <x:v>Guyana</x:v>
      </x:c>
      <x:c r="C72" s="24" t="str">
        <x:v>EEZ</x:v>
      </x:c>
      <x:c r="D72" s="30" t="n">
        <x:v>2019</x:v>
      </x:c>
      <x:c r="E72" s="24" t="str">
        <x:v>Elasmobranchii</x:v>
      </x:c>
      <x:c r="F72" s="24" t="str">
        <x:v>Sharks, rays, skates</x:v>
      </x:c>
      <x:c r="G72" s="24" t="str">
        <x:v>Large sharks (&gt;=90 cm)</x:v>
      </x:c>
      <x:c r="H72" s="24" t="str">
        <x:v>Sharks &amp; rays</x:v>
      </x:c>
      <x:c r="I72" s="31" t="n">
        <x:v>0.0376634802</x:v>
      </x:c>
      <x:c r="J72" s="31" t="n">
        <x:v>0.0376634802</x:v>
      </x:c>
      <x:c r="K72" s="31" t="n">
        <x:v>0</x:v>
      </x:c>
      <x:c r="L72" s="31" t="n">
        <x:v>0.0376634802</x:v>
      </x:c>
      <x:c r="M72" s="31" t="n">
        <x:v>0</x:v>
      </x:c>
      <x:c r="N72" s="24" t="str">
        <x:v>elasmobranchii</x:v>
      </x:c>
      <x:c r="O72" s="32" t="n">
        <x:v>4.05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Elasmobranchii</x:v>
      </x:c>
      <x:c r="T72" s="32" t="n">
        <x:f>IF(O72="","",(1/'Metadata'!$B$5)^(O72-1))</x:f>
        <x:v>1122.018454301963</x:v>
      </x:c>
      <x:c r="U72" s="31" t="n">
        <x:f>IF(T72="","",I72*T72)</x:f>
        <x:v>42.25911983763659</x:v>
      </x:c>
    </x:row>
    <x:row r="73" ht="18" customHeight="1">
      <x:c r="A73" s="24" t="str">
        <x:v>EEZ_328</x:v>
      </x:c>
      <x:c r="B73" s="24" t="str">
        <x:v>Guyana</x:v>
      </x:c>
      <x:c r="C73" s="24" t="str">
        <x:v>EEZ</x:v>
      </x:c>
      <x:c r="D73" s="30" t="n">
        <x:v>2019</x:v>
      </x:c>
      <x:c r="E73" s="24" t="str">
        <x:v>Carcharhinus falciformis</x:v>
      </x:c>
      <x:c r="F73" s="24" t="str">
        <x:v>Silky shark</x:v>
      </x:c>
      <x:c r="G73" s="24" t="str">
        <x:v>Large sharks (&gt;=90 cm)</x:v>
      </x:c>
      <x:c r="H73" s="24" t="str">
        <x:v>Sharks &amp; rays</x:v>
      </x:c>
      <x:c r="I73" s="31" t="n">
        <x:v>0.0001822179</x:v>
      </x:c>
      <x:c r="J73" s="31" t="n">
        <x:v>0.0001822179</x:v>
      </x:c>
      <x:c r="K73" s="31" t="n">
        <x:v>0</x:v>
      </x:c>
      <x:c r="L73" s="31" t="n">
        <x:v>0.0001822179</x:v>
      </x:c>
      <x:c r="M73" s="31" t="n">
        <x:v>0</x:v>
      </x:c>
      <x:c r="N73" s="24" t="str">
        <x:v>carcharhinus falciformis</x:v>
      </x:c>
      <x:c r="O73" s="32" t="n">
        <x:v>4.51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Carcharhinus falciformis</x:v>
      </x:c>
      <x:c r="T73" s="32" t="n">
        <x:f>IF(O73="","",(1/'Metadata'!$B$5)^(O73-1))</x:f>
        <x:v>3235.936569296281</x:v>
      </x:c>
      <x:c r="U73" s="31" t="n">
        <x:f>IF(T73="","",I73*T73)</x:f>
        <x:v>0.5896455661903728</x:v>
      </x:c>
    </x:row>
    <x:row r="74" ht="18" customHeight="1">
      <x:c r="A74" s="24" t="str">
        <x:v>EEZ_328</x:v>
      </x:c>
      <x:c r="B74" s="24" t="str">
        <x:v>Guyana</x:v>
      </x:c>
      <x:c r="C74" s="24" t="str">
        <x:v>EEZ</x:v>
      </x:c>
      <x:c r="D74" s="30" t="n">
        <x:v>2019</x:v>
      </x:c>
      <x:c r="E74" s="24" t="str">
        <x:v>Euthynnus alletteratus</x:v>
      </x:c>
      <x:c r="F74" s="24" t="str">
        <x:v>Little tunny </x:v>
      </x:c>
      <x:c r="G74" s="24" t="str">
        <x:v>Large pelagics (&gt;=90 cm)</x:v>
      </x:c>
      <x:c r="H74" s="24" t="str">
        <x:v>Tuna &amp; billfishes</x:v>
      </x:c>
      <x:c r="I74" s="31" t="n">
        <x:v>6.456e-7</x:v>
      </x:c>
      <x:c r="J74" s="31" t="n">
        <x:v>6.456e-7</x:v>
      </x:c>
      <x:c r="K74" s="31" t="n">
        <x:v>0</x:v>
      </x:c>
      <x:c r="L74" s="31" t="n">
        <x:v>6.456e-7</x:v>
      </x:c>
      <x:c r="M74" s="31" t="n">
        <x:v>0</x:v>
      </x:c>
      <x:c r="N74" s="24" t="str">
        <x:v>euthynnus alletteratus</x:v>
      </x:c>
      <x:c r="O74" s="32" t="n">
        <x:v>4.49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Euthynnus alletteratus</x:v>
      </x:c>
      <x:c r="T74" s="32" t="n">
        <x:f>IF(O74="","",(1/'Metadata'!$B$5)^(O74-1))</x:f>
        <x:v>3090.295432513592</x:v>
      </x:c>
      <x:c r="U74" s="31" t="n">
        <x:f>IF(T74="","",I74*T74)</x:f>
        <x:v>0.001995094731230775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c527568a29c4ec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15715.24061618</x:v>
      </x:c>
      <x:c r="C2" s="32" t="n">
        <x:v>2.6588458951982497</x:v>
      </x:c>
      <x:c r="D2" s="32" t="n">
        <x:f>IF(C2="","",(1/'Metadata'!$B$5)^(C2-1))</x:f>
        <x:v>45.587512478351435</x:v>
      </x:c>
      <x:c r="E2" s="31" t="n">
        <x:f>IF(B2=0,"",B2*D2)</x:f>
        <x:v>716418.7276904011</x:v>
      </x:c>
    </x:row>
    <x:row r="3" ht="18" customHeight="1">
      <x:c r="A3" s="24" t="str">
        <x:v>Flatfishes</x:v>
      </x:c>
      <x:c r="B3" s="31" t="n">
        <x:v>454.591606626</x:v>
      </x:c>
      <x:c r="C3" s="32" t="n">
        <x:v>3.7700000000000005</x:v>
      </x:c>
      <x:c r="D3" s="32" t="n">
        <x:f>IF(C3="","",(1/'Metadata'!$B$5)^(C3-1))</x:f>
        <x:v>588.8436553555896</x:v>
      </x:c>
      <x:c r="E3" s="31" t="n">
        <x:f>IF(B3=0,"",B3*D3)</x:f>
        <x:v>267683.3833396241</x:v>
      </x:c>
    </x:row>
    <x:row r="4" ht="18" customHeight="1">
      <x:c r="A4" s="24" t="str">
        <x:v>Herring-likes</x:v>
      </x:c>
      <x:c r="B4" s="31" t="n">
        <x:v>0.683890231</x:v>
      </x:c>
      <x:c r="C4" s="32" t="n">
        <x:v>3.4199999999999995</x:v>
      </x:c>
      <x:c r="D4" s="32" t="n">
        <x:f>IF(C4="","",(1/'Metadata'!$B$5)^(C4-1))</x:f>
        <x:v>263.0267991895379</x:v>
      </x:c>
      <x:c r="E4" s="31" t="n">
        <x:f>IF(B4=0,"",B4*D4)</x:f>
        <x:v>179.88145845692367</x:v>
      </x:c>
    </x:row>
    <x:row r="5" ht="18" customHeight="1">
      <x:c r="A5" s="24" t="str">
        <x:v>Other fishes &amp; inverts</x:v>
      </x:c>
      <x:c r="B5" s="31" t="n">
        <x:v>24187.2868743558</x:v>
      </x:c>
      <x:c r="C5" s="32" t="n">
        <x:v>3.4337253513492434</x:v>
      </x:c>
      <x:c r="D5" s="32" t="n">
        <x:f>IF(C5="","",(1/'Metadata'!$B$5)^(C5-1))</x:f>
        <x:v>271.47219305952075</x:v>
      </x:c>
      <x:c r="E5" s="31" t="n">
        <x:f>IF(B5=0,"",B5*D5)</x:f>
        <x:v>6566175.81194113</x:v>
      </x:c>
    </x:row>
    <x:row r="6" ht="18" customHeight="1">
      <x:c r="A6" s="24" t="str">
        <x:v>Perch-likes</x:v>
      </x:c>
      <x:c r="B6" s="31" t="n">
        <x:v>15322.247798852502</x:v>
      </x:c>
      <x:c r="C6" s="32" t="n">
        <x:v>3.8232345688842932</x:v>
      </x:c>
      <x:c r="D6" s="32" t="n">
        <x:f>IF(C6="","",(1/'Metadata'!$B$5)^(C6-1))</x:f>
        <x:v>665.6325771458129</x:v>
      </x:c>
      <x:c r="E6" s="31" t="n">
        <x:f>IF(B6=0,"",B6*D6)</x:f>
        <x:v>10198987.29001695</x:v>
      </x:c>
    </x:row>
    <x:row r="7" ht="18" customHeight="1">
      <x:c r="A7" s="24" t="str">
        <x:v>Scorpionfishes</x:v>
      </x:c>
      <x:c r="B7" s="31" t="n">
        <x:v>357.28379665700004</x:v>
      </x:c>
      <x:c r="C7" s="32" t="n">
        <x:v>3.7799999999999994</x:v>
      </x:c>
      <x:c r="D7" s="32" t="n">
        <x:f>IF(C7="","",(1/'Metadata'!$B$5)^(C7-1))</x:f>
        <x:v>602.5595860743568</x:v>
      </x:c>
      <x:c r="E7" s="31" t="n">
        <x:f>IF(B7=0,"",B7*D7)</x:f>
        <x:v>215284.77662471661</x:v>
      </x:c>
    </x:row>
    <x:row r="8" ht="18" customHeight="1">
      <x:c r="A8" s="24" t="str">
        <x:v>Sharks &amp; rays</x:v>
      </x:c>
      <x:c r="B8" s="31" t="n">
        <x:v>883.4950688226999</x:v>
      </x:c>
      <x:c r="C8" s="32" t="n">
        <x:v>4.002391479132267</x:v>
      </x:c>
      <x:c r="D8" s="32" t="n">
        <x:f>IF(C8="","",(1/'Metadata'!$B$5)^(C8-1))</x:f>
        <x:v>1005.5217733021648</x:v>
      </x:c>
      <x:c r="E8" s="31" t="n">
        <x:f>IF(B8=0,"",B8*D8)</x:f>
        <x:v>888373.5283063193</x:v>
      </x:c>
    </x:row>
    <x:row r="9" ht="18" customHeight="1">
      <x:c r="A9" s="24" t="str">
        <x:v>Tuna &amp; billfishes</x:v>
      </x:c>
      <x:c r="B9" s="31" t="n">
        <x:v>567.1712206034999</x:v>
      </x:c>
      <x:c r="C9" s="32" t="n">
        <x:v>4.301260678509164</x:v>
      </x:c>
      <x:c r="D9" s="32" t="n">
        <x:f>IF(C9="","",(1/'Metadata'!$B$5)^(C9-1))</x:f>
        <x:v>2001.0626159492688</x:v>
      </x:c>
      <x:c r="E9" s="31" t="n">
        <x:f>IF(B9=0,"",B9*D9)</x:f>
        <x:v>1134945.1263919794</x:v>
      </x:c>
    </x:row>
  </x:sheetData>
  <x:pageMargins left="0.7" right="0.7" top="0.75" bottom="0.75" header="0.3" footer="0.3"/>
  <x:tableParts count="1">
    <x:tablePart xmlns:r="http://schemas.openxmlformats.org/officeDocument/2006/relationships" r:id="R0fc6f3140ea342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1009.8934671581</x:v>
      </x:c>
      <x:c r="C2" s="32" t="n">
        <x:v>4.053506780328305</x:v>
      </x:c>
      <x:c r="D2" s="32" t="n">
        <x:f>IF(C2="","",(1/'Metadata'!$B$5)^(C2-1))</x:f>
        <x:v>1131.1150484839623</x:v>
      </x:c>
      <x:c r="E2" s="31" t="n">
        <x:f>IF(B2=0,"",B2*D2)</x:f>
        <x:v>1142305.698068171</x:v>
      </x:c>
    </x:row>
    <x:row r="3" ht="18" customHeight="1">
      <x:c r="A3" s="24" t="str">
        <x:v>Large demersals (&gt;=90 cm)</x:v>
      </x:c>
      <x:c r="B3" s="31" t="n">
        <x:v>2313.599038468</x:v>
      </x:c>
      <x:c r="C3" s="32" t="n">
        <x:v>4.055805108428107</x:v>
      </x:c>
      <x:c r="D3" s="32" t="n">
        <x:f>IF(C3="","",(1/'Metadata'!$B$5)^(C3-1))</x:f>
        <x:v>1137.1168850721504</x:v>
      </x:c>
      <x:c r="E3" s="31" t="n">
        <x:f>IF(B3=0,"",B3*D3)</x:f>
        <x:v>2630832.5319286543</x:v>
      </x:c>
    </x:row>
    <x:row r="4" ht="18" customHeight="1">
      <x:c r="A4" s="24" t="str">
        <x:v>Large pelagics (&gt;=90 cm)</x:v>
      </x:c>
      <x:c r="B4" s="31" t="n">
        <x:v>2878.1908704981</x:v>
      </x:c>
      <x:c r="C4" s="32" t="n">
        <x:v>4.15280003964381</x:v>
      </x:c>
      <x:c r="D4" s="32" t="n">
        <x:f>IF(C4="","",(1/'Metadata'!$B$5)^(C4-1))</x:f>
        <x:v>1421.674061083021</x:v>
      </x:c>
      <x:c r="E4" s="31" t="n">
        <x:f>IF(B4=0,"",B4*D4)</x:f>
        <x:v>4091849.303433109</x:v>
      </x:c>
    </x:row>
    <x:row r="5" ht="18" customHeight="1">
      <x:c r="A5" s="24" t="str">
        <x:v>Large sharks (&gt;=90 cm)</x:v>
      </x:c>
      <x:c r="B5" s="31" t="n">
        <x:v>883.4950688226999</x:v>
      </x:c>
      <x:c r="C5" s="32" t="n">
        <x:v>4.002391479132267</x:v>
      </x:c>
      <x:c r="D5" s="32" t="n">
        <x:f>IF(C5="","",(1/'Metadata'!$B$5)^(C5-1))</x:f>
        <x:v>1005.5217733021648</x:v>
      </x:c>
      <x:c r="E5" s="31" t="n">
        <x:f>IF(B5=0,"",B5*D5)</x:f>
        <x:v>888373.5283063193</x:v>
      </x:c>
    </x:row>
    <x:row r="6" ht="18" customHeight="1">
      <x:c r="A6" s="24" t="str">
        <x:v>Medium benthopelagics (30 - 89 cm)</x:v>
      </x:c>
      <x:c r="B6" s="31" t="n">
        <x:v>188.029705664</x:v>
      </x:c>
      <x:c r="C6" s="32" t="n">
        <x:v>3.92</x:v>
      </x:c>
      <x:c r="D6" s="32" t="n">
        <x:f>IF(C6="","",(1/'Metadata'!$B$5)^(C6-1))</x:f>
        <x:v>831.7637711026708</x:v>
      </x:c>
      <x:c r="E6" s="31" t="n">
        <x:f>IF(B6=0,"",B6*D6)</x:f>
        <x:v>156396.29706241388</x:v>
      </x:c>
    </x:row>
    <x:row r="7" ht="18" customHeight="1">
      <x:c r="A7" s="24" t="str">
        <x:v>Medium demersals (30 - 89 cm)</x:v>
      </x:c>
      <x:c r="B7" s="31" t="n">
        <x:v>26119.323997024</x:v>
      </x:c>
      <x:c r="C7" s="32" t="n">
        <x:v>3.4646860096297156</x:v>
      </x:c>
      <x:c r="D7" s="32" t="n">
        <x:f>IF(C7="","",(1/'Metadata'!$B$5)^(C7-1))</x:f>
        <x:v>291.5318507075019</x:v>
      </x:c>
      <x:c r="E7" s="31" t="n">
        <x:f>IF(B7=0,"",B7*D7)</x:f>
        <x:v>7614614.864081273</x:v>
      </x:c>
    </x:row>
    <x:row r="8" ht="18" customHeight="1">
      <x:c r="A8" s="24" t="str">
        <x:v>Medium pelagics (30 - 89 cm)</x:v>
      </x:c>
      <x:c r="B8" s="31" t="n">
        <x:v>744.0807577916</x:v>
      </x:c>
      <x:c r="C8" s="32" t="n">
        <x:v>3.535325572883254</x:v>
      </x:c>
      <x:c r="D8" s="32" t="n">
        <x:f>IF(C8="","",(1/'Metadata'!$B$5)^(C8-1))</x:f>
        <x:v>343.02484193422987</x:v>
      </x:c>
      <x:c r="E8" s="31" t="n">
        <x:f>IF(B8=0,"",B8*D8)</x:f>
        <x:v>255238.18432776557</x:v>
      </x:c>
    </x:row>
    <x:row r="9" ht="18" customHeight="1">
      <x:c r="A9" s="24" t="str">
        <x:v>Medium reef assoc. fish (30 - 89 cm)</x:v>
      </x:c>
      <x:c r="B9" s="31" t="n">
        <x:v>3178.009784108</x:v>
      </x:c>
      <x:c r="C9" s="32" t="n">
        <x:v>3.565860662784094</x:v>
      </x:c>
      <x:c r="D9" s="32" t="n">
        <x:f>IF(C9="","",(1/'Metadata'!$B$5)^(C9-1))</x:f>
        <x:v>368.010883634916</x:v>
      </x:c>
      <x:c r="E9" s="31" t="n">
        <x:f>IF(B9=0,"",B9*D9)</x:f>
        <x:v>1169542.1888499937</x:v>
      </x:c>
    </x:row>
    <x:row r="10" ht="18" customHeight="1">
      <x:c r="A10" s="24" t="str">
        <x:v>Shrimps</x:v>
      </x:c>
      <x:c r="B10" s="31" t="n">
        <x:v>15715.24061618</x:v>
      </x:c>
      <x:c r="C10" s="32" t="n">
        <x:v>2.6588458951982497</x:v>
      </x:c>
      <x:c r="D10" s="32" t="n">
        <x:f>IF(C10="","",(1/'Metadata'!$B$5)^(C10-1))</x:f>
        <x:v>45.587512478351435</x:v>
      </x:c>
      <x:c r="E10" s="31" t="n">
        <x:f>IF(B10=0,"",B10*D10)</x:f>
        <x:v>716418.7276904011</x:v>
      </x:c>
    </x:row>
    <x:row r="11" ht="18" customHeight="1">
      <x:c r="A11" s="24" t="str">
        <x:v>Small demersals (&lt;30 cm)</x:v>
      </x:c>
      <x:c r="B11" s="31" t="n">
        <x:v>3979.9028977020002</x:v>
      </x:c>
      <x:c r="C11" s="32" t="n">
        <x:v>3.6954411851485762</x:v>
      </x:c>
      <x:c r="D11" s="32" t="n">
        <x:f>IF(C11="","",(1/'Metadata'!$B$5)^(C11-1))</x:f>
        <x:v>495.9537577149599</x:v>
      </x:c>
      <x:c r="E11" s="31" t="n">
        <x:f>IF(B11=0,"",B11*D11)</x:f>
        <x:v>1973847.7974559648</x:v>
      </x:c>
    </x:row>
    <x:row r="12" ht="18" customHeight="1">
      <x:c r="A12" s="24" t="str">
        <x:v>Small pelagics (&lt;30 cm)</x:v>
      </x:c>
      <x:c r="B12" s="31" t="n">
        <x:v>0.683890231</x:v>
      </x:c>
      <x:c r="C12" s="32" t="n">
        <x:v>3.4199999999999995</x:v>
      </x:c>
      <x:c r="D12" s="32" t="n">
        <x:f>IF(C12="","",(1/'Metadata'!$B$5)^(C12-1))</x:f>
        <x:v>263.0267991895379</x:v>
      </x:c>
      <x:c r="E12" s="31" t="n">
        <x:f>IF(B12=0,"",B12*D12)</x:f>
        <x:v>179.88145845692367</x:v>
      </x:c>
    </x:row>
    <x:row r="13" ht="18" customHeight="1">
      <x:c r="A13" s="24" t="str">
        <x:v>Small reef assoc. fish (&lt;30 cm)</x:v>
      </x:c>
      <x:c r="B13" s="31" t="n">
        <x:v>22.959172055</x:v>
      </x:c>
      <x:c r="C13" s="32" t="n">
        <x:v>3.9516170212737225</x:v>
      </x:c>
      <x:c r="D13" s="32" t="n">
        <x:f>IF(C13="","",(1/'Metadata'!$B$5)^(C13-1))</x:f>
        <x:v>894.5755441295034</x:v>
      </x:c>
      <x:c r="E13" s="31" t="n">
        <x:f>IF(B13=0,"",B13*D13)</x:f>
        <x:v>20538.713833864516</x:v>
      </x:c>
    </x:row>
    <x:row r="14" ht="18" customHeight="1">
      <x:c r="A14" s="24" t="str">
        <x:v>Small to medium flatfishes (&lt;90 cm)</x:v>
      </x:c>
      <x:c r="B14" s="31" t="n">
        <x:v>454.591606626</x:v>
      </x:c>
      <x:c r="C14" s="32" t="n">
        <x:v>3.7700000000000005</x:v>
      </x:c>
      <x:c r="D14" s="32" t="n">
        <x:f>IF(C14="","",(1/'Metadata'!$B$5)^(C14-1))</x:f>
        <x:v>588.8436553555896</x:v>
      </x:c>
      <x:c r="E14" s="31" t="n">
        <x:f>IF(B14=0,"",B14*D14)</x:f>
        <x:v>267683.3833396241</x:v>
      </x:c>
    </x:row>
  </x:sheetData>
  <x:pageMargins left="0.7" right="0.7" top="0.75" bottom="0.75" header="0.3" footer="0.3"/>
  <x:tableParts count="1">
    <x:tablePart xmlns:r="http://schemas.openxmlformats.org/officeDocument/2006/relationships" r:id="R5bba52d42ad5461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EEZ_328</x:v>
      </x:c>
      <x:c r="B2" s="24" t="str">
        <x:v>raw_filtered_tonnes</x:v>
      </x:c>
      <x:c r="C2" s="24" t="n">
        <x:v>57488.0008723285</x:v>
      </x:c>
      <x:c r="D2" s="24" t="str">
        <x:v>tonnes</x:v>
      </x:c>
    </x:row>
    <x:row r="3" ht="18" customHeight="1">
      <x:c r="A3" s="24" t="str">
        <x:v>EEZ_328</x:v>
      </x:c>
      <x:c r="B3" s="24" t="str">
        <x:v>species_catch_tonnes</x:v>
      </x:c>
      <x:c r="C3" s="24" t="n">
        <x:v>57488.00087232851</x:v>
      </x:c>
      <x:c r="D3" s="24" t="str">
        <x:v>tonnes</x:v>
      </x:c>
    </x:row>
    <x:row r="4" ht="18" customHeight="1">
      <x:c r="A4" s="24" t="str">
        <x:v>EEZ_328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EEZ_328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EEZ_328</x:v>
      </x:c>
      <x:c r="B6" s="24" t="str">
        <x:v>matched_catch_tonnes</x:v>
      </x:c>
      <x:c r="C6" s="24" t="n">
        <x:v>57488.00087232851</x:v>
      </x:c>
      <x:c r="D6" s="24" t="str">
        <x:v>tonnes</x:v>
      </x:c>
    </x:row>
    <x:row r="7" ht="18" customHeight="1">
      <x:c r="A7" s="24" t="str">
        <x:v>EEZ_328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EEZ_328</x:v>
      </x:c>
      <x:c r="B8" s="24" t="str">
        <x:v>taxa_count</x:v>
      </x:c>
      <x:c r="C8" s="24" t="n">
        <x:v>73</x:v>
      </x:c>
      <x:c r="D8" s="24" t="str">
        <x:v>count</x:v>
      </x:c>
    </x:row>
    <x:row r="9" ht="18" customHeight="1">
      <x:c r="A9" s="24" t="str">
        <x:v>EEZ_328</x:v>
      </x:c>
      <x:c r="B9" s="24" t="str">
        <x:v>matched_taxa_count</x:v>
      </x:c>
      <x:c r="C9" s="24" t="n">
        <x:v>73</x:v>
      </x:c>
      <x:c r="D9" s="24" t="str">
        <x:v>count</x:v>
      </x:c>
    </x:row>
    <x:row r="10" ht="18" customHeight="1">
      <x:c r="A10" s="24" t="str">
        <x:v>EEZ_328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EEZ_328</x:v>
      </x:c>
      <x:c r="B11" s="24" t="str">
        <x:v>species_ppr</x:v>
      </x:c>
      <x:c r="C11" s="24" t="n">
        <x:v>27398478.76825124</x:v>
      </x:c>
      <x:c r="D11" s="24" t="str">
        <x:v>tonnes_primary_production_equivalent</x:v>
      </x:c>
    </x:row>
    <x:row r="12" ht="18" customHeight="1">
      <x:c r="A12" s="24" t="str">
        <x:v>EEZ_328</x:v>
      </x:c>
      <x:c r="B12" s="24" t="str">
        <x:v>commercial_ppr</x:v>
      </x:c>
      <x:c r="C12" s="24" t="n">
        <x:v>19988048.525769576</x:v>
      </x:c>
      <x:c r="D12" s="24" t="str">
        <x:v>tonnes_primary_production_equivalent</x:v>
      </x:c>
    </x:row>
    <x:row r="13" ht="18" customHeight="1">
      <x:c r="A13" s="24" t="str">
        <x:v>EEZ_328</x:v>
      </x:c>
      <x:c r="B13" s="24" t="str">
        <x:v>functional_ppr</x:v>
      </x:c>
      <x:c r="C13" s="24" t="n">
        <x:v>20927821.099836014</x:v>
      </x:c>
      <x:c r="D13" s="24" t="str">
        <x:v>tonnes_primary_production_equivalent</x:v>
      </x:c>
    </x:row>
    <x:row r="14" ht="18" customHeight="1">
      <x:c r="A14" s="24" t="str">
        <x:v>EEZ_328</x:v>
      </x:c>
      <x:c r="B14" s="24" t="str">
        <x:v>commercial_ppr_difference</x:v>
      </x:c>
      <x:c r="C14" s="24" t="n">
        <x:v>-7410430.242481664</x:v>
      </x:c>
      <x:c r="D14" s="24" t="str">
        <x:v>tonnes_primary_production_equivalent</x:v>
      </x:c>
    </x:row>
    <x:row r="15" ht="18" customHeight="1">
      <x:c r="A15" s="24" t="str">
        <x:v>EEZ_328</x:v>
      </x:c>
      <x:c r="B15" s="24" t="str">
        <x:v>functional_ppr_difference</x:v>
      </x:c>
      <x:c r="C15" s="24" t="n">
        <x:v>-6470657.668415226</x:v>
      </x:c>
      <x:c r="D15" s="24" t="str">
        <x:v>tonnes_primary_production_equivalent</x:v>
      </x:c>
    </x:row>
    <x:row r="16" ht="18" customHeight="1">
      <x:c r="A16" s="24" t="str">
        <x:v>EEZ_328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EEZ_328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7864f3823b746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EEZ_328 - Guyana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EEZ_328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