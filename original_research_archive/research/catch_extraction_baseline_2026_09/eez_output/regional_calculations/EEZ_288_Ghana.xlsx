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08a90aa1f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f1a1f001d8e4079"/>
    <x:sheet xmlns:r="http://schemas.openxmlformats.org/officeDocument/2006/relationships" name="Commercial" sheetId="2" r:id="Rf4b1c41484f9466c"/>
    <x:sheet xmlns:r="http://schemas.openxmlformats.org/officeDocument/2006/relationships" name="Functional" sheetId="3" r:id="Rbfc2d13b09154382"/>
    <x:sheet xmlns:r="http://schemas.openxmlformats.org/officeDocument/2006/relationships" name="Missing TL" sheetId="4" r:id="R1bf204989b7d4118"/>
    <x:sheet xmlns:r="http://schemas.openxmlformats.org/officeDocument/2006/relationships" name="Validation" sheetId="5" r:id="R27d98f0892df442f"/>
    <x:sheet xmlns:r="http://schemas.openxmlformats.org/officeDocument/2006/relationships" name="Metadata" sheetId="6" r:id="R1f3530f1018d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4376500d14759" /><Relationship Type="http://schemas.openxmlformats.org/officeDocument/2006/relationships/theme" Target="/xl/theme/theme1.xml" Id="Ra9596f7ca72b47e3" /><Relationship Type="http://schemas.microsoft.com/office/2022/11/relationships/FeaturePropertyBag" Target="/xl/featurePropertyBag/featurePropertyBag.xml" Id="Rd4efe47162104747" /><Relationship Type="http://schemas.openxmlformats.org/officeDocument/2006/relationships/sharedStrings" Target="/xl/sharedStrings.xml" Id="R6a8963e692ef41f9" /><Relationship Type="http://schemas.openxmlformats.org/officeDocument/2006/relationships/worksheet" Target="/xl/worksheets/sheet1.xml" Id="R3f1a1f001d8e4079" /><Relationship Type="http://schemas.openxmlformats.org/officeDocument/2006/relationships/worksheet" Target="/xl/worksheets/sheet2.xml" Id="Rf4b1c41484f9466c" /><Relationship Type="http://schemas.openxmlformats.org/officeDocument/2006/relationships/worksheet" Target="/xl/worksheets/sheet3.xml" Id="Rbfc2d13b09154382" /><Relationship Type="http://schemas.openxmlformats.org/officeDocument/2006/relationships/worksheet" Target="/xl/worksheets/sheet4.xml" Id="R1bf204989b7d4118" /><Relationship Type="http://schemas.openxmlformats.org/officeDocument/2006/relationships/worksheet" Target="/xl/worksheets/sheet5.xml" Id="R27d98f0892df442f" /><Relationship Type="http://schemas.openxmlformats.org/officeDocument/2006/relationships/worksheet" Target="/xl/worksheets/sheet6.xml" Id="R1f3530f1018d44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88SpeciesTable" displayName="EEZ288SpeciesTable" ref="A1:U104" headerRowCount="1" totalsRowCount="0" totalsRowShown="0">
  <x:autoFilter ref="A1:U10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88CommercialTable" displayName="EEZ288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88FunctionalTable" displayName="EEZ288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88ValidationTable" displayName="EEZ28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5b9cfac8754d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42f2163c0748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03505f82224b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a21f1af91b486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EEZ_288</x:v>
      </x:c>
      <x:c r="B2" s="24" t="str">
        <x:v>Ghana</x:v>
      </x:c>
      <x:c r="C2" s="24" t="str">
        <x:v>EEZ</x:v>
      </x:c>
      <x:c r="D2" s="30" t="n">
        <x:v>2019</x:v>
      </x:c>
      <x:c r="E2" s="24" t="str">
        <x:v>Engraulis encrasicolus</x:v>
      </x:c>
      <x:c r="F2" s="24" t="str">
        <x:v>European anchovy</x:v>
      </x:c>
      <x:c r="G2" s="24" t="str">
        <x:v>Small pelagics (&lt;30 cm)</x:v>
      </x:c>
      <x:c r="H2" s="24" t="str">
        <x:v>Anchovies</x:v>
      </x:c>
      <x:c r="I2" s="31" t="n">
        <x:v>92185.06</x:v>
      </x:c>
      <x:c r="J2" s="31" t="n">
        <x:v>45370.33</x:v>
      </x:c>
      <x:c r="K2" s="31" t="n">
        <x:v>46814.73</x:v>
      </x:c>
      <x:c r="L2" s="31" t="n">
        <x:v>41667.22</x:v>
      </x:c>
      <x:c r="M2" s="31" t="n">
        <x:v>50517.840000000004</x:v>
      </x:c>
      <x:c r="N2" s="24" t="str">
        <x:v>engraulis encrasicolus</x:v>
      </x:c>
      <x:c r="O2" s="32" t="n">
        <x:v>3.11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encrasicolus</x:v>
      </x:c>
      <x:c r="T2" s="32" t="n">
        <x:f>IF(O2="","",(1/'Metadata'!$B$5)^(O2-1))</x:f>
        <x:v>128.82495516931337</x:v>
      </x:c>
      <x:c r="U2" s="31" t="n">
        <x:f>IF(T2="","",I2*T2)</x:f>
        <x:v>11875736.221780462</x:v>
      </x:c>
    </x:row>
    <x:row r="3" ht="18" customHeight="1">
      <x:c r="A3" s="24" t="str">
        <x:v>EEZ_288</x:v>
      </x:c>
      <x:c r="B3" s="24" t="str">
        <x:v>Ghana</x:v>
      </x:c>
      <x:c r="C3" s="24" t="str">
        <x:v>EEZ</x:v>
      </x:c>
      <x:c r="D3" s="30" t="n">
        <x:v>2019</x:v>
      </x:c>
      <x:c r="E3" s="24" t="str">
        <x:v>Sardinella aurita</x:v>
      </x:c>
      <x:c r="F3" s="24" t="str">
        <x:v>Round sardinella</x:v>
      </x:c>
      <x:c r="G3" s="24" t="str">
        <x:v>Small pelagics (&lt;30 cm)</x:v>
      </x:c>
      <x:c r="H3" s="24" t="str">
        <x:v>Herring-likes</x:v>
      </x:c>
      <x:c r="I3" s="31" t="n">
        <x:v>40232.0990128552</x:v>
      </x:c>
      <x:c r="J3" s="31" t="n">
        <x:v>39676.5749128552</x:v>
      </x:c>
      <x:c r="K3" s="31" t="n">
        <x:v>555.5241</x:v>
      </x:c>
      <x:c r="L3" s="31" t="n">
        <x:v>35556.9640228552</x:v>
      </x:c>
      <x:c r="M3" s="31" t="n">
        <x:v>4675.1349900000005</x:v>
      </x:c>
      <x:c r="N3" s="24" t="str">
        <x:v>sardinella aurita</x:v>
      </x:c>
      <x:c r="O3" s="32" t="n">
        <x:v>3.4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Sardinella aurita</x:v>
      </x:c>
      <x:c r="T3" s="32" t="n">
        <x:f>IF(O3="","",(1/'Metadata'!$B$5)^(O3-1))</x:f>
        <x:v>251.18864315095797</x:v>
      </x:c>
      <x:c r="U3" s="31" t="n">
        <x:f>IF(T3="","",I3*T3)</x:f>
        <x:v>10105846.362154093</x:v>
      </x:c>
    </x:row>
    <x:row r="4" ht="18" customHeight="1">
      <x:c r="A4" s="24" t="str">
        <x:v>EEZ_288</x:v>
      </x:c>
      <x:c r="B4" s="24" t="str">
        <x:v>Ghana</x:v>
      </x:c>
      <x:c r="C4" s="24" t="str">
        <x:v>EEZ</x:v>
      </x:c>
      <x:c r="D4" s="30" t="n">
        <x:v>2019</x:v>
      </x:c>
      <x:c r="E4" s="24" t="str">
        <x:v>Brachydeuterus auritus</x:v>
      </x:c>
      <x:c r="F4" s="24" t="str">
        <x:v>Bigeye grunt</x:v>
      </x:c>
      <x:c r="G4" s="24" t="str">
        <x:v>Small demersals (&lt;30 cm)</x:v>
      </x:c>
      <x:c r="H4" s="24" t="str">
        <x:v>Perch-likes</x:v>
      </x:c>
      <x:c r="I4" s="31" t="n">
        <x:v>32813.94</x:v>
      </x:c>
      <x:c r="J4" s="31" t="n">
        <x:v>32813.94</x:v>
      </x:c>
      <x:c r="K4" s="31" t="n">
        <x:v>0</x:v>
      </x:c>
      <x:c r="L4" s="31" t="n">
        <x:v>32813.94</x:v>
      </x:c>
      <x:c r="M4" s="31" t="n">
        <x:v>0</x:v>
      </x:c>
      <x:c r="N4" s="24" t="str">
        <x:v>brachydeuterus auritus</x:v>
      </x:c>
      <x:c r="O4" s="32" t="n">
        <x:v>3.03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Brachydeuterus auritus</x:v>
      </x:c>
      <x:c r="T4" s="32" t="n">
        <x:f>IF(O4="","",(1/'Metadata'!$B$5)^(O4-1))</x:f>
        <x:v>107.1519305237606</x:v>
      </x:c>
      <x:c r="U4" s="31" t="n">
        <x:f>IF(T4="","",I4*T4)</x:f>
        <x:v>3516077.019090849</x:v>
      </x:c>
    </x:row>
    <x:row r="5" ht="18" customHeight="1">
      <x:c r="A5" s="24" t="str">
        <x:v>EEZ_288</x:v>
      </x:c>
      <x:c r="B5" s="24" t="str">
        <x:v>Ghana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31546.7689391642</x:v>
      </x:c>
      <x:c r="J5" s="31" t="n">
        <x:v>24468.2567315594</x:v>
      </x:c>
      <x:c r="K5" s="31" t="n">
        <x:v>7078.5122076048</x:v>
      </x:c>
      <x:c r="L5" s="31" t="n">
        <x:v>15349.8304854684</x:v>
      </x:c>
      <x:c r="M5" s="31" t="n">
        <x:v>16196.9384536958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6011112.899224046</x:v>
      </x:c>
    </x:row>
    <x:row r="6" ht="18" customHeight="1">
      <x:c r="A6" s="24" t="str">
        <x:v>EEZ_288</x:v>
      </x:c>
      <x:c r="B6" s="24" t="str">
        <x:v>Ghana</x:v>
      </x:c>
      <x:c r="C6" s="24" t="str">
        <x:v>EEZ</x:v>
      </x:c>
      <x:c r="D6" s="30" t="n">
        <x:v>2019</x:v>
      </x:c>
      <x:c r="E6" s="24" t="str">
        <x:v>Caranx crysos</x:v>
      </x:c>
      <x:c r="F6" s="24" t="str">
        <x:v>Blue runner</x:v>
      </x:c>
      <x:c r="G6" s="24" t="str">
        <x:v>Medium reef assoc. fish (30 - 89 cm)</x:v>
      </x:c>
      <x:c r="H6" s="24" t="str">
        <x:v>Perch-likes</x:v>
      </x:c>
      <x:c r="I6" s="31" t="n">
        <x:v>22973.295145131</x:v>
      </x:c>
      <x:c r="J6" s="31" t="n">
        <x:v>2.065145131</x:v>
      </x:c>
      <x:c r="K6" s="31" t="n">
        <x:v>22971.23</x:v>
      </x:c>
      <x:c r="L6" s="31" t="n">
        <x:v>2.065145131</x:v>
      </x:c>
      <x:c r="M6" s="31" t="n">
        <x:v>22971.23</x:v>
      </x:c>
      <x:c r="N6" s="24" t="str">
        <x:v>caranx crysos</x:v>
      </x:c>
      <x:c r="O6" s="32" t="n">
        <x:v>4.13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Caranx crysos</x:v>
      </x:c>
      <x:c r="T6" s="32" t="n">
        <x:f>IF(O6="","",(1/'Metadata'!$B$5)^(O6-1))</x:f>
        <x:v>1348.9628825916532</x:v>
      </x:c>
      <x:c r="U6" s="31" t="n">
        <x:f>IF(T6="","",I6*T6)</x:f>
        <x:v>30990122.441604745</x:v>
      </x:c>
    </x:row>
    <x:row r="7" ht="18" customHeight="1">
      <x:c r="A7" s="24" t="str">
        <x:v>EEZ_288</x:v>
      </x:c>
      <x:c r="B7" s="24" t="str">
        <x:v>Ghana</x:v>
      </x:c>
      <x:c r="C7" s="24" t="str">
        <x:v>EEZ</x:v>
      </x:c>
      <x:c r="D7" s="30" t="n">
        <x:v>2019</x:v>
      </x:c>
      <x:c r="E7" s="24" t="str">
        <x:v>Scombridae</x:v>
      </x:c>
      <x:c r="F7" s="24" t="str">
        <x:v>Mackerels, tunas, bonitos</x:v>
      </x:c>
      <x:c r="G7" s="24" t="str">
        <x:v>Medium pelagics (30 - 89 cm)</x:v>
      </x:c>
      <x:c r="H7" s="24" t="str">
        <x:v>Perch-likes</x:v>
      </x:c>
      <x:c r="I7" s="31" t="n">
        <x:v>16374.0030993897</x:v>
      </x:c>
      <x:c r="J7" s="31" t="n">
        <x:v>13767.8910993897</x:v>
      </x:c>
      <x:c r="K7" s="31" t="n">
        <x:v>2606.112</x:v>
      </x:c>
      <x:c r="L7" s="31" t="n">
        <x:v>2916.4903993897</x:v>
      </x:c>
      <x:c r="M7" s="31" t="n">
        <x:v>13457.512700000001</x:v>
      </x:c>
      <x:c r="N7" s="24" t="str">
        <x:v>scombridae</x:v>
      </x:c>
      <x:c r="O7" s="32" t="n">
        <x:v>4.26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Scombridae</x:v>
      </x:c>
      <x:c r="T7" s="32" t="n">
        <x:f>IF(O7="","",(1/'Metadata'!$B$5)^(O7-1))</x:f>
        <x:v>1819.7008586099826</x:v>
      </x:c>
      <x:c r="U7" s="31" t="n">
        <x:f>IF(T7="","",I7*T7)</x:f>
        <x:v>29795787.498841953</x:v>
      </x:c>
    </x:row>
    <x:row r="8" ht="18" customHeight="1">
      <x:c r="A8" s="24" t="str">
        <x:v>EEZ_288</x:v>
      </x:c>
      <x:c r="B8" s="24" t="str">
        <x:v>Ghana</x:v>
      </x:c>
      <x:c r="C8" s="24" t="str">
        <x:v>EEZ</x:v>
      </x:c>
      <x:c r="D8" s="30" t="n">
        <x:v>2019</x:v>
      </x:c>
      <x:c r="E8" s="24" t="str">
        <x:v>Sarda sarda</x:v>
      </x:c>
      <x:c r="F8" s="24" t="str">
        <x:v>Atlantic bonito</x:v>
      </x:c>
      <x:c r="G8" s="24" t="str">
        <x:v>Medium pelagics (30 - 89 cm)</x:v>
      </x:c>
      <x:c r="H8" s="24" t="str">
        <x:v>Tuna &amp; billfishes</x:v>
      </x:c>
      <x:c r="I8" s="31" t="n">
        <x:v>14328.0417058987</x:v>
      </x:c>
      <x:c r="J8" s="31" t="n">
        <x:v>815.5517058987</x:v>
      </x:c>
      <x:c r="K8" s="31" t="n">
        <x:v>13512.49</x:v>
      </x:c>
      <x:c r="L8" s="31" t="n">
        <x:v>815.5517058987</x:v>
      </x:c>
      <x:c r="M8" s="31" t="n">
        <x:v>13512.49</x:v>
      </x:c>
      <x:c r="N8" s="24" t="str">
        <x:v>sarda sarda</x:v>
      </x:c>
      <x:c r="O8" s="32" t="n">
        <x:v>4.5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Sarda sarda</x:v>
      </x:c>
      <x:c r="T8" s="32" t="n">
        <x:f>IF(O8="","",(1/'Metadata'!$B$5)^(O8-1))</x:f>
        <x:v>3162.2776601683795</x:v>
      </x:c>
      <x:c r="U8" s="31" t="n">
        <x:f>IF(T8="","",I8*T8)</x:f>
        <x:v>45309246.2005243</x:v>
      </x:c>
    </x:row>
    <x:row r="9" ht="18" customHeight="1">
      <x:c r="A9" s="24" t="str">
        <x:v>EEZ_288</x:v>
      </x:c>
      <x:c r="B9" s="24" t="str">
        <x:v>Ghana</x:v>
      </x:c>
      <x:c r="C9" s="24" t="str">
        <x:v>EEZ</x:v>
      </x:c>
      <x:c r="D9" s="30" t="n">
        <x:v>2019</x:v>
      </x:c>
      <x:c r="E9" s="24" t="str">
        <x:v>Katsuwonus pelamis</x:v>
      </x:c>
      <x:c r="F9" s="24" t="str">
        <x:v>Skipjack tuna</x:v>
      </x:c>
      <x:c r="G9" s="24" t="str">
        <x:v>Large pelagics (&gt;=90 cm)</x:v>
      </x:c>
      <x:c r="H9" s="24" t="str">
        <x:v>Tuna &amp; billfishes</x:v>
      </x:c>
      <x:c r="I9" s="31" t="n">
        <x:v>13614.6986750583</x:v>
      </x:c>
      <x:c r="J9" s="31" t="n">
        <x:v>13614.6986750583</x:v>
      </x:c>
      <x:c r="K9" s="31" t="n">
        <x:v>0</x:v>
      </x:c>
      <x:c r="L9" s="31" t="n">
        <x:v>13614.6986750583</x:v>
      </x:c>
      <x:c r="M9" s="31" t="n">
        <x:v>0</x:v>
      </x:c>
      <x:c r="N9" s="24" t="str">
        <x:v>katsuwonus pelamis</x:v>
      </x:c>
      <x:c r="O9" s="32" t="n">
        <x:v>4.43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Katsuwonus pelamis</x:v>
      </x:c>
      <x:c r="T9" s="32" t="n">
        <x:f>IF(O9="","",(1/'Metadata'!$B$5)^(O9-1))</x:f>
        <x:v>2691.534803926914</x:v>
      </x:c>
      <x:c r="U9" s="31" t="n">
        <x:f>IF(T9="","",I9*T9)</x:f>
        <x:v>36644435.32889705</x:v>
      </x:c>
    </x:row>
    <x:row r="10" ht="18" customHeight="1">
      <x:c r="A10" s="24" t="str">
        <x:v>EEZ_288</x:v>
      </x:c>
      <x:c r="B10" s="24" t="str">
        <x:v>Ghana</x:v>
      </x:c>
      <x:c r="C10" s="24" t="str">
        <x:v>EEZ</x:v>
      </x:c>
      <x:c r="D10" s="30" t="n">
        <x:v>2019</x:v>
      </x:c>
      <x:c r="E10" s="24" t="str">
        <x:v>Chloroscombrus chrysurus</x:v>
      </x:c>
      <x:c r="F10" s="24" t="str">
        <x:v>Atlantic bumper</x:v>
      </x:c>
      <x:c r="G10" s="24" t="str">
        <x:v>Medium pelagics (30 - 89 cm)</x:v>
      </x:c>
      <x:c r="H10" s="24" t="str">
        <x:v>Perch-likes</x:v>
      </x:c>
      <x:c r="I10" s="31" t="n">
        <x:v>13565.3200000002</x:v>
      </x:c>
      <x:c r="J10" s="31" t="n">
        <x:v>13565.3200000002</x:v>
      </x:c>
      <x:c r="K10" s="31" t="n">
        <x:v>0</x:v>
      </x:c>
      <x:c r="L10" s="31" t="n">
        <x:v>13565.3200000002</x:v>
      </x:c>
      <x:c r="M10" s="31" t="n">
        <x:v>0</x:v>
      </x:c>
      <x:c r="N10" s="24" t="str">
        <x:v>chloroscombrus chrysurus</x:v>
      </x:c>
      <x:c r="O10" s="32" t="n">
        <x:v>3.54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Chloroscombrus chrysurus</x:v>
      </x:c>
      <x:c r="T10" s="32" t="n">
        <x:f>IF(O10="","",(1/'Metadata'!$B$5)^(O10-1))</x:f>
        <x:v>346.73685045253166</x:v>
      </x:c>
      <x:c r="U10" s="31" t="n">
        <x:f>IF(T10="","",I10*T10)</x:f>
        <x:v>4703596.332180806</x:v>
      </x:c>
    </x:row>
    <x:row r="11" ht="18" customHeight="1">
      <x:c r="A11" s="24" t="str">
        <x:v>EEZ_288</x:v>
      </x:c>
      <x:c r="B11" s="24" t="str">
        <x:v>Ghana</x:v>
      </x:c>
      <x:c r="C11" s="24" t="str">
        <x:v>EEZ</x:v>
      </x:c>
      <x:c r="D11" s="30" t="n">
        <x:v>2019</x:v>
      </x:c>
      <x:c r="E11" s="24" t="str">
        <x:v>Balistes</x:v>
      </x:c>
      <x:c r="F11" s="24" t="str">
        <x:v>Triggerfish</x:v>
      </x:c>
      <x:c r="G11" s="24" t="str">
        <x:v>Medium reef assoc. fish (30 - 89 cm)</x:v>
      </x:c>
      <x:c r="H11" s="24" t="str">
        <x:v>Other fishes &amp; inverts</x:v>
      </x:c>
      <x:c r="I11" s="31" t="n">
        <x:v>13512.49</x:v>
      </x:c>
      <x:c r="J11" s="31" t="n">
        <x:v>0</x:v>
      </x:c>
      <x:c r="K11" s="31" t="n">
        <x:v>13512.49</x:v>
      </x:c>
      <x:c r="L11" s="31" t="n">
        <x:v>0</x:v>
      </x:c>
      <x:c r="M11" s="31" t="n">
        <x:v>13512.49</x:v>
      </x:c>
      <x:c r="N11" s="24" t="str">
        <x:v>balistes</x:v>
      </x:c>
      <x:c r="O11" s="32" t="n">
        <x:v>3.94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Balistes</x:v>
      </x:c>
      <x:c r="T11" s="32" t="n">
        <x:f>IF(O11="","",(1/'Metadata'!$B$5)^(O11-1))</x:f>
        <x:v>870.9635899560806</x:v>
      </x:c>
      <x:c r="U11" s="31" t="n">
        <x:f>IF(T11="","",I11*T11)</x:f>
        <x:v>11768886.799645638</x:v>
      </x:c>
    </x:row>
    <x:row r="12" ht="18" customHeight="1">
      <x:c r="A12" s="24" t="str">
        <x:v>EEZ_288</x:v>
      </x:c>
      <x:c r="B12" s="24" t="str">
        <x:v>Ghana</x:v>
      </x:c>
      <x:c r="C12" s="24" t="str">
        <x:v>EEZ</x:v>
      </x:c>
      <x:c r="D12" s="30" t="n">
        <x:v>2019</x:v>
      </x:c>
      <x:c r="E12" s="24" t="str">
        <x:v>Trachurus</x:v>
      </x:c>
      <x:c r="F12" s="24" t="str">
        <x:v>Jacks, horse mackerels</x:v>
      </x:c>
      <x:c r="G12" s="24" t="str">
        <x:v>Medium pelagics (30 - 89 cm)</x:v>
      </x:c>
      <x:c r="H12" s="24" t="str">
        <x:v>Perch-likes</x:v>
      </x:c>
      <x:c r="I12" s="31" t="n">
        <x:v>11716.458503648899</x:v>
      </x:c>
      <x:c r="J12" s="31" t="n">
        <x:v>10651.3259124081</x:v>
      </x:c>
      <x:c r="K12" s="31" t="n">
        <x:v>1065.1325912408</x:v>
      </x:c>
      <x:c r="L12" s="31" t="n">
        <x:v>10651.3259124081</x:v>
      </x:c>
      <x:c r="M12" s="31" t="n">
        <x:v>1065.1325912408</x:v>
      </x:c>
      <x:c r="N12" s="24" t="str">
        <x:v>trachurus</x:v>
      </x:c>
      <x:c r="O12" s="32" t="n">
        <x:v>3.69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Trachurus</x:v>
      </x:c>
      <x:c r="T12" s="32" t="n">
        <x:f>IF(O12="","",(1/'Metadata'!$B$5)^(O12-1))</x:f>
        <x:v>489.77881936844614</x:v>
      </x:c>
      <x:c r="U12" s="31" t="n">
        <x:f>IF(T12="","",I12*T12)</x:f>
        <x:v>5738473.213096549</x:v>
      </x:c>
    </x:row>
    <x:row r="13" ht="18" customHeight="1">
      <x:c r="A13" s="24" t="str">
        <x:v>EEZ_288</x:v>
      </x:c>
      <x:c r="B13" s="24" t="str">
        <x:v>Ghana</x:v>
      </x:c>
      <x:c r="C13" s="24" t="str">
        <x:v>EEZ</x:v>
      </x:c>
      <x:c r="D13" s="30" t="n">
        <x:v>2019</x:v>
      </x:c>
      <x:c r="E13" s="24" t="str">
        <x:v>Engraulidae</x:v>
      </x:c>
      <x:c r="F13" s="24" t="str">
        <x:v>Anchovies, round herrings</x:v>
      </x:c>
      <x:c r="G13" s="24" t="str">
        <x:v>Small pelagics (&lt;30 cm)</x:v>
      </x:c>
      <x:c r="H13" s="24" t="str">
        <x:v>Anchovies</x:v>
      </x:c>
      <x:c r="I13" s="31" t="n">
        <x:v>10289.3339172667</x:v>
      </x:c>
      <x:c r="J13" s="31" t="n">
        <x:v>8597.7789172667</x:v>
      </x:c>
      <x:c r="K13" s="31" t="n">
        <x:v>1691.555</x:v>
      </x:c>
      <x:c r="L13" s="31" t="n">
        <x:v>1559.7343072667</x:v>
      </x:c>
      <x:c r="M13" s="31" t="n">
        <x:v>8729.59961</x:v>
      </x:c>
      <x:c r="N13" s="24" t="str">
        <x:v>engraulidae</x:v>
      </x:c>
      <x:c r="O13" s="32" t="n">
        <x:v>3.2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Engraulidae</x:v>
      </x:c>
      <x:c r="T13" s="32" t="n">
        <x:f>IF(O13="","",(1/'Metadata'!$B$5)^(O13-1))</x:f>
        <x:v>158.48931924611142</x:v>
      </x:c>
      <x:c r="U13" s="31" t="n">
        <x:f>IF(T13="","",I13*T13)</x:f>
        <x:v>1630749.5280435241</x:v>
      </x:c>
    </x:row>
    <x:row r="14" ht="18" customHeight="1">
      <x:c r="A14" s="24" t="str">
        <x:v>EEZ_288</x:v>
      </x:c>
      <x:c r="B14" s="24" t="str">
        <x:v>Ghana</x:v>
      </x:c>
      <x:c r="C14" s="24" t="str">
        <x:v>EEZ</x:v>
      </x:c>
      <x:c r="D14" s="30" t="n">
        <x:v>2019</x:v>
      </x:c>
      <x:c r="E14" s="24" t="str">
        <x:v>Clupeidae</x:v>
      </x:c>
      <x:c r="F14" s="24" t="str">
        <x:v>Herrings, sardines, menhadens</x:v>
      </x:c>
      <x:c r="G14" s="24" t="str">
        <x:v>Small pelagics (&lt;30 cm)</x:v>
      </x:c>
      <x:c r="H14" s="24" t="str">
        <x:v>Herring-likes</x:v>
      </x:c>
      <x:c r="I14" s="31" t="n">
        <x:v>10266.3568471401</x:v>
      </x:c>
      <x:c r="J14" s="31" t="n">
        <x:v>8546.247847140101</x:v>
      </x:c>
      <x:c r="K14" s="31" t="n">
        <x:v>1720.109</x:v>
      </x:c>
      <x:c r="L14" s="31" t="n">
        <x:v>1618.2310571401</x:v>
      </x:c>
      <x:c r="M14" s="31" t="n">
        <x:v>8648.12579</x:v>
      </x:c>
      <x:c r="N14" s="24" t="str">
        <x:v>clupeidae</x:v>
      </x:c>
      <x:c r="O14" s="32" t="n">
        <x:v>3.16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Clupeidae</x:v>
      </x:c>
      <x:c r="T14" s="32" t="n">
        <x:f>IF(O14="","",(1/'Metadata'!$B$5)^(O14-1))</x:f>
        <x:v>144.5439770745928</x:v>
      </x:c>
      <x:c r="U14" s="31" t="n">
        <x:f>IF(T14="","",I14*T14)</x:f>
        <x:v>1483940.0487526073</x:v>
      </x:c>
    </x:row>
    <x:row r="15" ht="18" customHeight="1">
      <x:c r="A15" s="24" t="str">
        <x:v>EEZ_288</x:v>
      </x:c>
      <x:c r="B15" s="24" t="str">
        <x:v>Ghana</x:v>
      </x:c>
      <x:c r="C15" s="24" t="str">
        <x:v>EEZ</x:v>
      </x:c>
      <x:c r="D15" s="30" t="n">
        <x:v>2019</x:v>
      </x:c>
      <x:c r="E15" s="24" t="str">
        <x:v>Sarotherodon melanotheron</x:v>
      </x:c>
      <x:c r="F15" s="24" t="str">
        <x:v>Blackchin tilapia</x:v>
      </x:c>
      <x:c r="G15" s="24" t="str">
        <x:v>Small demersals (&lt;30 cm)</x:v>
      </x:c>
      <x:c r="H15" s="24" t="str">
        <x:v>Perch-likes</x:v>
      </x:c>
      <x:c r="I15" s="31" t="n">
        <x:v>9680</x:v>
      </x:c>
      <x:c r="J15" s="31" t="n">
        <x:v>9680</x:v>
      </x:c>
      <x:c r="K15" s="31" t="n">
        <x:v>0</x:v>
      </x:c>
      <x:c r="L15" s="31" t="n">
        <x:v>0</x:v>
      </x:c>
      <x:c r="M15" s="31" t="n">
        <x:v>9680</x:v>
      </x:c>
      <x:c r="N15" s="24" t="str">
        <x:v>sarotherodon melanotheron</x:v>
      </x:c>
      <x:c r="O15" s="32" t="n">
        <x:v>2.23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Sarotherodon melanotheron</x:v>
      </x:c>
      <x:c r="T15" s="32" t="n">
        <x:f>IF(O15="","",(1/'Metadata'!$B$5)^(O15-1))</x:f>
        <x:v>16.982436524617444</x:v>
      </x:c>
      <x:c r="U15" s="31" t="n">
        <x:f>IF(T15="","",I15*T15)</x:f>
        <x:v>164389.98555829687</x:v>
      </x:c>
    </x:row>
    <x:row r="16" ht="18" customHeight="1">
      <x:c r="A16" s="24" t="str">
        <x:v>EEZ_288</x:v>
      </x:c>
      <x:c r="B16" s="24" t="str">
        <x:v>Ghana</x:v>
      </x:c>
      <x:c r="C16" s="24" t="str">
        <x:v>EEZ</x:v>
      </x:c>
      <x:c r="D16" s="30" t="n">
        <x:v>2019</x:v>
      </x:c>
      <x:c r="E16" s="24" t="str">
        <x:v>Acanthurus</x:v>
      </x:c>
      <x:c r="F16" s="24" t="str">
        <x:v>Surgeonfishes</x:v>
      </x:c>
      <x:c r="G16" s="24" t="str">
        <x:v>Small reef assoc. fish (&lt;30 cm)</x:v>
      </x:c>
      <x:c r="H16" s="24" t="str">
        <x:v>Perch-likes</x:v>
      </x:c>
      <x:c r="I16" s="31" t="n">
        <x:v>9479.757</x:v>
      </x:c>
      <x:c r="J16" s="31" t="n">
        <x:v>0</x:v>
      </x:c>
      <x:c r="K16" s="31" t="n">
        <x:v>9479.757</x:v>
      </x:c>
      <x:c r="L16" s="31" t="n">
        <x:v>0</x:v>
      </x:c>
      <x:c r="M16" s="31" t="n">
        <x:v>9479.757</x:v>
      </x:c>
      <x:c r="N16" s="24" t="str">
        <x:v>acanthurus</x:v>
      </x:c>
      <x:c r="O16" s="32" t="n">
        <x:v>2.03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Acanthurus</x:v>
      </x:c>
      <x:c r="T16" s="32" t="n">
        <x:f>IF(O16="","",(1/'Metadata'!$B$5)^(O16-1))</x:f>
        <x:v>10.71519305237606</x:v>
      </x:c>
      <x:c r="U16" s="31" t="n">
        <x:f>IF(T16="","",I16*T16)</x:f>
        <x:v>101577.42634461331</x:v>
      </x:c>
    </x:row>
    <x:row r="17" ht="18" customHeight="1">
      <x:c r="A17" s="24" t="str">
        <x:v>EEZ_288</x:v>
      </x:c>
      <x:c r="B17" s="24" t="str">
        <x:v>Ghana</x:v>
      </x:c>
      <x:c r="C17" s="24" t="str">
        <x:v>EEZ</x:v>
      </x:c>
      <x:c r="D17" s="30" t="n">
        <x:v>2019</x:v>
      </x:c>
      <x:c r="E17" s="24" t="str">
        <x:v>Caranx hippos</x:v>
      </x:c>
      <x:c r="F17" s="24" t="str">
        <x:v>Crevalle jack</x:v>
      </x:c>
      <x:c r="G17" s="24" t="str">
        <x:v>Large reef assoc. fish (&gt;=90 cm)</x:v>
      </x:c>
      <x:c r="H17" s="24" t="str">
        <x:v>Perch-likes</x:v>
      </x:c>
      <x:c r="I17" s="31" t="n">
        <x:v>8846.16</x:v>
      </x:c>
      <x:c r="J17" s="31" t="n">
        <x:v>8846.16</x:v>
      </x:c>
      <x:c r="K17" s="31" t="n">
        <x:v>0</x:v>
      </x:c>
      <x:c r="L17" s="31" t="n">
        <x:v>8846.16</x:v>
      </x:c>
      <x:c r="M17" s="31" t="n">
        <x:v>0</x:v>
      </x:c>
      <x:c r="N17" s="24" t="str">
        <x:v>caranx hippos</x:v>
      </x:c>
      <x:c r="O17" s="32" t="n">
        <x:v>3.56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Caranx hippos</x:v>
      </x:c>
      <x:c r="T17" s="32" t="n">
        <x:f>IF(O17="","",(1/'Metadata'!$B$5)^(O17-1))</x:f>
        <x:v>363.0780547701014</x:v>
      </x:c>
      <x:c r="U17" s="31" t="n">
        <x:f>IF(T17="","",I17*T17)</x:f>
        <x:v>3211846.56498508</x:v>
      </x:c>
    </x:row>
    <x:row r="18" ht="18" customHeight="1">
      <x:c r="A18" s="24" t="str">
        <x:v>EEZ_288</x:v>
      </x:c>
      <x:c r="B18" s="24" t="str">
        <x:v>Ghana</x:v>
      </x:c>
      <x:c r="C18" s="24" t="str">
        <x:v>EEZ</x:v>
      </x:c>
      <x:c r="D18" s="30" t="n">
        <x:v>2019</x:v>
      </x:c>
      <x:c r="E18" s="24" t="str">
        <x:v>Sardinella maderensis</x:v>
      </x:c>
      <x:c r="F18" s="24" t="str">
        <x:v>Madeiran sardinella</x:v>
      </x:c>
      <x:c r="G18" s="24" t="str">
        <x:v>Medium pelagics (30 - 89 cm)</x:v>
      </x:c>
      <x:c r="H18" s="24" t="str">
        <x:v>Herring-likes</x:v>
      </x:c>
      <x:c r="I18" s="31" t="n">
        <x:v>7691.8433085831</x:v>
      </x:c>
      <x:c r="J18" s="31" t="n">
        <x:v>7482.546908583101</x:v>
      </x:c>
      <x:c r="K18" s="31" t="n">
        <x:v>209.2964</x:v>
      </x:c>
      <x:c r="L18" s="31" t="n">
        <x:v>5909.7936605831</x:v>
      </x:c>
      <x:c r="M18" s="31" t="n">
        <x:v>1782.049648</x:v>
      </x:c>
      <x:c r="N18" s="24" t="str">
        <x:v>sardinella maderensis</x:v>
      </x:c>
      <x:c r="O18" s="32" t="n">
        <x:v>3.2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Sardinella maderensis</x:v>
      </x:c>
      <x:c r="T18" s="32" t="n">
        <x:f>IF(O18="","",(1/'Metadata'!$B$5)^(O18-1))</x:f>
        <x:v>158.48931924611142</x:v>
      </x:c>
      <x:c r="U18" s="31" t="n">
        <x:f>IF(T18="","",I18*T18)</x:f>
        <x:v>1219075.009725093</x:v>
      </x:c>
    </x:row>
    <x:row r="19" ht="18" customHeight="1">
      <x:c r="A19" s="24" t="str">
        <x:v>EEZ_288</x:v>
      </x:c>
      <x:c r="B19" s="24" t="str">
        <x:v>Ghana</x:v>
      </x:c>
      <x:c r="C19" s="24" t="str">
        <x:v>EEZ</x:v>
      </x:c>
      <x:c r="D19" s="30" t="n">
        <x:v>2019</x:v>
      </x:c>
      <x:c r="E19" s="24" t="str">
        <x:v>Scomber colias</x:v>
      </x:c>
      <x:c r="F19" s="24" t="str">
        <x:v>Atlantic chub mackerel</x:v>
      </x:c>
      <x:c r="G19" s="24" t="str">
        <x:v>Medium pelagics (30 - 89 cm)</x:v>
      </x:c>
      <x:c r="H19" s="24" t="str">
        <x:v>Perch-likes</x:v>
      </x:c>
      <x:c r="I19" s="31" t="n">
        <x:v>7525.59</x:v>
      </x:c>
      <x:c r="J19" s="31" t="n">
        <x:v>7525.59</x:v>
      </x:c>
      <x:c r="K19" s="31" t="n">
        <x:v>0</x:v>
      </x:c>
      <x:c r="L19" s="31" t="n">
        <x:v>7525.59</x:v>
      </x:c>
      <x:c r="M19" s="31" t="n">
        <x:v>0</x:v>
      </x:c>
      <x:c r="N19" s="24" t="str">
        <x:v>scomber colias</x:v>
      </x:c>
      <x:c r="O19" s="32" t="n">
        <x:v>3.91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Scomber colias</x:v>
      </x:c>
      <x:c r="T19" s="32" t="n">
        <x:f>IF(O19="","",(1/'Metadata'!$B$5)^(O19-1))</x:f>
        <x:v>812.8305161640995</x:v>
      </x:c>
      <x:c r="U19" s="31" t="n">
        <x:f>IF(T19="","",I19*T19)</x:f>
        <x:v>6117029.204139386</x:v>
      </x:c>
    </x:row>
    <x:row r="20" ht="18" customHeight="1">
      <x:c r="A20" s="24" t="str">
        <x:v>EEZ_288</x:v>
      </x:c>
      <x:c r="B20" s="24" t="str">
        <x:v>Ghana</x:v>
      </x:c>
      <x:c r="C20" s="24" t="str">
        <x:v>EEZ</x:v>
      </x:c>
      <x:c r="D20" s="30" t="n">
        <x:v>2019</x:v>
      </x:c>
      <x:c r="E20" s="24" t="str">
        <x:v>Thunnus albacares</x:v>
      </x:c>
      <x:c r="F20" s="24" t="str">
        <x:v>Yellowfin tuna</x:v>
      </x:c>
      <x:c r="G20" s="24" t="str">
        <x:v>Large pelagics (&gt;=90 cm)</x:v>
      </x:c>
      <x:c r="H20" s="24" t="str">
        <x:v>Tuna &amp; billfishes</x:v>
      </x:c>
      <x:c r="I20" s="31" t="n">
        <x:v>7402.119841629999</x:v>
      </x:c>
      <x:c r="J20" s="31" t="n">
        <x:v>7402.119841629999</x:v>
      </x:c>
      <x:c r="K20" s="31" t="n">
        <x:v>0</x:v>
      </x:c>
      <x:c r="L20" s="31" t="n">
        <x:v>7390.49595163</x:v>
      </x:c>
      <x:c r="M20" s="31" t="n">
        <x:v>11.62389</x:v>
      </x:c>
      <x:c r="N20" s="24" t="str">
        <x:v>thunnus albacares</x:v>
      </x:c>
      <x:c r="O20" s="32" t="n">
        <x:v>4.41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Thunnus albacares</x:v>
      </x:c>
      <x:c r="T20" s="32" t="n">
        <x:f>IF(O20="","",(1/'Metadata'!$B$5)^(O20-1))</x:f>
        <x:v>2570.3957827688646</x:v>
      </x:c>
      <x:c r="U20" s="31" t="n">
        <x:f>IF(T20="","",I20*T20)</x:f>
        <x:v>19026377.624475487</x:v>
      </x:c>
    </x:row>
    <x:row r="21" ht="18" customHeight="1">
      <x:c r="A21" s="24" t="str">
        <x:v>EEZ_288</x:v>
      </x:c>
      <x:c r="B21" s="24" t="str">
        <x:v>Ghana</x:v>
      </x:c>
      <x:c r="C21" s="24" t="str">
        <x:v>EEZ</x:v>
      </x:c>
      <x:c r="D21" s="30" t="n">
        <x:v>2019</x:v>
      </x:c>
      <x:c r="E21" s="24" t="str">
        <x:v>Carangidae</x:v>
      </x:c>
      <x:c r="F21" s="24" t="str">
        <x:v>Jacks, pompanos</x:v>
      </x:c>
      <x:c r="G21" s="24" t="str">
        <x:v>Medium pelagics (30 - 89 cm)</x:v>
      </x:c>
      <x:c r="H21" s="24" t="str">
        <x:v>Perch-likes</x:v>
      </x:c>
      <x:c r="I21" s="31" t="n">
        <x:v>6440.3763254741</x:v>
      </x:c>
      <x:c r="J21" s="31" t="n">
        <x:v>5342.9123254741</x:v>
      </x:c>
      <x:c r="K21" s="31" t="n">
        <x:v>1097.464</x:v>
      </x:c>
      <x:c r="L21" s="31" t="n">
        <x:v>1037.0884354741</x:v>
      </x:c>
      <x:c r="M21" s="31" t="n">
        <x:v>5403.2878900000005</x:v>
      </x:c>
      <x:c r="N21" s="24" t="str">
        <x:v>carangidae</x:v>
      </x:c>
      <x:c r="O21" s="32" t="n">
        <x:v>4.05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Carangidae</x:v>
      </x:c>
      <x:c r="T21" s="32" t="n">
        <x:f>IF(O21="","",(1/'Metadata'!$B$5)^(O21-1))</x:f>
        <x:v>1122.018454301963</x:v>
      </x:c>
      <x:c r="U21" s="31" t="n">
        <x:f>IF(T21="","",I21*T21)</x:f>
        <x:v>7226221.089831405</x:v>
      </x:c>
    </x:row>
    <x:row r="22" ht="18" customHeight="1">
      <x:c r="A22" s="24" t="str">
        <x:v>EEZ_288</x:v>
      </x:c>
      <x:c r="B22" s="24" t="str">
        <x:v>Ghana</x:v>
      </x:c>
      <x:c r="C22" s="24" t="str">
        <x:v>EEZ</x:v>
      </x:c>
      <x:c r="D22" s="30" t="n">
        <x:v>2019</x:v>
      </x:c>
      <x:c r="E22" s="24" t="str">
        <x:v>Pomadasys</x:v>
      </x:c>
      <x:c r="F22" s="24" t="str">
        <x:v>Grunters</x:v>
      </x:c>
      <x:c r="G22" s="24" t="str">
        <x:v>Medium demersals (30 - 89 cm)</x:v>
      </x:c>
      <x:c r="H22" s="24" t="str">
        <x:v>Perch-likes</x:v>
      </x:c>
      <x:c r="I22" s="31" t="n">
        <x:v>6385.559638548601</x:v>
      </x:c>
      <x:c r="J22" s="31" t="n">
        <x:v>5359.1976385486005</x:v>
      </x:c>
      <x:c r="K22" s="31" t="n">
        <x:v>1026.362</x:v>
      </x:c>
      <x:c r="L22" s="31" t="n">
        <x:v>917.4107485485999</x:v>
      </x:c>
      <x:c r="M22" s="31" t="n">
        <x:v>5468.14889</x:v>
      </x:c>
      <x:c r="N22" s="24" t="str">
        <x:v>pomadasys</x:v>
      </x:c>
      <x:c r="O22" s="32" t="n">
        <x:v>3.59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Pomadasys</x:v>
      </x:c>
      <x:c r="T22" s="32" t="n">
        <x:f>IF(O22="","",(1/'Metadata'!$B$5)^(O22-1))</x:f>
        <x:v>389.04514499428046</x:v>
      </x:c>
      <x:c r="U22" s="31" t="n">
        <x:f>IF(T22="","",I22*T22)</x:f>
        <x:v>2484270.9754487653</x:v>
      </x:c>
    </x:row>
    <x:row r="23" ht="18" customHeight="1">
      <x:c r="A23" s="24" t="str">
        <x:v>EEZ_288</x:v>
      </x:c>
      <x:c r="B23" s="24" t="str">
        <x:v>Ghana</x:v>
      </x:c>
      <x:c r="C23" s="24" t="str">
        <x:v>EEZ</x:v>
      </x:c>
      <x:c r="D23" s="30" t="n">
        <x:v>2019</x:v>
      </x:c>
      <x:c r="E23" s="24" t="str">
        <x:v>Decapterus</x:v>
      </x:c>
      <x:c r="F23" s="24" t="str">
        <x:v>Scads</x:v>
      </x:c>
      <x:c r="G23" s="24" t="str">
        <x:v>Medium pelagics (30 - 89 cm)</x:v>
      </x:c>
      <x:c r="H23" s="24" t="str">
        <x:v>Perch-likes</x:v>
      </x:c>
      <x:c r="I23" s="31" t="n">
        <x:v>5860.6099999999</x:v>
      </x:c>
      <x:c r="J23" s="31" t="n">
        <x:v>5860.6099999999</x:v>
      </x:c>
      <x:c r="K23" s="31" t="n">
        <x:v>0</x:v>
      </x:c>
      <x:c r="L23" s="31" t="n">
        <x:v>5860.6099999999</x:v>
      </x:c>
      <x:c r="M23" s="31" t="n">
        <x:v>0</x:v>
      </x:c>
      <x:c r="N23" s="24" t="str">
        <x:v>decapterus</x:v>
      </x:c>
      <x:c r="O23" s="32" t="n">
        <x:v>3.63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Decapterus</x:v>
      </x:c>
      <x:c r="T23" s="32" t="n">
        <x:f>IF(O23="","",(1/'Metadata'!$B$5)^(O23-1))</x:f>
        <x:v>426.57951880159254</x:v>
      </x:c>
      <x:c r="U23" s="31" t="n">
        <x:f>IF(T23="","",I23*T23)</x:f>
        <x:v>2500016.1936837584</x:v>
      </x:c>
    </x:row>
    <x:row r="24" ht="18" customHeight="1">
      <x:c r="A24" s="24" t="str">
        <x:v>EEZ_288</x:v>
      </x:c>
      <x:c r="B24" s="24" t="str">
        <x:v>Ghana</x:v>
      </x:c>
      <x:c r="C24" s="24" t="str">
        <x:v>EEZ</x:v>
      </x:c>
      <x:c r="D24" s="30" t="n">
        <x:v>2019</x:v>
      </x:c>
      <x:c r="E24" s="24" t="str">
        <x:v>Sphyraenidae</x:v>
      </x:c>
      <x:c r="F24" s="24" t="str">
        <x:v>Barracudas</x:v>
      </x:c>
      <x:c r="G24" s="24" t="str">
        <x:v>Medium reef assoc. fish (30 - 89 cm)</x:v>
      </x:c>
      <x:c r="H24" s="24" t="str">
        <x:v>Perch-likes</x:v>
      </x:c>
      <x:c r="I24" s="31" t="n">
        <x:v>5846.3131925264</x:v>
      </x:c>
      <x:c r="J24" s="31" t="n">
        <x:v>5712.0833925264</x:v>
      </x:c>
      <x:c r="K24" s="31" t="n">
        <x:v>134.2298</x:v>
      </x:c>
      <x:c r="L24" s="31" t="n">
        <x:v>5191.481768526401</x:v>
      </x:c>
      <x:c r="M24" s="31" t="n">
        <x:v>654.831424</x:v>
      </x:c>
      <x:c r="N24" s="24" t="str">
        <x:v>sphyraenidae</x:v>
      </x:c>
      <x:c r="O24" s="32" t="n">
        <x:v>4.4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Sphyraenidae</x:v>
      </x:c>
      <x:c r="T24" s="32" t="n">
        <x:f>IF(O24="","",(1/'Metadata'!$B$5)^(O24-1))</x:f>
        <x:v>2511.886431509582</x:v>
      </x:c>
      <x:c r="U24" s="31" t="n">
        <x:f>IF(T24="","",I24*T24)</x:f>
        <x:v>14685274.78266253</x:v>
      </x:c>
    </x:row>
    <x:row r="25" ht="18" customHeight="1">
      <x:c r="A25" s="24" t="str">
        <x:v>EEZ_288</x:v>
      </x:c>
      <x:c r="B25" s="24" t="str">
        <x:v>Ghana</x:v>
      </x:c>
      <x:c r="C25" s="24" t="str">
        <x:v>EEZ</x:v>
      </x:c>
      <x:c r="D25" s="30" t="n">
        <x:v>2019</x:v>
      </x:c>
      <x:c r="E25" s="24" t="str">
        <x:v>Acanthocybium solandri</x:v>
      </x:c>
      <x:c r="F25" s="24" t="str">
        <x:v>Wahoo</x:v>
      </x:c>
      <x:c r="G25" s="24" t="str">
        <x:v>Large pelagics (&gt;=90 cm)</x:v>
      </x:c>
      <x:c r="H25" s="24" t="str">
        <x:v>Perch-likes</x:v>
      </x:c>
      <x:c r="I25" s="31" t="n">
        <x:v>5465.6997809427</x:v>
      </x:c>
      <x:c r="J25" s="31" t="n">
        <x:v>60.7037809427</x:v>
      </x:c>
      <x:c r="K25" s="31" t="n">
        <x:v>5404.996</x:v>
      </x:c>
      <x:c r="L25" s="31" t="n">
        <x:v>60.7037809427</x:v>
      </x:c>
      <x:c r="M25" s="31" t="n">
        <x:v>5404.996</x:v>
      </x:c>
      <x:c r="N25" s="24" t="str">
        <x:v>acanthocybium solandri</x:v>
      </x:c>
      <x:c r="O25" s="32" t="n">
        <x:v>4.26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Acanthocybium solandri</x:v>
      </x:c>
      <x:c r="T25" s="32" t="n">
        <x:f>IF(O25="","",(1/'Metadata'!$B$5)^(O25-1))</x:f>
        <x:v>1819.7008586099826</x:v>
      </x:c>
      <x:c r="U25" s="31" t="n">
        <x:f>IF(T25="","",I25*T25)</x:f>
        <x:v>9945938.584285825</x:v>
      </x:c>
    </x:row>
    <x:row r="26" ht="18" customHeight="1">
      <x:c r="A26" s="24" t="str">
        <x:v>EEZ_288</x:v>
      </x:c>
      <x:c r="B26" s="24" t="str">
        <x:v>Ghana</x:v>
      </x:c>
      <x:c r="C26" s="24" t="str">
        <x:v>EEZ</x:v>
      </x:c>
      <x:c r="D26" s="30" t="n">
        <x:v>2019</x:v>
      </x:c>
      <x:c r="E26" s="24" t="str">
        <x:v>Pagellus bellottii</x:v>
      </x:c>
      <x:c r="F26" s="24" t="str">
        <x:v>Red pandora</x:v>
      </x:c>
      <x:c r="G26" s="24" t="str">
        <x:v>Medium demersals (30 - 89 cm)</x:v>
      </x:c>
      <x:c r="H26" s="24" t="str">
        <x:v>Perch-likes</x:v>
      </x:c>
      <x:c r="I26" s="31" t="n">
        <x:v>5428.4400000000005</x:v>
      </x:c>
      <x:c r="J26" s="31" t="n">
        <x:v>5428.4400000000005</x:v>
      </x:c>
      <x:c r="K26" s="31" t="n">
        <x:v>0</x:v>
      </x:c>
      <x:c r="L26" s="31" t="n">
        <x:v>5428.4400000000005</x:v>
      </x:c>
      <x:c r="M26" s="31" t="n">
        <x:v>0</x:v>
      </x:c>
      <x:c r="N26" s="24" t="str">
        <x:v>pagellus bellottii</x:v>
      </x:c>
      <x:c r="O26" s="32" t="n">
        <x:v>3.6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Pagellus bellottii</x:v>
      </x:c>
      <x:c r="T26" s="32" t="n">
        <x:f>IF(O26="","",(1/'Metadata'!$B$5)^(O26-1))</x:f>
        <x:v>398.1071705534973</x:v>
      </x:c>
      <x:c r="U26" s="31" t="n">
        <x:f>IF(T26="","",I26*T26)</x:f>
        <x:v>2161100.888919427</x:v>
      </x:c>
    </x:row>
    <x:row r="27" ht="18" customHeight="1">
      <x:c r="A27" s="24" t="str">
        <x:v>EEZ_288</x:v>
      </x:c>
      <x:c r="B27" s="24" t="str">
        <x:v>Ghana</x:v>
      </x:c>
      <x:c r="C27" s="24" t="str">
        <x:v>EEZ</x:v>
      </x:c>
      <x:c r="D27" s="30" t="n">
        <x:v>2019</x:v>
      </x:c>
      <x:c r="E27" s="24" t="str">
        <x:v>Caranx rhonchus</x:v>
      </x:c>
      <x:c r="F27" s="24" t="str">
        <x:v>False scad</x:v>
      </x:c>
      <x:c r="G27" s="24" t="str">
        <x:v>Medium benthopelagics (30 - 89 cm)</x:v>
      </x:c>
      <x:c r="H27" s="24" t="str">
        <x:v>Perch-likes</x:v>
      </x:c>
      <x:c r="I27" s="31" t="n">
        <x:v>4291.09</x:v>
      </x:c>
      <x:c r="J27" s="31" t="n">
        <x:v>4291.09</x:v>
      </x:c>
      <x:c r="K27" s="31" t="n">
        <x:v>0</x:v>
      </x:c>
      <x:c r="L27" s="31" t="n">
        <x:v>4291.09</x:v>
      </x:c>
      <x:c r="M27" s="31" t="n">
        <x:v>0</x:v>
      </x:c>
      <x:c r="N27" s="24" t="str">
        <x:v>caranx rhonchus</x:v>
      </x:c>
      <x:c r="O27" s="32" t="n">
        <x:v>3.6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Caranx rhonchus</x:v>
      </x:c>
      <x:c r="T27" s="32" t="n">
        <x:f>IF(O27="","",(1/'Metadata'!$B$5)^(O27-1))</x:f>
        <x:v>398.1071705534973</x:v>
      </x:c>
      <x:c r="U27" s="31" t="n">
        <x:f>IF(T27="","",I27*T27)</x:f>
        <x:v>1708313.6984904069</x:v>
      </x:c>
    </x:row>
    <x:row r="28" ht="18" customHeight="1">
      <x:c r="A28" s="24" t="str">
        <x:v>EEZ_288</x:v>
      </x:c>
      <x:c r="B28" s="24" t="str">
        <x:v>Ghana</x:v>
      </x:c>
      <x:c r="C28" s="24" t="str">
        <x:v>EEZ</x:v>
      </x:c>
      <x:c r="D28" s="30" t="n">
        <x:v>2019</x:v>
      </x:c>
      <x:c r="E28" s="24" t="str">
        <x:v>Miscellaneous marine crustaceans</x:v>
      </x:c>
      <x:c r="F28" s="24" t="str">
        <x:v>Marine crabs, shrimps, lobsters nei</x:v>
      </x:c>
      <x:c r="G28" s="24" t="str">
        <x:v>Shrimps</x:v>
      </x:c>
      <x:c r="H28" s="24" t="str">
        <x:v>Crustaceans</x:v>
      </x:c>
      <x:c r="I28" s="31" t="n">
        <x:v>3933.5177475153</x:v>
      </x:c>
      <x:c r="J28" s="31" t="n">
        <x:v>3242.0214475152998</x:v>
      </x:c>
      <x:c r="K28" s="31" t="n">
        <x:v>691.4963</x:v>
      </x:c>
      <x:c r="L28" s="31" t="n">
        <x:v>653.3670775153</x:v>
      </x:c>
      <x:c r="M28" s="31" t="n">
        <x:v>3280.15067</x:v>
      </x:c>
      <x:c r="N28" s="24" t="str">
        <x:v>miscellaneous marine crustaceans</x:v>
      </x:c>
      <x:c r="O28" s="32" t="n">
        <x:v>2.7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Miscellaneous marine crustaceans</x:v>
      </x:c>
      <x:c r="T28" s="32" t="n">
        <x:f>IF(O28="","",(1/'Metadata'!$B$5)^(O28-1))</x:f>
        <x:v>50.11872336272725</x:v>
      </x:c>
      <x:c r="U28" s="31" t="n">
        <x:f>IF(T28="","",I28*T28)</x:f>
        <x:v>197142.88783009734</x:v>
      </x:c>
    </x:row>
    <x:row r="29" ht="18" customHeight="1">
      <x:c r="A29" s="24" t="str">
        <x:v>EEZ_288</x:v>
      </x:c>
      <x:c r="B29" s="24" t="str">
        <x:v>Ghana</x:v>
      </x:c>
      <x:c r="C29" s="24" t="str">
        <x:v>EEZ</x:v>
      </x:c>
      <x:c r="D29" s="30" t="n">
        <x:v>2019</x:v>
      </x:c>
      <x:c r="E29" s="24" t="str">
        <x:v>Sparidae</x:v>
      </x:c>
      <x:c r="F29" s="24" t="str">
        <x:v>Porgies, seabreams</x:v>
      </x:c>
      <x:c r="G29" s="24" t="str">
        <x:v>Medium benthopelagics (30 - 89 cm)</x:v>
      </x:c>
      <x:c r="H29" s="24" t="str">
        <x:v>Perch-likes</x:v>
      </x:c>
      <x:c r="I29" s="31" t="n">
        <x:v>3481.6068205187003</x:v>
      </x:c>
      <x:c r="J29" s="31" t="n">
        <x:v>2888.9153205187004</x:v>
      </x:c>
      <x:c r="K29" s="31" t="n">
        <x:v>592.6915</x:v>
      </x:c>
      <x:c r="L29" s="31" t="n">
        <x:v>557.0356805187</x:v>
      </x:c>
      <x:c r="M29" s="31" t="n">
        <x:v>2924.57114</x:v>
      </x:c>
      <x:c r="N29" s="24" t="str">
        <x:v>sparidae</x:v>
      </x:c>
      <x:c r="O29" s="32" t="n">
        <x:v>3.31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Sparidae</x:v>
      </x:c>
      <x:c r="T29" s="32" t="n">
        <x:f>IF(O29="","",(1/'Metadata'!$B$5)^(O29-1))</x:f>
        <x:v>204.17379446695296</x:v>
      </x:c>
      <x:c r="U29" s="31" t="n">
        <x:f>IF(T29="","",I29*T29)</x:f>
        <x:v>710852.8753873267</x:v>
      </x:c>
    </x:row>
    <x:row r="30" ht="18" customHeight="1">
      <x:c r="A30" s="24" t="str">
        <x:v>EEZ_288</x:v>
      </x:c>
      <x:c r="B30" s="24" t="str">
        <x:v>Ghana</x:v>
      </x:c>
      <x:c r="C30" s="24" t="str">
        <x:v>EEZ</x:v>
      </x:c>
      <x:c r="D30" s="30" t="n">
        <x:v>2019</x:v>
      </x:c>
      <x:c r="E30" s="24" t="str">
        <x:v>Sepiidae</x:v>
      </x:c>
      <x:c r="F30" s="24" t="str">
        <x:v>Cuttlefishes</x:v>
      </x:c>
      <x:c r="G30" s="24" t="str">
        <x:v>Cephalopods</x:v>
      </x:c>
      <x:c r="H30" s="24" t="str">
        <x:v>Other fishes &amp; inverts</x:v>
      </x:c>
      <x:c r="I30" s="31" t="n">
        <x:v>3359.6355584182998</x:v>
      </x:c>
      <x:c r="J30" s="31" t="n">
        <x:v>3262.1532984183</x:v>
      </x:c>
      <x:c r="K30" s="31" t="n">
        <x:v>97.48226</x:v>
      </x:c>
      <x:c r="L30" s="31" t="n">
        <x:v>2871.2517114182997</x:v>
      </x:c>
      <x:c r="M30" s="31" t="n">
        <x:v>488.383847</x:v>
      </x:c>
      <x:c r="N30" s="24" t="str">
        <x:v>sepiidae</x:v>
      </x:c>
      <x:c r="O30" s="32" t="n">
        <x:v>3.6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Sepiidae</x:v>
      </x:c>
      <x:c r="T30" s="32" t="n">
        <x:f>IF(O30="","",(1/'Metadata'!$B$5)^(O30-1))</x:f>
        <x:v>398.1071705534973</x:v>
      </x:c>
      <x:c r="U30" s="31" t="n">
        <x:f>IF(T30="","",I30*T30)</x:f>
        <x:v>1337495.0062528283</x:v>
      </x:c>
    </x:row>
    <x:row r="31" ht="18" customHeight="1">
      <x:c r="A31" s="24" t="str">
        <x:v>EEZ_288</x:v>
      </x:c>
      <x:c r="B31" s="24" t="str">
        <x:v>Ghana</x:v>
      </x:c>
      <x:c r="C31" s="24" t="str">
        <x:v>EEZ</x:v>
      </x:c>
      <x:c r="D31" s="30" t="n">
        <x:v>2019</x:v>
      </x:c>
      <x:c r="E31" s="24" t="str">
        <x:v>Trichiurus lepturus</x:v>
      </x:c>
      <x:c r="F31" s="24" t="str">
        <x:v>Largehead hairtail</x:v>
      </x:c>
      <x:c r="G31" s="24" t="str">
        <x:v>Large benthopelagics (&gt;=90 cm)</x:v>
      </x:c>
      <x:c r="H31" s="24" t="str">
        <x:v>Perch-likes</x:v>
      </x:c>
      <x:c r="I31" s="31" t="n">
        <x:v>3279.66</x:v>
      </x:c>
      <x:c r="J31" s="31" t="n">
        <x:v>3279.66</x:v>
      </x:c>
      <x:c r="K31" s="31" t="n">
        <x:v>0</x:v>
      </x:c>
      <x:c r="L31" s="31" t="n">
        <x:v>3279.66</x:v>
      </x:c>
      <x:c r="M31" s="31" t="n">
        <x:v>0</x:v>
      </x:c>
      <x:c r="N31" s="24" t="str">
        <x:v>trichiurus lepturus</x:v>
      </x:c>
      <x:c r="O31" s="32" t="n">
        <x:v>4.42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Trichiurus lepturus</x:v>
      </x:c>
      <x:c r="T31" s="32" t="n">
        <x:f>IF(O31="","",(1/'Metadata'!$B$5)^(O31-1))</x:f>
        <x:v>2630.2679918953813</x:v>
      </x:c>
      <x:c r="U31" s="31" t="n">
        <x:f>IF(T31="","",I31*T31)</x:f>
        <x:v>8626384.722299606</x:v>
      </x:c>
    </x:row>
    <x:row r="32" ht="18" customHeight="1">
      <x:c r="A32" s="24" t="str">
        <x:v>EEZ_288</x:v>
      </x:c>
      <x:c r="B32" s="24" t="str">
        <x:v>Ghana</x:v>
      </x:c>
      <x:c r="C32" s="24" t="str">
        <x:v>EEZ</x:v>
      </x:c>
      <x:c r="D32" s="30" t="n">
        <x:v>2019</x:v>
      </x:c>
      <x:c r="E32" s="24" t="str">
        <x:v>Trachurus trecae</x:v>
      </x:c>
      <x:c r="F32" s="24" t="str">
        <x:v>Cunene horse mackerel</x:v>
      </x:c>
      <x:c r="G32" s="24" t="str">
        <x:v>Medium benthopelagics (30 - 89 cm)</x:v>
      </x:c>
      <x:c r="H32" s="24" t="str">
        <x:v>Perch-likes</x:v>
      </x:c>
      <x:c r="I32" s="31" t="n">
        <x:v>3038.86</x:v>
      </x:c>
      <x:c r="J32" s="31" t="n">
        <x:v>3038.86</x:v>
      </x:c>
      <x:c r="K32" s="31" t="n">
        <x:v>0</x:v>
      </x:c>
      <x:c r="L32" s="31" t="n">
        <x:v>3038.86</x:v>
      </x:c>
      <x:c r="M32" s="31" t="n">
        <x:v>0</x:v>
      </x:c>
      <x:c r="N32" s="24" t="str">
        <x:v>trachurus trecae</x:v>
      </x:c>
      <x:c r="O32" s="32" t="n">
        <x:v>3.49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Trachurus trecae</x:v>
      </x:c>
      <x:c r="T32" s="32" t="n">
        <x:f>IF(O32="","",(1/'Metadata'!$B$5)^(O32-1))</x:f>
        <x:v>309.0295432513592</x:v>
      </x:c>
      <x:c r="U32" s="31" t="n">
        <x:f>IF(T32="","",I32*T32)</x:f>
        <x:v>939097.5178048254</x:v>
      </x:c>
    </x:row>
    <x:row r="33" ht="18" customHeight="1">
      <x:c r="A33" s="24" t="str">
        <x:v>EEZ_288</x:v>
      </x:c>
      <x:c r="B33" s="24" t="str">
        <x:v>Ghana</x:v>
      </x:c>
      <x:c r="C33" s="24" t="str">
        <x:v>EEZ</x:v>
      </x:c>
      <x:c r="D33" s="30" t="n">
        <x:v>2019</x:v>
      </x:c>
      <x:c r="E33" s="24" t="str">
        <x:v>Ilisha africana</x:v>
      </x:c>
      <x:c r="F33" s="24" t="str">
        <x:v>West African ilisha</x:v>
      </x:c>
      <x:c r="G33" s="24" t="str">
        <x:v>Medium pelagics (30 - 89 cm)</x:v>
      </x:c>
      <x:c r="H33" s="24" t="str">
        <x:v>Herring-likes</x:v>
      </x:c>
      <x:c r="I33" s="31" t="n">
        <x:v>2909.4900000000002</x:v>
      </x:c>
      <x:c r="J33" s="31" t="n">
        <x:v>2909.4900000000002</x:v>
      </x:c>
      <x:c r="K33" s="31" t="n">
        <x:v>0</x:v>
      </x:c>
      <x:c r="L33" s="31" t="n">
        <x:v>2909.4900000000002</x:v>
      </x:c>
      <x:c r="M33" s="31" t="n">
        <x:v>0</x:v>
      </x:c>
      <x:c r="N33" s="24" t="str">
        <x:v>ilisha africana</x:v>
      </x:c>
      <x:c r="O33" s="32" t="n">
        <x:v>3.59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Ilisha africana</x:v>
      </x:c>
      <x:c r="T33" s="32" t="n">
        <x:f>IF(O33="","",(1/'Metadata'!$B$5)^(O33-1))</x:f>
        <x:v>389.04514499428046</x:v>
      </x:c>
      <x:c r="U33" s="31" t="n">
        <x:f>IF(T33="","",I33*T33)</x:f>
        <x:v>1131922.9589094091</x:v>
      </x:c>
    </x:row>
    <x:row r="34" ht="18" customHeight="1">
      <x:c r="A34" s="24" t="str">
        <x:v>EEZ_288</x:v>
      </x:c>
      <x:c r="B34" s="24" t="str">
        <x:v>Ghana</x:v>
      </x:c>
      <x:c r="C34" s="24" t="str">
        <x:v>EEZ</x:v>
      </x:c>
      <x:c r="D34" s="30" t="n">
        <x:v>2019</x:v>
      </x:c>
      <x:c r="E34" s="24" t="str">
        <x:v>Diplodus</x:v>
      </x:c>
      <x:c r="F34" s="24" t="str">
        <x:v>Two-toothed seabreams</x:v>
      </x:c>
      <x:c r="G34" s="24" t="str">
        <x:v>Medium benthopelagics (30 - 89 cm)</x:v>
      </x:c>
      <x:c r="H34" s="24" t="str">
        <x:v>Perch-likes</x:v>
      </x:c>
      <x:c r="I34" s="31" t="n">
        <x:v>2792.9900000001</x:v>
      </x:c>
      <x:c r="J34" s="31" t="n">
        <x:v>2792.9900000001</x:v>
      </x:c>
      <x:c r="K34" s="31" t="n">
        <x:v>0</x:v>
      </x:c>
      <x:c r="L34" s="31" t="n">
        <x:v>2792.9900000001</x:v>
      </x:c>
      <x:c r="M34" s="31" t="n">
        <x:v>0</x:v>
      </x:c>
      <x:c r="N34" s="24" t="str">
        <x:v>diplodus</x:v>
      </x:c>
      <x:c r="O34" s="32" t="n">
        <x:v>2.97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Diplodus</x:v>
      </x:c>
      <x:c r="T34" s="32" t="n">
        <x:f>IF(O34="","",(1/'Metadata'!$B$5)^(O34-1))</x:f>
        <x:v>93.32543007969915</x:v>
      </x:c>
      <x:c r="U34" s="31" t="n">
        <x:f>IF(T34="","",I34*T34)</x:f>
        <x:v>260656.99295830823</x:v>
      </x:c>
    </x:row>
    <x:row r="35" ht="18" customHeight="1">
      <x:c r="A35" s="24" t="str">
        <x:v>EEZ_288</x:v>
      </x:c>
      <x:c r="B35" s="24" t="str">
        <x:v>Ghana</x:v>
      </x:c>
      <x:c r="C35" s="24" t="str">
        <x:v>EEZ</x:v>
      </x:c>
      <x:c r="D35" s="30" t="n">
        <x:v>2019</x:v>
      </x:c>
      <x:c r="E35" s="24" t="str">
        <x:v>Galeoides decadactylus</x:v>
      </x:c>
      <x:c r="F35" s="24" t="str">
        <x:v>Lesser African threadfin</x:v>
      </x:c>
      <x:c r="G35" s="24" t="str">
        <x:v>Medium demersals (30 - 89 cm)</x:v>
      </x:c>
      <x:c r="H35" s="24" t="str">
        <x:v>Perch-likes</x:v>
      </x:c>
      <x:c r="I35" s="31" t="n">
        <x:v>2642.1099999999997</x:v>
      </x:c>
      <x:c r="J35" s="31" t="n">
        <x:v>2642.1099999999997</x:v>
      </x:c>
      <x:c r="K35" s="31" t="n">
        <x:v>0</x:v>
      </x:c>
      <x:c r="L35" s="31" t="n">
        <x:v>2642.1099999999997</x:v>
      </x:c>
      <x:c r="M35" s="31" t="n">
        <x:v>0</x:v>
      </x:c>
      <x:c r="N35" s="24" t="str">
        <x:v>galeoides decadactylus</x:v>
      </x:c>
      <x:c r="O35" s="32" t="n">
        <x:v>3.57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Galeoides decadactylus</x:v>
      </x:c>
      <x:c r="T35" s="32" t="n">
        <x:f>IF(O35="","",(1/'Metadata'!$B$5)^(O35-1))</x:f>
        <x:v>371.5352290971724</x:v>
      </x:c>
      <x:c r="U35" s="31" t="n">
        <x:f>IF(T35="","",I35*T35)</x:f>
        <x:v>981636.9441499301</x:v>
      </x:c>
    </x:row>
    <x:row r="36" ht="18" customHeight="1">
      <x:c r="A36" s="24" t="str">
        <x:v>EEZ_288</x:v>
      </x:c>
      <x:c r="B36" s="24" t="str">
        <x:v>Ghana</x:v>
      </x:c>
      <x:c r="C36" s="24" t="str">
        <x:v>EEZ</x:v>
      </x:c>
      <x:c r="D36" s="30" t="n">
        <x:v>2019</x:v>
      </x:c>
      <x:c r="E36" s="24" t="str">
        <x:v>Perciformes</x:v>
      </x:c>
      <x:c r="F36" s="24" t="str">
        <x:v>Perch-likes</x:v>
      </x:c>
      <x:c r="G36" s="24" t="str">
        <x:v>Medium demersals (30 - 89 cm)</x:v>
      </x:c>
      <x:c r="H36" s="24" t="str">
        <x:v>Perch-likes</x:v>
      </x:c>
      <x:c r="I36" s="31" t="n">
        <x:v>2561.249</x:v>
      </x:c>
      <x:c r="J36" s="31" t="n">
        <x:v>1210</x:v>
      </x:c>
      <x:c r="K36" s="31" t="n">
        <x:v>1351.249</x:v>
      </x:c>
      <x:c r="L36" s="31" t="n">
        <x:v>0</x:v>
      </x:c>
      <x:c r="M36" s="31" t="n">
        <x:v>2561.249</x:v>
      </x:c>
      <x:c r="N36" s="24" t="str">
        <x:v>perciformes</x:v>
      </x:c>
      <x:c r="O36" s="32" t="n">
        <x:v>3.53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Perciformes</x:v>
      </x:c>
      <x:c r="T36" s="32" t="n">
        <x:f>IF(O36="","",(1/'Metadata'!$B$5)^(O36-1))</x:f>
        <x:v>338.84415613920237</x:v>
      </x:c>
      <x:c r="U36" s="31" t="n">
        <x:f>IF(T36="","",I36*T36)</x:f>
        <x:v>867864.2560673759</x:v>
      </x:c>
    </x:row>
    <x:row r="37" ht="18" customHeight="1">
      <x:c r="A37" s="24" t="str">
        <x:v>EEZ_288</x:v>
      </x:c>
      <x:c r="B37" s="24" t="str">
        <x:v>Ghana</x:v>
      </x:c>
      <x:c r="C37" s="24" t="str">
        <x:v>EEZ</x:v>
      </x:c>
      <x:c r="D37" s="30" t="n">
        <x:v>2019</x:v>
      </x:c>
      <x:c r="E37" s="24" t="str">
        <x:v>Scomberomorus tritor</x:v>
      </x:c>
      <x:c r="F37" s="24" t="str">
        <x:v>West African Spanish mackerel</x:v>
      </x:c>
      <x:c r="G37" s="24" t="str">
        <x:v>Medium pelagics (30 - 89 cm)</x:v>
      </x:c>
      <x:c r="H37" s="24" t="str">
        <x:v>Perch-likes</x:v>
      </x:c>
      <x:c r="I37" s="31" t="n">
        <x:v>2472.1406637137</x:v>
      </x:c>
      <x:c r="J37" s="31" t="n">
        <x:v>2472.1406637137</x:v>
      </x:c>
      <x:c r="K37" s="31" t="n">
        <x:v>0</x:v>
      </x:c>
      <x:c r="L37" s="31" t="n">
        <x:v>2468.5640827137</x:v>
      </x:c>
      <x:c r="M37" s="31" t="n">
        <x:v>3.576581</x:v>
      </x:c>
      <x:c r="N37" s="24" t="str">
        <x:v>scomberomorus tritor</x:v>
      </x:c>
      <x:c r="O37" s="32" t="n">
        <x:v>4.26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Scomberomorus tritor</x:v>
      </x:c>
      <x:c r="T37" s="32" t="n">
        <x:f>IF(O37="","",(1/'Metadata'!$B$5)^(O37-1))</x:f>
        <x:v>1819.7008586099826</x:v>
      </x:c>
      <x:c r="U37" s="31" t="n">
        <x:f>IF(T37="","",I37*T37)</x:f>
        <x:v>4498556.488364472</x:v>
      </x:c>
    </x:row>
    <x:row r="38" ht="18" customHeight="1">
      <x:c r="A38" s="24" t="str">
        <x:v>EEZ_288</x:v>
      </x:c>
      <x:c r="B38" s="24" t="str">
        <x:v>Ghana</x:v>
      </x:c>
      <x:c r="C38" s="24" t="str">
        <x:v>EEZ</x:v>
      </x:c>
      <x:c r="D38" s="30" t="n">
        <x:v>2019</x:v>
      </x:c>
      <x:c r="E38" s="24" t="str">
        <x:v>Pseudotolithus</x:v>
      </x:c>
      <x:c r="F38" s="24" t="str">
        <x:v>African croakers</x:v>
      </x:c>
      <x:c r="G38" s="24" t="str">
        <x:v>Large demersals (&gt;=90 cm)</x:v>
      </x:c>
      <x:c r="H38" s="24" t="str">
        <x:v>Perch-likes</x:v>
      </x:c>
      <x:c r="I38" s="31" t="n">
        <x:v>2286.18</x:v>
      </x:c>
      <x:c r="J38" s="31" t="n">
        <x:v>2286.18</x:v>
      </x:c>
      <x:c r="K38" s="31" t="n">
        <x:v>0</x:v>
      </x:c>
      <x:c r="L38" s="31" t="n">
        <x:v>2286.18</x:v>
      </x:c>
      <x:c r="M38" s="31" t="n">
        <x:v>0</x:v>
      </x:c>
      <x:c r="N38" s="24" t="str">
        <x:v>pseudotolithus</x:v>
      </x:c>
      <x:c r="O38" s="32" t="n">
        <x:v>3.79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Pseudotolithus</x:v>
      </x:c>
      <x:c r="T38" s="32" t="n">
        <x:f>IF(O38="","",(1/'Metadata'!$B$5)^(O38-1))</x:f>
        <x:v>616.5950018614822</x:v>
      </x:c>
      <x:c r="U38" s="31" t="n">
        <x:f>IF(T38="","",I38*T38)</x:f>
        <x:v>1409647.161355683</x:v>
      </x:c>
    </x:row>
    <x:row r="39" ht="18" customHeight="1">
      <x:c r="A39" s="24" t="str">
        <x:v>EEZ_288</x:v>
      </x:c>
      <x:c r="B39" s="24" t="str">
        <x:v>Ghana</x:v>
      </x:c>
      <x:c r="C39" s="24" t="str">
        <x:v>EEZ</x:v>
      </x:c>
      <x:c r="D39" s="30" t="n">
        <x:v>2019</x:v>
      </x:c>
      <x:c r="E39" s="24" t="str">
        <x:v>Scombroidei</x:v>
      </x:c>
      <x:c r="F39" s="24" t="str">
        <x:v>Tunas, bonitos, billfishes</x:v>
      </x:c>
      <x:c r="G39" s="24" t="str">
        <x:v>Large pelagics (&gt;=90 cm)</x:v>
      </x:c>
      <x:c r="H39" s="24" t="str">
        <x:v>Tuna &amp; billfishes</x:v>
      </x:c>
      <x:c r="I39" s="31" t="n">
        <x:v>1860.4653239226</x:v>
      </x:c>
      <x:c r="J39" s="31" t="n">
        <x:v>1546.2519239226</x:v>
      </x:c>
      <x:c r="K39" s="31" t="n">
        <x:v>314.2134</x:v>
      </x:c>
      <x:c r="L39" s="31" t="n">
        <x:v>290.2096639226</x:v>
      </x:c>
      <x:c r="M39" s="31" t="n">
        <x:v>1570.25566</x:v>
      </x:c>
      <x:c r="N39" s="24" t="str">
        <x:v>scombroidei</x:v>
      </x:c>
      <x:c r="O39" s="32" t="n">
        <x:v>4.2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Scombroidei</x:v>
      </x:c>
      <x:c r="T39" s="32" t="n">
        <x:f>IF(O39="","",(1/'Metadata'!$B$5)^(O39-1))</x:f>
        <x:v>1584.893192461114</x:v>
      </x:c>
      <x:c r="U39" s="31" t="n">
        <x:f>IF(T39="","",I39*T39)</x:f>
        <x:v>2948638.82669489</x:v>
      </x:c>
    </x:row>
    <x:row r="40" ht="18" customHeight="1">
      <x:c r="A40" s="24" t="str">
        <x:v>EEZ_288</x:v>
      </x:c>
      <x:c r="B40" s="24" t="str">
        <x:v>Ghana</x:v>
      </x:c>
      <x:c r="C40" s="24" t="str">
        <x:v>EEZ</x:v>
      </x:c>
      <x:c r="D40" s="30" t="n">
        <x:v>2019</x:v>
      </x:c>
      <x:c r="E40" s="24" t="str">
        <x:v>Selene dorsalis</x:v>
      </x:c>
      <x:c r="F40" s="24" t="str">
        <x:v>African moonfish</x:v>
      </x:c>
      <x:c r="G40" s="24" t="str">
        <x:v>Small demersals (&lt;30 cm)</x:v>
      </x:c>
      <x:c r="H40" s="24" t="str">
        <x:v>Perch-likes</x:v>
      </x:c>
      <x:c r="I40" s="31" t="n">
        <x:v>1653.01</x:v>
      </x:c>
      <x:c r="J40" s="31" t="n">
        <x:v>1653.01</x:v>
      </x:c>
      <x:c r="K40" s="31" t="n">
        <x:v>0</x:v>
      </x:c>
      <x:c r="L40" s="31" t="n">
        <x:v>1653.01</x:v>
      </x:c>
      <x:c r="M40" s="31" t="n">
        <x:v>0</x:v>
      </x:c>
      <x:c r="N40" s="24" t="str">
        <x:v>selene dorsalis</x:v>
      </x:c>
      <x:c r="O40" s="32" t="n">
        <x:v>4.08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Selene dorsalis</x:v>
      </x:c>
      <x:c r="T40" s="32" t="n">
        <x:f>IF(O40="","",(1/'Metadata'!$B$5)^(O40-1))</x:f>
        <x:v>1202.2644346174131</x:v>
      </x:c>
      <x:c r="U40" s="31" t="n">
        <x:f>IF(T40="","",I40*T40)</x:f>
        <x:v>1987355.13306693</x:v>
      </x:c>
    </x:row>
    <x:row r="41" ht="18" customHeight="1">
      <x:c r="A41" s="24" t="str">
        <x:v>EEZ_288</x:v>
      </x:c>
      <x:c r="B41" s="24" t="str">
        <x:v>Ghana</x:v>
      </x:c>
      <x:c r="C41" s="24" t="str">
        <x:v>EEZ</x:v>
      </x:c>
      <x:c r="D41" s="30" t="n">
        <x:v>2019</x:v>
      </x:c>
      <x:c r="E41" s="24" t="str">
        <x:v>Lutjanus</x:v>
      </x:c>
      <x:c r="F41" s="24" t="str">
        <x:v>Snappers</x:v>
      </x:c>
      <x:c r="G41" s="24" t="str">
        <x:v>Medium reef assoc. fish (30 - 89 cm)</x:v>
      </x:c>
      <x:c r="H41" s="24" t="str">
        <x:v>Perch-likes</x:v>
      </x:c>
      <x:c r="I41" s="31" t="n">
        <x:v>1571.8000000000002</x:v>
      </x:c>
      <x:c r="J41" s="31" t="n">
        <x:v>1571.8000000000002</x:v>
      </x:c>
      <x:c r="K41" s="31" t="n">
        <x:v>0</x:v>
      </x:c>
      <x:c r="L41" s="31" t="n">
        <x:v>1571.8000000000002</x:v>
      </x:c>
      <x:c r="M41" s="31" t="n">
        <x:v>0</x:v>
      </x:c>
      <x:c r="N41" s="24" t="str">
        <x:v>lutjanus</x:v>
      </x:c>
      <x:c r="O41" s="32" t="n">
        <x:v>4.02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Lutjanus</x:v>
      </x:c>
      <x:c r="T41" s="32" t="n">
        <x:f>IF(O41="","",(1/'Metadata'!$B$5)^(O41-1))</x:f>
        <x:v>1047.1285480508984</x:v>
      </x:c>
      <x:c r="U41" s="31" t="n">
        <x:f>IF(T41="","",I41*T41)</x:f>
        <x:v>1645876.6518264024</x:v>
      </x:c>
    </x:row>
    <x:row r="42" ht="18" customHeight="1">
      <x:c r="A42" s="24" t="str">
        <x:v>EEZ_288</x:v>
      </x:c>
      <x:c r="B42" s="24" t="str">
        <x:v>Ghana</x:v>
      </x:c>
      <x:c r="C42" s="24" t="str">
        <x:v>EEZ</x:v>
      </x:c>
      <x:c r="D42" s="30" t="n">
        <x:v>2019</x:v>
      </x:c>
      <x:c r="E42" s="24" t="str">
        <x:v>Dentex congoensis</x:v>
      </x:c>
      <x:c r="F42" s="24" t="str">
        <x:v>Congo dentex</x:v>
      </x:c>
      <x:c r="G42" s="24" t="str">
        <x:v>Medium demersals (30 - 89 cm)</x:v>
      </x:c>
      <x:c r="H42" s="24" t="str">
        <x:v>Perch-likes</x:v>
      </x:c>
      <x:c r="I42" s="31" t="n">
        <x:v>1515.7</x:v>
      </x:c>
      <x:c r="J42" s="31" t="n">
        <x:v>1515.7</x:v>
      </x:c>
      <x:c r="K42" s="31" t="n">
        <x:v>0</x:v>
      </x:c>
      <x:c r="L42" s="31" t="n">
        <x:v>1515.7</x:v>
      </x:c>
      <x:c r="M42" s="31" t="n">
        <x:v>0</x:v>
      </x:c>
      <x:c r="N42" s="24" t="str">
        <x:v>dentex congoensis</x:v>
      </x:c>
      <x:c r="O42" s="32" t="n">
        <x:v>3.71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Dentex congoensis</x:v>
      </x:c>
      <x:c r="T42" s="32" t="n">
        <x:f>IF(O42="","",(1/'Metadata'!$B$5)^(O42-1))</x:f>
        <x:v>512.8613839913648</x:v>
      </x:c>
      <x:c r="U42" s="31" t="n">
        <x:f>IF(T42="","",I42*T42)</x:f>
        <x:v>777343.9997157117</x:v>
      </x:c>
    </x:row>
    <x:row r="43" ht="18" customHeight="1">
      <x:c r="A43" s="24" t="str">
        <x:v>EEZ_288</x:v>
      </x:c>
      <x:c r="B43" s="24" t="str">
        <x:v>Ghana</x:v>
      </x:c>
      <x:c r="C43" s="24" t="str">
        <x:v>EEZ</x:v>
      </x:c>
      <x:c r="D43" s="30" t="n">
        <x:v>2019</x:v>
      </x:c>
      <x:c r="E43" s="24" t="str">
        <x:v>Lobotes surinamensis</x:v>
      </x:c>
      <x:c r="F43" s="24" t="str">
        <x:v>Tripletail</x:v>
      </x:c>
      <x:c r="G43" s="24" t="str">
        <x:v>Large benthopelagics (&gt;=90 cm)</x:v>
      </x:c>
      <x:c r="H43" s="24" t="str">
        <x:v>Perch-likes</x:v>
      </x:c>
      <x:c r="I43" s="31" t="n">
        <x:v>1351.249</x:v>
      </x:c>
      <x:c r="J43" s="31" t="n">
        <x:v>0</x:v>
      </x:c>
      <x:c r="K43" s="31" t="n">
        <x:v>1351.249</x:v>
      </x:c>
      <x:c r="L43" s="31" t="n">
        <x:v>0</x:v>
      </x:c>
      <x:c r="M43" s="31" t="n">
        <x:v>1351.249</x:v>
      </x:c>
      <x:c r="N43" s="24" t="str">
        <x:v>lobotes surinamensis</x:v>
      </x:c>
      <x:c r="O43" s="32" t="n">
        <x:v>4.04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Lobotes surinamensis</x:v>
      </x:c>
      <x:c r="T43" s="32" t="n">
        <x:f>IF(O43="","",(1/'Metadata'!$B$5)^(O43-1))</x:f>
        <x:v>1096.4781961431852</x:v>
      </x:c>
      <x:c r="U43" s="31" t="n">
        <x:f>IF(T43="","",I43*T43)</x:f>
        <x:v>1481615.0660602828</x:v>
      </x:c>
    </x:row>
    <x:row r="44" ht="18" customHeight="1">
      <x:c r="A44" s="24" t="str">
        <x:v>EEZ_288</x:v>
      </x:c>
      <x:c r="B44" s="24" t="str">
        <x:v>Ghana</x:v>
      </x:c>
      <x:c r="C44" s="24" t="str">
        <x:v>EEZ</x:v>
      </x:c>
      <x:c r="D44" s="30" t="n">
        <x:v>2019</x:v>
      </x:c>
      <x:c r="E44" s="24" t="str">
        <x:v>Elasmobranchii</x:v>
      </x:c>
      <x:c r="F44" s="24" t="str">
        <x:v>Sharks, rays, skates</x:v>
      </x:c>
      <x:c r="G44" s="24" t="str">
        <x:v>Large sharks (&gt;=90 cm)</x:v>
      </x:c>
      <x:c r="H44" s="24" t="str">
        <x:v>Sharks &amp; rays</x:v>
      </x:c>
      <x:c r="I44" s="31" t="n">
        <x:v>1292</x:v>
      </x:c>
      <x:c r="J44" s="31" t="n">
        <x:v>1292</x:v>
      </x:c>
      <x:c r="K44" s="31" t="n">
        <x:v>0</x:v>
      </x:c>
      <x:c r="L44" s="31" t="n">
        <x:v>1292</x:v>
      </x:c>
      <x:c r="M44" s="31" t="n">
        <x:v>0</x:v>
      </x:c>
      <x:c r="N44" s="24" t="str">
        <x:v>elasmobranchii</x:v>
      </x:c>
      <x:c r="O44" s="32" t="n">
        <x:v>4.05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Elasmobranchii</x:v>
      </x:c>
      <x:c r="T44" s="32" t="n">
        <x:f>IF(O44="","",(1/'Metadata'!$B$5)^(O44-1))</x:f>
        <x:v>1122.018454301963</x:v>
      </x:c>
      <x:c r="U44" s="31" t="n">
        <x:f>IF(T44="","",I44*T44)</x:f>
        <x:v>1449647.8429581362</x:v>
      </x:c>
    </x:row>
    <x:row r="45" ht="18" customHeight="1">
      <x:c r="A45" s="24" t="str">
        <x:v>EEZ_288</x:v>
      </x:c>
      <x:c r="B45" s="24" t="str">
        <x:v>Ghana</x:v>
      </x:c>
      <x:c r="C45" s="24" t="str">
        <x:v>EEZ</x:v>
      </x:c>
      <x:c r="D45" s="30" t="n">
        <x:v>2019</x:v>
      </x:c>
      <x:c r="E45" s="24" t="str">
        <x:v>Marine pelagic fishes not identified</x:v>
      </x:c>
      <x:c r="F45" s="24" t="str">
        <x:v>Pelagic fishes</x:v>
      </x:c>
      <x:c r="G45" s="24" t="str">
        <x:v>Medium pelagics (30 - 89 cm)</x:v>
      </x:c>
      <x:c r="H45" s="24" t="str">
        <x:v>Other fishes &amp; inverts</x:v>
      </x:c>
      <x:c r="I45" s="31" t="n">
        <x:v>1173.2800484182999</x:v>
      </x:c>
      <x:c r="J45" s="31" t="n">
        <x:v>1173.2800484182999</x:v>
      </x:c>
      <x:c r="K45" s="31" t="n">
        <x:v>0</x:v>
      </x:c>
      <x:c r="L45" s="31" t="n">
        <x:v>1173.2800484182999</x:v>
      </x:c>
      <x:c r="M45" s="31" t="n">
        <x:v>0</x:v>
      </x:c>
      <x:c r="N45" s="24" t="str">
        <x:v>marine pelagic fishes not identified</x:v>
      </x:c>
      <x:c r="O45" s="32" t="n">
        <x:v>3.35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Marine pelagic fishes not identified</x:v>
      </x:c>
      <x:c r="T45" s="32" t="n">
        <x:f>IF(O45="","",(1/'Metadata'!$B$5)^(O45-1))</x:f>
        <x:v>223.872113856834</x:v>
      </x:c>
      <x:c r="U45" s="31" t="n">
        <x:f>IF(T45="","",I45*T45)</x:f>
        <x:v>262664.68458545336</x:v>
      </x:c>
    </x:row>
    <x:row r="46" ht="18" customHeight="1">
      <x:c r="A46" s="24" t="str">
        <x:v>EEZ_288</x:v>
      </x:c>
      <x:c r="B46" s="24" t="str">
        <x:v>Ghana</x:v>
      </x:c>
      <x:c r="C46" s="24" t="str">
        <x:v>EEZ</x:v>
      </x:c>
      <x:c r="D46" s="30" t="n">
        <x:v>2019</x:v>
      </x:c>
      <x:c r="E46" s="24" t="str">
        <x:v>Thunnus obesus</x:v>
      </x:c>
      <x:c r="F46" s="24" t="str">
        <x:v>Bigeye tuna</x:v>
      </x:c>
      <x:c r="G46" s="24" t="str">
        <x:v>Large pelagics (&gt;=90 cm)</x:v>
      </x:c>
      <x:c r="H46" s="24" t="str">
        <x:v>Tuna &amp; billfishes</x:v>
      </x:c>
      <x:c r="I46" s="31" t="n">
        <x:v>1163.2726550989</x:v>
      </x:c>
      <x:c r="J46" s="31" t="n">
        <x:v>1163.2726550989</x:v>
      </x:c>
      <x:c r="K46" s="31" t="n">
        <x:v>0</x:v>
      </x:c>
      <x:c r="L46" s="31" t="n">
        <x:v>1157.0136380989</x:v>
      </x:c>
      <x:c r="M46" s="31" t="n">
        <x:v>6.259017</x:v>
      </x:c>
      <x:c r="N46" s="24" t="str">
        <x:v>thunnus obesus</x:v>
      </x:c>
      <x:c r="O46" s="32" t="n">
        <x:v>4.49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Thunnus obesus</x:v>
      </x:c>
      <x:c r="T46" s="32" t="n">
        <x:f>IF(O46="","",(1/'Metadata'!$B$5)^(O46-1))</x:f>
        <x:v>3090.295432513592</x:v>
      </x:c>
      <x:c r="U46" s="31" t="n">
        <x:f>IF(T46="","",I46*T46)</x:f>
        <x:v>3594856.17282009</x:v>
      </x:c>
    </x:row>
    <x:row r="47" ht="18" customHeight="1">
      <x:c r="A47" s="24" t="str">
        <x:v>EEZ_288</x:v>
      </x:c>
      <x:c r="B47" s="24" t="str">
        <x:v>Ghana</x:v>
      </x:c>
      <x:c r="C47" s="24" t="str">
        <x:v>EEZ</x:v>
      </x:c>
      <x:c r="D47" s="30" t="n">
        <x:v>2019</x:v>
      </x:c>
      <x:c r="E47" s="24" t="str">
        <x:v>Dentex angolensis</x:v>
      </x:c>
      <x:c r="F47" s="24" t="str">
        <x:v>Angolan dentex</x:v>
      </x:c>
      <x:c r="G47" s="24" t="str">
        <x:v>Small demersals (&lt;30 cm)</x:v>
      </x:c>
      <x:c r="H47" s="24" t="str">
        <x:v>Perch-likes</x:v>
      </x:c>
      <x:c r="I47" s="31" t="n">
        <x:v>1089.0900000000001</x:v>
      </x:c>
      <x:c r="J47" s="31" t="n">
        <x:v>1089.0900000000001</x:v>
      </x:c>
      <x:c r="K47" s="31" t="n">
        <x:v>0</x:v>
      </x:c>
      <x:c r="L47" s="31" t="n">
        <x:v>1089.0900000000001</x:v>
      </x:c>
      <x:c r="M47" s="31" t="n">
        <x:v>0</x:v>
      </x:c>
      <x:c r="N47" s="24" t="str">
        <x:v>dentex angolensis</x:v>
      </x:c>
      <x:c r="O47" s="32" t="n">
        <x:v>3.52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Dentex angolensis</x:v>
      </x:c>
      <x:c r="T47" s="32" t="n">
        <x:f>IF(O47="","",(1/'Metadata'!$B$5)^(O47-1))</x:f>
        <x:v>331.1311214825911</x:v>
      </x:c>
      <x:c r="U47" s="31" t="n">
        <x:f>IF(T47="","",I47*T47)</x:f>
        <x:v>360631.59309547517</x:v>
      </x:c>
    </x:row>
    <x:row r="48" ht="18" customHeight="1">
      <x:c r="A48" s="24" t="str">
        <x:v>EEZ_288</x:v>
      </x:c>
      <x:c r="B48" s="24" t="str">
        <x:v>Ghana</x:v>
      </x:c>
      <x:c r="C48" s="24" t="str">
        <x:v>EEZ</x:v>
      </x:c>
      <x:c r="D48" s="30" t="n">
        <x:v>2019</x:v>
      </x:c>
      <x:c r="E48" s="24" t="str">
        <x:v>Prionace glauca</x:v>
      </x:c>
      <x:c r="F48" s="24" t="str">
        <x:v>Blue shark</x:v>
      </x:c>
      <x:c r="G48" s="24" t="str">
        <x:v>Large sharks (&gt;=90 cm)</x:v>
      </x:c>
      <x:c r="H48" s="24" t="str">
        <x:v>Sharks &amp; rays</x:v>
      </x:c>
      <x:c r="I48" s="31" t="n">
        <x:v>1072.6203168707</x:v>
      </x:c>
      <x:c r="J48" s="31" t="n">
        <x:v>1072.6203168707</x:v>
      </x:c>
      <x:c r="K48" s="31" t="n">
        <x:v>0</x:v>
      </x:c>
      <x:c r="L48" s="31" t="n">
        <x:v>1072.6203168707</x:v>
      </x:c>
      <x:c r="M48" s="31" t="n">
        <x:v>0</x:v>
      </x:c>
      <x:c r="N48" s="24" t="str">
        <x:v>prionace glauca</x:v>
      </x:c>
      <x:c r="O48" s="32" t="n">
        <x:v>4.35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Prionace glauca</x:v>
      </x:c>
      <x:c r="T48" s="32" t="n">
        <x:f>IF(O48="","",(1/'Metadata'!$B$5)^(O48-1))</x:f>
        <x:v>2238.7211385683377</x:v>
      </x:c>
      <x:c r="U48" s="31" t="n">
        <x:f>IF(T48="","",I48*T48)</x:f>
        <x:v>2401297.7770363046</x:v>
      </x:c>
    </x:row>
    <x:row r="49" ht="18" customHeight="1">
      <x:c r="A49" s="24" t="str">
        <x:v>EEZ_288</x:v>
      </x:c>
      <x:c r="B49" s="24" t="str">
        <x:v>Ghana</x:v>
      </x:c>
      <x:c r="C49" s="24" t="str">
        <x:v>EEZ</x:v>
      </x:c>
      <x:c r="D49" s="30" t="n">
        <x:v>2019</x:v>
      </x:c>
      <x:c r="E49" s="24" t="str">
        <x:v>Carcharhinidae</x:v>
      </x:c>
      <x:c r="F49" s="24" t="str">
        <x:v>Requiem sharks</x:v>
      </x:c>
      <x:c r="G49" s="24" t="str">
        <x:v>Large sharks (&gt;=90 cm)</x:v>
      </x:c>
      <x:c r="H49" s="24" t="str">
        <x:v>Sharks &amp; rays</x:v>
      </x:c>
      <x:c r="I49" s="31" t="n">
        <x:v>946.6994098061999</x:v>
      </x:c>
      <x:c r="J49" s="31" t="n">
        <x:v>792.9520098062</x:v>
      </x:c>
      <x:c r="K49" s="31" t="n">
        <x:v>153.7474</x:v>
      </x:c>
      <x:c r="L49" s="31" t="n">
        <x:v>141.5245098062</x:v>
      </x:c>
      <x:c r="M49" s="31" t="n">
        <x:v>805.1749</x:v>
      </x:c>
      <x:c r="N49" s="24" t="str">
        <x:v>carcharhinidae</x:v>
      </x:c>
      <x:c r="O49" s="32" t="n">
        <x:v>4.24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Carcharhinidae</x:v>
      </x:c>
      <x:c r="T49" s="32" t="n">
        <x:f>IF(O49="","",(1/'Metadata'!$B$5)^(O49-1))</x:f>
        <x:v>1737.8008287493763</x:v>
      </x:c>
      <x:c r="U49" s="31" t="n">
        <x:f>IF(T49="","",I49*T49)</x:f>
        <x:v>1645175.0189377596</x:v>
      </x:c>
    </x:row>
    <x:row r="50" ht="18" customHeight="1">
      <x:c r="A50" s="24" t="str">
        <x:v>EEZ_288</x:v>
      </x:c>
      <x:c r="B50" s="24" t="str">
        <x:v>Ghana</x:v>
      </x:c>
      <x:c r="C50" s="24" t="str">
        <x:v>EEZ</x:v>
      </x:c>
      <x:c r="D50" s="30" t="n">
        <x:v>2019</x:v>
      </x:c>
      <x:c r="E50" s="24" t="str">
        <x:v>Epinephelus</x:v>
      </x:c>
      <x:c r="F50" s="24" t="str">
        <x:v>Seabasses, hinds</x:v>
      </x:c>
      <x:c r="G50" s="24" t="str">
        <x:v>Medium reef assoc. fish (30 - 89 cm)</x:v>
      </x:c>
      <x:c r="H50" s="24" t="str">
        <x:v>Perch-likes</x:v>
      </x:c>
      <x:c r="I50" s="31" t="n">
        <x:v>877.28</x:v>
      </x:c>
      <x:c r="J50" s="31" t="n">
        <x:v>877.28</x:v>
      </x:c>
      <x:c r="K50" s="31" t="n">
        <x:v>0</x:v>
      </x:c>
      <x:c r="L50" s="31" t="n">
        <x:v>877.28</x:v>
      </x:c>
      <x:c r="M50" s="31" t="n">
        <x:v>0</x:v>
      </x:c>
      <x:c r="N50" s="24" t="str">
        <x:v>epinephelus</x:v>
      </x:c>
      <x:c r="O50" s="32" t="n">
        <x:v>3.84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Epinephelus</x:v>
      </x:c>
      <x:c r="T50" s="32" t="n">
        <x:f>IF(O50="","",(1/'Metadata'!$B$5)^(O50-1))</x:f>
        <x:v>691.8309709189363</x:v>
      </x:c>
      <x:c r="U50" s="31" t="n">
        <x:f>IF(T50="","",I50*T50)</x:f>
        <x:v>606929.4741677644</x:v>
      </x:c>
    </x:row>
    <x:row r="51" ht="18" customHeight="1">
      <x:c r="A51" s="24" t="str">
        <x:v>EEZ_288</x:v>
      </x:c>
      <x:c r="B51" s="24" t="str">
        <x:v>Ghana</x:v>
      </x:c>
      <x:c r="C51" s="24" t="str">
        <x:v>EEZ</x:v>
      </x:c>
      <x:c r="D51" s="30" t="n">
        <x:v>2019</x:v>
      </x:c>
      <x:c r="E51" s="24" t="str">
        <x:v>Rajiformes</x:v>
      </x:c>
      <x:c r="F51" s="24" t="str">
        <x:v>Skates and rays</x:v>
      </x:c>
      <x:c r="G51" s="24" t="str">
        <x:v>Large rays (&gt;=90 cm)</x:v>
      </x:c>
      <x:c r="H51" s="24" t="str">
        <x:v>Sharks &amp; rays</x:v>
      </x:c>
      <x:c r="I51" s="31" t="n">
        <x:v>851.0583364388</x:v>
      </x:c>
      <x:c r="J51" s="31" t="n">
        <x:v>741.3088364388</x:v>
      </x:c>
      <x:c r="K51" s="31" t="n">
        <x:v>109.7495</x:v>
      </x:c>
      <x:c r="L51" s="31" t="n">
        <x:v>271.86410743880003</x:v>
      </x:c>
      <x:c r="M51" s="31" t="n">
        <x:v>579.194229</x:v>
      </x:c>
      <x:c r="N51" s="24" t="str">
        <x:v>rajiformes</x:v>
      </x:c>
      <x:c r="O51" s="32" t="n">
        <x:v>3.61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Rajiformes</x:v>
      </x:c>
      <x:c r="T51" s="32" t="n">
        <x:f>IF(O51="","",(1/'Metadata'!$B$5)^(O51-1))</x:f>
        <x:v>407.3802778041126</x:v>
      </x:c>
      <x:c r="U51" s="31" t="n">
        <x:f>IF(T51="","",I51*T51)</x:f>
        <x:v>346704.3815259443</x:v>
      </x:c>
    </x:row>
    <x:row r="52" ht="18" customHeight="1">
      <x:c r="A52" s="24" t="str">
        <x:v>EEZ_288</x:v>
      </x:c>
      <x:c r="B52" s="24" t="str">
        <x:v>Ghana</x:v>
      </x:c>
      <x:c r="C52" s="24" t="str">
        <x:v>EEZ</x:v>
      </x:c>
      <x:c r="D52" s="30" t="n">
        <x:v>2019</x:v>
      </x:c>
      <x:c r="E52" s="24" t="str">
        <x:v>Pseudupeneus prayensis</x:v>
      </x:c>
      <x:c r="F52" s="24" t="str">
        <x:v>West African goatfish</x:v>
      </x:c>
      <x:c r="G52" s="24" t="str">
        <x:v>Medium demersals (30 - 89 cm)</x:v>
      </x:c>
      <x:c r="H52" s="24" t="str">
        <x:v>Perch-likes</x:v>
      </x:c>
      <x:c r="I52" s="31" t="n">
        <x:v>794.06</x:v>
      </x:c>
      <x:c r="J52" s="31" t="n">
        <x:v>794.06</x:v>
      </x:c>
      <x:c r="K52" s="31" t="n">
        <x:v>0</x:v>
      </x:c>
      <x:c r="L52" s="31" t="n">
        <x:v>794.06</x:v>
      </x:c>
      <x:c r="M52" s="31" t="n">
        <x:v>0</x:v>
      </x:c>
      <x:c r="N52" s="24" t="str">
        <x:v>pseudupeneus prayensis</x:v>
      </x:c>
      <x:c r="O52" s="32" t="n">
        <x:v>3.24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Pseudupeneus prayensis</x:v>
      </x:c>
      <x:c r="T52" s="32" t="n">
        <x:f>IF(O52="","",(1/'Metadata'!$B$5)^(O52-1))</x:f>
        <x:v>173.78008287493762</x:v>
      </x:c>
      <x:c r="U52" s="31" t="n">
        <x:f>IF(T52="","",I52*T52)</x:f>
        <x:v>137991.81260767297</x:v>
      </x:c>
    </x:row>
    <x:row r="53" ht="18" customHeight="1">
      <x:c r="A53" s="24" t="str">
        <x:v>EEZ_288</x:v>
      </x:c>
      <x:c r="B53" s="24" t="str">
        <x:v>Ghana</x:v>
      </x:c>
      <x:c r="C53" s="24" t="str">
        <x:v>EEZ</x:v>
      </x:c>
      <x:c r="D53" s="30" t="n">
        <x:v>2019</x:v>
      </x:c>
      <x:c r="E53" s="24" t="str">
        <x:v>Cephalopoda</x:v>
      </x:c>
      <x:c r="F53" s="24" t="str">
        <x:v>Squids, cuttlefishes, octopuses</x:v>
      </x:c>
      <x:c r="G53" s="24" t="str">
        <x:v>Cephalopods</x:v>
      </x:c>
      <x:c r="H53" s="24" t="str">
        <x:v>Other fishes &amp; inverts</x:v>
      </x:c>
      <x:c r="I53" s="31" t="n">
        <x:v>777.5565657527</x:v>
      </x:c>
      <x:c r="J53" s="31" t="n">
        <x:v>0</x:v>
      </x:c>
      <x:c r="K53" s="31" t="n">
        <x:v>777.5565657527</x:v>
      </x:c>
      <x:c r="L53" s="31" t="n">
        <x:v>0</x:v>
      </x:c>
      <x:c r="M53" s="31" t="n">
        <x:v>777.5565657527</x:v>
      </x:c>
      <x:c r="N53" s="24" t="str">
        <x:v>cephalopoda</x:v>
      </x:c>
      <x:c r="O53" s="32" t="n">
        <x:v>3.81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Cephalopoda</x:v>
      </x:c>
      <x:c r="T53" s="32" t="n">
        <x:f>IF(O53="","",(1/'Metadata'!$B$5)^(O53-1))</x:f>
        <x:v>645.6542290346556</x:v>
      </x:c>
      <x:c r="U53" s="31" t="n">
        <x:f>IF(T53="","",I53*T53)</x:f>
        <x:v>502032.684991894</x:v>
      </x:c>
    </x:row>
    <x:row r="54" ht="18" customHeight="1">
      <x:c r="A54" s="24" t="str">
        <x:v>EEZ_288</x:v>
      </x:c>
      <x:c r="B54" s="24" t="str">
        <x:v>Ghana</x:v>
      </x:c>
      <x:c r="C54" s="24" t="str">
        <x:v>EEZ</x:v>
      </x:c>
      <x:c r="D54" s="30" t="n">
        <x:v>2019</x:v>
      </x:c>
      <x:c r="E54" s="24" t="str">
        <x:v>Abudefduf saxatilis</x:v>
      </x:c>
      <x:c r="F54" s="24" t="str">
        <x:v>Sergeant-major</x:v>
      </x:c>
      <x:c r="G54" s="24" t="str">
        <x:v>Small reef assoc. fish (&lt;30 cm)</x:v>
      </x:c>
      <x:c r="H54" s="24" t="str">
        <x:v>Perch-likes</x:v>
      </x:c>
      <x:c r="I54" s="31" t="n">
        <x:v>675.6245</x:v>
      </x:c>
      <x:c r="J54" s="31" t="n">
        <x:v>0</x:v>
      </x:c>
      <x:c r="K54" s="31" t="n">
        <x:v>675.6245</x:v>
      </x:c>
      <x:c r="L54" s="31" t="n">
        <x:v>0</x:v>
      </x:c>
      <x:c r="M54" s="31" t="n">
        <x:v>675.6245</x:v>
      </x:c>
      <x:c r="N54" s="24" t="str">
        <x:v>abudefduf saxatilis</x:v>
      </x:c>
      <x:c r="O54" s="32" t="n">
        <x:v>3.82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Abudefduf saxatilis</x:v>
      </x:c>
      <x:c r="T54" s="32" t="n">
        <x:f>IF(O54="","",(1/'Metadata'!$B$5)^(O54-1))</x:f>
        <x:v>660.6934480075957</x:v>
      </x:c>
      <x:c r="U54" s="31" t="n">
        <x:f>IF(T54="","",I54*T54)</x:f>
        <x:v>446380.6804634079</x:v>
      </x:c>
    </x:row>
    <x:row r="55" ht="18" customHeight="1">
      <x:c r="A55" s="24" t="str">
        <x:v>EEZ_288</x:v>
      </x:c>
      <x:c r="B55" s="24" t="str">
        <x:v>Ghana</x:v>
      </x:c>
      <x:c r="C55" s="24" t="str">
        <x:v>EEZ</x:v>
      </x:c>
      <x:c r="D55" s="30" t="n">
        <x:v>2019</x:v>
      </x:c>
      <x:c r="E55" s="24" t="str">
        <x:v>Coryphaena hippurus</x:v>
      </x:c>
      <x:c r="F55" s="24" t="str">
        <x:v>Common dolphinfish</x:v>
      </x:c>
      <x:c r="G55" s="24" t="str">
        <x:v>Large pelagics (&gt;=90 cm)</x:v>
      </x:c>
      <x:c r="H55" s="24" t="str">
        <x:v>Perch-likes</x:v>
      </x:c>
      <x:c r="I55" s="31" t="n">
        <x:v>669.4482822756</x:v>
      </x:c>
      <x:c r="J55" s="31" t="n">
        <x:v>669.4482822756</x:v>
      </x:c>
      <x:c r="K55" s="31" t="n">
        <x:v>0</x:v>
      </x:c>
      <x:c r="L55" s="31" t="n">
        <x:v>538.9030822756</x:v>
      </x:c>
      <x:c r="M55" s="31" t="n">
        <x:v>130.5452</x:v>
      </x:c>
      <x:c r="N55" s="24" t="str">
        <x:v>coryphaena hippurus</x:v>
      </x:c>
      <x:c r="O55" s="32" t="n">
        <x:v>4.37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Coryphaena hippurus</x:v>
      </x:c>
      <x:c r="T55" s="32" t="n">
        <x:f>IF(O55="","",(1/'Metadata'!$B$5)^(O55-1))</x:f>
        <x:v>2344.228815319923</x:v>
      </x:c>
      <x:c r="U55" s="31" t="n">
        <x:f>IF(T55="","",I55*T55)</x:f>
        <x:v>1569339.953676887</x:v>
      </x:c>
    </x:row>
    <x:row r="56" ht="18" customHeight="1">
      <x:c r="A56" s="24" t="str">
        <x:v>EEZ_288</x:v>
      </x:c>
      <x:c r="B56" s="24" t="str">
        <x:v>Ghana</x:v>
      </x:c>
      <x:c r="C56" s="24" t="str">
        <x:v>EEZ</x:v>
      </x:c>
      <x:c r="D56" s="30" t="n">
        <x:v>2019</x:v>
      </x:c>
      <x:c r="E56" s="24" t="str">
        <x:v>Solea</x:v>
      </x:c>
      <x:c r="F56" s="24" t="str">
        <x:v>Soles</x:v>
      </x:c>
      <x:c r="G56" s="24" t="str">
        <x:v>Small to medium flatfishes (&lt;90 cm)</x:v>
      </x:c>
      <x:c r="H56" s="24" t="str">
        <x:v>Flatfishes</x:v>
      </x:c>
      <x:c r="I56" s="31" t="n">
        <x:v>645.49</x:v>
      </x:c>
      <x:c r="J56" s="31" t="n">
        <x:v>645.49</x:v>
      </x:c>
      <x:c r="K56" s="31" t="n">
        <x:v>0</x:v>
      </x:c>
      <x:c r="L56" s="31" t="n">
        <x:v>645.49</x:v>
      </x:c>
      <x:c r="M56" s="31" t="n">
        <x:v>0</x:v>
      </x:c>
      <x:c r="N56" s="24" t="str">
        <x:v>solea</x:v>
      </x:c>
      <x:c r="O56" s="32" t="n">
        <x:v>3.13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Solea</x:v>
      </x:c>
      <x:c r="T56" s="32" t="n">
        <x:f>IF(O56="","",(1/'Metadata'!$B$5)^(O56-1))</x:f>
        <x:v>134.89628825916532</x:v>
      </x:c>
      <x:c r="U56" s="31" t="n">
        <x:f>IF(T56="","",I56*T56)</x:f>
        <x:v>87074.20510840863</x:v>
      </x:c>
    </x:row>
    <x:row r="57" ht="18" customHeight="1">
      <x:c r="A57" s="24" t="str">
        <x:v>EEZ_288</x:v>
      </x:c>
      <x:c r="B57" s="24" t="str">
        <x:v>Ghana</x:v>
      </x:c>
      <x:c r="C57" s="24" t="str">
        <x:v>EEZ</x:v>
      </x:c>
      <x:c r="D57" s="30" t="n">
        <x:v>2019</x:v>
      </x:c>
      <x:c r="E57" s="24" t="str">
        <x:v>Sphyraena</x:v>
      </x:c>
      <x:c r="F57" s="24" t="str">
        <x:v>Barracudas, sennets</x:v>
      </x:c>
      <x:c r="G57" s="24" t="str">
        <x:v>Large pelagics (&gt;=90 cm)</x:v>
      </x:c>
      <x:c r="H57" s="24" t="str">
        <x:v>Perch-likes</x:v>
      </x:c>
      <x:c r="I57" s="31" t="n">
        <x:v>615.1719</x:v>
      </x:c>
      <x:c r="J57" s="31" t="n">
        <x:v>615.1719</x:v>
      </x:c>
      <x:c r="K57" s="31" t="n">
        <x:v>0</x:v>
      </x:c>
      <x:c r="L57" s="31" t="n">
        <x:v>0</x:v>
      </x:c>
      <x:c r="M57" s="31" t="n">
        <x:v>615.1719</x:v>
      </x:c>
      <x:c r="N57" s="24" t="str">
        <x:v>sphyraena</x:v>
      </x:c>
      <x:c r="O57" s="32" t="n">
        <x:v>4.4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Sphyraena</x:v>
      </x:c>
      <x:c r="T57" s="32" t="n">
        <x:f>IF(O57="","",(1/'Metadata'!$B$5)^(O57-1))</x:f>
        <x:v>2511.886431509582</x:v>
      </x:c>
      <x:c r="U57" s="31" t="n">
        <x:f>IF(T57="","",I57*T57)</x:f>
        <x:v>1545241.9486559697</x:v>
      </x:c>
    </x:row>
    <x:row r="58" ht="18" customHeight="1">
      <x:c r="A58" s="24" t="str">
        <x:v>EEZ_288</x:v>
      </x:c>
      <x:c r="B58" s="24" t="str">
        <x:v>Ghana</x:v>
      </x:c>
      <x:c r="C58" s="24" t="str">
        <x:v>EEZ</x:v>
      </x:c>
      <x:c r="D58" s="30" t="n">
        <x:v>2019</x:v>
      </x:c>
      <x:c r="E58" s="24" t="str">
        <x:v>Mugil</x:v>
      </x:c>
      <x:c r="F58" s="24" t="str">
        <x:v>Grey mullets</x:v>
      </x:c>
      <x:c r="G58" s="24" t="str">
        <x:v>Medium demersals (30 - 89 cm)</x:v>
      </x:c>
      <x:c r="H58" s="24" t="str">
        <x:v>Perch-likes</x:v>
      </x:c>
      <x:c r="I58" s="31" t="n">
        <x:v>605</x:v>
      </x:c>
      <x:c r="J58" s="31" t="n">
        <x:v>605</x:v>
      </x:c>
      <x:c r="K58" s="31" t="n">
        <x:v>0</x:v>
      </x:c>
      <x:c r="L58" s="31" t="n">
        <x:v>0</x:v>
      </x:c>
      <x:c r="M58" s="31" t="n">
        <x:v>605</x:v>
      </x:c>
      <x:c r="N58" s="24" t="str">
        <x:v>mugil</x:v>
      </x:c>
      <x:c r="O58" s="32" t="n">
        <x:v>2.26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Mugil</x:v>
      </x:c>
      <x:c r="T58" s="32" t="n">
        <x:f>IF(O58="","",(1/'Metadata'!$B$5)^(O58-1))</x:f>
        <x:v>18.197008586099827</x:v>
      </x:c>
      <x:c r="U58" s="31" t="n">
        <x:f>IF(T58="","",I58*T58)</x:f>
        <x:v>11009.190194590396</x:v>
      </x:c>
    </x:row>
    <x:row r="59" ht="18" customHeight="1">
      <x:c r="A59" s="24" t="str">
        <x:v>EEZ_288</x:v>
      </x:c>
      <x:c r="B59" s="24" t="str">
        <x:v>Ghana</x:v>
      </x:c>
      <x:c r="C59" s="24" t="str">
        <x:v>EEZ</x:v>
      </x:c>
      <x:c r="D59" s="30" t="n">
        <x:v>2019</x:v>
      </x:c>
      <x:c r="E59" s="24" t="str">
        <x:v>Sarotherodon galilaeus</x:v>
      </x:c>
      <x:c r="F59" s="24" t="str">
        <x:v>Mango tilapia</x:v>
      </x:c>
      <x:c r="G59" s="24" t="str">
        <x:v>Large reef assoc. fish (&gt;=90 cm)</x:v>
      </x:c>
      <x:c r="H59" s="24" t="str">
        <x:v>Perch-likes</x:v>
      </x:c>
      <x:c r="I59" s="31" t="n">
        <x:v>605</x:v>
      </x:c>
      <x:c r="J59" s="31" t="n">
        <x:v>605</x:v>
      </x:c>
      <x:c r="K59" s="31" t="n">
        <x:v>0</x:v>
      </x:c>
      <x:c r="L59" s="31" t="n">
        <x:v>0</x:v>
      </x:c>
      <x:c r="M59" s="31" t="n">
        <x:v>605</x:v>
      </x:c>
      <x:c r="N59" s="24" t="str">
        <x:v>sarotherodon galilaeus</x:v>
      </x:c>
      <x:c r="O59" s="32" t="n">
        <x:v>2.29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Sarotherodon galilaeus</x:v>
      </x:c>
      <x:c r="T59" s="32" t="n">
        <x:f>IF(O59="","",(1/'Metadata'!$B$5)^(O59-1))</x:f>
        <x:v>19.498445997580454</x:v>
      </x:c>
      <x:c r="U59" s="31" t="n">
        <x:f>IF(T59="","",I59*T59)</x:f>
        <x:v>11796.559828536174</x:v>
      </x:c>
    </x:row>
    <x:row r="60" ht="18" customHeight="1">
      <x:c r="A60" s="24" t="str">
        <x:v>EEZ_288</x:v>
      </x:c>
      <x:c r="B60" s="24" t="str">
        <x:v>Ghana</x:v>
      </x:c>
      <x:c r="C60" s="24" t="str">
        <x:v>EEZ</x:v>
      </x:c>
      <x:c r="D60" s="30" t="n">
        <x:v>2019</x:v>
      </x:c>
      <x:c r="E60" s="24" t="str">
        <x:v>Eucinostomus melanopterus</x:v>
      </x:c>
      <x:c r="F60" s="24" t="str">
        <x:v>Flagfin mojarra</x:v>
      </x:c>
      <x:c r="G60" s="24" t="str">
        <x:v>Large reef assoc. fish (&gt;=90 cm)</x:v>
      </x:c>
      <x:c r="H60" s="24" t="str">
        <x:v>Perch-likes</x:v>
      </x:c>
      <x:c r="I60" s="31" t="n">
        <x:v>605</x:v>
      </x:c>
      <x:c r="J60" s="31" t="n">
        <x:v>605</x:v>
      </x:c>
      <x:c r="K60" s="31" t="n">
        <x:v>0</x:v>
      </x:c>
      <x:c r="L60" s="31" t="n">
        <x:v>0</x:v>
      </x:c>
      <x:c r="M60" s="31" t="n">
        <x:v>605</x:v>
      </x:c>
      <x:c r="N60" s="24" t="str">
        <x:v>eucinostomus melanopterus</x:v>
      </x:c>
      <x:c r="O60" s="32" t="n">
        <x:v>3.39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Eucinostomus melanopterus</x:v>
      </x:c>
      <x:c r="T60" s="32" t="n">
        <x:f>IF(O60="","",(1/'Metadata'!$B$5)^(O60-1))</x:f>
        <x:v>245.4708915685031</x:v>
      </x:c>
      <x:c r="U60" s="31" t="n">
        <x:f>IF(T60="","",I60*T60)</x:f>
        <x:v>148509.8893989444</x:v>
      </x:c>
    </x:row>
    <x:row r="61" ht="18" customHeight="1">
      <x:c r="A61" s="24" t="str">
        <x:v>EEZ_288</x:v>
      </x:c>
      <x:c r="B61" s="24" t="str">
        <x:v>Ghana</x:v>
      </x:c>
      <x:c r="C61" s="24" t="str">
        <x:v>EEZ</x:v>
      </x:c>
      <x:c r="D61" s="30" t="n">
        <x:v>2019</x:v>
      </x:c>
      <x:c r="E61" s="24" t="str">
        <x:v>Caranx</x:v>
      </x:c>
      <x:c r="F61" s="24" t="str">
        <x:v>Jacks</x:v>
      </x:c>
      <x:c r="G61" s="24" t="str">
        <x:v>Medium reef assoc. fish (30 - 89 cm)</x:v>
      </x:c>
      <x:c r="H61" s="24" t="str">
        <x:v>Perch-likes</x:v>
      </x:c>
      <x:c r="I61" s="31" t="n">
        <x:v>605</x:v>
      </x:c>
      <x:c r="J61" s="31" t="n">
        <x:v>605</x:v>
      </x:c>
      <x:c r="K61" s="31" t="n">
        <x:v>0</x:v>
      </x:c>
      <x:c r="L61" s="31" t="n">
        <x:v>0</x:v>
      </x:c>
      <x:c r="M61" s="31" t="n">
        <x:v>605</x:v>
      </x:c>
      <x:c r="N61" s="24" t="str">
        <x:v>caranx</x:v>
      </x:c>
      <x:c r="O61" s="32" t="n">
        <x:v>4.12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Caranx</x:v>
      </x:c>
      <x:c r="T61" s="32" t="n">
        <x:f>IF(O61="","",(1/'Metadata'!$B$5)^(O61-1))</x:f>
        <x:v>1318.2567385564075</x:v>
      </x:c>
      <x:c r="U61" s="31" t="n">
        <x:f>IF(T61="","",I61*T61)</x:f>
        <x:v>797545.3268266266</x:v>
      </x:c>
    </x:row>
    <x:row r="62" ht="18" customHeight="1">
      <x:c r="A62" s="24" t="str">
        <x:v>EEZ_288</x:v>
      </x:c>
      <x:c r="B62" s="24" t="str">
        <x:v>Ghana</x:v>
      </x:c>
      <x:c r="C62" s="24" t="str">
        <x:v>EEZ</x:v>
      </x:c>
      <x:c r="D62" s="30" t="n">
        <x:v>2019</x:v>
      </x:c>
      <x:c r="E62" s="24" t="str">
        <x:v>Sciaenidae</x:v>
      </x:c>
      <x:c r="F62" s="24" t="str">
        <x:v>Drums, croakers</x:v>
      </x:c>
      <x:c r="G62" s="24" t="str">
        <x:v>Medium demersals (30 - 89 cm)</x:v>
      </x:c>
      <x:c r="H62" s="24" t="str">
        <x:v>Perch-likes</x:v>
      </x:c>
      <x:c r="I62" s="31" t="n">
        <x:v>585.5485261059999</x:v>
      </x:c>
      <x:c r="J62" s="31" t="n">
        <x:v>485.647936106</x:v>
      </x:c>
      <x:c r="K62" s="31" t="n">
        <x:v>99.90059</x:v>
      </x:c>
      <x:c r="L62" s="31" t="n">
        <x:v>94.212094106</x:v>
      </x:c>
      <x:c r="M62" s="31" t="n">
        <x:v>491.336432</x:v>
      </x:c>
      <x:c r="N62" s="24" t="str">
        <x:v>sciaenidae</x:v>
      </x:c>
      <x:c r="O62" s="32" t="n">
        <x:v>3.76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Sciaenidae</x:v>
      </x:c>
      <x:c r="T62" s="32" t="n">
        <x:f>IF(O62="","",(1/'Metadata'!$B$5)^(O62-1))</x:f>
        <x:v>575.4399373371566</x:v>
      </x:c>
      <x:c r="U62" s="31" t="n">
        <x:f>IF(T62="","",I62*T62)</x:f>
        <x:v>336948.007170301</x:v>
      </x:c>
    </x:row>
    <x:row r="63" ht="18" customHeight="1">
      <x:c r="A63" s="24" t="str">
        <x:v>EEZ_288</x:v>
      </x:c>
      <x:c r="B63" s="24" t="str">
        <x:v>Ghana</x:v>
      </x:c>
      <x:c r="C63" s="24" t="str">
        <x:v>EEZ</x:v>
      </x:c>
      <x:c r="D63" s="30" t="n">
        <x:v>2019</x:v>
      </x:c>
      <x:c r="E63" s="24" t="str">
        <x:v>Sardinella</x:v>
      </x:c>
      <x:c r="F63" s="24" t="str">
        <x:v>Sardinellas</x:v>
      </x:c>
      <x:c r="G63" s="24" t="str">
        <x:v>Small pelagics (&lt;30 cm)</x:v>
      </x:c>
      <x:c r="H63" s="24" t="str">
        <x:v>Herring-likes</x:v>
      </x:c>
      <x:c r="I63" s="31" t="n">
        <x:v>579.69</x:v>
      </x:c>
      <x:c r="J63" s="31" t="n">
        <x:v>579.69</x:v>
      </x:c>
      <x:c r="K63" s="31" t="n">
        <x:v>0</x:v>
      </x:c>
      <x:c r="L63" s="31" t="n">
        <x:v>579.69</x:v>
      </x:c>
      <x:c r="M63" s="31" t="n">
        <x:v>0</x:v>
      </x:c>
      <x:c r="N63" s="24" t="str">
        <x:v>sardinella</x:v>
      </x:c>
      <x:c r="O63" s="32" t="n">
        <x:v>2.77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Sardinella</x:v>
      </x:c>
      <x:c r="T63" s="32" t="n">
        <x:f>IF(O63="","",(1/'Metadata'!$B$5)^(O63-1))</x:f>
        <x:v>58.8843655355589</x:v>
      </x:c>
      <x:c r="U63" s="31" t="n">
        <x:f>IF(T63="","",I63*T63)</x:f>
        <x:v>34134.67785730814</x:v>
      </x:c>
    </x:row>
    <x:row r="64" ht="18" customHeight="1">
      <x:c r="A64" s="24" t="str">
        <x:v>EEZ_288</x:v>
      </x:c>
      <x:c r="B64" s="24" t="str">
        <x:v>Ghana</x:v>
      </x:c>
      <x:c r="C64" s="24" t="str">
        <x:v>EEZ</x:v>
      </x:c>
      <x:c r="D64" s="30" t="n">
        <x:v>2019</x:v>
      </x:c>
      <x:c r="E64" s="24" t="str">
        <x:v>Istiophorus albicans</x:v>
      </x:c>
      <x:c r="F64" s="24" t="str">
        <x:v>Atlantic sailfish</x:v>
      </x:c>
      <x:c r="G64" s="24" t="str">
        <x:v>Large pelagics (&gt;=90 cm)</x:v>
      </x:c>
      <x:c r="H64" s="24" t="str">
        <x:v>Tuna &amp; billfishes</x:v>
      </x:c>
      <x:c r="I64" s="31" t="n">
        <x:v>578.2697349006</x:v>
      </x:c>
      <x:c r="J64" s="31" t="n">
        <x:v>578.2697349006</x:v>
      </x:c>
      <x:c r="K64" s="31" t="n">
        <x:v>0</x:v>
      </x:c>
      <x:c r="L64" s="31" t="n">
        <x:v>578.2697349006</x:v>
      </x:c>
      <x:c r="M64" s="31" t="n">
        <x:v>0</x:v>
      </x:c>
      <x:c r="N64" s="24" t="str">
        <x:v>istiophorus albicans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Istiophorus albicans</x:v>
      </x:c>
      <x:c r="T64" s="32" t="n">
        <x:f>IF(O64="","",(1/'Metadata'!$B$5)^(O64-1))</x:f>
        <x:v>3162.2776601683795</x:v>
      </x:c>
      <x:c r="U64" s="31" t="n">
        <x:f>IF(T64="","",I64*T64)</x:f>
        <x:v>1828649.4642276587</x:v>
      </x:c>
    </x:row>
    <x:row r="65" ht="18" customHeight="1">
      <x:c r="A65" s="24" t="str">
        <x:v>EEZ_288</x:v>
      </x:c>
      <x:c r="B65" s="24" t="str">
        <x:v>Ghana</x:v>
      </x:c>
      <x:c r="C65" s="24" t="str">
        <x:v>EEZ</x:v>
      </x:c>
      <x:c r="D65" s="30" t="n">
        <x:v>2019</x:v>
      </x:c>
      <x:c r="E65" s="24" t="str">
        <x:v>Lutjanidae</x:v>
      </x:c>
      <x:c r="F65" s="24" t="str">
        <x:v>Snappers</x:v>
      </x:c>
      <x:c r="G65" s="24" t="str">
        <x:v>Medium reef assoc. fish (30 - 89 cm)</x:v>
      </x:c>
      <x:c r="H65" s="24" t="str">
        <x:v>Perch-likes</x:v>
      </x:c>
      <x:c r="I65" s="31" t="n">
        <x:v>575.1421422727</x:v>
      </x:c>
      <x:c r="J65" s="31" t="n">
        <x:v>482.89259227269997</x:v>
      </x:c>
      <x:c r="K65" s="31" t="n">
        <x:v>92.24955</x:v>
      </x:c>
      <x:c r="L65" s="31" t="n">
        <x:v>81.90494527269999</x:v>
      </x:c>
      <x:c r="M65" s="31" t="n">
        <x:v>493.237197</x:v>
      </x:c>
      <x:c r="N65" s="24" t="str">
        <x:v>lutjanidae</x:v>
      </x:c>
      <x:c r="O65" s="32" t="n">
        <x:v>4.02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Lutjanidae</x:v>
      </x:c>
      <x:c r="T65" s="32" t="n">
        <x:f>IF(O65="","",(1/'Metadata'!$B$5)^(O65-1))</x:f>
        <x:v>1047.1285480508984</x:v>
      </x:c>
      <x:c r="U65" s="31" t="n">
        <x:f>IF(T65="","",I65*T65)</x:f>
        <x:v>602247.7563608956</x:v>
      </x:c>
    </x:row>
    <x:row r="66" ht="18" customHeight="1">
      <x:c r="A66" s="24" t="str">
        <x:v>EEZ_288</x:v>
      </x:c>
      <x:c r="B66" s="24" t="str">
        <x:v>Ghana</x:v>
      </x:c>
      <x:c r="C66" s="24" t="str">
        <x:v>EEZ</x:v>
      </x:c>
      <x:c r="D66" s="30" t="n">
        <x:v>2019</x:v>
      </x:c>
      <x:c r="E66" s="24" t="str">
        <x:v>Dendrobranchiata</x:v>
      </x:c>
      <x:c r="F66" s="24" t="str">
        <x:v>Shrimps and prawns</x:v>
      </x:c>
      <x:c r="G66" s="24" t="str">
        <x:v>Shrimps</x:v>
      </x:c>
      <x:c r="H66" s="24" t="str">
        <x:v>Crustaceans</x:v>
      </x:c>
      <x:c r="I66" s="31" t="n">
        <x:v>489.39</x:v>
      </x:c>
      <x:c r="J66" s="31" t="n">
        <x:v>489.39</x:v>
      </x:c>
      <x:c r="K66" s="31" t="n">
        <x:v>0</x:v>
      </x:c>
      <x:c r="L66" s="31" t="n">
        <x:v>489.39</x:v>
      </x:c>
      <x:c r="M66" s="31" t="n">
        <x:v>0</x:v>
      </x:c>
      <x:c r="N66" s="24" t="str">
        <x:v>dendrobranchiata</x:v>
      </x:c>
      <x:c r="O66" s="32" t="n">
        <x:v>3.24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Dendrobranchiata</x:v>
      </x:c>
      <x:c r="T66" s="32" t="n">
        <x:f>IF(O66="","",(1/'Metadata'!$B$5)^(O66-1))</x:f>
        <x:v>173.78008287493762</x:v>
      </x:c>
      <x:c r="U66" s="31" t="n">
        <x:f>IF(T66="","",I66*T66)</x:f>
        <x:v>85046.23475816572</x:v>
      </x:c>
    </x:row>
    <x:row r="67" ht="18" customHeight="1">
      <x:c r="A67" s="24" t="str">
        <x:v>EEZ_288</x:v>
      </x:c>
      <x:c r="B67" s="24" t="str">
        <x:v>Ghana</x:v>
      </x:c>
      <x:c r="C67" s="24" t="str">
        <x:v>EEZ</x:v>
      </x:c>
      <x:c r="D67" s="30" t="n">
        <x:v>2019</x:v>
      </x:c>
      <x:c r="E67" s="24" t="str">
        <x:v>Ethmalosa fimbriata</x:v>
      </x:c>
      <x:c r="F67" s="24" t="str">
        <x:v>Bonga shad</x:v>
      </x:c>
      <x:c r="G67" s="24" t="str">
        <x:v>Medium pelagics (30 - 89 cm)</x:v>
      </x:c>
      <x:c r="H67" s="24" t="str">
        <x:v>Herring-likes</x:v>
      </x:c>
      <x:c r="I67" s="31" t="n">
        <x:v>452.08000000000004</x:v>
      </x:c>
      <x:c r="J67" s="31" t="n">
        <x:v>452.08000000000004</x:v>
      </x:c>
      <x:c r="K67" s="31" t="n">
        <x:v>0</x:v>
      </x:c>
      <x:c r="L67" s="31" t="n">
        <x:v>452.08000000000004</x:v>
      </x:c>
      <x:c r="M67" s="31" t="n">
        <x:v>0</x:v>
      </x:c>
      <x:c r="N67" s="24" t="str">
        <x:v>ethmalosa fimbriata</x:v>
      </x:c>
      <x:c r="O67" s="32" t="n">
        <x:v>2.5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Ethmalosa fimbriata</x:v>
      </x:c>
      <x:c r="T67" s="32" t="n">
        <x:f>IF(O67="","",(1/'Metadata'!$B$5)^(O67-1))</x:f>
        <x:v>31.622776601683793</x:v>
      </x:c>
      <x:c r="U67" s="31" t="n">
        <x:f>IF(T67="","",I67*T67)</x:f>
        <x:v>14296.02484608921</x:v>
      </x:c>
    </x:row>
    <x:row r="68" ht="18" customHeight="1">
      <x:c r="A68" s="24" t="str">
        <x:v>EEZ_288</x:v>
      </x:c>
      <x:c r="B68" s="24" t="str">
        <x:v>Ghana</x:v>
      </x:c>
      <x:c r="C68" s="24" t="str">
        <x:v>EEZ</x:v>
      </x:c>
      <x:c r="D68" s="30" t="n">
        <x:v>2019</x:v>
      </x:c>
      <x:c r="E68" s="24" t="str">
        <x:v>Mullidae</x:v>
      </x:c>
      <x:c r="F68" s="24" t="str">
        <x:v>Goatfishes</x:v>
      </x:c>
      <x:c r="G68" s="24" t="str">
        <x:v>Medium reef assoc. fish (30 - 89 cm)</x:v>
      </x:c>
      <x:c r="H68" s="24" t="str">
        <x:v>Perch-likes</x:v>
      </x:c>
      <x:c r="I68" s="31" t="n">
        <x:v>413.4978150883</x:v>
      </x:c>
      <x:c r="J68" s="31" t="n">
        <x:v>344.9069450883</x:v>
      </x:c>
      <x:c r="K68" s="31" t="n">
        <x:v>68.59087</x:v>
      </x:c>
      <x:c r="L68" s="31" t="n">
        <x:v>63.059278088300005</x:v>
      </x:c>
      <x:c r="M68" s="31" t="n">
        <x:v>350.438537</x:v>
      </x:c>
      <x:c r="N68" s="24" t="str">
        <x:v>mullidae</x:v>
      </x:c>
      <x:c r="O68" s="32" t="n">
        <x:v>3.46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Mullidae</x:v>
      </x:c>
      <x:c r="T68" s="32" t="n">
        <x:f>IF(O68="","",(1/'Metadata'!$B$5)^(O68-1))</x:f>
        <x:v>288.40315031266056</x:v>
      </x:c>
      <x:c r="U68" s="31" t="n">
        <x:f>IF(T68="","",I68*T68)</x:f>
        <x:v>119254.0725188677</x:v>
      </x:c>
    </x:row>
    <x:row r="69" ht="18" customHeight="1">
      <x:c r="A69" s="24" t="str">
        <x:v>EEZ_288</x:v>
      </x:c>
      <x:c r="B69" s="24" t="str">
        <x:v>Ghana</x:v>
      </x:c>
      <x:c r="C69" s="24" t="str">
        <x:v>EEZ</x:v>
      </x:c>
      <x:c r="D69" s="30" t="n">
        <x:v>2019</x:v>
      </x:c>
      <x:c r="E69" s="24" t="str">
        <x:v>Polynemidae</x:v>
      </x:c>
      <x:c r="F69" s="24" t="str">
        <x:v>Threadfins</x:v>
      </x:c>
      <x:c r="G69" s="24" t="str">
        <x:v>Small demersals (&lt;30 cm)</x:v>
      </x:c>
      <x:c r="H69" s="24" t="str">
        <x:v>Perch-likes</x:v>
      </x:c>
      <x:c r="I69" s="31" t="n">
        <x:v>400.21695144700004</x:v>
      </x:c>
      <x:c r="J69" s="31" t="n">
        <x:v>332.107471447</x:v>
      </x:c>
      <x:c r="K69" s="31" t="n">
        <x:v>68.10948</x:v>
      </x:c>
      <x:c r="L69" s="31" t="n">
        <x:v>64.467007447</x:v>
      </x:c>
      <x:c r="M69" s="31" t="n">
        <x:v>335.749944</x:v>
      </x:c>
      <x:c r="N69" s="24" t="str">
        <x:v>polynemidae</x:v>
      </x:c>
      <x:c r="O69" s="32" t="n">
        <x:v>3.62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Polynemidae</x:v>
      </x:c>
      <x:c r="T69" s="32" t="n">
        <x:f>IF(O69="","",(1/'Metadata'!$B$5)^(O69-1))</x:f>
        <x:v>416.8693834703355</x:v>
      </x:c>
      <x:c r="U69" s="31" t="n">
        <x:f>IF(T69="","",I69*T69)</x:f>
        <x:v>166838.1938040881</x:v>
      </x:c>
    </x:row>
    <x:row r="70" ht="18" customHeight="1">
      <x:c r="A70" s="24" t="str">
        <x:v>EEZ_288</x:v>
      </x:c>
      <x:c r="B70" s="24" t="str">
        <x:v>Ghana</x:v>
      </x:c>
      <x:c r="C70" s="24" t="str">
        <x:v>EEZ</x:v>
      </x:c>
      <x:c r="D70" s="30" t="n">
        <x:v>2019</x:v>
      </x:c>
      <x:c r="E70" s="24" t="str">
        <x:v>Dentex</x:v>
      </x:c>
      <x:c r="F70" s="24" t="str">
        <x:v>Toothed seabreams</x:v>
      </x:c>
      <x:c r="G70" s="24" t="str">
        <x:v>Large benthopelagics (&gt;=90 cm)</x:v>
      </x:c>
      <x:c r="H70" s="24" t="str">
        <x:v>Perch-likes</x:v>
      </x:c>
      <x:c r="I70" s="31" t="n">
        <x:v>382.73</x:v>
      </x:c>
      <x:c r="J70" s="31" t="n">
        <x:v>382.73</x:v>
      </x:c>
      <x:c r="K70" s="31" t="n">
        <x:v>0</x:v>
      </x:c>
      <x:c r="L70" s="31" t="n">
        <x:v>382.73</x:v>
      </x:c>
      <x:c r="M70" s="31" t="n">
        <x:v>0</x:v>
      </x:c>
      <x:c r="N70" s="24" t="str">
        <x:v>dentex</x:v>
      </x:c>
      <x:c r="O70" s="32" t="n">
        <x:v>3.96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Dentex</x:v>
      </x:c>
      <x:c r="T70" s="32" t="n">
        <x:f>IF(O70="","",(1/'Metadata'!$B$5)^(O70-1))</x:f>
        <x:v>912.0108393559096</x:v>
      </x:c>
      <x:c r="U70" s="31" t="n">
        <x:f>IF(T70="","",I70*T70)</x:f>
        <x:v>349053.90854668734</x:v>
      </x:c>
    </x:row>
    <x:row r="71" ht="18" customHeight="1">
      <x:c r="A71" s="24" t="str">
        <x:v>EEZ_288</x:v>
      </x:c>
      <x:c r="B71" s="24" t="str">
        <x:v>Ghana</x:v>
      </x:c>
      <x:c r="C71" s="24" t="str">
        <x:v>EEZ</x:v>
      </x:c>
      <x:c r="D71" s="30" t="n">
        <x:v>2019</x:v>
      </x:c>
      <x:c r="E71" s="24" t="str">
        <x:v>Makaira</x:v>
      </x:c>
      <x:c r="F71" s="24" t="str">
        <x:v>Blue marlins</x:v>
      </x:c>
      <x:c r="G71" s="24" t="str">
        <x:v>Large pelagics (&gt;=90 cm)</x:v>
      </x:c>
      <x:c r="H71" s="24" t="str">
        <x:v>Tuna &amp; billfishes</x:v>
      </x:c>
      <x:c r="I71" s="31" t="n">
        <x:v>321.46000000000004</x:v>
      </x:c>
      <x:c r="J71" s="31" t="n">
        <x:v>321.46000000000004</x:v>
      </x:c>
      <x:c r="K71" s="31" t="n">
        <x:v>0</x:v>
      </x:c>
      <x:c r="L71" s="31" t="n">
        <x:v>321.46000000000004</x:v>
      </x:c>
      <x:c r="M71" s="31" t="n">
        <x:v>0</x:v>
      </x:c>
      <x:c r="N71" s="24" t="str">
        <x:v>makaira</x:v>
      </x:c>
      <x:c r="O71" s="32" t="n">
        <x:v>4.47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Makaira</x:v>
      </x:c>
      <x:c r="T71" s="32" t="n">
        <x:f>IF(O71="","",(1/'Metadata'!$B$5)^(O71-1))</x:f>
        <x:v>2951.209226666384</x:v>
      </x:c>
      <x:c r="U71" s="31" t="n">
        <x:f>IF(T71="","",I71*T71)</x:f>
        <x:v>948695.7180041759</x:v>
      </x:c>
    </x:row>
    <x:row r="72" ht="18" customHeight="1">
      <x:c r="A72" s="24" t="str">
        <x:v>EEZ_288</x:v>
      </x:c>
      <x:c r="B72" s="24" t="str">
        <x:v>Ghana</x:v>
      </x:c>
      <x:c r="C72" s="24" t="str">
        <x:v>EEZ</x:v>
      </x:c>
      <x:c r="D72" s="30" t="n">
        <x:v>2019</x:v>
      </x:c>
      <x:c r="E72" s="24" t="str">
        <x:v>Thunnus thynnus</x:v>
      </x:c>
      <x:c r="F72" s="24" t="str">
        <x:v>Atlantic bluefin tuna</x:v>
      </x:c>
      <x:c r="G72" s="24" t="str">
        <x:v>Large pelagics (&gt;=90 cm)</x:v>
      </x:c>
      <x:c r="H72" s="24" t="str">
        <x:v>Tuna &amp; billfishes</x:v>
      </x:c>
      <x:c r="I72" s="31" t="n">
        <x:v>279.4885778945</x:v>
      </x:c>
      <x:c r="J72" s="31" t="n">
        <x:v>279.4885778945</x:v>
      </x:c>
      <x:c r="K72" s="31" t="n">
        <x:v>0</x:v>
      </x:c>
      <x:c r="L72" s="31" t="n">
        <x:v>279.4885778945</x:v>
      </x:c>
      <x:c r="M72" s="31" t="n">
        <x:v>0</x:v>
      </x:c>
      <x:c r="N72" s="24" t="str">
        <x:v>thunnus thynnus</x:v>
      </x:c>
      <x:c r="O72" s="32" t="n">
        <x:v>4.45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Thunnus thynnus</x:v>
      </x:c>
      <x:c r="T72" s="32" t="n">
        <x:f>IF(O72="","",(1/'Metadata'!$B$5)^(O72-1))</x:f>
        <x:v>2818.382931264455</x:v>
      </x:c>
      <x:c r="U72" s="31" t="n">
        <x:f>IF(T72="","",I72*T72)</x:f>
        <x:v>787705.8374212348</x:v>
      </x:c>
    </x:row>
    <x:row r="73" ht="18" customHeight="1">
      <x:c r="A73" s="24" t="str">
        <x:v>EEZ_288</x:v>
      </x:c>
      <x:c r="B73" s="24" t="str">
        <x:v>Ghana</x:v>
      </x:c>
      <x:c r="C73" s="24" t="str">
        <x:v>EEZ</x:v>
      </x:c>
      <x:c r="D73" s="30" t="n">
        <x:v>2019</x:v>
      </x:c>
      <x:c r="E73" s="24" t="str">
        <x:v>Octopus</x:v>
      </x:c>
      <x:c r="F73" s="24" t="str">
        <x:v>Octopuses, pikas</x:v>
      </x:c>
      <x:c r="G73" s="24" t="str">
        <x:v>Cephalopods</x:v>
      </x:c>
      <x:c r="H73" s="24" t="str">
        <x:v>Other fishes &amp; inverts</x:v>
      </x:c>
      <x:c r="I73" s="31" t="n">
        <x:v>278</x:v>
      </x:c>
      <x:c r="J73" s="31" t="n">
        <x:v>278</x:v>
      </x:c>
      <x:c r="K73" s="31" t="n">
        <x:v>0</x:v>
      </x:c>
      <x:c r="L73" s="31" t="n">
        <x:v>278</x:v>
      </x:c>
      <x:c r="M73" s="31" t="n">
        <x:v>0</x:v>
      </x:c>
      <x:c r="N73" s="24" t="str">
        <x:v>octopus</x:v>
      </x:c>
      <x:c r="O73" s="32" t="n">
        <x:v>3.8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Octopus</x:v>
      </x:c>
      <x:c r="T73" s="32" t="n">
        <x:f>IF(O73="","",(1/'Metadata'!$B$5)^(O73-1))</x:f>
        <x:v>630.957344480193</x:v>
      </x:c>
      <x:c r="U73" s="31" t="n">
        <x:f>IF(T73="","",I73*T73)</x:f>
        <x:v>175406.14176549367</x:v>
      </x:c>
    </x:row>
    <x:row r="74" ht="18" customHeight="1">
      <x:c r="A74" s="24" t="str">
        <x:v>EEZ_288</x:v>
      </x:c>
      <x:c r="B74" s="24" t="str">
        <x:v>Ghana</x:v>
      </x:c>
      <x:c r="C74" s="24" t="str">
        <x:v>EEZ</x:v>
      </x:c>
      <x:c r="D74" s="30" t="n">
        <x:v>2019</x:v>
      </x:c>
      <x:c r="E74" s="24" t="str">
        <x:v>Trichiuridae</x:v>
      </x:c>
      <x:c r="F74" s="24" t="str">
        <x:v>Cutlassfishes</x:v>
      </x:c>
      <x:c r="G74" s="24" t="str">
        <x:v>Large benthopelagics (&gt;=90 cm)</x:v>
      </x:c>
      <x:c r="H74" s="24" t="str">
        <x:v>Perch-likes</x:v>
      </x:c>
      <x:c r="I74" s="31" t="n">
        <x:v>244.5342779166</x:v>
      </x:c>
      <x:c r="J74" s="31" t="n">
        <x:v>202.8776879166</x:v>
      </x:c>
      <x:c r="K74" s="31" t="n">
        <x:v>41.65659</x:v>
      </x:c>
      <x:c r="L74" s="31" t="n">
        <x:v>39.8446259166</x:v>
      </x:c>
      <x:c r="M74" s="31" t="n">
        <x:v>204.689652</x:v>
      </x:c>
      <x:c r="N74" s="24" t="str">
        <x:v>trichiuridae</x:v>
      </x:c>
      <x:c r="O74" s="32" t="n">
        <x:v>4.15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Trichiuridae</x:v>
      </x:c>
      <x:c r="T74" s="32" t="n">
        <x:f>IF(O74="","",(1/'Metadata'!$B$5)^(O74-1))</x:f>
        <x:v>1412.5375446227554</x:v>
      </x:c>
      <x:c r="U74" s="31" t="n">
        <x:f>IF(T74="","",I74*T74)</x:f>
        <x:v>345413.8485044126</x:v>
      </x:c>
    </x:row>
    <x:row r="75" ht="18" customHeight="1">
      <x:c r="A75" s="24" t="str">
        <x:v>EEZ_288</x:v>
      </x:c>
      <x:c r="B75" s="24" t="str">
        <x:v>Ghana</x:v>
      </x:c>
      <x:c r="C75" s="24" t="str">
        <x:v>EEZ</x:v>
      </x:c>
      <x:c r="D75" s="30" t="n">
        <x:v>2019</x:v>
      </x:c>
      <x:c r="E75" s="24" t="str">
        <x:v>Serranidae</x:v>
      </x:c>
      <x:c r="F75" s="24" t="str">
        <x:v>Basses, groupers, hinds</x:v>
      </x:c>
      <x:c r="G75" s="24" t="str">
        <x:v>Medium reef assoc. fish (30 - 89 cm)</x:v>
      </x:c>
      <x:c r="H75" s="24" t="str">
        <x:v>Perch-likes</x:v>
      </x:c>
      <x:c r="I75" s="31" t="n">
        <x:v>185.7600582097</x:v>
      </x:c>
      <x:c r="J75" s="31" t="n">
        <x:v>155.2716882097</x:v>
      </x:c>
      <x:c r="K75" s="31" t="n">
        <x:v>30.48837</x:v>
      </x:c>
      <x:c r="L75" s="31" t="n">
        <x:v>27.9956312097</x:v>
      </x:c>
      <x:c r="M75" s="31" t="n">
        <x:v>157.76442699999998</x:v>
      </x:c>
      <x:c r="N75" s="24" t="str">
        <x:v>serranidae</x:v>
      </x:c>
      <x:c r="O75" s="32" t="n">
        <x:v>3.98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Serranidae</x:v>
      </x:c>
      <x:c r="T75" s="32" t="n">
        <x:f>IF(O75="","",(1/'Metadata'!$B$5)^(O75-1))</x:f>
        <x:v>954.992586021436</x:v>
      </x:c>
      <x:c r="U75" s="31" t="n">
        <x:f>IF(T75="","",I75*T75)</x:f>
        <x:v>177399.47836917386</x:v>
      </x:c>
    </x:row>
    <x:row r="76" ht="18" customHeight="1">
      <x:c r="A76" s="24" t="str">
        <x:v>EEZ_288</x:v>
      </x:c>
      <x:c r="B76" s="24" t="str">
        <x:v>Ghana</x:v>
      </x:c>
      <x:c r="C76" s="24" t="str">
        <x:v>EEZ</x:v>
      </x:c>
      <x:c r="D76" s="30" t="n">
        <x:v>2019</x:v>
      </x:c>
      <x:c r="E76" s="24" t="str">
        <x:v>Thunnus alalunga</x:v>
      </x:c>
      <x:c r="F76" s="24" t="str">
        <x:v>Albacore</x:v>
      </x:c>
      <x:c r="G76" s="24" t="str">
        <x:v>Large pelagics (&gt;=90 cm)</x:v>
      </x:c>
      <x:c r="H76" s="24" t="str">
        <x:v>Tuna &amp; billfishes</x:v>
      </x:c>
      <x:c r="I76" s="31" t="n">
        <x:v>174.9963460914</x:v>
      </x:c>
      <x:c r="J76" s="31" t="n">
        <x:v>174.9963460914</x:v>
      </x:c>
      <x:c r="K76" s="31" t="n">
        <x:v>0</x:v>
      </x:c>
      <x:c r="L76" s="31" t="n">
        <x:v>174.9963460914</x:v>
      </x:c>
      <x:c r="M76" s="31" t="n">
        <x:v>0</x:v>
      </x:c>
      <x:c r="N76" s="24" t="str">
        <x:v>thunnus alalunga</x:v>
      </x:c>
      <x:c r="O76" s="32" t="n">
        <x:v>4.3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Thunnus alalunga</x:v>
      </x:c>
      <x:c r="T76" s="32" t="n">
        <x:f>IF(O76="","",(1/'Metadata'!$B$5)^(O76-1))</x:f>
        <x:v>1995.2623149688789</x:v>
      </x:c>
      <x:c r="U76" s="31" t="n">
        <x:f>IF(T76="","",I76*T76)</x:f>
        <x:v>349163.6146134219</x:v>
      </x:c>
    </x:row>
    <x:row r="77" ht="18" customHeight="1">
      <x:c r="A77" s="24" t="str">
        <x:v>EEZ_288</x:v>
      </x:c>
      <x:c r="B77" s="24" t="str">
        <x:v>Ghana</x:v>
      </x:c>
      <x:c r="C77" s="24" t="str">
        <x:v>EEZ</x:v>
      </x:c>
      <x:c r="D77" s="30" t="n">
        <x:v>2019</x:v>
      </x:c>
      <x:c r="E77" s="24" t="str">
        <x:v>Makaira nigricans</x:v>
      </x:c>
      <x:c r="F77" s="24" t="str">
        <x:v>Blue marlin</x:v>
      </x:c>
      <x:c r="G77" s="24" t="str">
        <x:v>Large pelagics (&gt;=90 cm)</x:v>
      </x:c>
      <x:c r="H77" s="24" t="str">
        <x:v>Tuna &amp; billfishes</x:v>
      </x:c>
      <x:c r="I77" s="31" t="n">
        <x:v>156.4469970811</x:v>
      </x:c>
      <x:c r="J77" s="31" t="n">
        <x:v>156.4469970811</x:v>
      </x:c>
      <x:c r="K77" s="31" t="n">
        <x:v>0</x:v>
      </x:c>
      <x:c r="L77" s="31" t="n">
        <x:v>43.7846970811</x:v>
      </x:c>
      <x:c r="M77" s="31" t="n">
        <x:v>112.6623</x:v>
      </x:c>
      <x:c r="N77" s="24" t="str">
        <x:v>makaira nigricans</x:v>
      </x:c>
      <x:c r="O77" s="32" t="n">
        <x:v>4.49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Makaira nigricans</x:v>
      </x:c>
      <x:c r="T77" s="32" t="n">
        <x:f>IF(O77="","",(1/'Metadata'!$B$5)^(O77-1))</x:f>
        <x:v>3090.295432513592</x:v>
      </x:c>
      <x:c r="U77" s="31" t="n">
        <x:f>IF(T77="","",I77*T77)</x:f>
        <x:v>483467.44051019056</x:v>
      </x:c>
    </x:row>
    <x:row r="78" ht="18" customHeight="1">
      <x:c r="A78" s="24" t="str">
        <x:v>EEZ_288</x:v>
      </x:c>
      <x:c r="B78" s="24" t="str">
        <x:v>Ghana</x:v>
      </x:c>
      <x:c r="C78" s="24" t="str">
        <x:v>EEZ</x:v>
      </x:c>
      <x:c r="D78" s="30" t="n">
        <x:v>2019</x:v>
      </x:c>
      <x:c r="E78" s="24" t="str">
        <x:v>Hemiramphidae</x:v>
      </x:c>
      <x:c r="F78" s="24" t="str">
        <x:v>Halfbeaks, garfishes</x:v>
      </x:c>
      <x:c r="G78" s="24" t="str">
        <x:v>Medium pelagics (30 - 89 cm)</x:v>
      </x:c>
      <x:c r="H78" s="24" t="str">
        <x:v>Other fishes &amp; inverts</x:v>
      </x:c>
      <x:c r="I78" s="31" t="n">
        <x:v>143.65</x:v>
      </x:c>
      <x:c r="J78" s="31" t="n">
        <x:v>143.65</x:v>
      </x:c>
      <x:c r="K78" s="31" t="n">
        <x:v>0</x:v>
      </x:c>
      <x:c r="L78" s="31" t="n">
        <x:v>143.65</x:v>
      </x:c>
      <x:c r="M78" s="31" t="n">
        <x:v>0</x:v>
      </x:c>
      <x:c r="N78" s="24" t="str">
        <x:v>hemiramphidae</x:v>
      </x:c>
      <x:c r="O78" s="32" t="n">
        <x:v>2.82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Hemiramphidae</x:v>
      </x:c>
      <x:c r="T78" s="32" t="n">
        <x:f>IF(O78="","",(1/'Metadata'!$B$5)^(O78-1))</x:f>
        <x:v>66.06934480075958</x:v>
      </x:c>
      <x:c r="U78" s="31" t="n">
        <x:f>IF(T78="","",I78*T78)</x:f>
        <x:v>9490.861380629114</x:v>
      </x:c>
    </x:row>
    <x:row r="79" ht="18" customHeight="1">
      <x:c r="A79" s="24" t="str">
        <x:v>EEZ_288</x:v>
      </x:c>
      <x:c r="B79" s="24" t="str">
        <x:v>Ghana</x:v>
      </x:c>
      <x:c r="C79" s="24" t="str">
        <x:v>EEZ</x:v>
      </x:c>
      <x:c r="D79" s="30" t="n">
        <x:v>2019</x:v>
      </x:c>
      <x:c r="E79" s="24" t="str">
        <x:v>Auxis thazard</x:v>
      </x:c>
      <x:c r="F79" s="24" t="str">
        <x:v>Frigate tuna</x:v>
      </x:c>
      <x:c r="G79" s="24" t="str">
        <x:v>Medium pelagics (30 - 89 cm)</x:v>
      </x:c>
      <x:c r="H79" s="24" t="str">
        <x:v>Tuna &amp; billfishes</x:v>
      </x:c>
      <x:c r="I79" s="31" t="n">
        <x:v>141.6777502759</x:v>
      </x:c>
      <x:c r="J79" s="31" t="n">
        <x:v>140.6915029642</x:v>
      </x:c>
      <x:c r="K79" s="31" t="n">
        <x:v>0.9862473117</x:v>
      </x:c>
      <x:c r="L79" s="31" t="n">
        <x:v>140.6915029642</x:v>
      </x:c>
      <x:c r="M79" s="31" t="n">
        <x:v>0.9862473117</x:v>
      </x:c>
      <x:c r="N79" s="24" t="str">
        <x:v>auxis thazard</x:v>
      </x:c>
      <x:c r="O79" s="32" t="n">
        <x:v>4.37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Auxis thazard</x:v>
      </x:c>
      <x:c r="T79" s="32" t="n">
        <x:f>IF(O79="","",(1/'Metadata'!$B$5)^(O79-1))</x:f>
        <x:v>2344.228815319923</x:v>
      </x:c>
      <x:c r="U79" s="31" t="n">
        <x:f>IF(T79="","",I79*T79)</x:f>
        <x:v>332125.0646864649</x:v>
      </x:c>
    </x:row>
    <x:row r="80" ht="18" customHeight="1">
      <x:c r="A80" s="24" t="str">
        <x:v>EEZ_288</x:v>
      </x:c>
      <x:c r="B80" s="24" t="str">
        <x:v>Ghana</x:v>
      </x:c>
      <x:c r="C80" s="24" t="str">
        <x:v>EEZ</x:v>
      </x:c>
      <x:c r="D80" s="30" t="n">
        <x:v>2019</x:v>
      </x:c>
      <x:c r="E80" s="24" t="str">
        <x:v>Xiphias gladius</x:v>
      </x:c>
      <x:c r="F80" s="24" t="str">
        <x:v>Swordfish</x:v>
      </x:c>
      <x:c r="G80" s="24" t="str">
        <x:v>Large pelagics (&gt;=90 cm)</x:v>
      </x:c>
      <x:c r="H80" s="24" t="str">
        <x:v>Tuna &amp; billfishes</x:v>
      </x:c>
      <x:c r="I80" s="31" t="n">
        <x:v>141.234179588</x:v>
      </x:c>
      <x:c r="J80" s="31" t="n">
        <x:v>141.234179588</x:v>
      </x:c>
      <x:c r="K80" s="31" t="n">
        <x:v>0</x:v>
      </x:c>
      <x:c r="L80" s="31" t="n">
        <x:v>141.234179588</x:v>
      </x:c>
      <x:c r="M80" s="31" t="n">
        <x:v>0</x:v>
      </x:c>
      <x:c r="N80" s="24" t="str">
        <x:v>xiphias gladius</x:v>
      </x:c>
      <x:c r="O80" s="32" t="n">
        <x:v>4.53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Xiphias gladius</x:v>
      </x:c>
      <x:c r="T80" s="32" t="n">
        <x:f>IF(O80="","",(1/'Metadata'!$B$5)^(O80-1))</x:f>
        <x:v>3388.4415613920273</x:v>
      </x:c>
      <x:c r="U80" s="31" t="n">
        <x:f>IF(T80="","",I80*T80)</x:f>
        <x:v>478563.7640050847</x:v>
      </x:c>
    </x:row>
    <x:row r="81" ht="18" customHeight="1">
      <x:c r="A81" s="24" t="str">
        <x:v>EEZ_288</x:v>
      </x:c>
      <x:c r="B81" s="24" t="str">
        <x:v>Ghana</x:v>
      </x:c>
      <x:c r="C81" s="24" t="str">
        <x:v>EEZ</x:v>
      </x:c>
      <x:c r="D81" s="30" t="n">
        <x:v>2019</x:v>
      </x:c>
      <x:c r="E81" s="24" t="str">
        <x:v>Peristediidae</x:v>
      </x:c>
      <x:c r="F81" s="24" t="str">
        <x:v>Armored searobins, gurnards</x:v>
      </x:c>
      <x:c r="G81" s="24" t="str">
        <x:v>Medium bathydemersals (30 - 89 cm)</x:v>
      </x:c>
      <x:c r="H81" s="24" t="str">
        <x:v>Scorpionfishes</x:v>
      </x:c>
      <x:c r="I81" s="31" t="n">
        <x:v>120.78999999999999</x:v>
      </x:c>
      <x:c r="J81" s="31" t="n">
        <x:v>120.78999999999999</x:v>
      </x:c>
      <x:c r="K81" s="31" t="n">
        <x:v>0</x:v>
      </x:c>
      <x:c r="L81" s="31" t="n">
        <x:v>120.78999999999999</x:v>
      </x:c>
      <x:c r="M81" s="31" t="n">
        <x:v>0</x:v>
      </x:c>
      <x:c r="N81" s="24" t="str">
        <x:v>peristediidae</x:v>
      </x:c>
      <x:c r="O81" s="32" t="n">
        <x:v>3.47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Peristediidae</x:v>
      </x:c>
      <x:c r="T81" s="32" t="n">
        <x:f>IF(O81="","",(1/'Metadata'!$B$5)^(O81-1))</x:f>
        <x:v>295.1209226666387</x:v>
      </x:c>
      <x:c r="U81" s="31" t="n">
        <x:f>IF(T81="","",I81*T81)</x:f>
        <x:v>35647.65624890329</x:v>
      </x:c>
    </x:row>
    <x:row r="82" ht="18" customHeight="1">
      <x:c r="A82" s="24" t="str">
        <x:v>EEZ_288</x:v>
      </x:c>
      <x:c r="B82" s="24" t="str">
        <x:v>Ghana</x:v>
      </x:c>
      <x:c r="C82" s="24" t="str">
        <x:v>EEZ</x:v>
      </x:c>
      <x:c r="D82" s="30" t="n">
        <x:v>2019</x:v>
      </x:c>
      <x:c r="E82" s="24" t="str">
        <x:v>Haemulidae</x:v>
      </x:c>
      <x:c r="F82" s="24" t="str">
        <x:v>Grunts, sweetlips, bonnetmouths</x:v>
      </x:c>
      <x:c r="G82" s="24" t="str">
        <x:v>Medium demersals (30 - 89 cm)</x:v>
      </x:c>
      <x:c r="H82" s="24" t="str">
        <x:v>Perch-likes</x:v>
      </x:c>
      <x:c r="I82" s="31" t="n">
        <x:v>110.27000000000001</x:v>
      </x:c>
      <x:c r="J82" s="31" t="n">
        <x:v>110.27000000000001</x:v>
      </x:c>
      <x:c r="K82" s="31" t="n">
        <x:v>0</x:v>
      </x:c>
      <x:c r="L82" s="31" t="n">
        <x:v>110.27000000000001</x:v>
      </x:c>
      <x:c r="M82" s="31" t="n">
        <x:v>0</x:v>
      </x:c>
      <x:c r="N82" s="24" t="str">
        <x:v>haemulidae</x:v>
      </x:c>
      <x:c r="O82" s="32" t="n">
        <x:v>3.36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Haemulidae</x:v>
      </x:c>
      <x:c r="T82" s="32" t="n">
        <x:f>IF(O82="","",(1/'Metadata'!$B$5)^(O82-1))</x:f>
        <x:v>229.08676527677724</x:v>
      </x:c>
      <x:c r="U82" s="31" t="n">
        <x:f>IF(T82="","",I82*T82)</x:f>
        <x:v>25261.39760707023</x:v>
      </x:c>
    </x:row>
    <x:row r="83" ht="18" customHeight="1">
      <x:c r="A83" s="24" t="str">
        <x:v>EEZ_288</x:v>
      </x:c>
      <x:c r="B83" s="24" t="str">
        <x:v>Ghana</x:v>
      </x:c>
      <x:c r="C83" s="24" t="str">
        <x:v>EEZ</x:v>
      </x:c>
      <x:c r="D83" s="30" t="n">
        <x:v>2019</x:v>
      </x:c>
      <x:c r="E83" s="24" t="str">
        <x:v>Palinuridae</x:v>
      </x:c>
      <x:c r="F83" s="24" t="str">
        <x:v>Spiny lobsters</x:v>
      </x:c>
      <x:c r="G83" s="24" t="str">
        <x:v>Lobsters, crabs</x:v>
      </x:c>
      <x:c r="H83" s="24" t="str">
        <x:v>Crustaceans</x:v>
      </x:c>
      <x:c r="I83" s="31" t="n">
        <x:v>75.05</x:v>
      </x:c>
      <x:c r="J83" s="31" t="n">
        <x:v>75.05</x:v>
      </x:c>
      <x:c r="K83" s="31" t="n">
        <x:v>0</x:v>
      </x:c>
      <x:c r="L83" s="31" t="n">
        <x:v>75.05</x:v>
      </x:c>
      <x:c r="M83" s="31" t="n">
        <x:v>0</x:v>
      </x:c>
      <x:c r="N83" s="24" t="str">
        <x:v>palinuridae</x:v>
      </x:c>
      <x:c r="O83" s="32" t="n">
        <x:v>3.14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Palinuridae</x:v>
      </x:c>
      <x:c r="T83" s="32" t="n">
        <x:f>IF(O83="","",(1/'Metadata'!$B$5)^(O83-1))</x:f>
        <x:v>138.03842646028852</x:v>
      </x:c>
      <x:c r="U83" s="31" t="n">
        <x:f>IF(T83="","",I83*T83)</x:f>
        <x:v>10359.783905844653</x:v>
      </x:c>
    </x:row>
    <x:row r="84" ht="18" customHeight="1">
      <x:c r="A84" s="24" t="str">
        <x:v>EEZ_288</x:v>
      </x:c>
      <x:c r="B84" s="24" t="str">
        <x:v>Ghana</x:v>
      </x:c>
      <x:c r="C84" s="24" t="str">
        <x:v>EEZ</x:v>
      </x:c>
      <x:c r="D84" s="30" t="n">
        <x:v>2019</x:v>
      </x:c>
      <x:c r="E84" s="24" t="str">
        <x:v>Auxis</x:v>
      </x:c>
      <x:c r="F84" s="24" t="str">
        <x:v>Bullet and frigate tunas</x:v>
      </x:c>
      <x:c r="G84" s="24" t="str">
        <x:v>Medium pelagics (30 - 89 cm)</x:v>
      </x:c>
      <x:c r="H84" s="24" t="str">
        <x:v>Tuna &amp; billfishes</x:v>
      </x:c>
      <x:c r="I84" s="31" t="n">
        <x:v>69.50326614</x:v>
      </x:c>
      <x:c r="J84" s="31" t="n">
        <x:v>69.50326614</x:v>
      </x:c>
      <x:c r="K84" s="31" t="n">
        <x:v>0</x:v>
      </x:c>
      <x:c r="L84" s="31" t="n">
        <x:v>69.50326614</x:v>
      </x:c>
      <x:c r="M84" s="31" t="n">
        <x:v>0</x:v>
      </x:c>
      <x:c r="N84" s="24" t="str">
        <x:v>auxis</x:v>
      </x:c>
      <x:c r="O84" s="32" t="n">
        <x:v>4.24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Auxis</x:v>
      </x:c>
      <x:c r="T84" s="32" t="n">
        <x:f>IF(O84="","",(1/'Metadata'!$B$5)^(O84-1))</x:f>
        <x:v>1737.8008287493763</x:v>
      </x:c>
      <x:c r="U84" s="31" t="n">
        <x:f>IF(T84="","",I84*T84)</x:f>
        <x:v>120782.83349888046</x:v>
      </x:c>
    </x:row>
    <x:row r="85" ht="18" customHeight="1">
      <x:c r="A85" s="24" t="str">
        <x:v>EEZ_288</x:v>
      </x:c>
      <x:c r="B85" s="24" t="str">
        <x:v>Ghana</x:v>
      </x:c>
      <x:c r="C85" s="24" t="str">
        <x:v>EEZ</x:v>
      </x:c>
      <x:c r="D85" s="30" t="n">
        <x:v>2019</x:v>
      </x:c>
      <x:c r="E85" s="24" t="str">
        <x:v>Balistidae</x:v>
      </x:c>
      <x:c r="F85" s="24" t="str">
        <x:v>Triggerfishes</x:v>
      </x:c>
      <x:c r="G85" s="24" t="str">
        <x:v>Medium reef assoc. fish (30 - 89 cm)</x:v>
      </x:c>
      <x:c r="H85" s="24" t="str">
        <x:v>Other fishes &amp; inverts</x:v>
      </x:c>
      <x:c r="I85" s="31" t="n">
        <x:v>62.7708947948</x:v>
      </x:c>
      <x:c r="J85" s="31" t="n">
        <x:v>62.2196205948</x:v>
      </x:c>
      <x:c r="K85" s="31" t="n">
        <x:v>0.5512742</x:v>
      </x:c>
      <x:c r="L85" s="31" t="n">
        <x:v>59.5885980048</x:v>
      </x:c>
      <x:c r="M85" s="31" t="n">
        <x:v>3.1822967899999997</x:v>
      </x:c>
      <x:c r="N85" s="24" t="str">
        <x:v>balistidae</x:v>
      </x:c>
      <x:c r="O85" s="32" t="n">
        <x:v>3.25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Balistidae</x:v>
      </x:c>
      <x:c r="T85" s="32" t="n">
        <x:f>IF(O85="","",(1/'Metadata'!$B$5)^(O85-1))</x:f>
        <x:v>177.82794100389228</x:v>
      </x:c>
      <x:c r="U85" s="31" t="n">
        <x:f>IF(T85="","",I85*T85)</x:f>
        <x:v>11162.418976331222</x:v>
      </x:c>
    </x:row>
    <x:row r="86" ht="18" customHeight="1">
      <x:c r="A86" s="24" t="str">
        <x:v>EEZ_288</x:v>
      </x:c>
      <x:c r="B86" s="24" t="str">
        <x:v>Ghana</x:v>
      </x:c>
      <x:c r="C86" s="24" t="str">
        <x:v>EEZ</x:v>
      </x:c>
      <x:c r="D86" s="30" t="n">
        <x:v>2019</x:v>
      </x:c>
      <x:c r="E86" s="24" t="str">
        <x:v>Priacanthus</x:v>
      </x:c>
      <x:c r="F86" s="24" t="str">
        <x:v>Bigeyes</x:v>
      </x:c>
      <x:c r="G86" s="24" t="str">
        <x:v>Medium reef assoc. fish (30 - 89 cm)</x:v>
      </x:c>
      <x:c r="H86" s="24" t="str">
        <x:v>Perch-likes</x:v>
      </x:c>
      <x:c r="I86" s="31" t="n">
        <x:v>58.705713077</x:v>
      </x:c>
      <x:c r="J86" s="31" t="n">
        <x:v>48.961153077</x:v>
      </x:c>
      <x:c r="K86" s="31" t="n">
        <x:v>9.74456</x:v>
      </x:c>
      <x:c r="L86" s="31" t="n">
        <x:v>9.156698377</x:v>
      </x:c>
      <x:c r="M86" s="31" t="n">
        <x:v>49.5490147</x:v>
      </x:c>
      <x:c r="N86" s="24" t="str">
        <x:v>priacanthus</x:v>
      </x:c>
      <x:c r="O86" s="32" t="n">
        <x:v>3.81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Priacanthus</x:v>
      </x:c>
      <x:c r="T86" s="32" t="n">
        <x:f>IF(O86="","",(1/'Metadata'!$B$5)^(O86-1))</x:f>
        <x:v>645.6542290346556</x:v>
      </x:c>
      <x:c r="U86" s="31" t="n">
        <x:f>IF(T86="","",I86*T86)</x:f>
        <x:v>37903.59191666013</x:v>
      </x:c>
    </x:row>
    <x:row r="87" ht="18" customHeight="1">
      <x:c r="A87" s="24" t="str">
        <x:v>EEZ_288</x:v>
      </x:c>
      <x:c r="B87" s="24" t="str">
        <x:v>Ghana</x:v>
      </x:c>
      <x:c r="C87" s="24" t="str">
        <x:v>EEZ</x:v>
      </x:c>
      <x:c r="D87" s="30" t="n">
        <x:v>2019</x:v>
      </x:c>
      <x:c r="E87" s="24" t="str">
        <x:v>Auxis rochei</x:v>
      </x:c>
      <x:c r="F87" s="24" t="str">
        <x:v>Bullet tuna</x:v>
      </x:c>
      <x:c r="G87" s="24" t="str">
        <x:v>Medium pelagics (30 - 89 cm)</x:v>
      </x:c>
      <x:c r="H87" s="24" t="str">
        <x:v>Tuna &amp; billfishes</x:v>
      </x:c>
      <x:c r="I87" s="31" t="n">
        <x:v>51.851555602699996</x:v>
      </x:c>
      <x:c r="J87" s="31" t="n">
        <x:v>51.851555602699996</x:v>
      </x:c>
      <x:c r="K87" s="31" t="n">
        <x:v>0</x:v>
      </x:c>
      <x:c r="L87" s="31" t="n">
        <x:v>0.2044456027</x:v>
      </x:c>
      <x:c r="M87" s="31" t="n">
        <x:v>51.64711</x:v>
      </x:c>
      <x:c r="N87" s="24" t="str">
        <x:v>auxis rochei</x:v>
      </x:c>
      <x:c r="O87" s="32" t="n">
        <x:v>4.13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Auxis rochei</x:v>
      </x:c>
      <x:c r="T87" s="32" t="n">
        <x:f>IF(O87="","",(1/'Metadata'!$B$5)^(O87-1))</x:f>
        <x:v>1348.9628825916532</x:v>
      </x:c>
      <x:c r="U87" s="31" t="n">
        <x:f>IF(T87="","",I87*T87)</x:f>
        <x:v>69945.82391267957</x:v>
      </x:c>
    </x:row>
    <x:row r="88" ht="18" customHeight="1">
      <x:c r="A88" s="24" t="str">
        <x:v>EEZ_288</x:v>
      </x:c>
      <x:c r="B88" s="24" t="str">
        <x:v>Ghana</x:v>
      </x:c>
      <x:c r="C88" s="24" t="str">
        <x:v>EEZ</x:v>
      </x:c>
      <x:c r="D88" s="30" t="n">
        <x:v>2019</x:v>
      </x:c>
      <x:c r="E88" s="24" t="str">
        <x:v>Pomadasys jubelini</x:v>
      </x:c>
      <x:c r="F88" s="24" t="str">
        <x:v>Sompat grunt</x:v>
      </x:c>
      <x:c r="G88" s="24" t="str">
        <x:v>Medium demersals (30 - 89 cm)</x:v>
      </x:c>
      <x:c r="H88" s="24" t="str">
        <x:v>Perch-likes</x:v>
      </x:c>
      <x:c r="I88" s="31" t="n">
        <x:v>51.35</x:v>
      </x:c>
      <x:c r="J88" s="31" t="n">
        <x:v>51.35</x:v>
      </x:c>
      <x:c r="K88" s="31" t="n">
        <x:v>0</x:v>
      </x:c>
      <x:c r="L88" s="31" t="n">
        <x:v>51.35</x:v>
      </x:c>
      <x:c r="M88" s="31" t="n">
        <x:v>0</x:v>
      </x:c>
      <x:c r="N88" s="24" t="str">
        <x:v>pomadasys jubelini</x:v>
      </x:c>
      <x:c r="O88" s="32" t="n">
        <x:v>3.33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Pomadasys jubelini</x:v>
      </x:c>
      <x:c r="T88" s="32" t="n">
        <x:f>IF(O88="","",(1/'Metadata'!$B$5)^(O88-1))</x:f>
        <x:v>213.79620895022325</x:v>
      </x:c>
      <x:c r="U88" s="31" t="n">
        <x:f>IF(T88="","",I88*T88)</x:f>
        <x:v>10978.435329593964</x:v>
      </x:c>
    </x:row>
    <x:row r="89" ht="18" customHeight="1">
      <x:c r="A89" s="24" t="str">
        <x:v>EEZ_288</x:v>
      </x:c>
      <x:c r="B89" s="24" t="str">
        <x:v>Ghana</x:v>
      </x:c>
      <x:c r="C89" s="24" t="str">
        <x:v>EEZ</x:v>
      </x:c>
      <x:c r="D89" s="30" t="n">
        <x:v>2019</x:v>
      </x:c>
      <x:c r="E89" s="24" t="str">
        <x:v>Kajikia albida</x:v>
      </x:c>
      <x:c r="F89" s="24" t="str">
        <x:v>Atlantic white marlin</x:v>
      </x:c>
      <x:c r="G89" s="24" t="str">
        <x:v>Large pelagics (&gt;=90 cm)</x:v>
      </x:c>
      <x:c r="H89" s="24" t="str">
        <x:v>Tuna &amp; billfishes</x:v>
      </x:c>
      <x:c r="I89" s="31" t="n">
        <x:v>39.6168306128</x:v>
      </x:c>
      <x:c r="J89" s="31" t="n">
        <x:v>39.6168306128</x:v>
      </x:c>
      <x:c r="K89" s="31" t="n">
        <x:v>0</x:v>
      </x:c>
      <x:c r="L89" s="31" t="n">
        <x:v>39.6168306128</x:v>
      </x:c>
      <x:c r="M89" s="31" t="n">
        <x:v>0</x:v>
      </x:c>
      <x:c r="N89" s="24" t="str">
        <x:v>kajikia albida</x:v>
      </x:c>
      <x:c r="O89" s="32" t="n">
        <x:v>4.49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Kajikia albida</x:v>
      </x:c>
      <x:c r="T89" s="32" t="n">
        <x:f>IF(O89="","",(1/'Metadata'!$B$5)^(O89-1))</x:f>
        <x:v>3090.295432513592</x:v>
      </x:c>
      <x:c r="U89" s="31" t="n">
        <x:f>IF(T89="","",I89*T89)</x:f>
        <x:v>122427.7106934005</x:v>
      </x:c>
    </x:row>
    <x:row r="90" ht="18" customHeight="1">
      <x:c r="A90" s="24" t="str">
        <x:v>EEZ_288</x:v>
      </x:c>
      <x:c r="B90" s="24" t="str">
        <x:v>Ghana</x:v>
      </x:c>
      <x:c r="C90" s="24" t="str">
        <x:v>EEZ</x:v>
      </x:c>
      <x:c r="D90" s="30" t="n">
        <x:v>2019</x:v>
      </x:c>
      <x:c r="E90" s="24" t="str">
        <x:v>Pagrus</x:v>
      </x:c>
      <x:c r="F90" s="24" t="str">
        <x:v>Subtropical seabreams</x:v>
      </x:c>
      <x:c r="G90" s="24" t="str">
        <x:v>Medium benthopelagics (30 - 89 cm)</x:v>
      </x:c>
      <x:c r="H90" s="24" t="str">
        <x:v>Perch-likes</x:v>
      </x:c>
      <x:c r="I90" s="31" t="n">
        <x:v>27.749999999899998</x:v>
      </x:c>
      <x:c r="J90" s="31" t="n">
        <x:v>27.749999999899998</x:v>
      </x:c>
      <x:c r="K90" s="31" t="n">
        <x:v>0</x:v>
      </x:c>
      <x:c r="L90" s="31" t="n">
        <x:v>27.749999999899998</x:v>
      </x:c>
      <x:c r="M90" s="31" t="n">
        <x:v>0</x:v>
      </x:c>
      <x:c r="N90" s="24" t="str">
        <x:v>pagrus</x:v>
      </x:c>
      <x:c r="O90" s="32" t="n">
        <x:v>3.55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Pagrus</x:v>
      </x:c>
      <x:c r="T90" s="32" t="n">
        <x:f>IF(O90="","",(1/'Metadata'!$B$5)^(O90-1))</x:f>
        <x:v>354.8133892335753</x:v>
      </x:c>
      <x:c r="U90" s="31" t="n">
        <x:f>IF(T90="","",I90*T90)</x:f>
        <x:v>9846.071551196233</x:v>
      </x:c>
    </x:row>
    <x:row r="91" ht="18" customHeight="1">
      <x:c r="A91" s="24" t="str">
        <x:v>EEZ_288</x:v>
      </x:c>
      <x:c r="B91" s="24" t="str">
        <x:v>Ghana</x:v>
      </x:c>
      <x:c r="C91" s="24" t="str">
        <x:v>EEZ</x:v>
      </x:c>
      <x:c r="D91" s="30" t="n">
        <x:v>2019</x:v>
      </x:c>
      <x:c r="E91" s="24" t="str">
        <x:v>Argyrosomus regius</x:v>
      </x:c>
      <x:c r="F91" s="24" t="str">
        <x:v>Meagre</x:v>
      </x:c>
      <x:c r="G91" s="24" t="str">
        <x:v>Large benthopelagics (&gt;=90 cm)</x:v>
      </x:c>
      <x:c r="H91" s="24" t="str">
        <x:v>Perch-likes</x:v>
      </x:c>
      <x:c r="I91" s="31" t="n">
        <x:v>21.939999999999998</x:v>
      </x:c>
      <x:c r="J91" s="31" t="n">
        <x:v>21.939999999999998</x:v>
      </x:c>
      <x:c r="K91" s="31" t="n">
        <x:v>0</x:v>
      </x:c>
      <x:c r="L91" s="31" t="n">
        <x:v>21.939999999999998</x:v>
      </x:c>
      <x:c r="M91" s="31" t="n">
        <x:v>0</x:v>
      </x:c>
      <x:c r="N91" s="24" t="str">
        <x:v>argyrosomus regius</x:v>
      </x:c>
      <x:c r="O91" s="32" t="n">
        <x:v>4.29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Argyrosomus regius</x:v>
      </x:c>
      <x:c r="T91" s="32" t="n">
        <x:f>IF(O91="","",(1/'Metadata'!$B$5)^(O91-1))</x:f>
        <x:v>1949.8445997580454</x:v>
      </x:c>
      <x:c r="U91" s="31" t="n">
        <x:f>IF(T91="","",I91*T91)</x:f>
        <x:v>42779.59051869151</x:v>
      </x:c>
    </x:row>
    <x:row r="92" ht="18" customHeight="1">
      <x:c r="A92" s="24" t="str">
        <x:v>EEZ_288</x:v>
      </x:c>
      <x:c r="B92" s="24" t="str">
        <x:v>Ghana</x:v>
      </x:c>
      <x:c r="C92" s="24" t="str">
        <x:v>EEZ</x:v>
      </x:c>
      <x:c r="D92" s="30" t="n">
        <x:v>2019</x:v>
      </x:c>
      <x:c r="E92" s="24" t="str">
        <x:v>Euthynnus alletteratus</x:v>
      </x:c>
      <x:c r="F92" s="24" t="str">
        <x:v>Little tunny </x:v>
      </x:c>
      <x:c r="G92" s="24" t="str">
        <x:v>Large pelagics (&gt;=90 cm)</x:v>
      </x:c>
      <x:c r="H92" s="24" t="str">
        <x:v>Tuna &amp; billfishes</x:v>
      </x:c>
      <x:c r="I92" s="31" t="n">
        <x:v>11.0550903654</x:v>
      </x:c>
      <x:c r="J92" s="31" t="n">
        <x:v>11.0550903654</x:v>
      </x:c>
      <x:c r="K92" s="31" t="n">
        <x:v>0</x:v>
      </x:c>
      <x:c r="L92" s="31" t="n">
        <x:v>11.0550903654</x:v>
      </x:c>
      <x:c r="M92" s="31" t="n">
        <x:v>0</x:v>
      </x:c>
      <x:c r="N92" s="24" t="str">
        <x:v>euthynnus alletteratus</x:v>
      </x:c>
      <x:c r="O92" s="32" t="n">
        <x:v>4.49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Euthynnus alletteratus</x:v>
      </x:c>
      <x:c r="T92" s="32" t="n">
        <x:f>IF(O92="","",(1/'Metadata'!$B$5)^(O92-1))</x:f>
        <x:v>3090.295432513592</x:v>
      </x:c>
      <x:c r="U92" s="31" t="n">
        <x:f>IF(T92="","",I92*T92)</x:f>
        <x:v>34163.49526222064</x:v>
      </x:c>
    </x:row>
    <x:row r="93" ht="18" customHeight="1">
      <x:c r="A93" s="24" t="str">
        <x:v>EEZ_288</x:v>
      </x:c>
      <x:c r="B93" s="24" t="str">
        <x:v>Ghana</x:v>
      </x:c>
      <x:c r="C93" s="24" t="str">
        <x:v>EEZ</x:v>
      </x:c>
      <x:c r="D93" s="30" t="n">
        <x:v>2019</x:v>
      </x:c>
      <x:c r="E93" s="24" t="str">
        <x:v>Isurus oxyrinchus</x:v>
      </x:c>
      <x:c r="F93" s="24" t="str">
        <x:v>Shortfin mako</x:v>
      </x:c>
      <x:c r="G93" s="24" t="str">
        <x:v>Large sharks (&gt;=90 cm)</x:v>
      </x:c>
      <x:c r="H93" s="24" t="str">
        <x:v>Sharks &amp; rays</x:v>
      </x:c>
      <x:c r="I93" s="31" t="n">
        <x:v>8.1666820595</x:v>
      </x:c>
      <x:c r="J93" s="31" t="n">
        <x:v>8.1666820595</x:v>
      </x:c>
      <x:c r="K93" s="31" t="n">
        <x:v>0</x:v>
      </x:c>
      <x:c r="L93" s="31" t="n">
        <x:v>8.1666820595</x:v>
      </x:c>
      <x:c r="M93" s="31" t="n">
        <x:v>0</x:v>
      </x:c>
      <x:c r="N93" s="24" t="str">
        <x:v>isurus oxyrinchus</x:v>
      </x:c>
      <x:c r="O93" s="32" t="n">
        <x:v>4.5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Isurus oxyrinchus</x:v>
      </x:c>
      <x:c r="T93" s="32" t="n">
        <x:f>IF(O93="","",(1/'Metadata'!$B$5)^(O93-1))</x:f>
        <x:v>3162.2776601683795</x:v>
      </x:c>
      <x:c r="U93" s="31" t="n">
        <x:f>IF(T93="","",I93*T93)</x:f>
        <x:v>25825.31623445474</x:v>
      </x:c>
    </x:row>
    <x:row r="94" ht="18" customHeight="1">
      <x:c r="A94" s="24" t="str">
        <x:v>EEZ_288</x:v>
      </x:c>
      <x:c r="B94" s="24" t="str">
        <x:v>Ghana</x:v>
      </x:c>
      <x:c r="C94" s="24" t="str">
        <x:v>EEZ</x:v>
      </x:c>
      <x:c r="D94" s="30" t="n">
        <x:v>2019</x:v>
      </x:c>
      <x:c r="E94" s="24" t="str">
        <x:v>Sphyrna</x:v>
      </x:c>
      <x:c r="F94" s="24" t="str">
        <x:v>Hammerhead sharks</x:v>
      </x:c>
      <x:c r="G94" s="24" t="str">
        <x:v>Large sharks (&gt;=90 cm)</x:v>
      </x:c>
      <x:c r="H94" s="24" t="str">
        <x:v>Sharks &amp; rays</x:v>
      </x:c>
      <x:c r="I94" s="31" t="n">
        <x:v>7.5163498612</x:v>
      </x:c>
      <x:c r="J94" s="31" t="n">
        <x:v>7.5163498612</x:v>
      </x:c>
      <x:c r="K94" s="31" t="n">
        <x:v>0</x:v>
      </x:c>
      <x:c r="L94" s="31" t="n">
        <x:v>7.5163498612</x:v>
      </x:c>
      <x:c r="M94" s="31" t="n">
        <x:v>0</x:v>
      </x:c>
      <x:c r="N94" s="24" t="str">
        <x:v>sphyrna</x:v>
      </x:c>
      <x:c r="O94" s="32" t="n">
        <x:v>4.2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Sphyrna</x:v>
      </x:c>
      <x:c r="T94" s="32" t="n">
        <x:f>IF(O94="","",(1/'Metadata'!$B$5)^(O94-1))</x:f>
        <x:v>1584.893192461114</x:v>
      </x:c>
      <x:c r="U94" s="31" t="n">
        <x:f>IF(T94="","",I94*T94)</x:f>
        <x:v>11912.61172717192</x:v>
      </x:c>
    </x:row>
    <x:row r="95" ht="18" customHeight="1">
      <x:c r="A95" s="24" t="str">
        <x:v>EEZ_288</x:v>
      </x:c>
      <x:c r="B95" s="24" t="str">
        <x:v>Ghana</x:v>
      </x:c>
      <x:c r="C95" s="24" t="str">
        <x:v>EEZ</x:v>
      </x:c>
      <x:c r="D95" s="30" t="n">
        <x:v>2019</x:v>
      </x:c>
      <x:c r="E95" s="24" t="str">
        <x:v>Carcharhinus falciformis</x:v>
      </x:c>
      <x:c r="F95" s="24" t="str">
        <x:v>Silky shark</x:v>
      </x:c>
      <x:c r="G95" s="24" t="str">
        <x:v>Large sharks (&gt;=90 cm)</x:v>
      </x:c>
      <x:c r="H95" s="24" t="str">
        <x:v>Sharks &amp; rays</x:v>
      </x:c>
      <x:c r="I95" s="31" t="n">
        <x:v>7.3627414481999995</x:v>
      </x:c>
      <x:c r="J95" s="31" t="n">
        <x:v>7.3627414481999995</x:v>
      </x:c>
      <x:c r="K95" s="31" t="n">
        <x:v>0</x:v>
      </x:c>
      <x:c r="L95" s="31" t="n">
        <x:v>7.3627414481999995</x:v>
      </x:c>
      <x:c r="M95" s="31" t="n">
        <x:v>0</x:v>
      </x:c>
      <x:c r="N95" s="24" t="str">
        <x:v>carcharhinus falciformis</x:v>
      </x:c>
      <x:c r="O95" s="32" t="n">
        <x:v>4.51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Carcharhinus falciformis</x:v>
      </x:c>
      <x:c r="T95" s="32" t="n">
        <x:f>IF(O95="","",(1/'Metadata'!$B$5)^(O95-1))</x:f>
        <x:v>3235.936569296281</x:v>
      </x:c>
      <x:c r="U95" s="31" t="n">
        <x:f>IF(T95="","",I95*T95)</x:f>
        <x:v>23825.36430250384</x:v>
      </x:c>
    </x:row>
    <x:row r="96" ht="18" customHeight="1">
      <x:c r="A96" s="24" t="str">
        <x:v>EEZ_288</x:v>
      </x:c>
      <x:c r="B96" s="24" t="str">
        <x:v>Ghana</x:v>
      </x:c>
      <x:c r="C96" s="24" t="str">
        <x:v>EEZ</x:v>
      </x:c>
      <x:c r="D96" s="30" t="n">
        <x:v>2019</x:v>
      </x:c>
      <x:c r="E96" s="24" t="str">
        <x:v>Elagatis bipinnulata</x:v>
      </x:c>
      <x:c r="F96" s="24" t="str">
        <x:v>Rainbow runner</x:v>
      </x:c>
      <x:c r="G96" s="24" t="str">
        <x:v>Large pelagics (&gt;=90 cm)</x:v>
      </x:c>
      <x:c r="H96" s="24" t="str">
        <x:v>Perch-likes</x:v>
      </x:c>
      <x:c r="I96" s="31" t="n">
        <x:v>6.7747175148</x:v>
      </x:c>
      <x:c r="J96" s="31" t="n">
        <x:v>6.7747175148</x:v>
      </x:c>
      <x:c r="K96" s="31" t="n">
        <x:v>0</x:v>
      </x:c>
      <x:c r="L96" s="31" t="n">
        <x:v>6.7747175148</x:v>
      </x:c>
      <x:c r="M96" s="31" t="n">
        <x:v>0</x:v>
      </x:c>
      <x:c r="N96" s="24" t="str">
        <x:v>elagatis bipinnulata</x:v>
      </x:c>
      <x:c r="O96" s="32" t="n">
        <x:v>4.27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Elagatis bipinnulata</x:v>
      </x:c>
      <x:c r="T96" s="32" t="n">
        <x:f>IF(O96="","",(1/'Metadata'!$B$5)^(O96-1))</x:f>
        <x:v>1862.0871366628655</x:v>
      </x:c>
      <x:c r="U96" s="31" t="n">
        <x:f>IF(T96="","",I96*T96)</x:f>
        <x:v>12615.114338833697</x:v>
      </x:c>
    </x:row>
    <x:row r="97" ht="18" customHeight="1">
      <x:c r="A97" s="24" t="str">
        <x:v>EEZ_288</x:v>
      </x:c>
      <x:c r="B97" s="24" t="str">
        <x:v>Ghana</x:v>
      </x:c>
      <x:c r="C97" s="24" t="str">
        <x:v>EEZ</x:v>
      </x:c>
      <x:c r="D97" s="30" t="n">
        <x:v>2019</x:v>
      </x:c>
      <x:c r="E97" s="24" t="str">
        <x:v>Alopias</x:v>
      </x:c>
      <x:c r="F97" s="24" t="str">
        <x:v>Thresher sharks</x:v>
      </x:c>
      <x:c r="G97" s="24" t="str">
        <x:v>Large sharks (&gt;=90 cm)</x:v>
      </x:c>
      <x:c r="H97" s="24" t="str">
        <x:v>Sharks &amp; rays</x:v>
      </x:c>
      <x:c r="I97" s="31" t="n">
        <x:v>5.4598374746</x:v>
      </x:c>
      <x:c r="J97" s="31" t="n">
        <x:v>5.4598374746</x:v>
      </x:c>
      <x:c r="K97" s="31" t="n">
        <x:v>0</x:v>
      </x:c>
      <x:c r="L97" s="31" t="n">
        <x:v>5.4598374746</x:v>
      </x:c>
      <x:c r="M97" s="31" t="n">
        <x:v>0</x:v>
      </x:c>
      <x:c r="N97" s="24" t="str">
        <x:v>alopias</x:v>
      </x:c>
      <x:c r="O97" s="32" t="n">
        <x:v>4.5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Alopias</x:v>
      </x:c>
      <x:c r="T97" s="32" t="n">
        <x:f>IF(O97="","",(1/'Metadata'!$B$5)^(O97-1))</x:f>
        <x:v>3162.2776601683795</x:v>
      </x:c>
      <x:c r="U97" s="31" t="n">
        <x:f>IF(T97="","",I97*T97)</x:f>
        <x:v>17265.522074077722</x:v>
      </x:c>
    </x:row>
    <x:row r="98" ht="18" customHeight="1">
      <x:c r="A98" s="24" t="str">
        <x:v>EEZ_288</x:v>
      </x:c>
      <x:c r="B98" s="24" t="str">
        <x:v>Ghana</x:v>
      </x:c>
      <x:c r="C98" s="24" t="str">
        <x:v>EEZ</x:v>
      </x:c>
      <x:c r="D98" s="30" t="n">
        <x:v>2019</x:v>
      </x:c>
      <x:c r="E98" s="24" t="str">
        <x:v>Sphyrna lewini</x:v>
      </x:c>
      <x:c r="F98" s="24" t="str">
        <x:v>Scalloped hammerhead</x:v>
      </x:c>
      <x:c r="G98" s="24" t="str">
        <x:v>Large sharks (&gt;=90 cm)</x:v>
      </x:c>
      <x:c r="H98" s="24" t="str">
        <x:v>Sharks &amp; rays</x:v>
      </x:c>
      <x:c r="I98" s="31" t="n">
        <x:v>4.0962726323</x:v>
      </x:c>
      <x:c r="J98" s="31" t="n">
        <x:v>4.0962726323</x:v>
      </x:c>
      <x:c r="K98" s="31" t="n">
        <x:v>0</x:v>
      </x:c>
      <x:c r="L98" s="31" t="n">
        <x:v>4.0962726323</x:v>
      </x:c>
      <x:c r="M98" s="31" t="n">
        <x:v>0</x:v>
      </x:c>
      <x:c r="N98" s="24" t="str">
        <x:v>sphyrna lewini</x:v>
      </x:c>
      <x:c r="O98" s="32" t="n">
        <x:v>4.08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Sphyrna lewini</x:v>
      </x:c>
      <x:c r="T98" s="32" t="n">
        <x:f>IF(O98="","",(1/'Metadata'!$B$5)^(O98-1))</x:f>
        <x:v>1202.2644346174131</x:v>
      </x:c>
      <x:c r="U98" s="31" t="n">
        <x:f>IF(T98="","",I98*T98)</x:f>
        <x:v>4924.802900310942</x:v>
      </x:c>
    </x:row>
    <x:row r="99" ht="18" customHeight="1">
      <x:c r="A99" s="24" t="str">
        <x:v>EEZ_288</x:v>
      </x:c>
      <x:c r="B99" s="24" t="str">
        <x:v>Ghana</x:v>
      </x:c>
      <x:c r="C99" s="24" t="str">
        <x:v>EEZ</x:v>
      </x:c>
      <x:c r="D99" s="30" t="n">
        <x:v>2019</x:v>
      </x:c>
      <x:c r="E99" s="24" t="str">
        <x:v>Alopias vulpinus</x:v>
      </x:c>
      <x:c r="F99" s="24" t="str">
        <x:v>Thresher</x:v>
      </x:c>
      <x:c r="G99" s="24" t="str">
        <x:v>Large sharks (&gt;=90 cm)</x:v>
      </x:c>
      <x:c r="H99" s="24" t="str">
        <x:v>Sharks &amp; rays</x:v>
      </x:c>
      <x:c r="I99" s="31" t="n">
        <x:v>2.7603820553</x:v>
      </x:c>
      <x:c r="J99" s="31" t="n">
        <x:v>2.7603820553</x:v>
      </x:c>
      <x:c r="K99" s="31" t="n">
        <x:v>0</x:v>
      </x:c>
      <x:c r="L99" s="31" t="n">
        <x:v>2.7603820553</x:v>
      </x:c>
      <x:c r="M99" s="31" t="n">
        <x:v>0</x:v>
      </x:c>
      <x:c r="N99" s="24" t="str">
        <x:v>alopias vulpinus</x:v>
      </x:c>
      <x:c r="O99" s="32" t="n">
        <x:v>4.5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Alopias vulpinus</x:v>
      </x:c>
      <x:c r="T99" s="32" t="n">
        <x:f>IF(O99="","",(1/'Metadata'!$B$5)^(O99-1))</x:f>
        <x:v>3162.2776601683795</x:v>
      </x:c>
      <x:c r="U99" s="31" t="n">
        <x:f>IF(T99="","",I99*T99)</x:f>
        <x:v>8729.094507004866</x:v>
      </x:c>
    </x:row>
    <x:row r="100" ht="18" customHeight="1">
      <x:c r="A100" s="24" t="str">
        <x:v>EEZ_288</x:v>
      </x:c>
      <x:c r="B100" s="24" t="str">
        <x:v>Ghana</x:v>
      </x:c>
      <x:c r="C100" s="24" t="str">
        <x:v>EEZ</x:v>
      </x:c>
      <x:c r="D100" s="30" t="n">
        <x:v>2019</x:v>
      </x:c>
      <x:c r="E100" s="24" t="str">
        <x:v>Sarda</x:v>
      </x:c>
      <x:c r="F100" s="24" t="str">
        <x:v>Bonitos</x:v>
      </x:c>
      <x:c r="G100" s="24" t="str">
        <x:v>Large pelagics (&gt;=90 cm)</x:v>
      </x:c>
      <x:c r="H100" s="24" t="str">
        <x:v>Tuna &amp; billfishes</x:v>
      </x:c>
      <x:c r="I100" s="31" t="n">
        <x:v>1.5948817168</x:v>
      </x:c>
      <x:c r="J100" s="31" t="n">
        <x:v>1.5948817168</x:v>
      </x:c>
      <x:c r="K100" s="31" t="n">
        <x:v>0</x:v>
      </x:c>
      <x:c r="L100" s="31" t="n">
        <x:v>1.5948817168</x:v>
      </x:c>
      <x:c r="M100" s="31" t="n">
        <x:v>0</x:v>
      </x:c>
      <x:c r="N100" s="24" t="str">
        <x:v>sarda</x:v>
      </x:c>
      <x:c r="O100" s="32" t="n">
        <x:v>4.37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Sarda</x:v>
      </x:c>
      <x:c r="T100" s="32" t="n">
        <x:f>IF(O100="","",(1/'Metadata'!$B$5)^(O100-1))</x:f>
        <x:v>2344.228815319923</x:v>
      </x:c>
      <x:c r="U100" s="31" t="n">
        <x:f>IF(T100="","",I100*T100)</x:f>
        <x:v>3738.7676775494688</x:v>
      </x:c>
    </x:row>
    <x:row r="101" ht="18" customHeight="1">
      <x:c r="A101" s="24" t="str">
        <x:v>EEZ_288</x:v>
      </x:c>
      <x:c r="B101" s="24" t="str">
        <x:v>Ghana</x:v>
      </x:c>
      <x:c r="C101" s="24" t="str">
        <x:v>EEZ</x:v>
      </x:c>
      <x:c r="D101" s="30" t="n">
        <x:v>2019</x:v>
      </x:c>
      <x:c r="E101" s="24" t="str">
        <x:v>Sphyraena barracuda</x:v>
      </x:c>
      <x:c r="F101" s="24" t="str">
        <x:v>Great barracuda</x:v>
      </x:c>
      <x:c r="G101" s="24" t="str">
        <x:v>Large pelagics (&gt;=90 cm)</x:v>
      </x:c>
      <x:c r="H101" s="24" t="str">
        <x:v>Perch-likes</x:v>
      </x:c>
      <x:c r="I101" s="31" t="n">
        <x:v>1.2254753457</x:v>
      </x:c>
      <x:c r="J101" s="31" t="n">
        <x:v>1.2254753457</x:v>
      </x:c>
      <x:c r="K101" s="31" t="n">
        <x:v>0</x:v>
      </x:c>
      <x:c r="L101" s="31" t="n">
        <x:v>1.2254753457</x:v>
      </x:c>
      <x:c r="M101" s="31" t="n">
        <x:v>0</x:v>
      </x:c>
      <x:c r="N101" s="24" t="str">
        <x:v>sphyraena barracuda</x:v>
      </x:c>
      <x:c r="O101" s="32" t="n">
        <x:v>4.49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Sphyraena barracuda</x:v>
      </x:c>
      <x:c r="T101" s="32" t="n">
        <x:f>IF(O101="","",(1/'Metadata'!$B$5)^(O101-1))</x:f>
        <x:v>3090.295432513592</x:v>
      </x:c>
      <x:c r="U101" s="31" t="n">
        <x:f>IF(T101="","",I101*T101)</x:f>
        <x:v>3787.0808634747254</x:v>
      </x:c>
    </x:row>
    <x:row r="102" ht="18" customHeight="1">
      <x:c r="A102" s="24" t="str">
        <x:v>EEZ_288</x:v>
      </x:c>
      <x:c r="B102" s="24" t="str">
        <x:v>Ghana</x:v>
      </x:c>
      <x:c r="C102" s="24" t="str">
        <x:v>EEZ</x:v>
      </x:c>
      <x:c r="D102" s="30" t="n">
        <x:v>2019</x:v>
      </x:c>
      <x:c r="E102" s="24" t="str">
        <x:v>Sphyrna zygaena</x:v>
      </x:c>
      <x:c r="F102" s="24" t="str">
        <x:v>Smooth hammerhead</x:v>
      </x:c>
      <x:c r="G102" s="24" t="str">
        <x:v>Large sharks (&gt;=90 cm)</x:v>
      </x:c>
      <x:c r="H102" s="24" t="str">
        <x:v>Sharks &amp; rays</x:v>
      </x:c>
      <x:c r="I102" s="31" t="n">
        <x:v>0.6233544914</x:v>
      </x:c>
      <x:c r="J102" s="31" t="n">
        <x:v>0.6233544914</x:v>
      </x:c>
      <x:c r="K102" s="31" t="n">
        <x:v>0</x:v>
      </x:c>
      <x:c r="L102" s="31" t="n">
        <x:v>0.6233544914</x:v>
      </x:c>
      <x:c r="M102" s="31" t="n">
        <x:v>0</x:v>
      </x:c>
      <x:c r="N102" s="24" t="str">
        <x:v>sphyrna zygaena</x:v>
      </x:c>
      <x:c r="O102" s="32" t="n">
        <x:v>4.94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Sphyrna zygaena</x:v>
      </x:c>
      <x:c r="T102" s="32" t="n">
        <x:f>IF(O102="","",(1/'Metadata'!$B$5)^(O102-1))</x:f>
        <x:v>8709.635899560813</x:v>
      </x:c>
      <x:c r="U102" s="31" t="n">
        <x:f>IF(T102="","",I102*T102)</x:f>
        <x:v>5429.190656449912</x:v>
      </x:c>
    </x:row>
    <x:row r="103" ht="18" customHeight="1">
      <x:c r="A103" s="24" t="str">
        <x:v>EEZ_288</x:v>
      </x:c>
      <x:c r="B103" s="24" t="str">
        <x:v>Ghana</x:v>
      </x:c>
      <x:c r="C103" s="24" t="str">
        <x:v>EEZ</x:v>
      </x:c>
      <x:c r="D103" s="30" t="n">
        <x:v>2019</x:v>
      </x:c>
      <x:c r="E103" s="24" t="str">
        <x:v>Tetrapturus pfluegeri</x:v>
      </x:c>
      <x:c r="F103" s="24" t="str">
        <x:v>Longbill spearfish</x:v>
      </x:c>
      <x:c r="G103" s="24" t="str">
        <x:v>Large pelagics (&gt;=90 cm)</x:v>
      </x:c>
      <x:c r="H103" s="24" t="str">
        <x:v>Tuna &amp; billfishes</x:v>
      </x:c>
      <x:c r="I103" s="31" t="n">
        <x:v>0.1892833294</x:v>
      </x:c>
      <x:c r="J103" s="31" t="n">
        <x:v>0.1892833294</x:v>
      </x:c>
      <x:c r="K103" s="31" t="n">
        <x:v>0</x:v>
      </x:c>
      <x:c r="L103" s="31" t="n">
        <x:v>0.1892833294</x:v>
      </x:c>
      <x:c r="M103" s="31" t="n">
        <x:v>0</x:v>
      </x:c>
      <x:c r="N103" s="24" t="str">
        <x:v>tetrapturus pfluegeri</x:v>
      </x:c>
      <x:c r="O103" s="32" t="n">
        <x:v>4.4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Tetrapturus pfluegeri</x:v>
      </x:c>
      <x:c r="T103" s="32" t="n">
        <x:f>IF(O103="","",(1/'Metadata'!$B$5)^(O103-1))</x:f>
        <x:v>2511.886431509582</x:v>
      </x:c>
      <x:c r="U103" s="31" t="n">
        <x:f>IF(T103="","",I103*T103)</x:f>
        <x:v>475.4582268308188</x:v>
      </x:c>
    </x:row>
    <x:row r="104" ht="18" customHeight="1">
      <x:c r="A104" s="24" t="str">
        <x:v>EEZ_288</x:v>
      </x:c>
      <x:c r="B104" s="24" t="str">
        <x:v>Ghana</x:v>
      </x:c>
      <x:c r="C104" s="24" t="str">
        <x:v>EEZ</x:v>
      </x:c>
      <x:c r="D104" s="30" t="n">
        <x:v>2019</x:v>
      </x:c>
      <x:c r="E104" s="24" t="str">
        <x:v>Carcharhinus</x:v>
      </x:c>
      <x:c r="F104" s="24" t="str">
        <x:v>Sharp-nosed sharks</x:v>
      </x:c>
      <x:c r="G104" s="24" t="str">
        <x:v>Large sharks (&gt;=90 cm)</x:v>
      </x:c>
      <x:c r="H104" s="24" t="str">
        <x:v>Sharks &amp; rays</x:v>
      </x:c>
      <x:c r="I104" s="31" t="n">
        <x:v>0.0302736716</x:v>
      </x:c>
      <x:c r="J104" s="31" t="n">
        <x:v>0.0302736716</x:v>
      </x:c>
      <x:c r="K104" s="31" t="n">
        <x:v>0</x:v>
      </x:c>
      <x:c r="L104" s="31" t="n">
        <x:v>0.0302736716</x:v>
      </x:c>
      <x:c r="M104" s="31" t="n">
        <x:v>0</x:v>
      </x:c>
      <x:c r="N104" s="24" t="str">
        <x:v>carcharhinus</x:v>
      </x:c>
      <x:c r="O104" s="32" t="n">
        <x:v>4.26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Carcharhinus</x:v>
      </x:c>
      <x:c r="T104" s="32" t="n">
        <x:f>IF(O104="","",(1/'Metadata'!$B$5)^(O104-1))</x:f>
        <x:v>1819.7008586099826</x:v>
      </x:c>
      <x:c r="U104" s="31" t="n">
        <x:f>IF(T104="","",I104*T104)</x:f>
        <x:v>55.08902620379664</x:v>
      </x:c>
    </x:row>
  </x:sheetData>
  <x:conditionalFormatting sqref="R2:R10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65b9cfac8754d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102474.3939172667</x:v>
      </x:c>
      <x:c r="C2" s="32" t="n">
        <x:v>3.119036794628926</x:v>
      </x:c>
      <x:c r="D2" s="32" t="n">
        <x:f>IF(C2="","",(1/'Metadata'!$B$5)^(C2-1))</x:f>
        <x:v>131.53362663958322</x:v>
      </x:c>
      <x:c r="E2" s="31" t="n">
        <x:f>IF(B2=0,"",B2*D2)</x:f>
        <x:v>13478828.669631336</x:v>
      </x:c>
    </x:row>
    <x:row r="3" ht="18" customHeight="1">
      <x:c r="A3" s="24" t="str">
        <x:v>Crustaceans</x:v>
      </x:c>
      <x:c r="B3" s="31" t="n">
        <x:v>4497.9577475153</x:v>
      </x:c>
      <x:c r="C3" s="32" t="n">
        <x:v>2.766095018381226</x:v>
      </x:c>
      <x:c r="D3" s="32" t="n">
        <x:f>IF(C3="","",(1/'Metadata'!$B$5)^(C3-1))</x:f>
        <x:v>58.35727689728784</x:v>
      </x:c>
      <x:c r="E3" s="31" t="n">
        <x:f>IF(B3=0,"",B3*D3)</x:f>
        <x:v>262488.5657440515</x:v>
      </x:c>
    </x:row>
    <x:row r="4" ht="18" customHeight="1">
      <x:c r="A4" s="24" t="str">
        <x:v>Flatfishes</x:v>
      </x:c>
      <x:c r="B4" s="31" t="n">
        <x:v>645.49</x:v>
      </x:c>
      <x:c r="C4" s="32" t="n">
        <x:v>3.13</x:v>
      </x:c>
      <x:c r="D4" s="32" t="n">
        <x:f>IF(C4="","",(1/'Metadata'!$B$5)^(C4-1))</x:f>
        <x:v>134.89628825916532</x:v>
      </x:c>
      <x:c r="E4" s="31" t="n">
        <x:f>IF(B4=0,"",B4*D4)</x:f>
        <x:v>87074.20510840863</x:v>
      </x:c>
    </x:row>
    <x:row r="5" ht="18" customHeight="1">
      <x:c r="A5" s="24" t="str">
        <x:v>Herring-likes</x:v>
      </x:c>
      <x:c r="B5" s="31" t="n">
        <x:v>62131.5591685784</x:v>
      </x:c>
      <x:c r="C5" s="32" t="n">
        <x:v>3.3320543704114023</x:v>
      </x:c>
      <x:c r="D5" s="32" t="n">
        <x:f>IF(C5="","",(1/'Metadata'!$B$5)^(C5-1))</x:f>
        <x:v>214.80993832269277</x:v>
      </x:c>
      <x:c r="E5" s="31" t="n">
        <x:f>IF(B5=0,"",B5*D5)</x:f>
        <x:v>13346476.392895063</x:v>
      </x:c>
    </x:row>
    <x:row r="6" ht="18" customHeight="1">
      <x:c r="A6" s="24" t="str">
        <x:v>Other fishes &amp; inverts</x:v>
      </x:c>
      <x:c r="B6" s="31" t="n">
        <x:v>50854.152006548306</x:v>
      </x:c>
      <x:c r="C6" s="32" t="n">
        <x:v>3.487734448776727</x:v>
      </x:c>
      <x:c r="D6" s="32" t="n">
        <x:f>IF(C6="","",(1/'Metadata'!$B$5)^(C6-1))</x:f>
        <x:v>307.4216497075351</x:v>
      </x:c>
      <x:c r="E6" s="31" t="n">
        <x:f>IF(B6=0,"",B6*D6)</x:f>
        <x:v>15633667.304330837</x:v>
      </x:c>
    </x:row>
    <x:row r="7" ht="18" customHeight="1">
      <x:c r="A7" s="24" t="str">
        <x:v>Perch-likes</x:v>
      </x:c>
      <x:c r="B7" s="31" t="n">
        <x:v>211545.28852914734</x:v>
      </x:c>
      <x:c r="C7" s="32" t="n">
        <x:v>3.569056004776402</x:v>
      </x:c>
      <x:c r="D7" s="32" t="n">
        <x:f>IF(C7="","",(1/'Metadata'!$B$5)^(C7-1))</x:f>
        <x:v>370.7285262802532</x:v>
      </x:c>
      <x:c r="E7" s="31" t="n">
        <x:f>IF(B7=0,"",B7*D7)</x:f>
        <x:v>78425873.05794175</x:v>
      </x:c>
    </x:row>
    <x:row r="8" ht="18" customHeight="1">
      <x:c r="A8" s="24" t="str">
        <x:v>Scorpionfishes</x:v>
      </x:c>
      <x:c r="B8" s="31" t="n">
        <x:v>120.78999999999999</x:v>
      </x:c>
      <x:c r="C8" s="32" t="n">
        <x:v>3.47</x:v>
      </x:c>
      <x:c r="D8" s="32" t="n">
        <x:f>IF(C8="","",(1/'Metadata'!$B$5)^(C8-1))</x:f>
        <x:v>295.1209226666387</x:v>
      </x:c>
      <x:c r="E8" s="31" t="n">
        <x:f>IF(B8=0,"",B8*D8)</x:f>
        <x:v>35647.65624890329</x:v>
      </x:c>
    </x:row>
    <x:row r="9" ht="18" customHeight="1">
      <x:c r="A9" s="24" t="str">
        <x:v>Sharks &amp; rays</x:v>
      </x:c>
      <x:c r="B9" s="31" t="n">
        <x:v>4198.3939568098</x:v>
      </x:c>
      <x:c r="C9" s="32" t="n">
        <x:v>4.083290293082798</x:v>
      </x:c>
      <x:c r="D9" s="32" t="n">
        <x:f>IF(C9="","",(1/'Metadata'!$B$5)^(C9-1))</x:f>
        <x:v>1211.4075975355784</x:v>
      </x:c>
      <x:c r="E9" s="31" t="n">
        <x:f>IF(B9=0,"",B9*D9)</x:f>
        <x:v>5085966.336726851</x:v>
      </x:c>
    </x:row>
    <x:row r="10" ht="18" customHeight="1">
      <x:c r="A10" s="24" t="str">
        <x:v>Tuna &amp; billfishes</x:v>
      </x:c>
      <x:c r="B10" s="31" t="n">
        <x:v>40335.982695207094</x:v>
      </x:c>
      <x:c r="C10" s="32" t="n">
        <x:v>4.442945632655448</x:v>
      </x:c>
      <x:c r="D10" s="32" t="n">
        <x:f>IF(C10="","",(1/'Metadata'!$B$5)^(C10-1))</x:f>
        <x:v>2772.9729470922794</x:v>
      </x:c>
      <x:c r="E10" s="31" t="n">
        <x:f>IF(B10=0,"",B10*D10)</x:f>
        <x:v>111850588.8081916</x:v>
      </x:c>
    </x:row>
  </x:sheetData>
  <x:pageMargins left="0.7" right="0.7" top="0.75" bottom="0.75" header="0.3" footer="0.3"/>
  <x:tableParts count="1">
    <x:tablePart xmlns:r="http://schemas.openxmlformats.org/officeDocument/2006/relationships" r:id="R0142f2163c07483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4415.192124171</x:v>
      </x:c>
      <x:c r="C2" s="32" t="n">
        <x:v>3.649575844641</x:v>
      </x:c>
      <x:c r="D2" s="32" t="n">
        <x:f>IF(C2="","",(1/'Metadata'!$B$5)^(C2-1))</x:f>
        <x:v>446.24754988610624</x:v>
      </x:c>
      <x:c r="E2" s="31" t="n">
        <x:f>IF(B2=0,"",B2*D2)</x:f>
        <x:v>1970268.6676877416</x:v>
      </x:c>
    </x:row>
    <x:row r="3" ht="18" customHeight="1">
      <x:c r="A3" s="24" t="str">
        <x:v>Large benthopelagics (&gt;=90 cm)</x:v>
      </x:c>
      <x:c r="B3" s="31" t="n">
        <x:v>5280.113277916599</x:v>
      </x:c>
      <x:c r="C3" s="32" t="n">
        <x:v>4.276365415831243</x:v>
      </x:c>
      <x:c r="D3" s="32" t="n">
        <x:f>IF(C3="","",(1/'Metadata'!$B$5)^(C3-1))</x:f>
        <x:v>1889.5805754864334</x:v>
      </x:c>
      <x:c r="E3" s="31" t="n">
        <x:f>IF(B3=0,"",B3*D3)</x:f>
        <x:v>9977199.486319207</x:v>
      </x:c>
    </x:row>
    <x:row r="4" ht="18" customHeight="1">
      <x:c r="A4" s="24" t="str">
        <x:v>Large demersals (&gt;=90 cm)</x:v>
      </x:c>
      <x:c r="B4" s="31" t="n">
        <x:v>2286.18</x:v>
      </x:c>
      <x:c r="C4" s="32" t="n">
        <x:v>3.79</x:v>
      </x:c>
      <x:c r="D4" s="32" t="n">
        <x:f>IF(C4="","",(1/'Metadata'!$B$5)^(C4-1))</x:f>
        <x:v>616.5950018614822</x:v>
      </x:c>
      <x:c r="E4" s="31" t="n">
        <x:f>IF(B4=0,"",B4*D4)</x:f>
        <x:v>1409647.161355683</x:v>
      </x:c>
    </x:row>
    <x:row r="5" ht="18" customHeight="1">
      <x:c r="A5" s="24" t="str">
        <x:v>Large pelagics (&gt;=90 cm)</x:v>
      </x:c>
      <x:c r="B5" s="31" t="n">
        <x:v>32503.228573368597</x:v>
      </x:c>
      <x:c r="C5" s="32" t="n">
        <x:v>4.385932753199407</x:v>
      </x:c>
      <x:c r="D5" s="32" t="n">
        <x:f>IF(C5="","",(1/'Metadata'!$B$5)^(C5-1))</x:f>
        <x:v>2431.8274321595536</x:v>
      </x:c>
      <x:c r="E5" s="31" t="n">
        <x:f>IF(B5=0,"",B5*D5)</x:f>
        <x:v>79042242.87846999</x:v>
      </x:c>
    </x:row>
    <x:row r="6" ht="18" customHeight="1">
      <x:c r="A6" s="24" t="str">
        <x:v>Large rays (&gt;=90 cm)</x:v>
      </x:c>
      <x:c r="B6" s="31" t="n">
        <x:v>851.0583364388</x:v>
      </x:c>
      <x:c r="C6" s="32" t="n">
        <x:v>3.61</x:v>
      </x:c>
      <x:c r="D6" s="32" t="n">
        <x:f>IF(C6="","",(1/'Metadata'!$B$5)^(C6-1))</x:f>
        <x:v>407.3802778041126</x:v>
      </x:c>
      <x:c r="E6" s="31" t="n">
        <x:f>IF(B6=0,"",B6*D6)</x:f>
        <x:v>346704.3815259443</x:v>
      </x:c>
    </x:row>
    <x:row r="7" ht="18" customHeight="1">
      <x:c r="A7" s="24" t="str">
        <x:v>Large reef assoc. fish (&gt;=90 cm)</x:v>
      </x:c>
      <x:c r="B7" s="31" t="n">
        <x:v>10056.16</x:v>
      </x:c>
      <x:c r="C7" s="32" t="n">
        <x:v>3.4733665335475967</x:v>
      </x:c>
      <x:c r="D7" s="32" t="n">
        <x:f>IF(C7="","",(1/'Metadata'!$B$5)^(C7-1))</x:f>
        <x:v>297.41751012811386</x:v>
      </x:c>
      <x:c r="E7" s="31" t="n">
        <x:f>IF(B7=0,"",B7*D7)</x:f>
        <x:v>2990878.068649933</x:v>
      </x:c>
    </x:row>
    <x:row r="8" ht="18" customHeight="1">
      <x:c r="A8" s="24" t="str">
        <x:v>Large sharks (&gt;=90 cm)</x:v>
      </x:c>
      <x:c r="B8" s="31" t="n">
        <x:v>3347.335620370999</x:v>
      </x:c>
      <x:c r="C8" s="32" t="n">
        <x:v>4.203624103362342</x:v>
      </x:c>
      <x:c r="D8" s="32" t="n">
        <x:f>IF(C8="","",(1/'Metadata'!$B$5)^(C8-1))</x:f>
        <x:v>1598.1741557458236</x:v>
      </x:c>
      <x:c r="E8" s="31" t="n">
        <x:f>IF(B8=0,"",B8*D8)</x:f>
        <x:v>5349625.279084344</x:v>
      </x:c>
    </x:row>
    <x:row r="9" ht="18" customHeight="1">
      <x:c r="A9" s="24" t="str">
        <x:v>Lobsters, crabs</x:v>
      </x:c>
      <x:c r="B9" s="31" t="n">
        <x:v>75.05</x:v>
      </x:c>
      <x:c r="C9" s="32" t="n">
        <x:v>3.14</x:v>
      </x:c>
      <x:c r="D9" s="32" t="n">
        <x:f>IF(C9="","",(1/'Metadata'!$B$5)^(C9-1))</x:f>
        <x:v>138.03842646028852</x:v>
      </x:c>
      <x:c r="E9" s="31" t="n">
        <x:f>IF(B9=0,"",B9*D9)</x:f>
        <x:v>10359.783905844653</x:v>
      </x:c>
    </x:row>
    <x:row r="10" ht="18" customHeight="1">
      <x:c r="A10" s="24" t="str">
        <x:v>Medium bathydemersals (30 - 89 cm)</x:v>
      </x:c>
      <x:c r="B10" s="31" t="n">
        <x:v>120.78999999999999</x:v>
      </x:c>
      <x:c r="C10" s="32" t="n">
        <x:v>3.47</x:v>
      </x:c>
      <x:c r="D10" s="32" t="n">
        <x:f>IF(C10="","",(1/'Metadata'!$B$5)^(C10-1))</x:f>
        <x:v>295.1209226666387</x:v>
      </x:c>
      <x:c r="E10" s="31" t="n">
        <x:f>IF(B10=0,"",B10*D10)</x:f>
        <x:v>35647.65624890329</x:v>
      </x:c>
    </x:row>
    <x:row r="11" ht="18" customHeight="1">
      <x:c r="A11" s="24" t="str">
        <x:v>Medium benthopelagics (30 - 89 cm)</x:v>
      </x:c>
      <x:c r="B11" s="31" t="n">
        <x:v>13632.2968205187</x:v>
      </x:c>
      <x:c r="C11" s="32" t="n">
        <x:v>3.3722385435976494</x:v>
      </x:c>
      <x:c r="D11" s="32" t="n">
        <x:f>IF(C11="","",(1/'Metadata'!$B$5)^(C11-1))</x:f>
        <x:v>235.63431899081914</x:v>
      </x:c>
      <x:c r="E11" s="31" t="n">
        <x:f>IF(B11=0,"",B11*D11)</x:f>
        <x:v>3212236.9775836333</x:v>
      </x:c>
    </x:row>
    <x:row r="12" ht="18" customHeight="1">
      <x:c r="A12" s="24" t="str">
        <x:v>Medium demersals (30 - 89 cm)</x:v>
      </x:c>
      <x:c r="B12" s="31" t="n">
        <x:v>52226.0561038188</x:v>
      </x:c>
      <x:c r="C12" s="32" t="n">
        <x:v>3.3837506914117665</x:v>
      </x:c>
      <x:c r="D12" s="32" t="n">
        <x:f>IF(C12="","",(1/'Metadata'!$B$5)^(C12-1))</x:f>
        <x:v>241.96396435841282</x:v>
      </x:c>
      <x:c r="E12" s="31" t="n">
        <x:f>IF(B12=0,"",B12*D12)</x:f>
        <x:v>12636823.577684881</x:v>
      </x:c>
    </x:row>
    <x:row r="13" ht="18" customHeight="1">
      <x:c r="A13" s="24" t="str">
        <x:v>Medium pelagics (30 - 89 cm)</x:v>
      </x:c>
      <x:c r="B13" s="31" t="n">
        <x:v>90915.9162271452</x:v>
      </x:c>
      <x:c r="C13" s="32" t="n">
        <x:v>3.8986687502536004</x:v>
      </x:c>
      <x:c r="D13" s="32" t="n">
        <x:f>IF(C13="","",(1/'Metadata'!$B$5)^(C13-1))</x:f>
        <x:v>791.8970958271018</x:v>
      </x:c>
      <x:c r="E13" s="31" t="n">
        <x:f>IF(B13=0,"",B13*D13)</x:f>
        <x:v>71996050.02473636</x:v>
      </x:c>
    </x:row>
    <x:row r="14" ht="18" customHeight="1">
      <x:c r="A14" s="24" t="str">
        <x:v>Medium reef assoc. fish (30 - 89 cm)</x:v>
      </x:c>
      <x:c r="B14" s="31" t="n">
        <x:v>46682.05496109989</x:v>
      </x:c>
      <x:c r="C14" s="32" t="n">
        <x:v>4.090061202625588</x:v>
      </x:c>
      <x:c r="D14" s="32" t="n">
        <x:f>IF(C14="","",(1/'Metadata'!$B$5)^(C14-1))</x:f>
        <x:v>1230.4421577372286</x:v>
      </x:c>
      <x:c r="E14" s="31" t="n">
        <x:f>IF(B14=0,"",B14*D14)</x:f>
        <x:v>57439568.43394365</x:v>
      </x:c>
    </x:row>
    <x:row r="15" ht="18" customHeight="1">
      <x:c r="A15" s="24" t="str">
        <x:v>Shrimps</x:v>
      </x:c>
      <x:c r="B15" s="31" t="n">
        <x:v>4422.9077475153</x:v>
      </x:c>
      <x:c r="C15" s="32" t="n">
        <x:v>2.759750421009451</x:v>
      </x:c>
      <x:c r="D15" s="32" t="n">
        <x:f>IF(C15="","",(1/'Metadata'!$B$5)^(C15-1))</x:f>
        <x:v>57.510934032135566</x:v>
      </x:c>
      <x:c r="E15" s="31" t="n">
        <x:f>IF(B15=0,"",B15*D15)</x:f>
        <x:v>254365.55569757373</x:v>
      </x:c>
    </x:row>
    <x:row r="16" ht="18" customHeight="1">
      <x:c r="A16" s="24" t="str">
        <x:v>Small demersals (&lt;30 cm)</x:v>
      </x:c>
      <x:c r="B16" s="31" t="n">
        <x:v>45636.25695144701</x:v>
      </x:c>
      <x:c r="C16" s="32" t="n">
        <x:v>2.9152106253100545</x:v>
      </x:c>
      <x:c r="D16" s="32" t="n">
        <x:f>IF(C16="","",(1/'Metadata'!$B$5)^(C16-1))</x:f>
        <x:v>82.26415201215382</x:v>
      </x:c>
      <x:c r="E16" s="31" t="n">
        <x:f>IF(B16=0,"",B16*D16)</x:f>
        <x:v>3754227.979119548</x:v>
      </x:c>
    </x:row>
    <x:row r="17" ht="18" customHeight="1">
      <x:c r="A17" s="24" t="str">
        <x:v>Small pelagics (&lt;30 cm)</x:v>
      </x:c>
      <x:c r="B17" s="31" t="n">
        <x:v>153552.539777262</x:v>
      </x:c>
      <x:c r="C17" s="32" t="n">
        <x:v>3.194072670027895</x:v>
      </x:c>
      <x:c r="D17" s="32" t="n">
        <x:f>IF(C17="","",(1/'Metadata'!$B$5)^(C17-1))</x:f>
        <x:v>156.3409224336873</x:v>
      </x:c>
      <x:c r="E17" s="31" t="n">
        <x:f>IF(B17=0,"",B17*D17)</x:f>
        <x:v>24006545.7108126</x:v>
      </x:c>
    </x:row>
    <x:row r="18" ht="18" customHeight="1">
      <x:c r="A18" s="24" t="str">
        <x:v>Small reef assoc. fish (&lt;30 cm)</x:v>
      </x:c>
      <x:c r="B18" s="31" t="n">
        <x:v>10155.3815</x:v>
      </x:c>
      <x:c r="C18" s="32" t="n">
        <x:v>2.1490864031055845</x:v>
      </x:c>
      <x:c r="D18" s="32" t="n">
        <x:f>IF(C18="","",(1/'Metadata'!$B$5)^(C18-1))</x:f>
        <x:v>14.095692050296552</x:v>
      </x:c>
      <x:c r="E18" s="31" t="n">
        <x:f>IF(B18=0,"",B18*D18)</x:f>
        <x:v>143147.13027727866</x:v>
      </x:c>
    </x:row>
    <x:row r="19" ht="18" customHeight="1">
      <x:c r="A19" s="24" t="str">
        <x:v>Small to medium flatfishes (&lt;90 cm)</x:v>
      </x:c>
      <x:c r="B19" s="31" t="n">
        <x:v>645.49</x:v>
      </x:c>
      <x:c r="C19" s="32" t="n">
        <x:v>3.13</x:v>
      </x:c>
      <x:c r="D19" s="32" t="n">
        <x:f>IF(C19="","",(1/'Metadata'!$B$5)^(C19-1))</x:f>
        <x:v>134.89628825916532</x:v>
      </x:c>
      <x:c r="E19" s="31" t="n">
        <x:f>IF(B19=0,"",B19*D19)</x:f>
        <x:v>87074.20510840863</x:v>
      </x:c>
    </x:row>
  </x:sheetData>
  <x:pageMargins left="0.7" right="0.7" top="0.75" bottom="0.75" header="0.3" footer="0.3"/>
  <x:tableParts count="1">
    <x:tablePart xmlns:r="http://schemas.openxmlformats.org/officeDocument/2006/relationships" r:id="Rf703505f82224b2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EEZ_288</x:v>
      </x:c>
      <x:c r="B2" s="24" t="str">
        <x:v>raw_filtered_tonnes</x:v>
      </x:c>
      <x:c r="C2" s="24" t="n">
        <x:v>476804.0080210729</x:v>
      </x:c>
      <x:c r="D2" s="24" t="str">
        <x:v>tonnes</x:v>
      </x:c>
    </x:row>
    <x:row r="3" ht="18" customHeight="1">
      <x:c r="A3" s="24" t="str">
        <x:v>EEZ_288</x:v>
      </x:c>
      <x:c r="B3" s="24" t="str">
        <x:v>species_catch_tonnes</x:v>
      </x:c>
      <x:c r="C3" s="24" t="n">
        <x:v>476804.00802107295</x:v>
      </x:c>
      <x:c r="D3" s="24" t="str">
        <x:v>tonnes</x:v>
      </x:c>
    </x:row>
    <x:row r="4" ht="18" customHeight="1">
      <x:c r="A4" s="24" t="str">
        <x:v>EEZ_288</x:v>
      </x:c>
      <x:c r="B4" s="24" t="str">
        <x:v>catch_difference_tonnes</x:v>
      </x:c>
      <x:c r="C4" s="24" t="n">
        <x:v>5.820766091346741e-11</x:v>
      </x:c>
      <x:c r="D4" s="24" t="str">
        <x:v>tonnes</x:v>
      </x:c>
    </x:row>
    <x:row r="5" ht="18" customHeight="1">
      <x:c r="A5" s="24" t="str">
        <x:v>EEZ_288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EEZ_288</x:v>
      </x:c>
      <x:c r="B6" s="24" t="str">
        <x:v>matched_catch_tonnes</x:v>
      </x:c>
      <x:c r="C6" s="24" t="n">
        <x:v>476804.00802107295</x:v>
      </x:c>
      <x:c r="D6" s="24" t="str">
        <x:v>tonnes</x:v>
      </x:c>
    </x:row>
    <x:row r="7" ht="18" customHeight="1">
      <x:c r="A7" s="24" t="str">
        <x:v>EEZ_288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EEZ_288</x:v>
      </x:c>
      <x:c r="B8" s="24" t="str">
        <x:v>taxa_count</x:v>
      </x:c>
      <x:c r="C8" s="24" t="n">
        <x:v>103</x:v>
      </x:c>
      <x:c r="D8" s="24" t="str">
        <x:v>count</x:v>
      </x:c>
    </x:row>
    <x:row r="9" ht="18" customHeight="1">
      <x:c r="A9" s="24" t="str">
        <x:v>EEZ_288</x:v>
      </x:c>
      <x:c r="B9" s="24" t="str">
        <x:v>matched_taxa_count</x:v>
      </x:c>
      <x:c r="C9" s="24" t="n">
        <x:v>103</x:v>
      </x:c>
      <x:c r="D9" s="24" t="str">
        <x:v>count</x:v>
      </x:c>
    </x:row>
    <x:row r="10" ht="18" customHeight="1">
      <x:c r="A10" s="24" t="str">
        <x:v>EEZ_288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EEZ_288</x:v>
      </x:c>
      <x:c r="B11" s="24" t="str">
        <x:v>species_ppr</x:v>
      </x:c>
      <x:c r="C11" s="24" t="n">
        <x:v>324126100.9393173</x:v>
      </x:c>
      <x:c r="D11" s="24" t="str">
        <x:v>tonnes_primary_production_equivalent</x:v>
      </x:c>
    </x:row>
    <x:row r="12" ht="18" customHeight="1">
      <x:c r="A12" s="24" t="str">
        <x:v>EEZ_288</x:v>
      </x:c>
      <x:c r="B12" s="24" t="str">
        <x:v>commercial_ppr</x:v>
      </x:c>
      <x:c r="C12" s="24" t="n">
        <x:v>238206610.9968188</x:v>
      </x:c>
      <x:c r="D12" s="24" t="str">
        <x:v>tonnes_primary_production_equivalent</x:v>
      </x:c>
    </x:row>
    <x:row r="13" ht="18" customHeight="1">
      <x:c r="A13" s="24" t="str">
        <x:v>EEZ_288</x:v>
      </x:c>
      <x:c r="B13" s="24" t="str">
        <x:v>functional_ppr</x:v>
      </x:c>
      <x:c r="C13" s="24" t="n">
        <x:v>274662612.9582115</x:v>
      </x:c>
      <x:c r="D13" s="24" t="str">
        <x:v>tonnes_primary_production_equivalent</x:v>
      </x:c>
    </x:row>
    <x:row r="14" ht="18" customHeight="1">
      <x:c r="A14" s="24" t="str">
        <x:v>EEZ_288</x:v>
      </x:c>
      <x:c r="B14" s="24" t="str">
        <x:v>commercial_ppr_difference</x:v>
      </x:c>
      <x:c r="C14" s="24" t="n">
        <x:v>-85919489.94249848</x:v>
      </x:c>
      <x:c r="D14" s="24" t="str">
        <x:v>tonnes_primary_production_equivalent</x:v>
      </x:c>
    </x:row>
    <x:row r="15" ht="18" customHeight="1">
      <x:c r="A15" s="24" t="str">
        <x:v>EEZ_288</x:v>
      </x:c>
      <x:c r="B15" s="24" t="str">
        <x:v>functional_ppr_difference</x:v>
      </x:c>
      <x:c r="C15" s="24" t="n">
        <x:v>-49463487.981105804</x:v>
      </x:c>
      <x:c r="D15" s="24" t="str">
        <x:v>tonnes_primary_production_equivalent</x:v>
      </x:c>
    </x:row>
    <x:row r="16" ht="18" customHeight="1">
      <x:c r="A16" s="24" t="str">
        <x:v>EEZ_288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EEZ_288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0a21f1af91b48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EEZ_288 - Ghana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EEZ_288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raw_data/SAU_downloads/EEZ_288-catch.zip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