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46a765d9d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afd2884f1c14867"/>
    <x:sheet xmlns:r="http://schemas.openxmlformats.org/officeDocument/2006/relationships" name="Commercial" sheetId="2" r:id="R49d51b4f225a4044"/>
    <x:sheet xmlns:r="http://schemas.openxmlformats.org/officeDocument/2006/relationships" name="Functional" sheetId="3" r:id="Raecee5f642cb4847"/>
    <x:sheet xmlns:r="http://schemas.openxmlformats.org/officeDocument/2006/relationships" name="Missing TL" sheetId="4" r:id="R6818d154463a4ae7"/>
    <x:sheet xmlns:r="http://schemas.openxmlformats.org/officeDocument/2006/relationships" name="Validation" sheetId="5" r:id="Ra7f2f5427ecb4132"/>
    <x:sheet xmlns:r="http://schemas.openxmlformats.org/officeDocument/2006/relationships" name="Metadata" sheetId="6" r:id="Rbc6ceb728c55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82a9a59254283" /><Relationship Type="http://schemas.openxmlformats.org/officeDocument/2006/relationships/theme" Target="/xl/theme/theme1.xml" Id="R3bd027883a5b4403" /><Relationship Type="http://schemas.microsoft.com/office/2022/11/relationships/FeaturePropertyBag" Target="/xl/featurePropertyBag/featurePropertyBag.xml" Id="R647c7dbfad904a11" /><Relationship Type="http://schemas.openxmlformats.org/officeDocument/2006/relationships/sharedStrings" Target="/xl/sharedStrings.xml" Id="Re9323bdec9c44e39" /><Relationship Type="http://schemas.openxmlformats.org/officeDocument/2006/relationships/worksheet" Target="/xl/worksheets/sheet1.xml" Id="Raafd2884f1c14867" /><Relationship Type="http://schemas.openxmlformats.org/officeDocument/2006/relationships/worksheet" Target="/xl/worksheets/sheet2.xml" Id="R49d51b4f225a4044" /><Relationship Type="http://schemas.openxmlformats.org/officeDocument/2006/relationships/worksheet" Target="/xl/worksheets/sheet3.xml" Id="Raecee5f642cb4847" /><Relationship Type="http://schemas.openxmlformats.org/officeDocument/2006/relationships/worksheet" Target="/xl/worksheets/sheet4.xml" Id="R6818d154463a4ae7" /><Relationship Type="http://schemas.openxmlformats.org/officeDocument/2006/relationships/worksheet" Target="/xl/worksheets/sheet5.xml" Id="Ra7f2f5427ecb4132" /><Relationship Type="http://schemas.openxmlformats.org/officeDocument/2006/relationships/worksheet" Target="/xl/worksheets/sheet6.xml" Id="Rbc6ceb728c5546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88SpeciesTable" displayName="EEZ488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88CommercialTable" displayName="EEZ488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88FunctionalTable" displayName="EEZ488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88ValidationTable" displayName="EEZ48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518927653e4a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9c943e9ba94e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61b88521ad4f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ebd42299c042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EEZ_488</x:v>
      </x:c>
      <x:c r="B2" s="24" t="str">
        <x:v>Hawaii Northwest Islands (USA)</x:v>
      </x:c>
      <x:c r="C2" s="24" t="str">
        <x:v>EEZ</x:v>
      </x:c>
      <x:c r="D2" s="30" t="n">
        <x:v>2019</x:v>
      </x:c>
      <x:c r="E2" s="24" t="str">
        <x:v>Lampris guttatus</x:v>
      </x:c>
      <x:c r="F2" s="24" t="str">
        <x:v>Opah</x:v>
      </x:c>
      <x:c r="G2" s="24" t="str">
        <x:v>Large bathypelagics (&gt;=90 cm)</x:v>
      </x:c>
      <x:c r="H2" s="24" t="str">
        <x:v>Other fishes &amp; inverts</x:v>
      </x:c>
      <x:c r="I2" s="31" t="n">
        <x:v>108.9381381437</x:v>
      </x:c>
      <x:c r="J2" s="31" t="n">
        <x:v>106.737536042</x:v>
      </x:c>
      <x:c r="K2" s="31" t="n">
        <x:v>2.2006021017</x:v>
      </x:c>
      <x:c r="L2" s="31" t="n">
        <x:v>106.737536042</x:v>
      </x:c>
      <x:c r="M2" s="31" t="n">
        <x:v>2.2006021017</x:v>
      </x:c>
      <x:c r="N2" s="24" t="str">
        <x:v>lampris guttatus</x:v>
      </x:c>
      <x:c r="O2" s="32" t="n">
        <x:v>4.22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Lampris guttatus</x:v>
      </x:c>
      <x:c r="T2" s="32" t="n">
        <x:f>IF(O2="","",(1/'Metadata'!$B$5)^(O2-1))</x:f>
        <x:v>1659.5869074375596</x:v>
      </x:c>
      <x:c r="U2" s="31" t="n">
        <x:f>IF(T2="","",I2*T2)</x:f>
        <x:v>180792.30778390873</x:v>
      </x:c>
    </x:row>
    <x:row r="3" ht="18" customHeight="1">
      <x:c r="A3" s="24" t="str">
        <x:v>EEZ_488</x:v>
      </x:c>
      <x:c r="B3" s="24" t="str">
        <x:v>Hawaii Northwest Islands (USA)</x:v>
      </x:c>
      <x:c r="C3" s="24" t="str">
        <x:v>EEZ</x:v>
      </x:c>
      <x:c r="D3" s="30" t="n">
        <x:v>2019</x:v>
      </x:c>
      <x:c r="E3" s="24" t="str">
        <x:v>Acanthocybium solandri</x:v>
      </x:c>
      <x:c r="F3" s="24" t="str">
        <x:v>Wahoo</x:v>
      </x:c>
      <x:c r="G3" s="24" t="str">
        <x:v>Large pelagics (&gt;=90 cm)</x:v>
      </x:c>
      <x:c r="H3" s="24" t="str">
        <x:v>Perch-likes</x:v>
      </x:c>
      <x:c r="I3" s="31" t="n">
        <x:v>101.84794727159999</x:v>
      </x:c>
      <x:c r="J3" s="31" t="n">
        <x:v>100.6353462397</x:v>
      </x:c>
      <x:c r="K3" s="31" t="n">
        <x:v>1.2126010319</x:v>
      </x:c>
      <x:c r="L3" s="31" t="n">
        <x:v>100.6353462397</x:v>
      </x:c>
      <x:c r="M3" s="31" t="n">
        <x:v>1.2126010319</x:v>
      </x:c>
      <x:c r="N3" s="24" t="str">
        <x:v>acanthocybium solandri</x:v>
      </x:c>
      <x:c r="O3" s="32" t="n">
        <x:v>4.26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Acanthocybium solandri</x:v>
      </x:c>
      <x:c r="T3" s="32" t="n">
        <x:f>IF(O3="","",(1/'Metadata'!$B$5)^(O3-1))</x:f>
        <x:v>1819.7008586099826</x:v>
      </x:c>
      <x:c r="U3" s="31" t="n">
        <x:f>IF(T3="","",I3*T3)</x:f>
        <x:v>185332.79709779474</x:v>
      </x:c>
    </x:row>
    <x:row r="4" ht="18" customHeight="1">
      <x:c r="A4" s="24" t="str">
        <x:v>EEZ_488</x:v>
      </x:c>
      <x:c r="B4" s="24" t="str">
        <x:v>Hawaii Northwest Islands (USA)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85.55547618669999</x:v>
      </x:c>
      <x:c r="J4" s="31" t="n">
        <x:v>69.3901241977</x:v>
      </x:c>
      <x:c r="K4" s="31" t="n">
        <x:v>16.165351989</x:v>
      </x:c>
      <x:c r="L4" s="31" t="n">
        <x:v>69.3901241977</x:v>
      </x:c>
      <x:c r="M4" s="31" t="n">
        <x:v>16.165351989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16302.25990803968</x:v>
      </x:c>
    </x:row>
    <x:row r="5" ht="18" customHeight="1">
      <x:c r="A5" s="24" t="str">
        <x:v>EEZ_488</x:v>
      </x:c>
      <x:c r="B5" s="24" t="str">
        <x:v>Hawaii Northwest Islands (USA)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64.00267308229999</x:v>
      </x:c>
      <x:c r="J5" s="31" t="n">
        <x:v>62.4240526659</x:v>
      </x:c>
      <x:c r="K5" s="31" t="n">
        <x:v>1.5786204164</x:v>
      </x:c>
      <x:c r="L5" s="31" t="n">
        <x:v>62.4240526659</x:v>
      </x:c>
      <x:c r="M5" s="31" t="n">
        <x:v>1.5786204164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150036.91049702844</x:v>
      </x:c>
    </x:row>
    <x:row r="6" ht="18" customHeight="1">
      <x:c r="A6" s="24" t="str">
        <x:v>EEZ_488</x:v>
      </x:c>
      <x:c r="B6" s="24" t="str">
        <x:v>Hawaii Northwest Islands (USA)</x:v>
      </x:c>
      <x:c r="C6" s="24" t="str">
        <x:v>EEZ</x:v>
      </x:c>
      <x:c r="D6" s="30" t="n">
        <x:v>2019</x:v>
      </x:c>
      <x:c r="E6" s="24" t="str">
        <x:v>Thunnus obesus</x:v>
      </x:c>
      <x:c r="F6" s="24" t="str">
        <x:v>Bigeye tuna</x:v>
      </x:c>
      <x:c r="G6" s="24" t="str">
        <x:v>Large pelagics (&gt;=90 cm)</x:v>
      </x:c>
      <x:c r="H6" s="24" t="str">
        <x:v>Tuna &amp; billfishes</x:v>
      </x:c>
      <x:c r="I6" s="31" t="n">
        <x:v>38.294489295599995</x:v>
      </x:c>
      <x:c r="J6" s="31" t="n">
        <x:v>37.6534976499</x:v>
      </x:c>
      <x:c r="K6" s="31" t="n">
        <x:v>0.6409916457</x:v>
      </x:c>
      <x:c r="L6" s="31" t="n">
        <x:v>37.6534976499</x:v>
      </x:c>
      <x:c r="M6" s="31" t="n">
        <x:v>0.6409916457</x:v>
      </x:c>
      <x:c r="N6" s="24" t="str">
        <x:v>thunnus obesus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obesus</x:v>
      </x:c>
      <x:c r="T6" s="32" t="n">
        <x:f>IF(O6="","",(1/'Metadata'!$B$5)^(O6-1))</x:f>
        <x:v>3090.295432513592</x:v>
      </x:c>
      <x:c r="U6" s="31" t="n">
        <x:f>IF(T6="","",I6*T6)</x:f>
        <x:v>118341.28536063331</x:v>
      </x:c>
    </x:row>
    <x:row r="7" ht="18" customHeight="1">
      <x:c r="A7" s="24" t="str">
        <x:v>EEZ_488</x:v>
      </x:c>
      <x:c r="B7" s="24" t="str">
        <x:v>Hawaii Northwest Islands (USA)</x:v>
      </x:c>
      <x:c r="C7" s="24" t="str">
        <x:v>EEZ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27.5020785768</x:v>
      </x:c>
      <x:c r="J7" s="31" t="n">
        <x:v>0</x:v>
      </x:c>
      <x:c r="K7" s="31" t="n">
        <x:v>27.5020785768</x:v>
      </x:c>
      <x:c r="L7" s="31" t="n">
        <x:v>0</x:v>
      </x:c>
      <x:c r="M7" s="31" t="n">
        <x:v>27.5020785768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61569.484664449585</x:v>
      </x:c>
    </x:row>
    <x:row r="8" ht="18" customHeight="1">
      <x:c r="A8" s="24" t="str">
        <x:v>EEZ_488</x:v>
      </x:c>
      <x:c r="B8" s="24" t="str">
        <x:v>Hawaii Northwest Islands (USA)</x:v>
      </x:c>
      <x:c r="C8" s="24" t="str">
        <x:v>EEZ</x:v>
      </x:c>
      <x:c r="D8" s="30" t="n">
        <x:v>2019</x:v>
      </x:c>
      <x:c r="E8" s="24" t="str">
        <x:v>Kajikia audax</x:v>
      </x:c>
      <x:c r="F8" s="24" t="str">
        <x:v>Striped marlin</x:v>
      </x:c>
      <x:c r="G8" s="24" t="str">
        <x:v>Large pelagics (&gt;=90 cm)</x:v>
      </x:c>
      <x:c r="H8" s="24" t="str">
        <x:v>Tuna &amp; billfishes</x:v>
      </x:c>
      <x:c r="I8" s="31" t="n">
        <x:v>7.2590461496</x:v>
      </x:c>
      <x:c r="J8" s="31" t="n">
        <x:v>7.2590461496</x:v>
      </x:c>
      <x:c r="K8" s="31" t="n">
        <x:v>0</x:v>
      </x:c>
      <x:c r="L8" s="31" t="n">
        <x:v>7.2590461496</x:v>
      </x:c>
      <x:c r="M8" s="31" t="n">
        <x:v>0</x:v>
      </x:c>
      <x:c r="N8" s="24" t="str">
        <x:v>kajikia audax</x:v>
      </x:c>
      <x:c r="O8" s="32" t="n">
        <x:v>4.58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Kajikia audax</x:v>
      </x:c>
      <x:c r="T8" s="32" t="n">
        <x:f>IF(O8="","",(1/'Metadata'!$B$5)^(O8-1))</x:f>
        <x:v>3801.8939632056126</x:v>
      </x:c>
      <x:c r="U8" s="31" t="n">
        <x:f>IF(T8="","",I8*T8)</x:f>
        <x:v>27598.123734795186</x:v>
      </x:c>
    </x:row>
    <x:row r="9" ht="18" customHeight="1">
      <x:c r="A9" s="24" t="str">
        <x:v>EEZ_488</x:v>
      </x:c>
      <x:c r="B9" s="24" t="str">
        <x:v>Hawaii Northwest Islands (USA)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6.9458776492</x:v>
      </x:c>
      <x:c r="J9" s="31" t="n">
        <x:v>6.8720123211</x:v>
      </x:c>
      <x:c r="K9" s="31" t="n">
        <x:v>0.0738653281</x:v>
      </x:c>
      <x:c r="L9" s="31" t="n">
        <x:v>6.8720123211</x:v>
      </x:c>
      <x:c r="M9" s="31" t="n">
        <x:v>0.0738653281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17853.654617132193</x:v>
      </x:c>
    </x:row>
    <x:row r="10" ht="18" customHeight="1">
      <x:c r="A10" s="24" t="str">
        <x:v>EEZ_488</x:v>
      </x:c>
      <x:c r="B10" s="24" t="str">
        <x:v>Hawaii Northwest Islands (USA)</x:v>
      </x:c>
      <x:c r="C10" s="24" t="str">
        <x:v>EEZ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4.236868085199999</x:v>
      </x:c>
      <x:c r="J10" s="31" t="n">
        <x:v>3.8688809408</x:v>
      </x:c>
      <x:c r="K10" s="31" t="n">
        <x:v>0.3679871444</x:v>
      </x:c>
      <x:c r="L10" s="31" t="n">
        <x:v>3.8688809408</x:v>
      </x:c>
      <x:c r="M10" s="31" t="n">
        <x:v>0.3679871444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948.5166143662806</x:v>
      </x:c>
    </x:row>
    <x:row r="11" ht="18" customHeight="1">
      <x:c r="A11" s="24" t="str">
        <x:v>EEZ_488</x:v>
      </x:c>
      <x:c r="B11" s="24" t="str">
        <x:v>Hawaii Northwest Islands (USA)</x:v>
      </x:c>
      <x:c r="C11" s="24" t="str">
        <x:v>EEZ</x:v>
      </x:c>
      <x:c r="D11" s="30" t="n">
        <x:v>2019</x:v>
      </x:c>
      <x:c r="E11" s="24" t="str">
        <x:v>Xiphias gladius</x:v>
      </x:c>
      <x:c r="F11" s="24" t="str">
        <x:v>Swordfish</x:v>
      </x:c>
      <x:c r="G11" s="24" t="str">
        <x:v>Large pelagics (&gt;=90 cm)</x:v>
      </x:c>
      <x:c r="H11" s="24" t="str">
        <x:v>Tuna &amp; billfishes</x:v>
      </x:c>
      <x:c r="I11" s="31" t="n">
        <x:v>4.1594049194</x:v>
      </x:c>
      <x:c r="J11" s="31" t="n">
        <x:v>2.2473870960999998</x:v>
      </x:c>
      <x:c r="K11" s="31" t="n">
        <x:v>1.9120178233</x:v>
      </x:c>
      <x:c r="L11" s="31" t="n">
        <x:v>2.2473870960999998</x:v>
      </x:c>
      <x:c r="M11" s="31" t="n">
        <x:v>1.9120178233</x:v>
      </x:c>
      <x:c r="N11" s="24" t="str">
        <x:v>xiphias gladius</x:v>
      </x:c>
      <x:c r="O11" s="32" t="n">
        <x:v>4.53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Xiphias gladius</x:v>
      </x:c>
      <x:c r="T11" s="32" t="n">
        <x:f>IF(O11="","",(1/'Metadata'!$B$5)^(O11-1))</x:f>
        <x:v>3388.4415613920273</x:v>
      </x:c>
      <x:c r="U11" s="31" t="n">
        <x:f>IF(T11="","",I11*T11)</x:f>
        <x:v>14093.900499553416</x:v>
      </x:c>
    </x:row>
    <x:row r="12" ht="18" customHeight="1">
      <x:c r="A12" s="24" t="str">
        <x:v>EEZ_488</x:v>
      </x:c>
      <x:c r="B12" s="24" t="str">
        <x:v>Hawaii Northwest Islands (USA)</x:v>
      </x:c>
      <x:c r="C12" s="24" t="str">
        <x:v>EEZ</x:v>
      </x:c>
      <x:c r="D12" s="30" t="n">
        <x:v>2019</x:v>
      </x:c>
      <x:c r="E12" s="24" t="str">
        <x:v>Thunnus alalunga</x:v>
      </x:c>
      <x:c r="F12" s="24" t="str">
        <x:v>Albacore</x:v>
      </x:c>
      <x:c r="G12" s="24" t="str">
        <x:v>Large pelagics (&gt;=90 cm)</x:v>
      </x:c>
      <x:c r="H12" s="24" t="str">
        <x:v>Tuna &amp; billfishes</x:v>
      </x:c>
      <x:c r="I12" s="31" t="n">
        <x:v>2.5510365093</x:v>
      </x:c>
      <x:c r="J12" s="31" t="n">
        <x:v>2.5510365093</x:v>
      </x:c>
      <x:c r="K12" s="31" t="n">
        <x:v>0</x:v>
      </x:c>
      <x:c r="L12" s="31" t="n">
        <x:v>2.5510365093</x:v>
      </x:c>
      <x:c r="M12" s="31" t="n">
        <x:v>0</x:v>
      </x:c>
      <x:c r="N12" s="24" t="str">
        <x:v>thunnus alalunga</x:v>
      </x:c>
      <x:c r="O12" s="32" t="n">
        <x:v>4.3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alalunga</x:v>
      </x:c>
      <x:c r="T12" s="32" t="n">
        <x:f>IF(O12="","",(1/'Metadata'!$B$5)^(O12-1))</x:f>
        <x:v>1995.2623149688789</x:v>
      </x:c>
      <x:c r="U12" s="31" t="n">
        <x:f>IF(T12="","",I12*T12)</x:f>
        <x:v>5089.987011116045</x:v>
      </x:c>
    </x:row>
    <x:row r="13" ht="18" customHeight="1">
      <x:c r="A13" s="24" t="str">
        <x:v>EEZ_488</x:v>
      </x:c>
      <x:c r="B13" s="24" t="str">
        <x:v>Hawaii Northwest Islands (USA)</x:v>
      </x:c>
      <x:c r="C13" s="24" t="str">
        <x:v>EEZ</x:v>
      </x:c>
      <x:c r="D13" s="30" t="n">
        <x:v>2019</x:v>
      </x:c>
      <x:c r="E13" s="24" t="str">
        <x:v>Katsuwonus pelamis</x:v>
      </x:c>
      <x:c r="F13" s="24" t="str">
        <x:v>Skipjack tuna</x:v>
      </x:c>
      <x:c r="G13" s="24" t="str">
        <x:v>Large pelagics (&gt;=90 cm)</x:v>
      </x:c>
      <x:c r="H13" s="24" t="str">
        <x:v>Tuna &amp; billfishes</x:v>
      </x:c>
      <x:c r="I13" s="31" t="n">
        <x:v>2.1794160205</x:v>
      </x:c>
      <x:c r="J13" s="31" t="n">
        <x:v>2.1794160205</x:v>
      </x:c>
      <x:c r="K13" s="31" t="n">
        <x:v>0</x:v>
      </x:c>
      <x:c r="L13" s="31" t="n">
        <x:v>2.1794160205</x:v>
      </x:c>
      <x:c r="M13" s="31" t="n">
        <x:v>0</x:v>
      </x:c>
      <x:c r="N13" s="24" t="str">
        <x:v>katsuwonus pelamis</x:v>
      </x:c>
      <x:c r="O13" s="32" t="n">
        <x:v>4.43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Katsuwonus pelamis</x:v>
      </x:c>
      <x:c r="T13" s="32" t="n">
        <x:f>IF(O13="","",(1/'Metadata'!$B$5)^(O13-1))</x:f>
        <x:v>2691.534803926914</x:v>
      </x:c>
      <x:c r="U13" s="31" t="n">
        <x:f>IF(T13="","",I13*T13)</x:f>
        <x:v>5865.974071411642</x:v>
      </x:c>
    </x:row>
    <x:row r="14" ht="18" customHeight="1">
      <x:c r="A14" s="24" t="str">
        <x:v>EEZ_488</x:v>
      </x:c>
      <x:c r="B14" s="24" t="str">
        <x:v>Hawaii Northwest Islands (USA)</x:v>
      </x:c>
      <x:c r="C14" s="24" t="str">
        <x:v>EEZ</x:v>
      </x:c>
      <x:c r="D14" s="30" t="n">
        <x:v>2019</x:v>
      </x:c>
      <x:c r="E14" s="24" t="str">
        <x:v>Isurus</x:v>
      </x:c>
      <x:c r="F14" s="24" t="str">
        <x:v>Mako sharks</x:v>
      </x:c>
      <x:c r="G14" s="24" t="str">
        <x:v>Large sharks (&gt;=90 cm)</x:v>
      </x:c>
      <x:c r="H14" s="24" t="str">
        <x:v>Sharks &amp; rays</x:v>
      </x:c>
      <x:c r="I14" s="31" t="n">
        <x:v>1.3312913683</x:v>
      </x:c>
      <x:c r="J14" s="31" t="n">
        <x:v>0.116012982</x:v>
      </x:c>
      <x:c r="K14" s="31" t="n">
        <x:v>1.2152783863</x:v>
      </x:c>
      <x:c r="L14" s="31" t="n">
        <x:v>0.116012982</x:v>
      </x:c>
      <x:c r="M14" s="31" t="n">
        <x:v>1.2152783863</x:v>
      </x:c>
      <x:c r="N14" s="24" t="str">
        <x:v>isurus</x:v>
      </x:c>
      <x:c r="O14" s="32" t="n">
        <x:v>4.5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Isurus</x:v>
      </x:c>
      <x:c r="T14" s="32" t="n">
        <x:f>IF(O14="","",(1/'Metadata'!$B$5)^(O14-1))</x:f>
        <x:v>3162.2776601683795</x:v>
      </x:c>
      <x:c r="U14" s="31" t="n">
        <x:f>IF(T14="","",I14*T14)</x:f>
        <x:v>4209.912953150085</x:v>
      </x:c>
    </x:row>
    <x:row r="15" ht="18" customHeight="1">
      <x:c r="A15" s="24" t="str">
        <x:v>EEZ_488</x:v>
      </x:c>
      <x:c r="B15" s="24" t="str">
        <x:v>Hawaii Northwest Islands (USA)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1.2955903953</x:v>
      </x:c>
      <x:c r="J15" s="31" t="n">
        <x:v>0</x:v>
      </x:c>
      <x:c r="K15" s="31" t="n">
        <x:v>1.2955903953</x:v>
      </x:c>
      <x:c r="L15" s="31" t="n">
        <x:v>0</x:v>
      </x:c>
      <x:c r="M15" s="31" t="n">
        <x:v>1.2955903953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2357.586954734257</x:v>
      </x:c>
    </x:row>
    <x:row r="16" ht="18" customHeight="1">
      <x:c r="A16" s="24" t="str">
        <x:v>EEZ_488</x:v>
      </x:c>
      <x:c r="B16" s="24" t="str">
        <x:v>Hawaii Northwest Islands (USA)</x:v>
      </x:c>
      <x:c r="C16" s="24" t="str">
        <x:v>EEZ</x:v>
      </x:c>
      <x:c r="D16" s="30" t="n">
        <x:v>2019</x:v>
      </x:c>
      <x:c r="E16" s="24" t="str">
        <x:v>Alopias</x:v>
      </x:c>
      <x:c r="F16" s="24" t="str">
        <x:v>Thresher sharks</x:v>
      </x:c>
      <x:c r="G16" s="24" t="str">
        <x:v>Large sharks (&gt;=90 cm)</x:v>
      </x:c>
      <x:c r="H16" s="24" t="str">
        <x:v>Sharks &amp; rays</x:v>
      </x:c>
      <x:c r="I16" s="31" t="n">
        <x:v>0.0154792086</x:v>
      </x:c>
      <x:c r="J16" s="31" t="n">
        <x:v>0.0154792086</x:v>
      </x:c>
      <x:c r="K16" s="31" t="n">
        <x:v>0</x:v>
      </x:c>
      <x:c r="L16" s="31" t="n">
        <x:v>0.0154792086</x:v>
      </x:c>
      <x:c r="M16" s="31" t="n">
        <x:v>0</x:v>
      </x:c>
      <x:c r="N16" s="24" t="str">
        <x:v>alopias</x:v>
      </x:c>
      <x:c r="O16" s="32" t="n">
        <x:v>4.5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Alopias</x:v>
      </x:c>
      <x:c r="T16" s="32" t="n">
        <x:f>IF(O16="","",(1/'Metadata'!$B$5)^(O16-1))</x:f>
        <x:v>3162.2776601683795</x:v>
      </x:c>
      <x:c r="U16" s="31" t="n">
        <x:f>IF(T16="","",I16*T16)</x:f>
        <x:v>48.94955555286626</x:v>
      </x:c>
    </x:row>
    <x:row r="17" ht="18" customHeight="1">
      <x:c r="A17" s="24" t="str">
        <x:v>EEZ_488</x:v>
      </x:c>
      <x:c r="B17" s="24" t="str">
        <x:v>Hawaii Northwest Islands (USA)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0.005727011</x:v>
      </x:c>
      <x:c r="J17" s="31" t="n">
        <x:v>0.005727011</x:v>
      </x:c>
      <x:c r="K17" s="31" t="n">
        <x:v>0</x:v>
      </x:c>
      <x:c r="L17" s="31" t="n">
        <x:v>0.005727011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18.110398944838572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4518927653e4a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198.7304824156</x:v>
      </x:c>
      <x:c r="C2" s="32" t="n">
        <x:v>3.7967724114223773</x:v>
      </x:c>
      <x:c r="D2" s="32" t="n">
        <x:f>IF(C2="","",(1/'Metadata'!$B$5)^(C2-1))</x:f>
        <x:v>626.2855786733513</x:v>
      </x:c>
      <x:c r="E2" s="31" t="n">
        <x:f>IF(B2=0,"",B2*D2)</x:f>
        <x:v>124462.03517968832</x:v>
      </x:c>
    </x:row>
    <x:row r="3" ht="18" customHeight="1">
      <x:c r="A3" s="24" t="str">
        <x:v>Perch-likes</x:v>
      </x:c>
      <x:c r="B3" s="31" t="n">
        <x:v>167.14621074919998</x:v>
      </x:c>
      <x:c r="C3" s="32" t="n">
        <x:v>4.3021205722073885</x:v>
      </x:c>
      <x:c r="D3" s="32" t="n">
        <x:f>IF(C3="","",(1/'Metadata'!$B$5)^(C3-1))</x:f>
        <x:v>2005.0286017155308</x:v>
      </x:c>
      <x:c r="E3" s="31" t="n">
        <x:f>IF(B3=0,"",B3*D3)</x:f>
        <x:v>335132.9332205179</x:v>
      </x:c>
    </x:row>
    <x:row r="4" ht="18" customHeight="1">
      <x:c r="A4" s="24" t="str">
        <x:v>Sharks &amp; rays</x:v>
      </x:c>
      <x:c r="B4" s="31" t="n">
        <x:v>28.848849153699998</x:v>
      </x:c>
      <x:c r="C4" s="32" t="n">
        <x:v>4.357002552700064</x:v>
      </x:c>
      <x:c r="D4" s="32" t="n">
        <x:f>IF(C4="","",(1/'Metadata'!$B$5)^(C4-1))</x:f>
        <x:v>2275.1108033997857</x:v>
      </x:c>
      <x:c r="E4" s="31" t="n">
        <x:f>IF(B4=0,"",B4*D4)</x:f>
        <x:v>65634.32837523363</x:v>
      </x:c>
    </x:row>
    <x:row r="5" ht="18" customHeight="1">
      <x:c r="A5" s="24" t="str">
        <x:v>Tuna &amp; billfishes</x:v>
      </x:c>
      <x:c r="B5" s="31" t="n">
        <x:v>61.394997554599996</x:v>
      </x:c>
      <x:c r="C5" s="32" t="n">
        <x:v>4.4842766592787875</x:v>
      </x:c>
      <x:c r="D5" s="32" t="n">
        <x:f>IF(C5="","",(1/'Metadata'!$B$5)^(C5-1))</x:f>
        <x:v>3049.837213403297</x:v>
      </x:c>
      <x:c r="E5" s="31" t="n">
        <x:f>IF(B5=0,"",B5*D5)</x:f>
        <x:v>187244.7482588235</x:v>
      </x:c>
    </x:row>
  </x:sheetData>
  <x:pageMargins left="0.7" right="0.7" top="0.75" bottom="0.75" header="0.3" footer="0.3"/>
  <x:tableParts count="1">
    <x:tablePart xmlns:r="http://schemas.openxmlformats.org/officeDocument/2006/relationships" r:id="R779c943e9ba94e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bathypelagics (&gt;=90 cm)</x:v>
      </x:c>
      <x:c r="B2" s="31" t="n">
        <x:v>108.9381381437</x:v>
      </x:c>
      <x:c r="C2" s="32" t="n">
        <x:v>4.22</x:v>
      </x:c>
      <x:c r="D2" s="32" t="n">
        <x:f>IF(C2="","",(1/'Metadata'!$B$5)^(C2-1))</x:f>
        <x:v>1659.5869074375596</x:v>
      </x:c>
      <x:c r="E2" s="31" t="n">
        <x:f>IF(B2=0,"",B2*D2)</x:f>
        <x:v>180792.30778390873</x:v>
      </x:c>
    </x:row>
    <x:row r="3" ht="18" customHeight="1">
      <x:c r="A3" s="24" t="str">
        <x:v>Large pelagics (&gt;=90 cm)</x:v>
      </x:c>
      <x:c r="B3" s="31" t="n">
        <x:v>227.24561790849998</x:v>
      </x:c>
      <x:c r="C3" s="32" t="n">
        <x:v>4.351573862583378</x:v>
      </x:c>
      <x:c r="D3" s="32" t="n">
        <x:f>IF(C3="","",(1/'Metadata'!$B$5)^(C3-1))</x:f>
        <x:v>2246.848876058782</x:v>
      </x:c>
      <x:c r="E3" s="31" t="n">
        <x:f>IF(B3=0,"",B3*D3)</x:f>
        <x:v>510586.56118699664</x:v>
      </x:c>
    </x:row>
    <x:row r="4" ht="18" customHeight="1">
      <x:c r="A4" s="24" t="str">
        <x:v>Large sharks (&gt;=90 cm)</x:v>
      </x:c>
      <x:c r="B4" s="31" t="n">
        <x:v>28.848849153699998</x:v>
      </x:c>
      <x:c r="C4" s="32" t="n">
        <x:v>4.357002552700064</x:v>
      </x:c>
      <x:c r="D4" s="32" t="n">
        <x:f>IF(C4="","",(1/'Metadata'!$B$5)^(C4-1))</x:f>
        <x:v>2275.1108033997857</x:v>
      </x:c>
      <x:c r="E4" s="31" t="n">
        <x:f>IF(B4=0,"",B4*D4)</x:f>
        <x:v>65634.32837523363</x:v>
      </x:c>
    </x:row>
    <x:row r="5" ht="18" customHeight="1">
      <x:c r="A5" s="24" t="str">
        <x:v>Medium demersals (30 - 89 cm)</x:v>
      </x:c>
      <x:c r="B5" s="31" t="n">
        <x:v>85.55547618669999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16302.25990803968</x:v>
      </x:c>
    </x:row>
    <x:row r="6" ht="18" customHeight="1">
      <x:c r="A6" s="24" t="str">
        <x:v>Medium pelagics (30 - 89 cm)</x:v>
      </x:c>
      <x:c r="B6" s="31" t="n">
        <x:v>5.532458480499999</x:v>
      </x:c>
      <x:c r="C6" s="32" t="n">
        <x:v>3.5631036796531816</x:v>
      </x:c>
      <x:c r="D6" s="32" t="n">
        <x:f>IF(C6="","",(1/'Metadata'!$B$5)^(C6-1))</x:f>
        <x:v>365.682080924092</x:v>
      </x:c>
      <x:c r="E6" s="31" t="n">
        <x:f>IF(B6=0,"",B6*D6)</x:f>
        <x:v>2023.1209297753799</x:v>
      </x:c>
    </x:row>
  </x:sheetData>
  <x:pageMargins left="0.7" right="0.7" top="0.75" bottom="0.75" header="0.3" footer="0.3"/>
  <x:tableParts count="1">
    <x:tablePart xmlns:r="http://schemas.openxmlformats.org/officeDocument/2006/relationships" r:id="R7461b88521ad4f4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EEZ_488</x:v>
      </x:c>
      <x:c r="B2" s="24" t="str">
        <x:v>raw_filtered_tonnes</x:v>
      </x:c>
      <x:c r="C2" s="24" t="n">
        <x:v>456.12053987310003</x:v>
      </x:c>
      <x:c r="D2" s="24" t="str">
        <x:v>tonnes</x:v>
      </x:c>
    </x:row>
    <x:row r="3" ht="18" customHeight="1">
      <x:c r="A3" s="24" t="str">
        <x:v>EEZ_488</x:v>
      </x:c>
      <x:c r="B3" s="24" t="str">
        <x:v>species_catch_tonnes</x:v>
      </x:c>
      <x:c r="C3" s="24" t="n">
        <x:v>456.1205398731</x:v>
      </x:c>
      <x:c r="D3" s="24" t="str">
        <x:v>tonnes</x:v>
      </x:c>
    </x:row>
    <x:row r="4" ht="18" customHeight="1">
      <x:c r="A4" s="24" t="str">
        <x:v>EEZ_488</x:v>
      </x:c>
      <x:c r="B4" s="24" t="str">
        <x:v>catch_difference_tonnes</x:v>
      </x:c>
      <x:c r="C4" s="24" t="n">
        <x:v>-5.684341886080802e-14</x:v>
      </x:c>
      <x:c r="D4" s="24" t="str">
        <x:v>tonnes</x:v>
      </x:c>
    </x:row>
    <x:row r="5" ht="18" customHeight="1">
      <x:c r="A5" s="24" t="str">
        <x:v>EEZ_488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EEZ_488</x:v>
      </x:c>
      <x:c r="B6" s="24" t="str">
        <x:v>matched_catch_tonnes</x:v>
      </x:c>
      <x:c r="C6" s="24" t="n">
        <x:v>456.1205398731</x:v>
      </x:c>
      <x:c r="D6" s="24" t="str">
        <x:v>tonnes</x:v>
      </x:c>
    </x:row>
    <x:row r="7" ht="18" customHeight="1">
      <x:c r="A7" s="24" t="str">
        <x:v>EEZ_488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EEZ_488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EEZ_488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EEZ_488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EEZ_488</x:v>
      </x:c>
      <x:c r="B11" s="24" t="str">
        <x:v>species_ppr</x:v>
      </x:c>
      <x:c r="C11" s="24" t="n">
        <x:v>790459.7617226113</x:v>
      </x:c>
      <x:c r="D11" s="24" t="str">
        <x:v>tonnes_primary_production_equivalent</x:v>
      </x:c>
    </x:row>
    <x:row r="12" ht="18" customHeight="1">
      <x:c r="A12" s="24" t="str">
        <x:v>EEZ_488</x:v>
      </x:c>
      <x:c r="B12" s="24" t="str">
        <x:v>commercial_ppr</x:v>
      </x:c>
      <x:c r="C12" s="24" t="n">
        <x:v>712474.0450342633</x:v>
      </x:c>
      <x:c r="D12" s="24" t="str">
        <x:v>tonnes_primary_production_equivalent</x:v>
      </x:c>
    </x:row>
    <x:row r="13" ht="18" customHeight="1">
      <x:c r="A13" s="24" t="str">
        <x:v>EEZ_488</x:v>
      </x:c>
      <x:c r="B13" s="24" t="str">
        <x:v>functional_ppr</x:v>
      </x:c>
      <x:c r="C13" s="24" t="n">
        <x:v>775338.5781839541</x:v>
      </x:c>
      <x:c r="D13" s="24" t="str">
        <x:v>tonnes_primary_production_equivalent</x:v>
      </x:c>
    </x:row>
    <x:row r="14" ht="18" customHeight="1">
      <x:c r="A14" s="24" t="str">
        <x:v>EEZ_488</x:v>
      </x:c>
      <x:c r="B14" s="24" t="str">
        <x:v>commercial_ppr_difference</x:v>
      </x:c>
      <x:c r="C14" s="24" t="n">
        <x:v>-77985.71668834798</x:v>
      </x:c>
      <x:c r="D14" s="24" t="str">
        <x:v>tonnes_primary_production_equivalent</x:v>
      </x:c>
    </x:row>
    <x:row r="15" ht="18" customHeight="1">
      <x:c r="A15" s="24" t="str">
        <x:v>EEZ_488</x:v>
      </x:c>
      <x:c r="B15" s="24" t="str">
        <x:v>functional_ppr_difference</x:v>
      </x:c>
      <x:c r="C15" s="24" t="n">
        <x:v>-15121.183538657147</x:v>
      </x:c>
      <x:c r="D15" s="24" t="str">
        <x:v>tonnes_primary_production_equivalent</x:v>
      </x:c>
    </x:row>
    <x:row r="16" ht="18" customHeight="1">
      <x:c r="A16" s="24" t="str">
        <x:v>EEZ_488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EEZ_488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0ebd42299c042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EEZ_488 - Hawaii Northwest Islands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EEZ_488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raw_data/SAU_downloads/EEZ_488-catch.zip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