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13d755265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3423e2ff2df4f5d"/>
    <x:sheet xmlns:r="http://schemas.openxmlformats.org/officeDocument/2006/relationships" name="Commercial" sheetId="2" r:id="R04de691b0e49475c"/>
    <x:sheet xmlns:r="http://schemas.openxmlformats.org/officeDocument/2006/relationships" name="Functional" sheetId="3" r:id="Rb4ea6a1264054b53"/>
    <x:sheet xmlns:r="http://schemas.openxmlformats.org/officeDocument/2006/relationships" name="Missing TL" sheetId="4" r:id="R9abe469fbe354f02"/>
    <x:sheet xmlns:r="http://schemas.openxmlformats.org/officeDocument/2006/relationships" name="Validation" sheetId="5" r:id="Rc59e436cd6184d6f"/>
    <x:sheet xmlns:r="http://schemas.openxmlformats.org/officeDocument/2006/relationships" name="Metadata" sheetId="6" r:id="R234424152ca8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dd429c78e409d" /><Relationship Type="http://schemas.openxmlformats.org/officeDocument/2006/relationships/theme" Target="/xl/theme/theme1.xml" Id="R3b5f7e3b009d4c28" /><Relationship Type="http://schemas.microsoft.com/office/2022/11/relationships/FeaturePropertyBag" Target="/xl/featurePropertyBag/featurePropertyBag.xml" Id="Rc0a51e3327f848d1" /><Relationship Type="http://schemas.openxmlformats.org/officeDocument/2006/relationships/sharedStrings" Target="/xl/sharedStrings.xml" Id="R9b41e8759d734083" /><Relationship Type="http://schemas.openxmlformats.org/officeDocument/2006/relationships/worksheet" Target="/xl/worksheets/sheet1.xml" Id="Rb3423e2ff2df4f5d" /><Relationship Type="http://schemas.openxmlformats.org/officeDocument/2006/relationships/worksheet" Target="/xl/worksheets/sheet2.xml" Id="R04de691b0e49475c" /><Relationship Type="http://schemas.openxmlformats.org/officeDocument/2006/relationships/worksheet" Target="/xl/worksheets/sheet3.xml" Id="Rb4ea6a1264054b53" /><Relationship Type="http://schemas.openxmlformats.org/officeDocument/2006/relationships/worksheet" Target="/xl/worksheets/sheet4.xml" Id="R9abe469fbe354f02" /><Relationship Type="http://schemas.openxmlformats.org/officeDocument/2006/relationships/worksheet" Target="/xl/worksheets/sheet5.xml" Id="Rc59e436cd6184d6f" /><Relationship Type="http://schemas.openxmlformats.org/officeDocument/2006/relationships/worksheet" Target="/xl/worksheets/sheet6.xml" Id="R234424152ca845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1SpeciesTable" displayName="EEZ931SpeciesTable" ref="A1:U68" headerRowCount="1" totalsRowCount="0" totalsRowShown="0">
  <x:autoFilter ref="A1:U6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1CommercialTable" displayName="EEZ931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1FunctionalTable" displayName="EEZ931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1ValidationTable" displayName="EEZ93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df49f5bf0a48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91a544323b45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87cb156fca4c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a6bc292eb34ad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EEZ_931</x:v>
      </x:c>
      <x:c r="B2" s="24" t="str">
        <x:v>Denmark (Baltic Sea)</x:v>
      </x:c>
      <x:c r="C2" s="24" t="str">
        <x:v>EEZ</x:v>
      </x:c>
      <x:c r="D2" s="30" t="n">
        <x:v>2019</x:v>
      </x:c>
      <x:c r="E2" s="24" t="str">
        <x:v>Mytilus edulis</x:v>
      </x:c>
      <x:c r="F2" s="24" t="str">
        <x:v>Blue mussel</x:v>
      </x:c>
      <x:c r="G2" s="24" t="str">
        <x:v>Other demersal invertebrates</x:v>
      </x:c>
      <x:c r="H2" s="24" t="str">
        <x:v>Molluscs</x:v>
      </x:c>
      <x:c r="I2" s="31" t="n">
        <x:v>15876.395118540499</x:v>
      </x:c>
      <x:c r="J2" s="31" t="n">
        <x:v>14891.2318077971</x:v>
      </x:c>
      <x:c r="K2" s="31" t="n">
        <x:v>985.1633107434</x:v>
      </x:c>
      <x:c r="L2" s="31" t="n">
        <x:v>13329.4651183418</x:v>
      </x:c>
      <x:c r="M2" s="31" t="n">
        <x:v>2546.9300001987</x:v>
      </x:c>
      <x:c r="N2" s="24" t="str">
        <x:v>mytilus edulis</x:v>
      </x:c>
      <x:c r="O2" s="32" t="n">
        <x:v>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Mytilus edulis</x:v>
      </x:c>
      <x:c r="T2" s="32" t="n">
        <x:f>IF(O2="","",(1/'Metadata'!$B$5)^(O2-1))</x:f>
        <x:v>10</x:v>
      </x:c>
      <x:c r="U2" s="31" t="n">
        <x:f>IF(T2="","",I2*T2)</x:f>
        <x:v>158763.951185405</x:v>
      </x:c>
    </x:row>
    <x:row r="3" ht="18" customHeight="1">
      <x:c r="A3" s="24" t="str">
        <x:v>EEZ_931</x:v>
      </x:c>
      <x:c r="B3" s="24" t="str">
        <x:v>Denmark (Baltic Sea)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15403.9131319625</x:v>
      </x:c>
      <x:c r="J3" s="31" t="n">
        <x:v>14931.2267531174</x:v>
      </x:c>
      <x:c r="K3" s="31" t="n">
        <x:v>472.6863788451</x:v>
      </x:c>
      <x:c r="L3" s="31" t="n">
        <x:v>9899.9837003313</x:v>
      </x:c>
      <x:c r="M3" s="31" t="n">
        <x:v>5503.9294316312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3695141.3902668254</x:v>
      </x:c>
    </x:row>
    <x:row r="4" ht="18" customHeight="1">
      <x:c r="A4" s="24" t="str">
        <x:v>EEZ_931</x:v>
      </x:c>
      <x:c r="B4" s="24" t="str">
        <x:v>Denmark (Baltic Sea)</x:v>
      </x:c>
      <x:c r="C4" s="24" t="str">
        <x:v>EEZ</x:v>
      </x:c>
      <x:c r="D4" s="30" t="n">
        <x:v>2019</x:v>
      </x:c>
      <x:c r="E4" s="24" t="str">
        <x:v>Sprattus sprattus</x:v>
      </x:c>
      <x:c r="F4" s="24" t="str">
        <x:v>European sprat</x:v>
      </x:c>
      <x:c r="G4" s="24" t="str">
        <x:v>Small pelagics (&lt;30 cm)</x:v>
      </x:c>
      <x:c r="H4" s="24" t="str">
        <x:v>Herring-likes</x:v>
      </x:c>
      <x:c r="I4" s="31" t="n">
        <x:v>14060.2050965007</x:v>
      </x:c>
      <x:c r="J4" s="31" t="n">
        <x:v>13672.039198762399</x:v>
      </x:c>
      <x:c r="K4" s="31" t="n">
        <x:v>388.16589773830003</x:v>
      </x:c>
      <x:c r="L4" s="31" t="n">
        <x:v>13077.0994853612</x:v>
      </x:c>
      <x:c r="M4" s="31" t="n">
        <x:v>983.1056111395001</x:v>
      </x:c>
      <x:c r="N4" s="24" t="str">
        <x:v>sprattus sprattus</x:v>
      </x:c>
      <x:c r="O4" s="32" t="n">
        <x:v>3.01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Sprattus sprattus</x:v>
      </x:c>
      <x:c r="T4" s="32" t="n">
        <x:f>IF(O4="","",(1/'Metadata'!$B$5)^(O4-1))</x:f>
        <x:v>102.32929922807536</x:v>
      </x:c>
      <x:c r="U4" s="31" t="n">
        <x:f>IF(T4="","",I4*T4)</x:f>
        <x:v>1438770.9345279303</x:v>
      </x:c>
    </x:row>
    <x:row r="5" ht="18" customHeight="1">
      <x:c r="A5" s="24" t="str">
        <x:v>EEZ_931</x:v>
      </x:c>
      <x:c r="B5" s="24" t="str">
        <x:v>Denmark (Baltic Sea)</x:v>
      </x:c>
      <x:c r="C5" s="24" t="str">
        <x:v>EEZ</x:v>
      </x:c>
      <x:c r="D5" s="30" t="n">
        <x:v>2019</x:v>
      </x:c>
      <x:c r="E5" s="24" t="str">
        <x:v>Gadus morhua</x:v>
      </x:c>
      <x:c r="F5" s="24" t="str">
        <x:v>Atlantic cod</x:v>
      </x:c>
      <x:c r="G5" s="24" t="str">
        <x:v>Large benthopelagics (&gt;=90 cm)</x:v>
      </x:c>
      <x:c r="H5" s="24" t="str">
        <x:v>Cod-likes</x:v>
      </x:c>
      <x:c r="I5" s="31" t="n">
        <x:v>7227.8948557383</x:v>
      </x:c>
      <x:c r="J5" s="31" t="n">
        <x:v>6676.5886529459995</x:v>
      </x:c>
      <x:c r="K5" s="31" t="n">
        <x:v>551.3062027923</x:v>
      </x:c>
      <x:c r="L5" s="31" t="n">
        <x:v>4880.5229512952</x:v>
      </x:c>
      <x:c r="M5" s="31" t="n">
        <x:v>2347.3719044431</x:v>
      </x:c>
      <x:c r="N5" s="24" t="str">
        <x:v>gadus morhua</x:v>
      </x:c>
      <x:c r="O5" s="32" t="n">
        <x:v>4.09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Gadus morhua</x:v>
      </x:c>
      <x:c r="T5" s="32" t="n">
        <x:f>IF(O5="","",(1/'Metadata'!$B$5)^(O5-1))</x:f>
        <x:v>1230.268770812381</x:v>
      </x:c>
      <x:c r="U5" s="31" t="n">
        <x:f>IF(T5="","",I5*T5)</x:f>
        <x:v>8892253.319730291</x:v>
      </x:c>
    </x:row>
    <x:row r="6" ht="18" customHeight="1">
      <x:c r="A6" s="24" t="str">
        <x:v>EEZ_931</x:v>
      </x:c>
      <x:c r="B6" s="24" t="str">
        <x:v>Denmark (Baltic Sea)</x:v>
      </x:c>
      <x:c r="C6" s="24" t="str">
        <x:v>EEZ</x:v>
      </x:c>
      <x:c r="D6" s="30" t="n">
        <x:v>2019</x:v>
      </x:c>
      <x:c r="E6" s="24" t="str">
        <x:v>Platichthys flesus</x:v>
      </x:c>
      <x:c r="F6" s="24" t="str">
        <x:v>European flounder</x:v>
      </x:c>
      <x:c r="G6" s="24" t="str">
        <x:v>Small to medium flatfishes (&lt;90 cm)</x:v>
      </x:c>
      <x:c r="H6" s="24" t="str">
        <x:v>Flatfishes</x:v>
      </x:c>
      <x:c r="I6" s="31" t="n">
        <x:v>4553.2124349532005</x:v>
      </x:c>
      <x:c r="J6" s="31" t="n">
        <x:v>4247.4024251102</x:v>
      </x:c>
      <x:c r="K6" s="31" t="n">
        <x:v>305.810009843</x:v>
      </x:c>
      <x:c r="L6" s="31" t="n">
        <x:v>3859.2285585251</x:v>
      </x:c>
      <x:c r="M6" s="31" t="n">
        <x:v>693.9838764281</x:v>
      </x:c>
      <x:c r="N6" s="24" t="str">
        <x:v>platichthys flesus</x:v>
      </x:c>
      <x:c r="O6" s="32" t="n">
        <x:v>3.32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Platichthys flesus</x:v>
      </x:c>
      <x:c r="T6" s="32" t="n">
        <x:f>IF(O6="","",(1/'Metadata'!$B$5)^(O6-1))</x:f>
        <x:v>208.92961308540387</x:v>
      </x:c>
      <x:c r="U6" s="31" t="n">
        <x:f>IF(T6="","",I6*T6)</x:f>
        <x:v>951300.9123304219</x:v>
      </x:c>
    </x:row>
    <x:row r="7" ht="18" customHeight="1">
      <x:c r="A7" s="24" t="str">
        <x:v>EEZ_931</x:v>
      </x:c>
      <x:c r="B7" s="24" t="str">
        <x:v>Denmark (Baltic Sea)</x:v>
      </x:c>
      <x:c r="C7" s="24" t="str">
        <x:v>EEZ</x:v>
      </x:c>
      <x:c r="D7" s="30" t="n">
        <x:v>2019</x:v>
      </x:c>
      <x:c r="E7" s="24" t="str">
        <x:v>Pleuronectes platessa</x:v>
      </x:c>
      <x:c r="F7" s="24" t="str">
        <x:v>European plaice</x:v>
      </x:c>
      <x:c r="G7" s="24" t="str">
        <x:v>Large flatfishes (&gt;=90 cm)</x:v>
      </x:c>
      <x:c r="H7" s="24" t="str">
        <x:v>Flatfishes</x:v>
      </x:c>
      <x:c r="I7" s="31" t="n">
        <x:v>3746.1055207698005</x:v>
      </x:c>
      <x:c r="J7" s="31" t="n">
        <x:v>3603.7485032972</x:v>
      </x:c>
      <x:c r="K7" s="31" t="n">
        <x:v>142.3570174726</x:v>
      </x:c>
      <x:c r="L7" s="31" t="n">
        <x:v>3225.9398330030003</x:v>
      </x:c>
      <x:c r="M7" s="31" t="n">
        <x:v>520.1656877667999</x:v>
      </x:c>
      <x:c r="N7" s="24" t="str">
        <x:v>pleuronectes platessa</x:v>
      </x:c>
      <x:c r="O7" s="32" t="n">
        <x:v>3.26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Pleuronectes platessa</x:v>
      </x:c>
      <x:c r="T7" s="32" t="n">
        <x:f>IF(O7="","",(1/'Metadata'!$B$5)^(O7-1))</x:f>
        <x:v>181.97008586099827</x:v>
      </x:c>
      <x:c r="U7" s="31" t="n">
        <x:f>IF(T7="","",I7*T7)</x:f>
        <x:v>681679.1432588402</x:v>
      </x:c>
    </x:row>
    <x:row r="8" ht="18" customHeight="1">
      <x:c r="A8" s="24" t="str">
        <x:v>EEZ_931</x:v>
      </x:c>
      <x:c r="B8" s="24" t="str">
        <x:v>Denmark (Baltic Sea)</x:v>
      </x:c>
      <x:c r="C8" s="24" t="str">
        <x:v>EEZ</x:v>
      </x:c>
      <x:c r="D8" s="30" t="n">
        <x:v>2019</x:v>
      </x:c>
      <x:c r="E8" s="24" t="str">
        <x:v>Merlangius merlangus</x:v>
      </x:c>
      <x:c r="F8" s="24" t="str">
        <x:v>Whiting</x:v>
      </x:c>
      <x:c r="G8" s="24" t="str">
        <x:v>Medium benthopelagics (30 - 89 cm)</x:v>
      </x:c>
      <x:c r="H8" s="24" t="str">
        <x:v>Cod-likes</x:v>
      </x:c>
      <x:c r="I8" s="31" t="n">
        <x:v>1524.8896382578</x:v>
      </x:c>
      <x:c r="J8" s="31" t="n">
        <x:v>1385.9010274989002</x:v>
      </x:c>
      <x:c r="K8" s="31" t="n">
        <x:v>138.9886107589</x:v>
      </x:c>
      <x:c r="L8" s="31" t="n">
        <x:v>1356.2872822443</x:v>
      </x:c>
      <x:c r="M8" s="31" t="n">
        <x:v>168.60235601349999</x:v>
      </x:c>
      <x:c r="N8" s="24" t="str">
        <x:v>merlangius merlangus</x:v>
      </x:c>
      <x:c r="O8" s="32" t="n">
        <x:v>4.36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Merlangius merlangus</x:v>
      </x:c>
      <x:c r="T8" s="32" t="n">
        <x:f>IF(O8="","",(1/'Metadata'!$B$5)^(O8-1))</x:f>
        <x:v>2290.867652767775</x:v>
      </x:c>
      <x:c r="U8" s="31" t="n">
        <x:f>IF(T8="","",I8*T8)</x:f>
        <x:v>3493320.3463255474</x:v>
      </x:c>
    </x:row>
    <x:row r="9" ht="18" customHeight="1">
      <x:c r="A9" s="24" t="str">
        <x:v>EEZ_931</x:v>
      </x:c>
      <x:c r="B9" s="24" t="str">
        <x:v>Denmark (Baltic Sea)</x:v>
      </x:c>
      <x:c r="C9" s="24" t="str">
        <x:v>EEZ</x:v>
      </x:c>
      <x:c r="D9" s="30" t="n">
        <x:v>2019</x:v>
      </x:c>
      <x:c r="E9" s="24" t="str">
        <x:v>Limanda limanda</x:v>
      </x:c>
      <x:c r="F9" s="24" t="str">
        <x:v>Common dab</x:v>
      </x:c>
      <x:c r="G9" s="24" t="str">
        <x:v>Small to medium flatfishes (&lt;90 cm)</x:v>
      </x:c>
      <x:c r="H9" s="24" t="str">
        <x:v>Flatfishes</x:v>
      </x:c>
      <x:c r="I9" s="31" t="n">
        <x:v>901.6077600247</x:v>
      </x:c>
      <x:c r="J9" s="31" t="n">
        <x:v>759.0176075478</x:v>
      </x:c>
      <x:c r="K9" s="31" t="n">
        <x:v>142.5901524769</x:v>
      </x:c>
      <x:c r="L9" s="31" t="n">
        <x:v>714.646787435</x:v>
      </x:c>
      <x:c r="M9" s="31" t="n">
        <x:v>186.9609725897</x:v>
      </x:c>
      <x:c r="N9" s="24" t="str">
        <x:v>limanda limanda</x:v>
      </x:c>
      <x:c r="O9" s="32" t="n">
        <x:v>3.29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Limanda limanda</x:v>
      </x:c>
      <x:c r="T9" s="32" t="n">
        <x:f>IF(O9="","",(1/'Metadata'!$B$5)^(O9-1))</x:f>
        <x:v>194.98445997580455</x:v>
      </x:c>
      <x:c r="U9" s="31" t="n">
        <x:f>IF(T9="","",I9*T9)</x:f>
        <x:v>175799.50219841092</x:v>
      </x:c>
    </x:row>
    <x:row r="10" ht="18" customHeight="1">
      <x:c r="A10" s="24" t="str">
        <x:v>EEZ_931</x:v>
      </x:c>
      <x:c r="B10" s="24" t="str">
        <x:v>Denmark (Baltic Sea)</x:v>
      </x:c>
      <x:c r="C10" s="24" t="str">
        <x:v>EEZ</x:v>
      </x:c>
      <x:c r="D10" s="30" t="n">
        <x:v>2019</x:v>
      </x:c>
      <x:c r="E10" s="24" t="str">
        <x:v>Belone belone</x:v>
      </x:c>
      <x:c r="F10" s="24" t="str">
        <x:v>Garfish</x:v>
      </x:c>
      <x:c r="G10" s="24" t="str">
        <x:v>Medium pelagics (30 - 89 cm)</x:v>
      </x:c>
      <x:c r="H10" s="24" t="str">
        <x:v>Other fishes &amp; inverts</x:v>
      </x:c>
      <x:c r="I10" s="31" t="n">
        <x:v>723.6700269889001</x:v>
      </x:c>
      <x:c r="J10" s="31" t="n">
        <x:v>715.4801530823</x:v>
      </x:c>
      <x:c r="K10" s="31" t="n">
        <x:v>8.1898739066</x:v>
      </x:c>
      <x:c r="L10" s="31" t="n">
        <x:v>68.6631510147</x:v>
      </x:c>
      <x:c r="M10" s="31" t="n">
        <x:v>655.0068759742</x:v>
      </x:c>
      <x:c r="N10" s="24" t="str">
        <x:v>belone belone</x:v>
      </x:c>
      <x:c r="O10" s="32" t="n">
        <x:v>4.16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Belone belone</x:v>
      </x:c>
      <x:c r="T10" s="32" t="n">
        <x:f>IF(O10="","",(1/'Metadata'!$B$5)^(O10-1))</x:f>
        <x:v>1445.439770745928</x:v>
      </x:c>
      <x:c r="U10" s="31" t="n">
        <x:f>IF(T10="","",I10*T10)</x:f>
        <x:v>1046021.4379065352</x:v>
      </x:c>
    </x:row>
    <x:row r="11" ht="18" customHeight="1">
      <x:c r="A11" s="24" t="str">
        <x:v>EEZ_931</x:v>
      </x:c>
      <x:c r="B11" s="24" t="str">
        <x:v>Denmark (Baltic Sea)</x:v>
      </x:c>
      <x:c r="C11" s="24" t="str">
        <x:v>EEZ</x:v>
      </x:c>
      <x:c r="D11" s="30" t="n">
        <x:v>2019</x:v>
      </x:c>
      <x:c r="E11" s="24" t="str">
        <x:v>Scophthalmidae</x:v>
      </x:c>
      <x:c r="F11" s="24" t="str">
        <x:v>Turbots</x:v>
      </x:c>
      <x:c r="G11" s="24" t="str">
        <x:v>Small to medium flatfishes (&lt;90 cm)</x:v>
      </x:c>
      <x:c r="H11" s="24" t="str">
        <x:v>Flatfishes</x:v>
      </x:c>
      <x:c r="I11" s="31" t="n">
        <x:v>388.59812764910004</x:v>
      </x:c>
      <x:c r="J11" s="31" t="n">
        <x:v>388.1668037466</x:v>
      </x:c>
      <x:c r="K11" s="31" t="n">
        <x:v>0.4313239025</x:v>
      </x:c>
      <x:c r="L11" s="31" t="n">
        <x:v>0</x:v>
      </x:c>
      <x:c r="M11" s="31" t="n">
        <x:v>388.59812764910004</x:v>
      </x:c>
      <x:c r="N11" s="24" t="str">
        <x:v>scophthalmidae</x:v>
      </x:c>
      <x:c r="O11" s="32" t="n">
        <x:v>3.71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Scophthalmidae</x:v>
      </x:c>
      <x:c r="T11" s="32" t="n">
        <x:f>IF(O11="","",(1/'Metadata'!$B$5)^(O11-1))</x:f>
        <x:v>512.8613839913648</x:v>
      </x:c>
      <x:c r="U11" s="31" t="n">
        <x:f>IF(T11="","",I11*T11)</x:f>
        <x:v>199296.9735625705</x:v>
      </x:c>
    </x:row>
    <x:row r="12" ht="18" customHeight="1">
      <x:c r="A12" s="24" t="str">
        <x:v>EEZ_931</x:v>
      </x:c>
      <x:c r="B12" s="24" t="str">
        <x:v>Denmark (Baltic Sea)</x:v>
      </x:c>
      <x:c r="C12" s="24" t="str">
        <x:v>EEZ</x:v>
      </x:c>
      <x:c r="D12" s="30" t="n">
        <x:v>2019</x:v>
      </x:c>
      <x:c r="E12" s="24" t="str">
        <x:v>Salmo trutta</x:v>
      </x:c>
      <x:c r="F12" s="24" t="str">
        <x:v>Sea trout</x:v>
      </x:c>
      <x:c r="G12" s="24" t="str">
        <x:v>Large pelagics (&gt;=90 cm)</x:v>
      </x:c>
      <x:c r="H12" s="24" t="str">
        <x:v>Salmon, smelts, etc</x:v>
      </x:c>
      <x:c r="I12" s="31" t="n">
        <x:v>336.3917295786</x:v>
      </x:c>
      <x:c r="J12" s="31" t="n">
        <x:v>336.16358363629996</x:v>
      </x:c>
      <x:c r="K12" s="31" t="n">
        <x:v>0.22814594230000002</x:v>
      </x:c>
      <x:c r="L12" s="31" t="n">
        <x:v>14.284241430000002</x:v>
      </x:c>
      <x:c r="M12" s="31" t="n">
        <x:v>322.1074881486</x:v>
      </x:c>
      <x:c r="N12" s="24" t="str">
        <x:v>salmo trutta</x:v>
      </x:c>
      <x:c r="O12" s="32" t="n">
        <x:v>3.36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Salmo trutta</x:v>
      </x:c>
      <x:c r="T12" s="32" t="n">
        <x:f>IF(O12="","",(1/'Metadata'!$B$5)^(O12-1))</x:f>
        <x:v>229.08676527677724</x:v>
      </x:c>
      <x:c r="U12" s="31" t="n">
        <x:f>IF(T12="","",I12*T12)</x:f>
        <x:v>77062.89319502187</x:v>
      </x:c>
    </x:row>
    <x:row r="13" ht="18" customHeight="1">
      <x:c r="A13" s="24" t="str">
        <x:v>EEZ_931</x:v>
      </x:c>
      <x:c r="B13" s="24" t="str">
        <x:v>Denmark (Baltic Sea)</x:v>
      </x:c>
      <x:c r="C13" s="24" t="str">
        <x:v>EEZ</x:v>
      </x:c>
      <x:c r="D13" s="30" t="n">
        <x:v>2019</x:v>
      </x:c>
      <x:c r="E13" s="24" t="str">
        <x:v>Anguilla anguilla</x:v>
      </x:c>
      <x:c r="F13" s="24" t="str">
        <x:v>European eel</x:v>
      </x:c>
      <x:c r="G13" s="24" t="str">
        <x:v>Large demersals (&gt;=90 cm)</x:v>
      </x:c>
      <x:c r="H13" s="24" t="str">
        <x:v>Other fishes &amp; inverts</x:v>
      </x:c>
      <x:c r="I13" s="31" t="n">
        <x:v>303.9379458456</x:v>
      </x:c>
      <x:c r="J13" s="31" t="n">
        <x:v>295.0332957254</x:v>
      </x:c>
      <x:c r="K13" s="31" t="n">
        <x:v>8.9046501202</x:v>
      </x:c>
      <x:c r="L13" s="31" t="n">
        <x:v>117.5025389856</x:v>
      </x:c>
      <x:c r="M13" s="31" t="n">
        <x:v>186.43540685999997</x:v>
      </x:c>
      <x:c r="N13" s="24" t="str">
        <x:v>anguilla anguilla</x:v>
      </x:c>
      <x:c r="O13" s="32" t="n">
        <x:v>3.55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Anguilla anguilla</x:v>
      </x:c>
      <x:c r="T13" s="32" t="n">
        <x:f>IF(O13="","",(1/'Metadata'!$B$5)^(O13-1))</x:f>
        <x:v>354.8133892335753</x:v>
      </x:c>
      <x:c r="U13" s="31" t="n">
        <x:f>IF(T13="","",I13*T13)</x:f>
        <x:v>107841.25268216821</x:v>
      </x:c>
    </x:row>
    <x:row r="14" ht="18" customHeight="1">
      <x:c r="A14" s="24" t="str">
        <x:v>EEZ_931</x:v>
      </x:c>
      <x:c r="B14" s="24" t="str">
        <x:v>Denmark (Baltic Sea)</x:v>
      </x:c>
      <x:c r="C14" s="24" t="str">
        <x:v>EEZ</x:v>
      </x:c>
      <x:c r="D14" s="30" t="n">
        <x:v>2019</x:v>
      </x:c>
      <x:c r="E14" s="24" t="str">
        <x:v>Rutilus rutilus</x:v>
      </x:c>
      <x:c r="F14" s="24" t="str">
        <x:v>Roach</x:v>
      </x:c>
      <x:c r="G14" s="24" t="str">
        <x:v>Medium benthopelagics (30 - 89 cm)</x:v>
      </x:c>
      <x:c r="H14" s="24" t="str">
        <x:v>Other fishes &amp; inverts</x:v>
      </x:c>
      <x:c r="I14" s="31" t="n">
        <x:v>278.20369364009997</x:v>
      </x:c>
      <x:c r="J14" s="31" t="n">
        <x:v>275.6081577154</x:v>
      </x:c>
      <x:c r="K14" s="31" t="n">
        <x:v>2.5955359247</x:v>
      </x:c>
      <x:c r="L14" s="31" t="n">
        <x:v>263.7381722812</x:v>
      </x:c>
      <x:c r="M14" s="31" t="n">
        <x:v>14.4655213589</x:v>
      </x:c>
      <x:c r="N14" s="24" t="str">
        <x:v>rutilus rutilus</x:v>
      </x:c>
      <x:c r="O14" s="32" t="n">
        <x:v>2.96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Rutilus rutilus</x:v>
      </x:c>
      <x:c r="T14" s="32" t="n">
        <x:f>IF(O14="","",(1/'Metadata'!$B$5)^(O14-1))</x:f>
        <x:v>91.20108393559097</x:v>
      </x:c>
      <x:c r="U14" s="31" t="n">
        <x:f>IF(T14="","",I14*T14)</x:f>
        <x:v>25372.478414862195</x:v>
      </x:c>
    </x:row>
    <x:row r="15" ht="18" customHeight="1">
      <x:c r="A15" s="24" t="str">
        <x:v>EEZ_931</x:v>
      </x:c>
      <x:c r="B15" s="24" t="str">
        <x:v>Denmark (Baltic Sea)</x:v>
      </x:c>
      <x:c r="C15" s="24" t="str">
        <x:v>EEZ</x:v>
      </x:c>
      <x:c r="D15" s="30" t="n">
        <x:v>2019</x:v>
      </x:c>
      <x:c r="E15" s="24" t="str">
        <x:v>Marine finfishes not identified</x:v>
      </x:c>
      <x:c r="F15" s="24" t="str">
        <x:v>Finfishes</x:v>
      </x:c>
      <x:c r="G15" s="24" t="str">
        <x:v>Medium demersals (30 - 89 cm)</x:v>
      </x:c>
      <x:c r="H15" s="24" t="str">
        <x:v>Other fishes &amp; inverts</x:v>
      </x:c>
      <x:c r="I15" s="31" t="n">
        <x:v>253.4152859388</x:v>
      </x:c>
      <x:c r="J15" s="31" t="n">
        <x:v>253.4052520633</x:v>
      </x:c>
      <x:c r="K15" s="31" t="n">
        <x:v>0.0100338755</x:v>
      </x:c>
      <x:c r="L15" s="31" t="n">
        <x:v>0</x:v>
      </x:c>
      <x:c r="M15" s="31" t="n">
        <x:v>253.4152859388</x:v>
      </x:c>
      <x:c r="N15" s="24" t="str">
        <x:v>marine finfishes not identified</x:v>
      </x:c>
      <x:c r="O15" s="32" t="n">
        <x:v>3.23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finfishes not identified</x:v>
      </x:c>
      <x:c r="T15" s="32" t="n">
        <x:f>IF(O15="","",(1/'Metadata'!$B$5)^(O15-1))</x:f>
        <x:v>169.82436524617444</x:v>
      </x:c>
      <x:c r="U15" s="31" t="n">
        <x:f>IF(T15="","",I15*T15)</x:f>
        <x:v>43036.090078234505</x:v>
      </x:c>
    </x:row>
    <x:row r="16" ht="18" customHeight="1">
      <x:c r="A16" s="24" t="str">
        <x:v>EEZ_931</x:v>
      </x:c>
      <x:c r="B16" s="24" t="str">
        <x:v>Denmark (Baltic Sea)</x:v>
      </x:c>
      <x:c r="C16" s="24" t="str">
        <x:v>EEZ</x:v>
      </x:c>
      <x:c r="D16" s="30" t="n">
        <x:v>2019</x:v>
      </x:c>
      <x:c r="E16" s="24" t="str">
        <x:v>Marine fishes not identified</x:v>
      </x:c>
      <x:c r="F16" s="24" t="str">
        <x:v>Marine fishes nei</x:v>
      </x:c>
      <x:c r="G16" s="24" t="str">
        <x:v>Medium demersals (30 - 89 cm)</x:v>
      </x:c>
      <x:c r="H16" s="24" t="str">
        <x:v>Other fishes &amp; inverts</x:v>
      </x:c>
      <x:c r="I16" s="31" t="n">
        <x:v>131.70192370910002</x:v>
      </x:c>
      <x:c r="J16" s="31" t="n">
        <x:v>101.6200949205</x:v>
      </x:c>
      <x:c r="K16" s="31" t="n">
        <x:v>30.0818287886</x:v>
      </x:c>
      <x:c r="L16" s="31" t="n">
        <x:v>49.7020750835</x:v>
      </x:c>
      <x:c r="M16" s="31" t="n">
        <x:v>81.99984862560001</x:v>
      </x:c>
      <x:c r="N16" s="24" t="str">
        <x:v>marine fishes not identified</x:v>
      </x:c>
      <x:c r="O16" s="32" t="n">
        <x:v>3.28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Marine fishes not identified</x:v>
      </x:c>
      <x:c r="T16" s="32" t="n">
        <x:f>IF(O16="","",(1/'Metadata'!$B$5)^(O16-1))</x:f>
        <x:v>190.54607179632464</x:v>
      </x:c>
      <x:c r="U16" s="31" t="n">
        <x:f>IF(T16="","",I16*T16)</x:f>
        <x:v>25095.284210788242</x:v>
      </x:c>
    </x:row>
    <x:row r="17" ht="18" customHeight="1">
      <x:c r="A17" s="24" t="str">
        <x:v>EEZ_931</x:v>
      </x:c>
      <x:c r="B17" s="24" t="str">
        <x:v>Denmark (Baltic Sea)</x:v>
      </x:c>
      <x:c r="C17" s="24" t="str">
        <x:v>EEZ</x:v>
      </x:c>
      <x:c r="D17" s="30" t="n">
        <x:v>2019</x:v>
      </x:c>
      <x:c r="E17" s="24" t="str">
        <x:v>Scophthalmus maximus</x:v>
      </x:c>
      <x:c r="F17" s="24" t="str">
        <x:v>Turbot</x:v>
      </x:c>
      <x:c r="G17" s="24" t="str">
        <x:v>Large flatfishes (&gt;=90 cm)</x:v>
      </x:c>
      <x:c r="H17" s="24" t="str">
        <x:v>Flatfishes</x:v>
      </x:c>
      <x:c r="I17" s="31" t="n">
        <x:v>121.01140402269999</x:v>
      </x:c>
      <x:c r="J17" s="31" t="n">
        <x:v>88.95114607379999</x:v>
      </x:c>
      <x:c r="K17" s="31" t="n">
        <x:v>32.0602579489</x:v>
      </x:c>
      <x:c r="L17" s="31" t="n">
        <x:v>80.2126505512</x:v>
      </x:c>
      <x:c r="M17" s="31" t="n">
        <x:v>40.7987534715</x:v>
      </x:c>
      <x:c r="N17" s="24" t="str">
        <x:v>scophthalmus maximus</x:v>
      </x:c>
      <x:c r="O17" s="32" t="n">
        <x:v>4.36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Scophthalmus maximus</x:v>
      </x:c>
      <x:c r="T17" s="32" t="n">
        <x:f>IF(O17="","",(1/'Metadata'!$B$5)^(O17-1))</x:f>
        <x:v>2290.867652767775</x:v>
      </x:c>
      <x:c r="U17" s="31" t="n">
        <x:f>IF(T17="","",I17*T17)</x:f>
        <x:v>277221.1110916156</x:v>
      </x:c>
    </x:row>
    <x:row r="18" ht="18" customHeight="1">
      <x:c r="A18" s="24" t="str">
        <x:v>EEZ_931</x:v>
      </x:c>
      <x:c r="B18" s="24" t="str">
        <x:v>Denmark (Baltic Sea)</x:v>
      </x:c>
      <x:c r="C18" s="24" t="str">
        <x:v>EEZ</x:v>
      </x:c>
      <x:c r="D18" s="30" t="n">
        <x:v>2019</x:v>
      </x:c>
      <x:c r="E18" s="24" t="str">
        <x:v>Cyprinidae</x:v>
      </x:c>
      <x:c r="F18" s="24" t="str">
        <x:v>Carps, barbels, other cyprinids</x:v>
      </x:c>
      <x:c r="G18" s="24" t="str">
        <x:v>Medium demersals (30 - 89 cm)</x:v>
      </x:c>
      <x:c r="H18" s="24" t="str">
        <x:v>Other fishes &amp; inverts</x:v>
      </x:c>
      <x:c r="I18" s="31" t="n">
        <x:v>120.9415225913</x:v>
      </x:c>
      <x:c r="J18" s="31" t="n">
        <x:v>111.6153206221</x:v>
      </x:c>
      <x:c r="K18" s="31" t="n">
        <x:v>9.3262019692</x:v>
      </x:c>
      <x:c r="L18" s="31" t="n">
        <x:v>106.84441155889999</x:v>
      </x:c>
      <x:c r="M18" s="31" t="n">
        <x:v>14.097111032399999</x:v>
      </x:c>
      <x:c r="N18" s="24" t="str">
        <x:v>cyprinidae</x:v>
      </x:c>
      <x:c r="O18" s="32" t="n">
        <x:v>2.8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Cyprinidae</x:v>
      </x:c>
      <x:c r="T18" s="32" t="n">
        <x:f>IF(O18="","",(1/'Metadata'!$B$5)^(O18-1))</x:f>
        <x:v>63.0957344480193</x:v>
      </x:c>
      <x:c r="U18" s="31" t="n">
        <x:f>IF(T18="","",I18*T18)</x:f>
        <x:v>7630.894193159792</x:v>
      </x:c>
    </x:row>
    <x:row r="19" ht="18" customHeight="1">
      <x:c r="A19" s="24" t="str">
        <x:v>EEZ_931</x:v>
      </x:c>
      <x:c r="B19" s="24" t="str">
        <x:v>Denmark (Baltic Sea)</x:v>
      </x:c>
      <x:c r="C19" s="24" t="str">
        <x:v>EEZ</x:v>
      </x:c>
      <x:c r="D19" s="30" t="n">
        <x:v>2019</x:v>
      </x:c>
      <x:c r="E19" s="24" t="str">
        <x:v>Perca fluviatilis</x:v>
      </x:c>
      <x:c r="F19" s="24" t="str">
        <x:v>European perch</x:v>
      </x:c>
      <x:c r="G19" s="24" t="str">
        <x:v>Medium demersals (30 - 89 cm)</x:v>
      </x:c>
      <x:c r="H19" s="24" t="str">
        <x:v>Perch-likes</x:v>
      </x:c>
      <x:c r="I19" s="31" t="n">
        <x:v>106.7520021967</x:v>
      </x:c>
      <x:c r="J19" s="31" t="n">
        <x:v>105.3407079533</x:v>
      </x:c>
      <x:c r="K19" s="31" t="n">
        <x:v>1.4112942434</x:v>
      </x:c>
      <x:c r="L19" s="31" t="n">
        <x:v>90.2246126795</x:v>
      </x:c>
      <x:c r="M19" s="31" t="n">
        <x:v>16.5273895172</x:v>
      </x:c>
      <x:c r="N19" s="24" t="str">
        <x:v>perca fluviatilis</x:v>
      </x:c>
      <x:c r="O19" s="32" t="n">
        <x:v>4.35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Perca fluviatilis</x:v>
      </x:c>
      <x:c r="T19" s="32" t="n">
        <x:f>IF(O19="","",(1/'Metadata'!$B$5)^(O19-1))</x:f>
        <x:v>2238.7211385683377</x:v>
      </x:c>
      <x:c r="U19" s="31" t="n">
        <x:f>IF(T19="","",I19*T19)</x:f>
        <x:v>238987.96390224592</x:v>
      </x:c>
    </x:row>
    <x:row r="20" ht="18" customHeight="1">
      <x:c r="A20" s="24" t="str">
        <x:v>EEZ_931</x:v>
      </x:c>
      <x:c r="B20" s="24" t="str">
        <x:v>Denmark (Baltic Sea)</x:v>
      </x:c>
      <x:c r="C20" s="24" t="str">
        <x:v>EEZ</x:v>
      </x:c>
      <x:c r="D20" s="30" t="n">
        <x:v>2019</x:v>
      </x:c>
      <x:c r="E20" s="24" t="str">
        <x:v>Esox lucius</x:v>
      </x:c>
      <x:c r="F20" s="24" t="str">
        <x:v>Northern pike</x:v>
      </x:c>
      <x:c r="G20" s="24" t="str">
        <x:v>Large demersals (&gt;=90 cm)</x:v>
      </x:c>
      <x:c r="H20" s="24" t="str">
        <x:v>Salmon, smelts, etc</x:v>
      </x:c>
      <x:c r="I20" s="31" t="n">
        <x:v>105.940212945</x:v>
      </x:c>
      <x:c r="J20" s="31" t="n">
        <x:v>105.4673842457</x:v>
      </x:c>
      <x:c r="K20" s="31" t="n">
        <x:v>0.4728286993</x:v>
      </x:c>
      <x:c r="L20" s="31" t="n">
        <x:v>13.966281057699998</x:v>
      </x:c>
      <x:c r="M20" s="31" t="n">
        <x:v>91.9739318873</x:v>
      </x:c>
      <x:c r="N20" s="24" t="str">
        <x:v>esox lucius</x:v>
      </x:c>
      <x:c r="O20" s="32" t="n">
        <x:v>4.07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Esox lucius</x:v>
      </x:c>
      <x:c r="T20" s="32" t="n">
        <x:f>IF(O20="","",(1/'Metadata'!$B$5)^(O20-1))</x:f>
        <x:v>1174.8975549395302</x:v>
      </x:c>
      <x:c r="U20" s="31" t="n">
        <x:f>IF(T20="","",I20*T20)</x:f>
        <x:v>124468.89715885367</x:v>
      </x:c>
    </x:row>
    <x:row r="21" ht="18" customHeight="1">
      <x:c r="A21" s="24" t="str">
        <x:v>EEZ_931</x:v>
      </x:c>
      <x:c r="B21" s="24" t="str">
        <x:v>Denmark (Baltic Sea)</x:v>
      </x:c>
      <x:c r="C21" s="24" t="str">
        <x:v>EEZ</x:v>
      </x:c>
      <x:c r="D21" s="30" t="n">
        <x:v>2019</x:v>
      </x:c>
      <x:c r="E21" s="24" t="str">
        <x:v>Solea solea</x:v>
      </x:c>
      <x:c r="F21" s="24" t="str">
        <x:v>Common sole</x:v>
      </x:c>
      <x:c r="G21" s="24" t="str">
        <x:v>Small to medium flatfishes (&lt;90 cm)</x:v>
      </x:c>
      <x:c r="H21" s="24" t="str">
        <x:v>Flatfishes</x:v>
      </x:c>
      <x:c r="I21" s="31" t="n">
        <x:v>64.0720464608</x:v>
      </x:c>
      <x:c r="J21" s="31" t="n">
        <x:v>61.8680272625</x:v>
      </x:c>
      <x:c r="K21" s="31" t="n">
        <x:v>2.2040191983</x:v>
      </x:c>
      <x:c r="L21" s="31" t="n">
        <x:v>58.361534245</x:v>
      </x:c>
      <x:c r="M21" s="31" t="n">
        <x:v>5.710512215800001</x:v>
      </x:c>
      <x:c r="N21" s="24" t="str">
        <x:v>solea solea</x:v>
      </x:c>
      <x:c r="O21" s="32" t="n">
        <x:v>3.21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Solea solea</x:v>
      </x:c>
      <x:c r="T21" s="32" t="n">
        <x:f>IF(O21="","",(1/'Metadata'!$B$5)^(O21-1))</x:f>
        <x:v>162.18100973589299</x:v>
      </x:c>
      <x:c r="U21" s="31" t="n">
        <x:f>IF(T21="","",I21*T21)</x:f>
        <x:v>10391.269190857593</x:v>
      </x:c>
    </x:row>
    <x:row r="22" ht="18" customHeight="1">
      <x:c r="A22" s="24" t="str">
        <x:v>EEZ_931</x:v>
      </x:c>
      <x:c r="B22" s="24" t="str">
        <x:v>Denmark (Baltic Sea)</x:v>
      </x:c>
      <x:c r="C22" s="24" t="str">
        <x:v>EEZ</x:v>
      </x:c>
      <x:c r="D22" s="30" t="n">
        <x:v>2019</x:v>
      </x:c>
      <x:c r="E22" s="24" t="str">
        <x:v>Scophthalmus rhombus</x:v>
      </x:c>
      <x:c r="F22" s="24" t="str">
        <x:v>Brill</x:v>
      </x:c>
      <x:c r="G22" s="24" t="str">
        <x:v>Small to medium flatfishes (&lt;90 cm)</x:v>
      </x:c>
      <x:c r="H22" s="24" t="str">
        <x:v>Flatfishes</x:v>
      </x:c>
      <x:c r="I22" s="31" t="n">
        <x:v>46.2638101192</x:v>
      </x:c>
      <x:c r="J22" s="31" t="n">
        <x:v>36.9752156084</x:v>
      </x:c>
      <x:c r="K22" s="31" t="n">
        <x:v>9.2885945108</x:v>
      </x:c>
      <x:c r="L22" s="31" t="n">
        <x:v>34.6340570378</x:v>
      </x:c>
      <x:c r="M22" s="31" t="n">
        <x:v>11.6297530814</x:v>
      </x:c>
      <x:c r="N22" s="24" t="str">
        <x:v>scophthalmus rhombus</x:v>
      </x:c>
      <x:c r="O22" s="32" t="n">
        <x:v>4.42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Scophthalmus rhombus</x:v>
      </x:c>
      <x:c r="T22" s="32" t="n">
        <x:f>IF(O22="","",(1/'Metadata'!$B$5)^(O22-1))</x:f>
        <x:v>2630.2679918953813</x:v>
      </x:c>
      <x:c r="U22" s="31" t="n">
        <x:f>IF(T22="","",I22*T22)</x:f>
        <x:v>121686.21893965741</x:v>
      </x:c>
    </x:row>
    <x:row r="23" ht="18" customHeight="1">
      <x:c r="A23" s="24" t="str">
        <x:v>EEZ_931</x:v>
      </x:c>
      <x:c r="B23" s="24" t="str">
        <x:v>Denmark (Baltic Sea)</x:v>
      </x:c>
      <x:c r="C23" s="24" t="str">
        <x:v>EEZ</x:v>
      </x:c>
      <x:c r="D23" s="30" t="n">
        <x:v>2019</x:v>
      </x:c>
      <x:c r="E23" s="24" t="str">
        <x:v>Cyclopterus lumpus</x:v>
      </x:c>
      <x:c r="F23" s="24" t="str">
        <x:v>Lumpfish</x:v>
      </x:c>
      <x:c r="G23" s="24" t="str">
        <x:v>Medium benthopelagics (30 - 89 cm)</x:v>
      </x:c>
      <x:c r="H23" s="24" t="str">
        <x:v>Scorpionfishes</x:v>
      </x:c>
      <x:c r="I23" s="31" t="n">
        <x:v>44.592283282800004</x:v>
      </x:c>
      <x:c r="J23" s="31" t="n">
        <x:v>26.8004847849</x:v>
      </x:c>
      <x:c r="K23" s="31" t="n">
        <x:v>17.7917984979</x:v>
      </x:c>
      <x:c r="L23" s="31" t="n">
        <x:v>23.4552246887</x:v>
      </x:c>
      <x:c r="M23" s="31" t="n">
        <x:v>21.1370585941</x:v>
      </x:c>
      <x:c r="N23" s="24" t="str">
        <x:v>cyclopterus lumpus</x:v>
      </x:c>
      <x:c r="O23" s="32" t="n">
        <x:v>3.89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Cyclopterus lumpus</x:v>
      </x:c>
      <x:c r="T23" s="32" t="n">
        <x:f>IF(O23="","",(1/'Metadata'!$B$5)^(O23-1))</x:f>
        <x:v>776.247116628692</x:v>
      </x:c>
      <x:c r="U23" s="31" t="n">
        <x:f>IF(T23="","",I23*T23)</x:f>
        <x:v>34614.631322163325</x:v>
      </x:c>
    </x:row>
    <x:row r="24" ht="18" customHeight="1">
      <x:c r="A24" s="24" t="str">
        <x:v>EEZ_931</x:v>
      </x:c>
      <x:c r="B24" s="24" t="str">
        <x:v>Denmark (Baltic Sea)</x:v>
      </x:c>
      <x:c r="C24" s="24" t="str">
        <x:v>EEZ</x:v>
      </x:c>
      <x:c r="D24" s="30" t="n">
        <x:v>2019</x:v>
      </x:c>
      <x:c r="E24" s="24" t="str">
        <x:v>Sander lucioperca</x:v>
      </x:c>
      <x:c r="F24" s="24" t="str">
        <x:v>Pike-perch</x:v>
      </x:c>
      <x:c r="G24" s="24" t="str">
        <x:v>Large pelagics (&gt;=90 cm)</x:v>
      </x:c>
      <x:c r="H24" s="24" t="str">
        <x:v>Perch-likes</x:v>
      </x:c>
      <x:c r="I24" s="31" t="n">
        <x:v>44.06870522650001</x:v>
      </x:c>
      <x:c r="J24" s="31" t="n">
        <x:v>42.403290083200005</x:v>
      </x:c>
      <x:c r="K24" s="31" t="n">
        <x:v>1.6654151433000002</x:v>
      </x:c>
      <x:c r="L24" s="31" t="n">
        <x:v>40.8076371888</x:v>
      </x:c>
      <x:c r="M24" s="31" t="n">
        <x:v>3.2610680377000003</x:v>
      </x:c>
      <x:c r="N24" s="24" t="str">
        <x:v>sander lucioperca</x:v>
      </x:c>
      <x:c r="O24" s="32" t="n">
        <x:v>4.04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Sander lucioperca</x:v>
      </x:c>
      <x:c r="T24" s="32" t="n">
        <x:f>IF(O24="","",(1/'Metadata'!$B$5)^(O24-1))</x:f>
        <x:v>1096.4781961431852</x:v>
      </x:c>
      <x:c r="U24" s="31" t="n">
        <x:f>IF(T24="","",I24*T24)</x:f>
        <x:v>48320.37441311849</x:v>
      </x:c>
    </x:row>
    <x:row r="25" ht="18" customHeight="1">
      <x:c r="A25" s="24" t="str">
        <x:v>EEZ_931</x:v>
      </x:c>
      <x:c r="B25" s="24" t="str">
        <x:v>Denmark (Baltic Sea)</x:v>
      </x:c>
      <x:c r="C25" s="24" t="str">
        <x:v>EEZ</x:v>
      </x:c>
      <x:c r="D25" s="30" t="n">
        <x:v>2019</x:v>
      </x:c>
      <x:c r="E25" s="24" t="str">
        <x:v>Ammodytes tobianus</x:v>
      </x:c>
      <x:c r="F25" s="24" t="str">
        <x:v>Small sandeel</x:v>
      </x:c>
      <x:c r="G25" s="24" t="str">
        <x:v>Small demersals (&lt;30 cm)</x:v>
      </x:c>
      <x:c r="H25" s="24" t="str">
        <x:v>Perch-likes</x:v>
      </x:c>
      <x:c r="I25" s="31" t="n">
        <x:v>37.8960097147</x:v>
      </x:c>
      <x:c r="J25" s="31" t="n">
        <x:v>37.8906535788</x:v>
      </x:c>
      <x:c r="K25" s="31" t="n">
        <x:v>0.0053561359</x:v>
      </x:c>
      <x:c r="L25" s="31" t="n">
        <x:v>33.0704380844</x:v>
      </x:c>
      <x:c r="M25" s="31" t="n">
        <x:v>4.825571630300001</x:v>
      </x:c>
      <x:c r="N25" s="24" t="str">
        <x:v>ammodytes tobianus</x:v>
      </x:c>
      <x:c r="O25" s="32" t="n">
        <x:v>3.08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Ammodytes tobianus</x:v>
      </x:c>
      <x:c r="T25" s="32" t="n">
        <x:f>IF(O25="","",(1/'Metadata'!$B$5)^(O25-1))</x:f>
        <x:v>120.22644346174131</x:v>
      </x:c>
      <x:c r="U25" s="31" t="n">
        <x:f>IF(T25="","",I25*T25)</x:f>
        <x:v>4556.102469389979</x:v>
      </x:c>
    </x:row>
    <x:row r="26" ht="18" customHeight="1">
      <x:c r="A26" s="24" t="str">
        <x:v>EEZ_931</x:v>
      </x:c>
      <x:c r="B26" s="24" t="str">
        <x:v>Denmark (Baltic Sea)</x:v>
      </x:c>
      <x:c r="C26" s="24" t="str">
        <x:v>EEZ</x:v>
      </x:c>
      <x:c r="D26" s="30" t="n">
        <x:v>2019</x:v>
      </x:c>
      <x:c r="E26" s="24" t="str">
        <x:v>Buccinum undatum</x:v>
      </x:c>
      <x:c r="F26" s="24" t="str">
        <x:v>Whelk</x:v>
      </x:c>
      <x:c r="G26" s="24" t="str">
        <x:v>Other demersal invertebrates</x:v>
      </x:c>
      <x:c r="H26" s="24" t="str">
        <x:v>Molluscs</x:v>
      </x:c>
      <x:c r="I26" s="31" t="n">
        <x:v>37.5756993939</x:v>
      </x:c>
      <x:c r="J26" s="31" t="n">
        <x:v>37.5268690017</x:v>
      </x:c>
      <x:c r="K26" s="31" t="n">
        <x:v>0.0488303922</x:v>
      </x:c>
      <x:c r="L26" s="31" t="n">
        <x:v>37.4451490006</x:v>
      </x:c>
      <x:c r="M26" s="31" t="n">
        <x:v>0.1305503933</x:v>
      </x:c>
      <x:c r="N26" s="24" t="str">
        <x:v>buccinum undatum</x:v>
      </x:c>
      <x:c r="O26" s="32" t="n">
        <x:v>3.75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Buccinum undatum</x:v>
      </x:c>
      <x:c r="T26" s="32" t="n">
        <x:f>IF(O26="","",(1/'Metadata'!$B$5)^(O26-1))</x:f>
        <x:v>562.341325190349</x:v>
      </x:c>
      <x:c r="U26" s="31" t="n">
        <x:f>IF(T26="","",I26*T26)</x:f>
        <x:v>21130.36859211992</x:v>
      </x:c>
    </x:row>
    <x:row r="27" ht="18" customHeight="1">
      <x:c r="A27" s="24" t="str">
        <x:v>EEZ_931</x:v>
      </x:c>
      <x:c r="B27" s="24" t="str">
        <x:v>Denmark (Baltic Sea)</x:v>
      </x:c>
      <x:c r="C27" s="24" t="str">
        <x:v>EEZ</x:v>
      </x:c>
      <x:c r="D27" s="30" t="n">
        <x:v>2019</x:v>
      </x:c>
      <x:c r="E27" s="24" t="str">
        <x:v>Brachyura</x:v>
      </x:c>
      <x:c r="F27" s="24" t="str">
        <x:v>Marine crabs</x:v>
      </x:c>
      <x:c r="G27" s="24" t="str">
        <x:v>Lobsters, crabs</x:v>
      </x:c>
      <x:c r="H27" s="24" t="str">
        <x:v>Crustaceans</x:v>
      </x:c>
      <x:c r="I27" s="31" t="n">
        <x:v>28.879744208400002</x:v>
      </x:c>
      <x:c r="J27" s="31" t="n">
        <x:v>28.7908194698</x:v>
      </x:c>
      <x:c r="K27" s="31" t="n">
        <x:v>0.0889247386</x:v>
      </x:c>
      <x:c r="L27" s="31" t="n">
        <x:v>28.647300654</x:v>
      </x:c>
      <x:c r="M27" s="31" t="n">
        <x:v>0.2324435544</x:v>
      </x:c>
      <x:c r="N27" s="24" t="str">
        <x:v>brachyura</x:v>
      </x:c>
      <x:c r="O27" s="32" t="n">
        <x:v>2.6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Brachyura</x:v>
      </x:c>
      <x:c r="T27" s="32" t="n">
        <x:f>IF(O27="","",(1/'Metadata'!$B$5)^(O27-1))</x:f>
        <x:v>39.810717055349734</x:v>
      </x:c>
      <x:c r="U27" s="31" t="n">
        <x:f>IF(T27="","",I27*T27)</x:f>
        <x:v>1149.7233253114875</x:v>
      </x:c>
    </x:row>
    <x:row r="28" ht="18" customHeight="1">
      <x:c r="A28" s="24" t="str">
        <x:v>EEZ_931</x:v>
      </x:c>
      <x:c r="B28" s="24" t="str">
        <x:v>Denmark (Baltic Sea)</x:v>
      </x:c>
      <x:c r="C28" s="24" t="str">
        <x:v>EEZ</x:v>
      </x:c>
      <x:c r="D28" s="30" t="n">
        <x:v>2019</x:v>
      </x:c>
      <x:c r="E28" s="24" t="str">
        <x:v>Salmo salar</x:v>
      </x:c>
      <x:c r="F28" s="24" t="str">
        <x:v>Atlantic salmon</x:v>
      </x:c>
      <x:c r="G28" s="24" t="str">
        <x:v>Large benthopelagics (&gt;=90 cm)</x:v>
      </x:c>
      <x:c r="H28" s="24" t="str">
        <x:v>Salmon, smelts, etc</x:v>
      </x:c>
      <x:c r="I28" s="31" t="n">
        <x:v>25.6348008967</x:v>
      </x:c>
      <x:c r="J28" s="31" t="n">
        <x:v>23.1204814348</x:v>
      </x:c>
      <x:c r="K28" s="31" t="n">
        <x:v>2.5143194619</x:v>
      </x:c>
      <x:c r="L28" s="31" t="n">
        <x:v>10.8199629169</x:v>
      </x:c>
      <x:c r="M28" s="31" t="n">
        <x:v>14.8148379798</x:v>
      </x:c>
      <x:c r="N28" s="24" t="str">
        <x:v>salmo salar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Salmo salar</x:v>
      </x:c>
      <x:c r="T28" s="32" t="n">
        <x:f>IF(O28="","",(1/'Metadata'!$B$5)^(O28-1))</x:f>
        <x:v>3162.2776601683795</x:v>
      </x:c>
      <x:c r="U28" s="31" t="n">
        <x:f>IF(T28="","",I28*T28)</x:f>
        <x:v>81064.35819849875</x:v>
      </x:c>
    </x:row>
    <x:row r="29" ht="18" customHeight="1">
      <x:c r="A29" s="24" t="str">
        <x:v>EEZ_931</x:v>
      </x:c>
      <x:c r="B29" s="24" t="str">
        <x:v>Denmark (Baltic Sea)</x:v>
      </x:c>
      <x:c r="C29" s="24" t="str">
        <x:v>EEZ</x:v>
      </x:c>
      <x:c r="D29" s="30" t="n">
        <x:v>2019</x:v>
      </x:c>
      <x:c r="E29" s="24" t="str">
        <x:v>Scomber scombrus</x:v>
      </x:c>
      <x:c r="F29" s="24" t="str">
        <x:v>Atlantic mackerel</x:v>
      </x:c>
      <x:c r="G29" s="24" t="str">
        <x:v>Medium pelagics (30 - 89 cm)</x:v>
      </x:c>
      <x:c r="H29" s="24" t="str">
        <x:v>Perch-likes</x:v>
      </x:c>
      <x:c r="I29" s="31" t="n">
        <x:v>22.1469509347</x:v>
      </x:c>
      <x:c r="J29" s="31" t="n">
        <x:v>20.8457483605</x:v>
      </x:c>
      <x:c r="K29" s="31" t="n">
        <x:v>1.3012025742</x:v>
      </x:c>
      <x:c r="L29" s="31" t="n">
        <x:v>18.738561508500002</x:v>
      </x:c>
      <x:c r="M29" s="31" t="n">
        <x:v>3.4083894262</x:v>
      </x:c>
      <x:c r="N29" s="24" t="str">
        <x:v>scomber scombrus</x:v>
      </x:c>
      <x:c r="O29" s="32" t="n">
        <x:v>3.63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 scombrus</x:v>
      </x:c>
      <x:c r="T29" s="32" t="n">
        <x:f>IF(O29="","",(1/'Metadata'!$B$5)^(O29-1))</x:f>
        <x:v>426.57951880159254</x:v>
      </x:c>
      <x:c r="U29" s="31" t="n">
        <x:f>IF(T29="","",I29*T29)</x:f>
        <x:v>9447.435672646807</x:v>
      </x:c>
    </x:row>
    <x:row r="30" ht="18" customHeight="1">
      <x:c r="A30" s="24" t="str">
        <x:v>EEZ_931</x:v>
      </x:c>
      <x:c r="B30" s="24" t="str">
        <x:v>Denmark (Baltic Sea)</x:v>
      </x:c>
      <x:c r="C30" s="24" t="str">
        <x:v>EEZ</x:v>
      </x:c>
      <x:c r="D30" s="30" t="n">
        <x:v>2019</x:v>
      </x:c>
      <x:c r="E30" s="24" t="str">
        <x:v>Palaemon serratus</x:v>
      </x:c>
      <x:c r="F30" s="24" t="str">
        <x:v>Common prawn</x:v>
      </x:c>
      <x:c r="G30" s="24" t="str">
        <x:v>Shrimps</x:v>
      </x:c>
      <x:c r="H30" s="24" t="str">
        <x:v>Crustaceans</x:v>
      </x:c>
      <x:c r="I30" s="31" t="n">
        <x:v>10.7269681247</x:v>
      </x:c>
      <x:c r="J30" s="31" t="n">
        <x:v>10.3103979114</x:v>
      </x:c>
      <x:c r="K30" s="31" t="n">
        <x:v>0.4165702133</x:v>
      </x:c>
      <x:c r="L30" s="31" t="n">
        <x:v>9.6380803463</x:v>
      </x:c>
      <x:c r="M30" s="31" t="n">
        <x:v>1.0888877784</x:v>
      </x:c>
      <x:c r="N30" s="24" t="str">
        <x:v>palaemon serratus</x:v>
      </x:c>
      <x:c r="O30" s="32" t="n">
        <x:v>2.69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Palaemon serratus</x:v>
      </x:c>
      <x:c r="T30" s="32" t="n">
        <x:f>IF(O30="","",(1/'Metadata'!$B$5)^(O30-1))</x:f>
        <x:v>48.97788193684461</x:v>
      </x:c>
      <x:c r="U30" s="31" t="n">
        <x:f>IF(T30="","",I30*T30)</x:f>
        <x:v>525.384178351852</x:v>
      </x:c>
    </x:row>
    <x:row r="31" ht="18" customHeight="1">
      <x:c r="A31" s="24" t="str">
        <x:v>EEZ_931</x:v>
      </x:c>
      <x:c r="B31" s="24" t="str">
        <x:v>Denmark (Baltic Sea)</x:v>
      </x:c>
      <x:c r="C31" s="24" t="str">
        <x:v>EEZ</x:v>
      </x:c>
      <x:c r="D31" s="30" t="n">
        <x:v>2019</x:v>
      </x:c>
      <x:c r="E31" s="24" t="str">
        <x:v>Microstomus kitt</x:v>
      </x:c>
      <x:c r="F31" s="24" t="str">
        <x:v>Lemon sole</x:v>
      </x:c>
      <x:c r="G31" s="24" t="str">
        <x:v>Small to medium flatfishes (&lt;90 cm)</x:v>
      </x:c>
      <x:c r="H31" s="24" t="str">
        <x:v>Flatfishes</x:v>
      </x:c>
      <x:c r="I31" s="31" t="n">
        <x:v>8.6666499045</x:v>
      </x:c>
      <x:c r="J31" s="31" t="n">
        <x:v>8.5380739308</x:v>
      </x:c>
      <x:c r="K31" s="31" t="n">
        <x:v>0.12857597369999998</x:v>
      </x:c>
      <x:c r="L31" s="31" t="n">
        <x:v>8.3305600038</x:v>
      </x:c>
      <x:c r="M31" s="31" t="n">
        <x:v>0.3360899007</x:v>
      </x:c>
      <x:c r="N31" s="24" t="str">
        <x:v>microstomus kitt</x:v>
      </x:c>
      <x:c r="O31" s="32" t="n">
        <x:v>3.22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Microstomus kitt</x:v>
      </x:c>
      <x:c r="T31" s="32" t="n">
        <x:f>IF(O31="","",(1/'Metadata'!$B$5)^(O31-1))</x:f>
        <x:v>165.95869074375614</x:v>
      </x:c>
      <x:c r="U31" s="31" t="n">
        <x:f>IF(T31="","",I31*T31)</x:f>
        <x:v>1438.3058712853192</x:v>
      </x:c>
    </x:row>
    <x:row r="32" ht="18" customHeight="1">
      <x:c r="A32" s="24" t="str">
        <x:v>EEZ_931</x:v>
      </x:c>
      <x:c r="B32" s="24" t="str">
        <x:v>Denmark (Baltic Sea)</x:v>
      </x:c>
      <x:c r="C32" s="24" t="str">
        <x:v>EEZ</x:v>
      </x:c>
      <x:c r="D32" s="30" t="n">
        <x:v>2019</x:v>
      </x:c>
      <x:c r="E32" s="24" t="str">
        <x:v>Trachinus draco</x:v>
      </x:c>
      <x:c r="F32" s="24" t="str">
        <x:v>Greater weever</x:v>
      </x:c>
      <x:c r="G32" s="24" t="str">
        <x:v>Medium demersals (30 - 89 cm)</x:v>
      </x:c>
      <x:c r="H32" s="24" t="str">
        <x:v>Perch-likes</x:v>
      </x:c>
      <x:c r="I32" s="31" t="n">
        <x:v>6.9381069573000005</x:v>
      </x:c>
      <x:c r="J32" s="31" t="n">
        <x:v>4.6288364391</x:v>
      </x:c>
      <x:c r="K32" s="31" t="n">
        <x:v>2.3092705182</x:v>
      </x:c>
      <x:c r="L32" s="31" t="n">
        <x:v>0</x:v>
      </x:c>
      <x:c r="M32" s="31" t="n">
        <x:v>6.9381069573000005</x:v>
      </x:c>
      <x:c r="N32" s="24" t="str">
        <x:v>trachinus draco</x:v>
      </x:c>
      <x:c r="O32" s="32" t="n">
        <x:v>4.18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Trachinus draco</x:v>
      </x:c>
      <x:c r="T32" s="32" t="n">
        <x:f>IF(O32="","",(1/'Metadata'!$B$5)^(O32-1))</x:f>
        <x:v>1513.5612484362073</x:v>
      </x:c>
      <x:c r="U32" s="31" t="n">
        <x:f>IF(T32="","",I32*T32)</x:f>
        <x:v>10501.249828074924</x:v>
      </x:c>
    </x:row>
    <x:row r="33" ht="18" customHeight="1">
      <x:c r="A33" s="24" t="str">
        <x:v>EEZ_931</x:v>
      </x:c>
      <x:c r="B33" s="24" t="str">
        <x:v>Denmark (Baltic Sea)</x:v>
      </x:c>
      <x:c r="C33" s="24" t="str">
        <x:v>EEZ</x:v>
      </x:c>
      <x:c r="D33" s="30" t="n">
        <x:v>2019</x:v>
      </x:c>
      <x:c r="E33" s="24" t="str">
        <x:v>Gasterosteus aculeatus</x:v>
      </x:c>
      <x:c r="F33" s="24" t="str">
        <x:v>Three-spined stickleback</x:v>
      </x:c>
      <x:c r="G33" s="24" t="str">
        <x:v>Small benthopelagics (&lt;30 cm)</x:v>
      </x:c>
      <x:c r="H33" s="24" t="str">
        <x:v>Other fishes &amp; inverts</x:v>
      </x:c>
      <x:c r="I33" s="31" t="n">
        <x:v>4.9746522812</x:v>
      </x:c>
      <x:c r="J33" s="31" t="n">
        <x:v>4.7940689617</x:v>
      </x:c>
      <x:c r="K33" s="31" t="n">
        <x:v>0.1805833195</x:v>
      </x:c>
      <x:c r="L33" s="31" t="n">
        <x:v>4.7940689617</x:v>
      </x:c>
      <x:c r="M33" s="31" t="n">
        <x:v>0.1805833195</x:v>
      </x:c>
      <x:c r="N33" s="24" t="str">
        <x:v>gasterosteus aculeatus</x:v>
      </x:c>
      <x:c r="O33" s="32" t="n">
        <x:v>3.31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Gasterosteus aculeatus</x:v>
      </x:c>
      <x:c r="T33" s="32" t="n">
        <x:f>IF(O33="","",(1/'Metadata'!$B$5)^(O33-1))</x:f>
        <x:v>204.17379446695296</x:v>
      </x:c>
      <x:c r="U33" s="31" t="n">
        <x:f>IF(T33="","",I33*T33)</x:f>
        <x:v>1015.6936324062874</x:v>
      </x:c>
    </x:row>
    <x:row r="34" ht="18" customHeight="1">
      <x:c r="A34" s="24" t="str">
        <x:v>EEZ_931</x:v>
      </x:c>
      <x:c r="B34" s="24" t="str">
        <x:v>Denmark (Baltic Sea)</x:v>
      </x:c>
      <x:c r="C34" s="24" t="str">
        <x:v>EEZ</x:v>
      </x:c>
      <x:c r="D34" s="30" t="n">
        <x:v>2019</x:v>
      </x:c>
      <x:c r="E34" s="24" t="str">
        <x:v>Gobiidae</x:v>
      </x:c>
      <x:c r="F34" s="24" t="str">
        <x:v>Gobies</x:v>
      </x:c>
      <x:c r="G34" s="24" t="str">
        <x:v>Small reef assoc. fish (&lt;30 cm)</x:v>
      </x:c>
      <x:c r="H34" s="24" t="str">
        <x:v>Perch-likes</x:v>
      </x:c>
      <x:c r="I34" s="31" t="n">
        <x:v>4.2582061939</x:v>
      </x:c>
      <x:c r="J34" s="31" t="n">
        <x:v>3.6134543252</x:v>
      </x:c>
      <x:c r="K34" s="31" t="n">
        <x:v>0.6447518687</x:v>
      </x:c>
      <x:c r="L34" s="31" t="n">
        <x:v>2.5386002666</x:v>
      </x:c>
      <x:c r="M34" s="31" t="n">
        <x:v>1.7196059273</x:v>
      </x:c>
      <x:c r="N34" s="24" t="str">
        <x:v>gobiidae</x:v>
      </x:c>
      <x:c r="O34" s="32" t="n">
        <x:v>3.11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Gobiidae</x:v>
      </x:c>
      <x:c r="T34" s="32" t="n">
        <x:f>IF(O34="","",(1/'Metadata'!$B$5)^(O34-1))</x:f>
        <x:v>128.82495516931337</x:v>
      </x:c>
      <x:c r="U34" s="31" t="n">
        <x:f>IF(T34="","",I34*T34)</x:f>
        <x:v>548.5632220308601</x:v>
      </x:c>
    </x:row>
    <x:row r="35" ht="18" customHeight="1">
      <x:c r="A35" s="24" t="str">
        <x:v>EEZ_931</x:v>
      </x:c>
      <x:c r="B35" s="24" t="str">
        <x:v>Denmark (Baltic Sea)</x:v>
      </x:c>
      <x:c r="C35" s="24" t="str">
        <x:v>EEZ</x:v>
      </x:c>
      <x:c r="D35" s="30" t="n">
        <x:v>2019</x:v>
      </x:c>
      <x:c r="E35" s="24" t="str">
        <x:v>Carassius carassius</x:v>
      </x:c>
      <x:c r="F35" s="24" t="str">
        <x:v>Crucian carp</x:v>
      </x:c>
      <x:c r="G35" s="24" t="str">
        <x:v>Medium demersals (30 - 89 cm)</x:v>
      </x:c>
      <x:c r="H35" s="24" t="str">
        <x:v>Other fishes &amp; inverts</x:v>
      </x:c>
      <x:c r="I35" s="31" t="n">
        <x:v>3.7384724384</x:v>
      </x:c>
      <x:c r="J35" s="31" t="n">
        <x:v>3.6976433263</x:v>
      </x:c>
      <x:c r="K35" s="31" t="n">
        <x:v>0.0408291121</x:v>
      </x:c>
      <x:c r="L35" s="31" t="n">
        <x:v>3.641048844</x:v>
      </x:c>
      <x:c r="M35" s="31" t="n">
        <x:v>0.0974235944</x:v>
      </x:c>
      <x:c r="N35" s="24" t="str">
        <x:v>carassius carassius</x:v>
      </x:c>
      <x:c r="O35" s="32" t="n">
        <x:v>3.11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Carassius carassius</x:v>
      </x:c>
      <x:c r="T35" s="32" t="n">
        <x:f>IF(O35="","",(1/'Metadata'!$B$5)^(O35-1))</x:f>
        <x:v>128.82495516931337</x:v>
      </x:c>
      <x:c r="U35" s="31" t="n">
        <x:f>IF(T35="","",I35*T35)</x:f>
        <x:v>481.6085442785936</x:v>
      </x:c>
    </x:row>
    <x:row r="36" ht="18" customHeight="1">
      <x:c r="A36" s="24" t="str">
        <x:v>EEZ_931</x:v>
      </x:c>
      <x:c r="B36" s="24" t="str">
        <x:v>Denmark (Baltic Sea)</x:v>
      </x:c>
      <x:c r="C36" s="24" t="str">
        <x:v>EEZ</x:v>
      </x:c>
      <x:c r="D36" s="30" t="n">
        <x:v>2019</x:v>
      </x:c>
      <x:c r="E36" s="24" t="str">
        <x:v>Leuciscus aspius</x:v>
      </x:c>
      <x:c r="F36" s="24" t="str">
        <x:v>Asp</x:v>
      </x:c>
      <x:c r="G36" s="24" t="str">
        <x:v>Large benthopelagics (&gt;=90 cm)</x:v>
      </x:c>
      <x:c r="H36" s="24" t="str">
        <x:v>Other fishes &amp; inverts</x:v>
      </x:c>
      <x:c r="I36" s="31" t="n">
        <x:v>2.5624952129999996</x:v>
      </x:c>
      <x:c r="J36" s="31" t="n">
        <x:v>2.5623850340999996</x:v>
      </x:c>
      <x:c r="K36" s="31" t="n">
        <x:v>0.0001101789</x:v>
      </x:c>
      <x:c r="L36" s="31" t="n">
        <x:v>2.4632302955</x:v>
      </x:c>
      <x:c r="M36" s="31" t="n">
        <x:v>0.0992649175</x:v>
      </x:c>
      <x:c r="N36" s="24" t="str">
        <x:v>leuciscus aspius</x:v>
      </x:c>
      <x:c r="O36" s="32" t="n">
        <x:v>4.47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Leuciscus aspius</x:v>
      </x:c>
      <x:c r="T36" s="32" t="n">
        <x:f>IF(O36="","",(1/'Metadata'!$B$5)^(O36-1))</x:f>
        <x:v>2951.209226666384</x:v>
      </x:c>
      <x:c r="U36" s="31" t="n">
        <x:f>IF(T36="","",I36*T36)</x:f>
        <x:v>7562.45951589404</x:v>
      </x:c>
    </x:row>
    <x:row r="37" ht="18" customHeight="1">
      <x:c r="A37" s="24" t="str">
        <x:v>EEZ_931</x:v>
      </x:c>
      <x:c r="B37" s="24" t="str">
        <x:v>Denmark (Baltic Sea)</x:v>
      </x:c>
      <x:c r="C37" s="24" t="str">
        <x:v>EEZ</x:v>
      </x:c>
      <x:c r="D37" s="30" t="n">
        <x:v>2019</x:v>
      </x:c>
      <x:c r="E37" s="24" t="str">
        <x:v>Coregonus</x:v>
      </x:c>
      <x:c r="F37" s="24" t="str">
        <x:v>Whitefishes</x:v>
      </x:c>
      <x:c r="G37" s="24" t="str">
        <x:v>Medium pelagics (30 - 89 cm)</x:v>
      </x:c>
      <x:c r="H37" s="24" t="str">
        <x:v>Salmon, smelts, etc</x:v>
      </x:c>
      <x:c r="I37" s="31" t="n">
        <x:v>2.4514386123</x:v>
      </x:c>
      <x:c r="J37" s="31" t="n">
        <x:v>2.3955609839</x:v>
      </x:c>
      <x:c r="K37" s="31" t="n">
        <x:v>0.0558776284</x:v>
      </x:c>
      <x:c r="L37" s="31" t="n">
        <x:v>2.1047608527</x:v>
      </x:c>
      <x:c r="M37" s="31" t="n">
        <x:v>0.3466777596</x:v>
      </x:c>
      <x:c r="N37" s="24" t="str">
        <x:v>coregonus</x:v>
      </x:c>
      <x:c r="O37" s="32" t="n">
        <x:v>3.3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Coregonus</x:v>
      </x:c>
      <x:c r="T37" s="32" t="n">
        <x:f>IF(O37="","",(1/'Metadata'!$B$5)^(O37-1))</x:f>
        <x:v>199.52623149688787</x:v>
      </x:c>
      <x:c r="U37" s="31" t="n">
        <x:f>IF(T37="","",I37*T37)</x:f>
        <x:v>489.12630805817935</x:v>
      </x:c>
    </x:row>
    <x:row r="38" ht="18" customHeight="1">
      <x:c r="A38" s="24" t="str">
        <x:v>EEZ_931</x:v>
      </x:c>
      <x:c r="B38" s="24" t="str">
        <x:v>Denmark (Baltic Sea)</x:v>
      </x:c>
      <x:c r="C38" s="24" t="str">
        <x:v>EEZ</x:v>
      </x:c>
      <x:c r="D38" s="30" t="n">
        <x:v>2019</x:v>
      </x:c>
      <x:c r="E38" s="24" t="str">
        <x:v>Tinca tinca</x:v>
      </x:c>
      <x:c r="F38" s="24" t="str">
        <x:v>Tench</x:v>
      </x:c>
      <x:c r="G38" s="24" t="str">
        <x:v>Medium demersals (30 - 89 cm)</x:v>
      </x:c>
      <x:c r="H38" s="24" t="str">
        <x:v>Other fishes &amp; inverts</x:v>
      </x:c>
      <x:c r="I38" s="31" t="n">
        <x:v>1.7041533893</x:v>
      </x:c>
      <x:c r="J38" s="31" t="n">
        <x:v>1.700258194</x:v>
      </x:c>
      <x:c r="K38" s="31" t="n">
        <x:v>0.0038951953</x:v>
      </x:c>
      <x:c r="L38" s="31" t="n">
        <x:v>1.5066905889000002</x:v>
      </x:c>
      <x:c r="M38" s="31" t="n">
        <x:v>0.1974628004</x:v>
      </x:c>
      <x:c r="N38" s="24" t="str">
        <x:v>tinca tinca</x:v>
      </x:c>
      <x:c r="O38" s="32" t="n">
        <x:v>3.69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Tinca tinca</x:v>
      </x:c>
      <x:c r="T38" s="32" t="n">
        <x:f>IF(O38="","",(1/'Metadata'!$B$5)^(O38-1))</x:f>
        <x:v>489.77881936844614</x:v>
      </x:c>
      <x:c r="U38" s="31" t="n">
        <x:f>IF(T38="","",I38*T38)</x:f>
        <x:v>834.65823503409</x:v>
      </x:c>
    </x:row>
    <x:row r="39" ht="18" customHeight="1">
      <x:c r="A39" s="24" t="str">
        <x:v>EEZ_931</x:v>
      </x:c>
      <x:c r="B39" s="24" t="str">
        <x:v>Denmark (Baltic Sea)</x:v>
      </x:c>
      <x:c r="C39" s="24" t="str">
        <x:v>EEZ</x:v>
      </x:c>
      <x:c r="D39" s="30" t="n">
        <x:v>2019</x:v>
      </x:c>
      <x:c r="E39" s="24" t="str">
        <x:v>Lota lota</x:v>
      </x:c>
      <x:c r="F39" s="24" t="str">
        <x:v>Burbot</x:v>
      </x:c>
      <x:c r="G39" s="24" t="str">
        <x:v>Large demersals (&gt;=90 cm)</x:v>
      </x:c>
      <x:c r="H39" s="24" t="str">
        <x:v>Cod-likes</x:v>
      </x:c>
      <x:c r="I39" s="31" t="n">
        <x:v>1.4134605301999998</x:v>
      </x:c>
      <x:c r="J39" s="31" t="n">
        <x:v>1.3928596139</x:v>
      </x:c>
      <x:c r="K39" s="31" t="n">
        <x:v>0.0206009163</x:v>
      </x:c>
      <x:c r="L39" s="31" t="n">
        <x:v>1.3403398496</x:v>
      </x:c>
      <x:c r="M39" s="31" t="n">
        <x:v>0.0731206806</x:v>
      </x:c>
      <x:c r="N39" s="24" t="str">
        <x:v>lota lota</x:v>
      </x:c>
      <x:c r="O39" s="32" t="n">
        <x:v>3.84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Lota lota</x:v>
      </x:c>
      <x:c r="T39" s="32" t="n">
        <x:f>IF(O39="","",(1/'Metadata'!$B$5)^(O39-1))</x:f>
        <x:v>691.8309709189363</x:v>
      </x:c>
      <x:c r="U39" s="31" t="n">
        <x:f>IF(T39="","",I39*T39)</x:f>
        <x:v>977.8757709638603</x:v>
      </x:c>
    </x:row>
    <x:row r="40" ht="18" customHeight="1">
      <x:c r="A40" s="24" t="str">
        <x:v>EEZ_931</x:v>
      </x:c>
      <x:c r="B40" s="24" t="str">
        <x:v>Denmark (Baltic Sea)</x:v>
      </x:c>
      <x:c r="C40" s="24" t="str">
        <x:v>EEZ</x:v>
      </x:c>
      <x:c r="D40" s="30" t="n">
        <x:v>2019</x:v>
      </x:c>
      <x:c r="E40" s="24" t="str">
        <x:v>Cancer pagurus</x:v>
      </x:c>
      <x:c r="F40" s="24" t="str">
        <x:v>Edible crab</x:v>
      </x:c>
      <x:c r="G40" s="24" t="str">
        <x:v>Lobsters, crabs</x:v>
      </x:c>
      <x:c r="H40" s="24" t="str">
        <x:v>Crustaceans</x:v>
      </x:c>
      <x:c r="I40" s="31" t="n">
        <x:v>0.7813599304</x:v>
      </x:c>
      <x:c r="J40" s="31" t="n">
        <x:v>0.7343297116999999</x:v>
      </x:c>
      <x:c r="K40" s="31" t="n">
        <x:v>0.0470302187</x:v>
      </x:c>
      <x:c r="L40" s="31" t="n">
        <x:v>0.71</x:v>
      </x:c>
      <x:c r="M40" s="31" t="n">
        <x:v>0.0713599304</x:v>
      </x:c>
      <x:c r="N40" s="24" t="str">
        <x:v>cancer pagurus</x:v>
      </x:c>
      <x:c r="O40" s="32" t="n">
        <x:v>3.1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Cancer pagurus</x:v>
      </x:c>
      <x:c r="T40" s="32" t="n">
        <x:f>IF(O40="","",(1/'Metadata'!$B$5)^(O40-1))</x:f>
        <x:v>125.89254117941675</x:v>
      </x:c>
      <x:c r="U40" s="31" t="n">
        <x:f>IF(T40="","",I40*T40)</x:f>
        <x:v>98.36738721382821</x:v>
      </x:c>
    </x:row>
    <x:row r="41" ht="18" customHeight="1">
      <x:c r="A41" s="24" t="str">
        <x:v>EEZ_931</x:v>
      </x:c>
      <x:c r="B41" s="24" t="str">
        <x:v>Denmark (Baltic Sea)</x:v>
      </x:c>
      <x:c r="C41" s="24" t="str">
        <x:v>EEZ</x:v>
      </x:c>
      <x:c r="D41" s="30" t="n">
        <x:v>2019</x:v>
      </x:c>
      <x:c r="E41" s="24" t="str">
        <x:v>Pollachius virens</x:v>
      </x:c>
      <x:c r="F41" s="24" t="str">
        <x:v>Saithe</x:v>
      </x:c>
      <x:c r="G41" s="24" t="str">
        <x:v>Large demersals (&gt;=90 cm)</x:v>
      </x:c>
      <x:c r="H41" s="24" t="str">
        <x:v>Cod-likes</x:v>
      </x:c>
      <x:c r="I41" s="31" t="n">
        <x:v>0.37372033619999995</x:v>
      </x:c>
      <x:c r="J41" s="31" t="n">
        <x:v>0.3674425828</x:v>
      </x:c>
      <x:c r="K41" s="31" t="n">
        <x:v>0.0062777534</x:v>
      </x:c>
      <x:c r="L41" s="31" t="n">
        <x:v>0.3585355536</x:v>
      </x:c>
      <x:c r="M41" s="31" t="n">
        <x:v>0.0151847826</x:v>
      </x:c>
      <x:c r="N41" s="24" t="str">
        <x:v>pollachius virens</x:v>
      </x:c>
      <x:c r="O41" s="32" t="n">
        <x:v>4.31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Pollachius virens</x:v>
      </x:c>
      <x:c r="T41" s="32" t="n">
        <x:f>IF(O41="","",(1/'Metadata'!$B$5)^(O41-1))</x:f>
        <x:v>2041.7379446695275</x:v>
      </x:c>
      <x:c r="U41" s="31" t="n">
        <x:f>IF(T41="","",I41*T41)</x:f>
        <x:v>763.0389911141926</x:v>
      </x:c>
    </x:row>
    <x:row r="42" ht="18" customHeight="1">
      <x:c r="A42" s="24" t="str">
        <x:v>EEZ_931</x:v>
      </x:c>
      <x:c r="B42" s="24" t="str">
        <x:v>Denmark (Baltic Sea)</x:v>
      </x:c>
      <x:c r="C42" s="24" t="str">
        <x:v>EEZ</x:v>
      </x:c>
      <x:c r="D42" s="30" t="n">
        <x:v>2019</x:v>
      </x:c>
      <x:c r="E42" s="24" t="str">
        <x:v>Osteichthyes</x:v>
      </x:c>
      <x:c r="F42" s="24" t="str">
        <x:v>Bony fishes</x:v>
      </x:c>
      <x:c r="G42" s="24" t="str">
        <x:v>Medium demersals (30 - 89 cm)</x:v>
      </x:c>
      <x:c r="H42" s="24" t="str">
        <x:v>Other fishes &amp; inverts</x:v>
      </x:c>
      <x:c r="I42" s="31" t="n">
        <x:v>0.2509089626</x:v>
      </x:c>
      <x:c r="J42" s="31" t="n">
        <x:v>0.2471813924</x:v>
      </x:c>
      <x:c r="K42" s="31" t="n">
        <x:v>0.0037275702</x:v>
      </x:c>
      <x:c r="L42" s="31" t="n">
        <x:v>0.2455104437</x:v>
      </x:c>
      <x:c r="M42" s="31" t="n">
        <x:v>0.0053985189000000005</x:v>
      </x:c>
      <x:c r="N42" s="24" t="str">
        <x:v>osteichthyes</x:v>
      </x:c>
      <x:c r="O42" s="32" t="n">
        <x:v>3.79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Osteichthyes</x:v>
      </x:c>
      <x:c r="T42" s="32" t="n">
        <x:f>IF(O42="","",(1/'Metadata'!$B$5)^(O42-1))</x:f>
        <x:v>616.5950018614822</x:v>
      </x:c>
      <x:c r="U42" s="31" t="n">
        <x:f>IF(T42="","",I42*T42)</x:f>
        <x:v>154.70921226140956</x:v>
      </x:c>
    </x:row>
    <x:row r="43" ht="18" customHeight="1">
      <x:c r="A43" s="24" t="str">
        <x:v>EEZ_931</x:v>
      </x:c>
      <x:c r="B43" s="24" t="str">
        <x:v>Denmark (Baltic Sea)</x:v>
      </x:c>
      <x:c r="C43" s="24" t="str">
        <x:v>EEZ</x:v>
      </x:c>
      <x:c r="D43" s="30" t="n">
        <x:v>2019</x:v>
      </x:c>
      <x:c r="E43" s="24" t="str">
        <x:v>Engraulis encrasicolus</x:v>
      </x:c>
      <x:c r="F43" s="24" t="str">
        <x:v>European anchovy</x:v>
      </x:c>
      <x:c r="G43" s="24" t="str">
        <x:v>Small pelagics (&lt;30 cm)</x:v>
      </x:c>
      <x:c r="H43" s="24" t="str">
        <x:v>Anchovies</x:v>
      </x:c>
      <x:c r="I43" s="31" t="n">
        <x:v>0.2247596604</x:v>
      </x:c>
      <x:c r="J43" s="31" t="n">
        <x:v>0.1687603764</x:v>
      </x:c>
      <x:c r="K43" s="31" t="n">
        <x:v>0.055999284</x:v>
      </x:c>
      <x:c r="L43" s="31" t="n">
        <x:v>0</x:v>
      </x:c>
      <x:c r="M43" s="31" t="n">
        <x:v>0.2247596604</x:v>
      </x:c>
      <x:c r="N43" s="24" t="str">
        <x:v>engraulis encrasicolus</x:v>
      </x:c>
      <x:c r="O43" s="32" t="n">
        <x:v>3.11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Engraulis encrasicolus</x:v>
      </x:c>
      <x:c r="T43" s="32" t="n">
        <x:f>IF(O43="","",(1/'Metadata'!$B$5)^(O43-1))</x:f>
        <x:v>128.82495516931337</x:v>
      </x:c>
      <x:c r="U43" s="31" t="n">
        <x:f>IF(T43="","",I43*T43)</x:f>
        <x:v>28.9546531749001</x:v>
      </x:c>
    </x:row>
    <x:row r="44" ht="18" customHeight="1">
      <x:c r="A44" s="24" t="str">
        <x:v>EEZ_931</x:v>
      </x:c>
      <x:c r="B44" s="24" t="str">
        <x:v>Denmark (Baltic Sea)</x:v>
      </x:c>
      <x:c r="C44" s="24" t="str">
        <x:v>EEZ</x:v>
      </x:c>
      <x:c r="D44" s="30" t="n">
        <x:v>2019</x:v>
      </x:c>
      <x:c r="E44" s="24" t="str">
        <x:v>Mugilidae</x:v>
      </x:c>
      <x:c r="F44" s="24" t="str">
        <x:v>Mullets, grey mullets</x:v>
      </x:c>
      <x:c r="G44" s="24" t="str">
        <x:v>Medium reef assoc. fish (30 - 89 cm)</x:v>
      </x:c>
      <x:c r="H44" s="24" t="str">
        <x:v>Perch-likes</x:v>
      </x:c>
      <x:c r="I44" s="31" t="n">
        <x:v>0.2033509354</x:v>
      </x:c>
      <x:c r="J44" s="31" t="n">
        <x:v>0.0897225886</x:v>
      </x:c>
      <x:c r="K44" s="31" t="n">
        <x:v>0.1136283468</x:v>
      </x:c>
      <x:c r="L44" s="31" t="n">
        <x:v>0</x:v>
      </x:c>
      <x:c r="M44" s="31" t="n">
        <x:v>0.2033509354</x:v>
      </x:c>
      <x:c r="N44" s="24" t="str">
        <x:v>mugilidae</x:v>
      </x:c>
      <x:c r="O44" s="32" t="n">
        <x:v>2.53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Mugilidae</x:v>
      </x:c>
      <x:c r="T44" s="32" t="n">
        <x:f>IF(O44="","",(1/'Metadata'!$B$5)^(O44-1))</x:f>
        <x:v>33.88441561392024</x:v>
      </x:c>
      <x:c r="U44" s="31" t="n">
        <x:f>IF(T44="","",I44*T44)</x:f>
        <x:v>6.890427610573045</x:v>
      </x:c>
    </x:row>
    <x:row r="45" ht="18" customHeight="1">
      <x:c r="A45" s="24" t="str">
        <x:v>EEZ_931</x:v>
      </x:c>
      <x:c r="B45" s="24" t="str">
        <x:v>Denmark (Baltic Sea)</x:v>
      </x:c>
      <x:c r="C45" s="24" t="str">
        <x:v>EEZ</x:v>
      </x:c>
      <x:c r="D45" s="30" t="n">
        <x:v>2019</x:v>
      </x:c>
      <x:c r="E45" s="24" t="str">
        <x:v>Melanogrammus aeglefinus</x:v>
      </x:c>
      <x:c r="F45" s="24" t="str">
        <x:v>Haddock</x:v>
      </x:c>
      <x:c r="G45" s="24" t="str">
        <x:v>Medium demersals (30 - 89 cm)</x:v>
      </x:c>
      <x:c r="H45" s="24" t="str">
        <x:v>Cod-likes</x:v>
      </x:c>
      <x:c r="I45" s="31" t="n">
        <x:v>0.2032642932</x:v>
      </x:c>
      <x:c r="J45" s="31" t="n">
        <x:v>0.158107124</x:v>
      </x:c>
      <x:c r="K45" s="31" t="n">
        <x:v>0.0451571692</x:v>
      </x:c>
      <x:c r="L45" s="31" t="n">
        <x:v>0.0958592387</x:v>
      </x:c>
      <x:c r="M45" s="31" t="n">
        <x:v>0.1074050545</x:v>
      </x:c>
      <x:c r="N45" s="24" t="str">
        <x:v>melanogrammus aeglefinus</x:v>
      </x:c>
      <x:c r="O45" s="32" t="n">
        <x:v>4.03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Melanogrammus aeglefinus</x:v>
      </x:c>
      <x:c r="T45" s="32" t="n">
        <x:f>IF(O45="","",(1/'Metadata'!$B$5)^(O45-1))</x:f>
        <x:v>1071.519305237607</x:v>
      </x:c>
      <x:c r="U45" s="31" t="n">
        <x:f>IF(T45="","",I45*T45)</x:f>
        <x:v>217.80161422927728</x:v>
      </x:c>
    </x:row>
    <x:row r="46" ht="18" customHeight="1">
      <x:c r="A46" s="24" t="str">
        <x:v>EEZ_931</x:v>
      </x:c>
      <x:c r="B46" s="24" t="str">
        <x:v>Denmark (Baltic Sea)</x:v>
      </x:c>
      <x:c r="C46" s="24" t="str">
        <x:v>EEZ</x:v>
      </x:c>
      <x:c r="D46" s="30" t="n">
        <x:v>2019</x:v>
      </x:c>
      <x:c r="E46" s="24" t="str">
        <x:v>Hippoglossoides platessoides</x:v>
      </x:c>
      <x:c r="F46" s="24" t="str">
        <x:v>American plaice</x:v>
      </x:c>
      <x:c r="G46" s="24" t="str">
        <x:v>Small to medium flatfishes (&lt;90 cm)</x:v>
      </x:c>
      <x:c r="H46" s="24" t="str">
        <x:v>Flatfishes</x:v>
      </x:c>
      <x:c r="I46" s="31" t="n">
        <x:v>0.078925628</x:v>
      </x:c>
      <x:c r="J46" s="31" t="n">
        <x:v>0.0266702277</x:v>
      </x:c>
      <x:c r="K46" s="31" t="n">
        <x:v>0.0522554003</x:v>
      </x:c>
      <x:c r="L46" s="31" t="n">
        <x:v>0</x:v>
      </x:c>
      <x:c r="M46" s="31" t="n">
        <x:v>0.078925628</x:v>
      </x:c>
      <x:c r="N46" s="24" t="str">
        <x:v>hippoglossoides platessoides</x:v>
      </x:c>
      <x:c r="O46" s="32" t="n">
        <x:v>4.08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Hippoglossoides platessoides</x:v>
      </x:c>
      <x:c r="T46" s="32" t="n">
        <x:f>IF(O46="","",(1/'Metadata'!$B$5)^(O46-1))</x:f>
        <x:v>1202.2644346174131</x:v>
      </x:c>
      <x:c r="U46" s="31" t="n">
        <x:f>IF(T46="","",I46*T46)</x:f>
        <x:v>94.88947552424428</x:v>
      </x:c>
    </x:row>
    <x:row r="47" ht="18" customHeight="1">
      <x:c r="A47" s="24" t="str">
        <x:v>EEZ_931</x:v>
      </x:c>
      <x:c r="B47" s="24" t="str">
        <x:v>Denmark (Baltic Sea)</x:v>
      </x:c>
      <x:c r="C47" s="24" t="str">
        <x:v>EEZ</x:v>
      </x:c>
      <x:c r="D47" s="30" t="n">
        <x:v>2019</x:v>
      </x:c>
      <x:c r="E47" s="24" t="str">
        <x:v>Salmo</x:v>
      </x:c>
      <x:c r="F47" s="24" t="str">
        <x:v>Trouts</x:v>
      </x:c>
      <x:c r="G47" s="24" t="str">
        <x:v>Large benthopelagics (&gt;=90 cm)</x:v>
      </x:c>
      <x:c r="H47" s="24" t="str">
        <x:v>Salmon, smelts, etc</x:v>
      </x:c>
      <x:c r="I47" s="31" t="n">
        <x:v>0.0662610549</x:v>
      </x:c>
      <x:c r="J47" s="31" t="n">
        <x:v>0.0001360008</x:v>
      </x:c>
      <x:c r="K47" s="31" t="n">
        <x:v>0.0661250541</x:v>
      </x:c>
      <x:c r="L47" s="31" t="n">
        <x:v>0</x:v>
      </x:c>
      <x:c r="M47" s="31" t="n">
        <x:v>0.0662610549</x:v>
      </x:c>
      <x:c r="N47" s="24" t="str">
        <x:v>salmo</x:v>
      </x:c>
      <x:c r="O47" s="32" t="n">
        <x:v>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Salmo</x:v>
      </x:c>
      <x:c r="T47" s="32" t="n">
        <x:f>IF(O47="","",(1/'Metadata'!$B$5)^(O47-1))</x:f>
        <x:v>1000</x:v>
      </x:c>
      <x:c r="U47" s="31" t="n">
        <x:f>IF(T47="","",I47*T47)</x:f>
        <x:v>66.2610549</x:v>
      </x:c>
    </x:row>
    <x:row r="48" ht="18" customHeight="1">
      <x:c r="A48" s="24" t="str">
        <x:v>EEZ_931</x:v>
      </x:c>
      <x:c r="B48" s="24" t="str">
        <x:v>Denmark (Baltic Sea)</x:v>
      </x:c>
      <x:c r="C48" s="24" t="str">
        <x:v>EEZ</x:v>
      </x:c>
      <x:c r="D48" s="30" t="n">
        <x:v>2019</x:v>
      </x:c>
      <x:c r="E48" s="24" t="str">
        <x:v>Silurus glanis</x:v>
      </x:c>
      <x:c r="F48" s="24" t="str">
        <x:v>Wels catfish</x:v>
      </x:c>
      <x:c r="G48" s="24" t="str">
        <x:v>Large demersals (&gt;=90 cm)</x:v>
      </x:c>
      <x:c r="H48" s="24" t="str">
        <x:v>Other fishes &amp; inverts</x:v>
      </x:c>
      <x:c r="I48" s="31" t="n">
        <x:v>0.058751701600000004</x:v>
      </x:c>
      <x:c r="J48" s="31" t="n">
        <x:v>0.058751701600000004</x:v>
      </x:c>
      <x:c r="K48" s="31" t="n">
        <x:v>0</x:v>
      </x:c>
      <x:c r="L48" s="31" t="n">
        <x:v>0.0152189976</x:v>
      </x:c>
      <x:c r="M48" s="31" t="n">
        <x:v>0.043532704000000005</x:v>
      </x:c>
      <x:c r="N48" s="24" t="str">
        <x:v>silurus glanis</x:v>
      </x:c>
      <x:c r="O48" s="32" t="n">
        <x:v>4.36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Silurus glanis</x:v>
      </x:c>
      <x:c r="T48" s="32" t="n">
        <x:f>IF(O48="","",(1/'Metadata'!$B$5)^(O48-1))</x:f>
        <x:v>2290.867652767775</x:v>
      </x:c>
      <x:c r="U48" s="31" t="n">
        <x:f>IF(T48="","",I48*T48)</x:f>
        <x:v>134.59237274050474</x:v>
      </x:c>
    </x:row>
    <x:row r="49" ht="18" customHeight="1">
      <x:c r="A49" s="24" t="str">
        <x:v>EEZ_931</x:v>
      </x:c>
      <x:c r="B49" s="24" t="str">
        <x:v>Denmark (Baltic Sea)</x:v>
      </x:c>
      <x:c r="C49" s="24" t="str">
        <x:v>EEZ</x:v>
      </x:c>
      <x:c r="D49" s="30" t="n">
        <x:v>2019</x:v>
      </x:c>
      <x:c r="E49" s="24" t="str">
        <x:v>Anarhichas</x:v>
      </x:c>
      <x:c r="F49" s="24" t="str">
        <x:v>Wolffishes</x:v>
      </x:c>
      <x:c r="G49" s="24" t="str">
        <x:v>Large demersals (&gt;=90 cm)</x:v>
      </x:c>
      <x:c r="H49" s="24" t="str">
        <x:v>Perch-likes</x:v>
      </x:c>
      <x:c r="I49" s="31" t="n">
        <x:v>0.0527553176</x:v>
      </x:c>
      <x:c r="J49" s="31" t="n">
        <x:v>0.0310309738</x:v>
      </x:c>
      <x:c r="K49" s="31" t="n">
        <x:v>0.021724343799999997</x:v>
      </x:c>
      <x:c r="L49" s="31" t="n">
        <x:v>0.0035</x:v>
      </x:c>
      <x:c r="M49" s="31" t="n">
        <x:v>0.0492553176</x:v>
      </x:c>
      <x:c r="N49" s="24" t="str">
        <x:v>anarhichas</x:v>
      </x:c>
      <x:c r="O49" s="32" t="n">
        <x:v>3.35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Anarhichas</x:v>
      </x:c>
      <x:c r="T49" s="32" t="n">
        <x:f>IF(O49="","",(1/'Metadata'!$B$5)^(O49-1))</x:f>
        <x:v>223.872113856834</x:v>
      </x:c>
      <x:c r="U49" s="31" t="n">
        <x:f>IF(T49="","",I49*T49)</x:f>
        <x:v>11.810444468300638</x:v>
      </x:c>
    </x:row>
    <x:row r="50" ht="18" customHeight="1">
      <x:c r="A50" s="24" t="str">
        <x:v>EEZ_931</x:v>
      </x:c>
      <x:c r="B50" s="24" t="str">
        <x:v>Denmark (Baltic Sea)</x:v>
      </x:c>
      <x:c r="C50" s="24" t="str">
        <x:v>EEZ</x:v>
      </x:c>
      <x:c r="D50" s="30" t="n">
        <x:v>2019</x:v>
      </x:c>
      <x:c r="E50" s="24" t="str">
        <x:v>Pollachius pollachius</x:v>
      </x:c>
      <x:c r="F50" s="24" t="str">
        <x:v>Pollack</x:v>
      </x:c>
      <x:c r="G50" s="24" t="str">
        <x:v>Large benthopelagics (&gt;=90 cm)</x:v>
      </x:c>
      <x:c r="H50" s="24" t="str">
        <x:v>Cod-likes</x:v>
      </x:c>
      <x:c r="I50" s="31" t="n">
        <x:v>0.0472198849</x:v>
      </x:c>
      <x:c r="J50" s="31" t="n">
        <x:v>0.0315189466</x:v>
      </x:c>
      <x:c r="K50" s="31" t="n">
        <x:v>0.0157009383</x:v>
      </x:c>
      <x:c r="L50" s="31" t="n">
        <x:v>0.0045</x:v>
      </x:c>
      <x:c r="M50" s="31" t="n">
        <x:v>0.042719884900000005</x:v>
      </x:c>
      <x:c r="N50" s="24" t="str">
        <x:v>pollachius pollachius</x:v>
      </x:c>
      <x:c r="O50" s="32" t="n">
        <x:v>4.32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Pollachius pollachius</x:v>
      </x:c>
      <x:c r="T50" s="32" t="n">
        <x:f>IF(O50="","",(1/'Metadata'!$B$5)^(O50-1))</x:f>
        <x:v>2089.2961308540407</x:v>
      </x:c>
      <x:c r="U50" s="31" t="n">
        <x:f>IF(T50="","",I50*T50)</x:f>
        <x:v>98.65632282094315</x:v>
      </x:c>
    </x:row>
    <x:row r="51" ht="18" customHeight="1">
      <x:c r="A51" s="24" t="str">
        <x:v>EEZ_931</x:v>
      </x:c>
      <x:c r="B51" s="24" t="str">
        <x:v>Denmark (Baltic Sea)</x:v>
      </x:c>
      <x:c r="C51" s="24" t="str">
        <x:v>EEZ</x:v>
      </x:c>
      <x:c r="D51" s="30" t="n">
        <x:v>2019</x:v>
      </x:c>
      <x:c r="E51" s="24" t="str">
        <x:v>Zoarces viviparus</x:v>
      </x:c>
      <x:c r="F51" s="24" t="str">
        <x:v>Eelpout</x:v>
      </x:c>
      <x:c r="G51" s="24" t="str">
        <x:v>Medium demersals (30 - 89 cm)</x:v>
      </x:c>
      <x:c r="H51" s="24" t="str">
        <x:v>Perch-likes</x:v>
      </x:c>
      <x:c r="I51" s="31" t="n">
        <x:v>0.046321244</x:v>
      </x:c>
      <x:c r="J51" s="31" t="n">
        <x:v>0.0185722867</x:v>
      </x:c>
      <x:c r="K51" s="31" t="n">
        <x:v>0.027748957299999998</x:v>
      </x:c>
      <x:c r="L51" s="31" t="n">
        <x:v>0</x:v>
      </x:c>
      <x:c r="M51" s="31" t="n">
        <x:v>0.046321244</x:v>
      </x:c>
      <x:c r="N51" s="24" t="str">
        <x:v>zoarces viviparus</x:v>
      </x:c>
      <x:c r="O51" s="32" t="n">
        <x:v>3.47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Zoarces viviparus</x:v>
      </x:c>
      <x:c r="T51" s="32" t="n">
        <x:f>IF(O51="","",(1/'Metadata'!$B$5)^(O51-1))</x:f>
        <x:v>295.1209226666387</x:v>
      </x:c>
      <x:c r="U51" s="31" t="n">
        <x:f>IF(T51="","",I51*T51)</x:f>
        <x:v>13.670368268346502</x:v>
      </x:c>
    </x:row>
    <x:row r="52" ht="18" customHeight="1">
      <x:c r="A52" s="24" t="str">
        <x:v>EEZ_931</x:v>
      </x:c>
      <x:c r="B52" s="24" t="str">
        <x:v>Denmark (Baltic Sea)</x:v>
      </x:c>
      <x:c r="C52" s="24" t="str">
        <x:v>EEZ</x:v>
      </x:c>
      <x:c r="D52" s="30" t="n">
        <x:v>2019</x:v>
      </x:c>
      <x:c r="E52" s="24" t="str">
        <x:v>Anarhichas lupus</x:v>
      </x:c>
      <x:c r="F52" s="24" t="str">
        <x:v>Atlantic wolffish</x:v>
      </x:c>
      <x:c r="G52" s="24" t="str">
        <x:v>Large demersals (&gt;=90 cm)</x:v>
      </x:c>
      <x:c r="H52" s="24" t="str">
        <x:v>Perch-likes</x:v>
      </x:c>
      <x:c r="I52" s="31" t="n">
        <x:v>0.0210230939</x:v>
      </x:c>
      <x:c r="J52" s="31" t="n">
        <x:v>0.0140999295</x:v>
      </x:c>
      <x:c r="K52" s="31" t="n">
        <x:v>0.0069231644</x:v>
      </x:c>
      <x:c r="L52" s="31" t="n">
        <x:v>0</x:v>
      </x:c>
      <x:c r="M52" s="31" t="n">
        <x:v>0.0210230939</x:v>
      </x:c>
      <x:c r="N52" s="24" t="str">
        <x:v>anarhichas lupus</x:v>
      </x:c>
      <x:c r="O52" s="32" t="n">
        <x:v>3.55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Anarhichas lupus</x:v>
      </x:c>
      <x:c r="T52" s="32" t="n">
        <x:f>IF(O52="","",(1/'Metadata'!$B$5)^(O52-1))</x:f>
        <x:v>354.8133892335753</x:v>
      </x:c>
      <x:c r="U52" s="31" t="n">
        <x:f>IF(T52="","",I52*T52)</x:f>
        <x:v>7.459275198834703</x:v>
      </x:c>
    </x:row>
    <x:row r="53" ht="18" customHeight="1">
      <x:c r="A53" s="24" t="str">
        <x:v>EEZ_931</x:v>
      </x:c>
      <x:c r="B53" s="24" t="str">
        <x:v>Denmark (Baltic Sea)</x:v>
      </x:c>
      <x:c r="C53" s="24" t="str">
        <x:v>EEZ</x:v>
      </x:c>
      <x:c r="D53" s="30" t="n">
        <x:v>2019</x:v>
      </x:c>
      <x:c r="E53" s="24" t="str">
        <x:v>Osmerus eperlanus</x:v>
      </x:c>
      <x:c r="F53" s="24" t="str">
        <x:v>European smelt</x:v>
      </x:c>
      <x:c r="G53" s="24" t="str">
        <x:v>Medium pelagics (30 - 89 cm)</x:v>
      </x:c>
      <x:c r="H53" s="24" t="str">
        <x:v>Salmon, smelts, etc</x:v>
      </x:c>
      <x:c r="I53" s="31" t="n">
        <x:v>0.019015881000000002</x:v>
      </x:c>
      <x:c r="J53" s="31" t="n">
        <x:v>0.0188332568</x:v>
      </x:c>
      <x:c r="K53" s="31" t="n">
        <x:v>0.0001826242</x:v>
      </x:c>
      <x:c r="L53" s="31" t="n">
        <x:v>0</x:v>
      </x:c>
      <x:c r="M53" s="31" t="n">
        <x:v>0.019015881000000002</x:v>
      </x:c>
      <x:c r="N53" s="24" t="str">
        <x:v>osmerus eperlanus</x:v>
      </x:c>
      <x:c r="O53" s="32" t="n">
        <x:v>3.46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Osmerus eperlanus</x:v>
      </x:c>
      <x:c r="T53" s="32" t="n">
        <x:f>IF(O53="","",(1/'Metadata'!$B$5)^(O53-1))</x:f>
        <x:v>288.40315031266056</x:v>
      </x:c>
      <x:c r="U53" s="31" t="n">
        <x:f>IF(T53="","",I53*T53)</x:f>
        <x:v>5.484239986370667</x:v>
      </x:c>
    </x:row>
    <x:row r="54" ht="18" customHeight="1">
      <x:c r="A54" s="24" t="str">
        <x:v>EEZ_931</x:v>
      </x:c>
      <x:c r="B54" s="24" t="str">
        <x:v>Denmark (Baltic Sea)</x:v>
      </x:c>
      <x:c r="C54" s="24" t="str">
        <x:v>EEZ</x:v>
      </x:c>
      <x:c r="D54" s="30" t="n">
        <x:v>2019</x:v>
      </x:c>
      <x:c r="E54" s="24" t="str">
        <x:v>Leuciscus idus</x:v>
      </x:c>
      <x:c r="F54" s="24" t="str">
        <x:v>Ide</x:v>
      </x:c>
      <x:c r="G54" s="24" t="str">
        <x:v>Medium benthopelagics (30 - 89 cm)</x:v>
      </x:c>
      <x:c r="H54" s="24" t="str">
        <x:v>Other fishes &amp; inverts</x:v>
      </x:c>
      <x:c r="I54" s="31" t="n">
        <x:v>0.0181390567</x:v>
      </x:c>
      <x:c r="J54" s="31" t="n">
        <x:v>0.0122030086</x:v>
      </x:c>
      <x:c r="K54" s="31" t="n">
        <x:v>0.0059360481</x:v>
      </x:c>
      <x:c r="L54" s="31" t="n">
        <x:v>0</x:v>
      </x:c>
      <x:c r="M54" s="31" t="n">
        <x:v>0.0181390567</x:v>
      </x:c>
      <x:c r="N54" s="24" t="str">
        <x:v>leuciscus idus</x:v>
      </x:c>
      <x:c r="O54" s="32" t="n">
        <x:v>3.79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Leuciscus idus</x:v>
      </x:c>
      <x:c r="T54" s="32" t="n">
        <x:f>IF(O54="","",(1/'Metadata'!$B$5)^(O54-1))</x:f>
        <x:v>616.5950018614822</x:v>
      </x:c>
      <x:c r="U54" s="31" t="n">
        <x:f>IF(T54="","",I54*T54)</x:f>
        <x:v>11.18445169970203</x:v>
      </x:c>
    </x:row>
    <x:row r="55" ht="18" customHeight="1">
      <x:c r="A55" s="24" t="str">
        <x:v>EEZ_931</x:v>
      </x:c>
      <x:c r="B55" s="24" t="str">
        <x:v>Denmark (Baltic Sea)</x:v>
      </x:c>
      <x:c r="C55" s="24" t="str">
        <x:v>EEZ</x:v>
      </x:c>
      <x:c r="D55" s="30" t="n">
        <x:v>2019</x:v>
      </x:c>
      <x:c r="E55" s="24" t="str">
        <x:v>Nephrops norvegicus</x:v>
      </x:c>
      <x:c r="F55" s="24" t="str">
        <x:v>Norway lobster</x:v>
      </x:c>
      <x:c r="G55" s="24" t="str">
        <x:v>Lobsters, crabs</x:v>
      </x:c>
      <x:c r="H55" s="24" t="str">
        <x:v>Crustaceans</x:v>
      </x:c>
      <x:c r="I55" s="31" t="n">
        <x:v>0.0157962444</x:v>
      </x:c>
      <x:c r="J55" s="31" t="n">
        <x:v>0.0097531562</x:v>
      </x:c>
      <x:c r="K55" s="31" t="n">
        <x:v>0.0060430881999999995</x:v>
      </x:c>
      <x:c r="L55" s="31" t="n">
        <x:v>0</x:v>
      </x:c>
      <x:c r="M55" s="31" t="n">
        <x:v>0.0157962444</x:v>
      </x:c>
      <x:c r="N55" s="24" t="str">
        <x:v>nephrops norvegicus</x:v>
      </x:c>
      <x:c r="O55" s="32" t="n">
        <x:v>2.87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Nephrops norvegicus</x:v>
      </x:c>
      <x:c r="T55" s="32" t="n">
        <x:f>IF(O55="","",(1/'Metadata'!$B$5)^(O55-1))</x:f>
        <x:v>74.13102413009177</x:v>
      </x:c>
      <x:c r="U55" s="31" t="n">
        <x:f>IF(T55="","",I55*T55)</x:f>
        <x:v>1.170991774781227</x:v>
      </x:c>
    </x:row>
    <x:row r="56" ht="18" customHeight="1">
      <x:c r="A56" s="24" t="str">
        <x:v>EEZ_931</x:v>
      </x:c>
      <x:c r="B56" s="24" t="str">
        <x:v>Denmark (Baltic Sea)</x:v>
      </x:c>
      <x:c r="C56" s="24" t="str">
        <x:v>EEZ</x:v>
      </x:c>
      <x:c r="D56" s="30" t="n">
        <x:v>2019</x:v>
      </x:c>
      <x:c r="E56" s="24" t="str">
        <x:v>Triglidae</x:v>
      </x:c>
      <x:c r="F56" s="24" t="str">
        <x:v>Searobins, gurnards</x:v>
      </x:c>
      <x:c r="G56" s="24" t="str">
        <x:v>Medium demersals (30 - 89 cm)</x:v>
      </x:c>
      <x:c r="H56" s="24" t="str">
        <x:v>Scorpionfishes</x:v>
      </x:c>
      <x:c r="I56" s="31" t="n">
        <x:v>0.0136900783</x:v>
      </x:c>
      <x:c r="J56" s="31" t="n">
        <x:v>0.0084527352</x:v>
      </x:c>
      <x:c r="K56" s="31" t="n">
        <x:v>0.0052373431</x:v>
      </x:c>
      <x:c r="L56" s="31" t="n">
        <x:v>0</x:v>
      </x:c>
      <x:c r="M56" s="31" t="n">
        <x:v>0.0136900783</x:v>
      </x:c>
      <x:c r="N56" s="24" t="str">
        <x:v>triglidae</x:v>
      </x:c>
      <x:c r="O56" s="32" t="n">
        <x:v>3.74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Triglidae</x:v>
      </x:c>
      <x:c r="T56" s="32" t="n">
        <x:f>IF(O56="","",(1/'Metadata'!$B$5)^(O56-1))</x:f>
        <x:v>549.5408738576248</x:v>
      </x:c>
      <x:c r="U56" s="31" t="n">
        <x:f>IF(T56="","",I56*T56)</x:f>
        <x:v>7.523257592161307</x:v>
      </x:c>
    </x:row>
    <x:row r="57" ht="18" customHeight="1">
      <x:c r="A57" s="24" t="str">
        <x:v>EEZ_931</x:v>
      </x:c>
      <x:c r="B57" s="24" t="str">
        <x:v>Denmark (Baltic Sea)</x:v>
      </x:c>
      <x:c r="C57" s="24" t="str">
        <x:v>EEZ</x:v>
      </x:c>
      <x:c r="D57" s="30" t="n">
        <x:v>2019</x:v>
      </x:c>
      <x:c r="E57" s="24" t="str">
        <x:v>Merluccius merluccius</x:v>
      </x:c>
      <x:c r="F57" s="24" t="str">
        <x:v>European hake</x:v>
      </x:c>
      <x:c r="G57" s="24" t="str">
        <x:v>Large demersals (&gt;=90 cm)</x:v>
      </x:c>
      <x:c r="H57" s="24" t="str">
        <x:v>Cod-likes</x:v>
      </x:c>
      <x:c r="I57" s="31" t="n">
        <x:v>0.011419797899999999</x:v>
      </x:c>
      <x:c r="J57" s="31" t="n">
        <x:v>0.0070918492</x:v>
      </x:c>
      <x:c r="K57" s="31" t="n">
        <x:v>0.0043279487</x:v>
      </x:c>
      <x:c r="L57" s="31" t="n">
        <x:v>0</x:v>
      </x:c>
      <x:c r="M57" s="31" t="n">
        <x:v>0.011419797899999999</x:v>
      </x:c>
      <x:c r="N57" s="24" t="str">
        <x:v>merluccius merluccius</x:v>
      </x:c>
      <x:c r="O57" s="32" t="n">
        <x:v>4.42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Merluccius merluccius</x:v>
      </x:c>
      <x:c r="T57" s="32" t="n">
        <x:f>IF(O57="","",(1/'Metadata'!$B$5)^(O57-1))</x:f>
        <x:v>2630.2679918953813</x:v>
      </x:c>
      <x:c r="U57" s="31" t="n">
        <x:f>IF(T57="","",I57*T57)</x:f>
        <x:v>30.03712889028409</x:v>
      </x:c>
    </x:row>
    <x:row r="58" ht="18" customHeight="1">
      <x:c r="A58" s="24" t="str">
        <x:v>EEZ_931</x:v>
      </x:c>
      <x:c r="B58" s="24" t="str">
        <x:v>Denmark (Baltic Sea)</x:v>
      </x:c>
      <x:c r="C58" s="24" t="str">
        <x:v>EEZ</x:v>
      </x:c>
      <x:c r="D58" s="30" t="n">
        <x:v>2019</x:v>
      </x:c>
      <x:c r="E58" s="24" t="str">
        <x:v>Eutrigla gurnardus</x:v>
      </x:c>
      <x:c r="F58" s="24" t="str">
        <x:v>Grey gurnard</x:v>
      </x:c>
      <x:c r="G58" s="24" t="str">
        <x:v>Medium demersals (30 - 89 cm)</x:v>
      </x:c>
      <x:c r="H58" s="24" t="str">
        <x:v>Scorpionfishes</x:v>
      </x:c>
      <x:c r="I58" s="31" t="n">
        <x:v>0.0056832372999999995</x:v>
      </x:c>
      <x:c r="J58" s="31" t="n">
        <x:v>0.0035090303</x:v>
      </x:c>
      <x:c r="K58" s="31" t="n">
        <x:v>0.002174207</x:v>
      </x:c>
      <x:c r="L58" s="31" t="n">
        <x:v>0</x:v>
      </x:c>
      <x:c r="M58" s="31" t="n">
        <x:v>0.0056832372999999995</x:v>
      </x:c>
      <x:c r="N58" s="24" t="str">
        <x:v>eutrigla gurnardus</x:v>
      </x:c>
      <x:c r="O58" s="32" t="n">
        <x:v>3.87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Eutrigla gurnardus</x:v>
      </x:c>
      <x:c r="T58" s="32" t="n">
        <x:f>IF(O58="","",(1/'Metadata'!$B$5)^(O58-1))</x:f>
        <x:v>741.3102413009177</x:v>
      </x:c>
      <x:c r="U58" s="31" t="n">
        <x:f>IF(T58="","",I58*T58)</x:f>
        <x:v>4.213042014233376</x:v>
      </x:c>
    </x:row>
    <x:row r="59" ht="18" customHeight="1">
      <x:c r="A59" s="24" t="str">
        <x:v>EEZ_931</x:v>
      </x:c>
      <x:c r="B59" s="24" t="str">
        <x:v>Denmark (Baltic Sea)</x:v>
      </x:c>
      <x:c r="C59" s="24" t="str">
        <x:v>EEZ</x:v>
      </x:c>
      <x:c r="D59" s="30" t="n">
        <x:v>2019</x:v>
      </x:c>
      <x:c r="E59" s="24" t="str">
        <x:v>Gastropoda</x:v>
      </x:c>
      <x:c r="F59" s="24" t="str">
        <x:v>Sea snails</x:v>
      </x:c>
      <x:c r="G59" s="24" t="str">
        <x:v>Other demersal invertebrates</x:v>
      </x:c>
      <x:c r="H59" s="24" t="str">
        <x:v>Molluscs</x:v>
      </x:c>
      <x:c r="I59" s="31" t="n">
        <x:v>0.0044713393</x:v>
      </x:c>
      <x:c r="J59" s="31" t="n">
        <x:v>0.002760762</x:v>
      </x:c>
      <x:c r="K59" s="31" t="n">
        <x:v>0.0017105773000000001</x:v>
      </x:c>
      <x:c r="L59" s="31" t="n">
        <x:v>0</x:v>
      </x:c>
      <x:c r="M59" s="31" t="n">
        <x:v>0.0044713393</x:v>
      </x:c>
      <x:c r="N59" s="24" t="str">
        <x:v>gastropoda</x:v>
      </x:c>
      <x:c r="O59" s="32" t="n">
        <x:v>3.06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Gastropoda</x:v>
      </x:c>
      <x:c r="T59" s="32" t="n">
        <x:f>IF(O59="","",(1/'Metadata'!$B$5)^(O59-1))</x:f>
        <x:v>114.81536214968828</x:v>
      </x:c>
      <x:c r="U59" s="31" t="n">
        <x:f>IF(T59="","",I59*T59)</x:f>
        <x:v>0.5133784410236337</x:v>
      </x:c>
    </x:row>
    <x:row r="60" ht="18" customHeight="1">
      <x:c r="A60" s="24" t="str">
        <x:v>EEZ_931</x:v>
      </x:c>
      <x:c r="B60" s="24" t="str">
        <x:v>Denmark (Baltic Sea)</x:v>
      </x:c>
      <x:c r="C60" s="24" t="str">
        <x:v>EEZ</x:v>
      </x:c>
      <x:c r="D60" s="30" t="n">
        <x:v>2019</x:v>
      </x:c>
      <x:c r="E60" s="24" t="str">
        <x:v>Buglossidium luteum</x:v>
      </x:c>
      <x:c r="F60" s="24" t="str">
        <x:v>Solenette</x:v>
      </x:c>
      <x:c r="G60" s="24" t="str">
        <x:v>Small to medium flatfishes (&lt;90 cm)</x:v>
      </x:c>
      <x:c r="H60" s="24" t="str">
        <x:v>Flatfishes</x:v>
      </x:c>
      <x:c r="I60" s="31" t="n">
        <x:v>0.004</x:v>
      </x:c>
      <x:c r="J60" s="31" t="n">
        <x:v>0.004</x:v>
      </x:c>
      <x:c r="K60" s="31" t="n">
        <x:v>0</x:v>
      </x:c>
      <x:c r="L60" s="31" t="n">
        <x:v>0.004</x:v>
      </x:c>
      <x:c r="M60" s="31" t="n">
        <x:v>0</x:v>
      </x:c>
      <x:c r="N60" s="24" t="str">
        <x:v>buglossidium luteum</x:v>
      </x:c>
      <x:c r="O60" s="32" t="n">
        <x:v>3.31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Buglossidium luteum</x:v>
      </x:c>
      <x:c r="T60" s="32" t="n">
        <x:f>IF(O60="","",(1/'Metadata'!$B$5)^(O60-1))</x:f>
        <x:v>204.17379446695296</x:v>
      </x:c>
      <x:c r="U60" s="31" t="n">
        <x:f>IF(T60="","",I60*T60)</x:f>
        <x:v>0.8166951778678119</x:v>
      </x:c>
    </x:row>
    <x:row r="61" ht="18" customHeight="1">
      <x:c r="A61" s="24" t="str">
        <x:v>EEZ_931</x:v>
      </x:c>
      <x:c r="B61" s="24" t="str">
        <x:v>Denmark (Baltic Sea)</x:v>
      </x:c>
      <x:c r="C61" s="24" t="str">
        <x:v>EEZ</x:v>
      </x:c>
      <x:c r="D61" s="30" t="n">
        <x:v>2019</x:v>
      </x:c>
      <x:c r="E61" s="24" t="str">
        <x:v>Gymnocephalus cernua</x:v>
      </x:c>
      <x:c r="F61" s="24" t="str">
        <x:v>Ruffe</x:v>
      </x:c>
      <x:c r="G61" s="24" t="str">
        <x:v>Small demersals (&lt;30 cm)</x:v>
      </x:c>
      <x:c r="H61" s="24" t="str">
        <x:v>Perch-likes</x:v>
      </x:c>
      <x:c r="I61" s="31" t="n">
        <x:v>0.0032679989999999997</x:v>
      </x:c>
      <x:c r="J61" s="31" t="n">
        <x:v>0.0031057081</x:v>
      </x:c>
      <x:c r="K61" s="31" t="n">
        <x:v>0.0001622909</x:v>
      </x:c>
      <x:c r="L61" s="31" t="n">
        <x:v>0.0027803806</x:v>
      </x:c>
      <x:c r="M61" s="31" t="n">
        <x:v>0.0004876184</x:v>
      </x:c>
      <x:c r="N61" s="24" t="str">
        <x:v>gymnocephalus cernua</x:v>
      </x:c>
      <x:c r="O61" s="32" t="n">
        <x:v>3.32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Gymnocephalus cernua</x:v>
      </x:c>
      <x:c r="T61" s="32" t="n">
        <x:f>IF(O61="","",(1/'Metadata'!$B$5)^(O61-1))</x:f>
        <x:v>208.92961308540387</x:v>
      </x:c>
      <x:c r="U61" s="31" t="n">
        <x:f>IF(T61="","",I61*T61)</x:f>
        <x:v>0.6827817666334867</x:v>
      </x:c>
    </x:row>
    <x:row r="62" ht="18" customHeight="1">
      <x:c r="A62" s="24" t="str">
        <x:v>EEZ_931</x:v>
      </x:c>
      <x:c r="B62" s="24" t="str">
        <x:v>Denmark (Baltic Sea)</x:v>
      </x:c>
      <x:c r="C62" s="24" t="str">
        <x:v>EEZ</x:v>
      </x:c>
      <x:c r="D62" s="30" t="n">
        <x:v>2019</x:v>
      </x:c>
      <x:c r="E62" s="24" t="str">
        <x:v>Raja clavata</x:v>
      </x:c>
      <x:c r="F62" s="24" t="str">
        <x:v>Thornback ray</x:v>
      </x:c>
      <x:c r="G62" s="24" t="str">
        <x:v>Large rays (&gt;=90 cm)</x:v>
      </x:c>
      <x:c r="H62" s="24" t="str">
        <x:v>Sharks &amp; rays</x:v>
      </x:c>
      <x:c r="I62" s="31" t="n">
        <x:v>0.003</x:v>
      </x:c>
      <x:c r="J62" s="31" t="n">
        <x:v>0.003</x:v>
      </x:c>
      <x:c r="K62" s="31" t="n">
        <x:v>0</x:v>
      </x:c>
      <x:c r="L62" s="31" t="n">
        <x:v>0.003</x:v>
      </x:c>
      <x:c r="M62" s="31" t="n">
        <x:v>0</x:v>
      </x:c>
      <x:c r="N62" s="24" t="str">
        <x:v>raja clavata</x:v>
      </x:c>
      <x:c r="O62" s="32" t="n">
        <x:v>3.84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Raja clavata</x:v>
      </x:c>
      <x:c r="T62" s="32" t="n">
        <x:f>IF(O62="","",(1/'Metadata'!$B$5)^(O62-1))</x:f>
        <x:v>691.8309709189363</x:v>
      </x:c>
      <x:c r="U62" s="31" t="n">
        <x:f>IF(T62="","",I62*T62)</x:f>
        <x:v>2.075492912756809</x:v>
      </x:c>
    </x:row>
    <x:row r="63" ht="18" customHeight="1">
      <x:c r="A63" s="24" t="str">
        <x:v>EEZ_931</x:v>
      </x:c>
      <x:c r="B63" s="24" t="str">
        <x:v>Denmark (Baltic Sea)</x:v>
      </x:c>
      <x:c r="C63" s="24" t="str">
        <x:v>EEZ</x:v>
      </x:c>
      <x:c r="D63" s="30" t="n">
        <x:v>2019</x:v>
      </x:c>
      <x:c r="E63" s="24" t="str">
        <x:v>Squalus acanthias</x:v>
      </x:c>
      <x:c r="F63" s="24" t="str">
        <x:v>Picked dogfish</x:v>
      </x:c>
      <x:c r="G63" s="24" t="str">
        <x:v>Large sharks (&gt;=90 cm)</x:v>
      </x:c>
      <x:c r="H63" s="24" t="str">
        <x:v>Sharks &amp; rays</x:v>
      </x:c>
      <x:c r="I63" s="31" t="n">
        <x:v>0.0021061658</x:v>
      </x:c>
      <x:c r="J63" s="31" t="n">
        <x:v>0.0013004207999999999</x:v>
      </x:c>
      <x:c r="K63" s="31" t="n">
        <x:v>0.000805745</x:v>
      </x:c>
      <x:c r="L63" s="31" t="n">
        <x:v>0</x:v>
      </x:c>
      <x:c r="M63" s="31" t="n">
        <x:v>0.0021061658</x:v>
      </x:c>
      <x:c r="N63" s="24" t="str">
        <x:v>squalus acanthias</x:v>
      </x:c>
      <x:c r="O63" s="32" t="n">
        <x:v>4.37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Squalus acanthias</x:v>
      </x:c>
      <x:c r="T63" s="32" t="n">
        <x:f>IF(O63="","",(1/'Metadata'!$B$5)^(O63-1))</x:f>
        <x:v>2344.228815319923</x:v>
      </x:c>
      <x:c r="U63" s="31" t="n">
        <x:f>IF(T63="","",I63*T63)</x:f>
        <x:v>4.9373345582013375</x:v>
      </x:c>
    </x:row>
    <x:row r="64" ht="18" customHeight="1">
      <x:c r="A64" s="24" t="str">
        <x:v>EEZ_931</x:v>
      </x:c>
      <x:c r="B64" s="24" t="str">
        <x:v>Denmark (Baltic Sea)</x:v>
      </x:c>
      <x:c r="C64" s="24" t="str">
        <x:v>EEZ</x:v>
      </x:c>
      <x:c r="D64" s="30" t="n">
        <x:v>2019</x:v>
      </x:c>
      <x:c r="E64" s="24" t="str">
        <x:v>Acipenseridae</x:v>
      </x:c>
      <x:c r="F64" s="24" t="str">
        <x:v>Sturgeons</x:v>
      </x:c>
      <x:c r="G64" s="24" t="str">
        <x:v>Large demersals (&gt;=90 cm)</x:v>
      </x:c>
      <x:c r="H64" s="24" t="str">
        <x:v>Other fishes &amp; inverts</x:v>
      </x:c>
      <x:c r="I64" s="31" t="n">
        <x:v>0.0013780149</x:v>
      </x:c>
      <x:c r="J64" s="31" t="n">
        <x:v>0.0013764854</x:v>
      </x:c>
      <x:c r="K64" s="31" t="n">
        <x:v>0.0000015295</x:v>
      </x:c>
      <x:c r="L64" s="31" t="n">
        <x:v>0</x:v>
      </x:c>
      <x:c r="M64" s="31" t="n">
        <x:v>0.0013780149</x:v>
      </x:c>
      <x:c r="N64" s="24" t="str">
        <x:v>acipenseridae</x:v>
      </x:c>
      <x:c r="O64" s="32" t="n">
        <x:v>3.6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Acipenseridae</x:v>
      </x:c>
      <x:c r="T64" s="32" t="n">
        <x:f>IF(O64="","",(1/'Metadata'!$B$5)^(O64-1))</x:f>
        <x:v>398.1071705534973</x:v>
      </x:c>
      <x:c r="U64" s="31" t="n">
        <x:f>IF(T64="","",I64*T64)</x:f>
        <x:v>0.5485976128195605</x:v>
      </x:c>
    </x:row>
    <x:row r="65" ht="18" customHeight="1">
      <x:c r="A65" s="24" t="str">
        <x:v>EEZ_931</x:v>
      </x:c>
      <x:c r="B65" s="24" t="str">
        <x:v>Denmark (Baltic Sea)</x:v>
      </x:c>
      <x:c r="C65" s="24" t="str">
        <x:v>EEZ</x:v>
      </x:c>
      <x:c r="D65" s="30" t="n">
        <x:v>2019</x:v>
      </x:c>
      <x:c r="E65" s="24" t="str">
        <x:v>Raja</x:v>
      </x:c>
      <x:c r="F65" s="24" t="str">
        <x:v>Stingrays, skates</x:v>
      </x:c>
      <x:c r="G65" s="24" t="str">
        <x:v>Small to medium rays (&lt;90 cm)</x:v>
      </x:c>
      <x:c r="H65" s="24" t="str">
        <x:v>Sharks &amp; rays</x:v>
      </x:c>
      <x:c r="I65" s="31" t="n">
        <x:v>0.0010530828</x:v>
      </x:c>
      <x:c r="J65" s="31" t="n">
        <x:v>0.0006502103</x:v>
      </x:c>
      <x:c r="K65" s="31" t="n">
        <x:v>0.00040287250000000004</x:v>
      </x:c>
      <x:c r="L65" s="31" t="n">
        <x:v>0</x:v>
      </x:c>
      <x:c r="M65" s="31" t="n">
        <x:v>0.0010530828</x:v>
      </x:c>
      <x:c r="N65" s="24" t="str">
        <x:v>raja</x:v>
      </x:c>
      <x:c r="O65" s="32" t="n">
        <x:v>3.8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Raja</x:v>
      </x:c>
      <x:c r="T65" s="32" t="n">
        <x:f>IF(O65="","",(1/'Metadata'!$B$5)^(O65-1))</x:f>
        <x:v>630.957344480193</x:v>
      </x:c>
      <x:c r="U65" s="31" t="n">
        <x:f>IF(T65="","",I65*T65)</x:f>
        <x:v>0.6644503270057661</x:v>
      </x:c>
    </x:row>
    <x:row r="66" ht="18" customHeight="1">
      <x:c r="A66" s="24" t="str">
        <x:v>EEZ_931</x:v>
      </x:c>
      <x:c r="B66" s="24" t="str">
        <x:v>Denmark (Baltic Sea)</x:v>
      </x:c>
      <x:c r="C66" s="24" t="str">
        <x:v>EEZ</x:v>
      </x:c>
      <x:c r="D66" s="30" t="n">
        <x:v>2019</x:v>
      </x:c>
      <x:c r="E66" s="24" t="str">
        <x:v>Crangon crangon</x:v>
      </x:c>
      <x:c r="F66" s="24" t="str">
        <x:v>Common shrimp</x:v>
      </x:c>
      <x:c r="G66" s="24" t="str">
        <x:v>Shrimps</x:v>
      </x:c>
      <x:c r="H66" s="24" t="str">
        <x:v>Crustaceans</x:v>
      </x:c>
      <x:c r="I66" s="31" t="n">
        <x:v>0.0004416379</x:v>
      </x:c>
      <x:c r="J66" s="31" t="n">
        <x:v>0.0001366706</x:v>
      </x:c>
      <x:c r="K66" s="31" t="n">
        <x:v>0.0003049673</x:v>
      </x:c>
      <x:c r="L66" s="31" t="n">
        <x:v>0</x:v>
      </x:c>
      <x:c r="M66" s="31" t="n">
        <x:v>0.0004416379</x:v>
      </x:c>
      <x:c r="N66" s="24" t="str">
        <x:v>crangon crangon</x:v>
      </x:c>
      <x:c r="O66" s="32" t="n">
        <x:v>3.19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Crangon crangon</x:v>
      </x:c>
      <x:c r="T66" s="32" t="n">
        <x:f>IF(O66="","",(1/'Metadata'!$B$5)^(O66-1))</x:f>
        <x:v>154.88166189124811</x:v>
      </x:c>
      <x:c r="U66" s="31" t="n">
        <x:f>IF(T66="","",I66*T66)</x:f>
        <x:v>0.06840161190616086</x:v>
      </x:c>
    </x:row>
    <x:row r="67" ht="18" customHeight="1">
      <x:c r="A67" s="24" t="str">
        <x:v>EEZ_931</x:v>
      </x:c>
      <x:c r="B67" s="24" t="str">
        <x:v>Denmark (Baltic Sea)</x:v>
      </x:c>
      <x:c r="C67" s="24" t="str">
        <x:v>EEZ</x:v>
      </x:c>
      <x:c r="D67" s="30" t="n">
        <x:v>2019</x:v>
      </x:c>
      <x:c r="E67" s="24" t="str">
        <x:v>Cyprinus carpio</x:v>
      </x:c>
      <x:c r="F67" s="24" t="str">
        <x:v>Common carp</x:v>
      </x:c>
      <x:c r="G67" s="24" t="str">
        <x:v>Large benthopelagics (&gt;=90 cm)</x:v>
      </x:c>
      <x:c r="H67" s="24" t="str">
        <x:v>Other fishes &amp; inverts</x:v>
      </x:c>
      <x:c r="I67" s="31" t="n">
        <x:v>0.0002962385</x:v>
      </x:c>
      <x:c r="J67" s="31" t="n">
        <x:v>0.00019693599999999999</x:v>
      </x:c>
      <x:c r="K67" s="31" t="n">
        <x:v>0.0000993025</x:v>
      </x:c>
      <x:c r="L67" s="31" t="n">
        <x:v>0</x:v>
      </x:c>
      <x:c r="M67" s="31" t="n">
        <x:v>0.0002962385</x:v>
      </x:c>
      <x:c r="N67" s="24" t="str">
        <x:v>cyprinus carpio</x:v>
      </x:c>
      <x:c r="O67" s="32" t="n">
        <x:v>3.06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Cyprinus carpio</x:v>
      </x:c>
      <x:c r="T67" s="32" t="n">
        <x:f>IF(O67="","",(1/'Metadata'!$B$5)^(O67-1))</x:f>
        <x:v>114.81536214968828</x:v>
      </x:c>
      <x:c r="U67" s="31" t="n">
        <x:f>IF(T67="","",I67*T67)</x:f>
        <x:v>0.03401273066018043</x:v>
      </x:c>
    </x:row>
    <x:row r="68" ht="18" customHeight="1">
      <x:c r="A68" s="24" t="str">
        <x:v>EEZ_931</x:v>
      </x:c>
      <x:c r="B68" s="24" t="str">
        <x:v>Denmark (Baltic Sea)</x:v>
      </x:c>
      <x:c r="C68" s="24" t="str">
        <x:v>EEZ</x:v>
      </x:c>
      <x:c r="D68" s="30" t="n">
        <x:v>2019</x:v>
      </x:c>
      <x:c r="E68" s="24" t="str">
        <x:v>Belonidae</x:v>
      </x:c>
      <x:c r="F68" s="24" t="str">
        <x:v>Needlefishes, garfishes</x:v>
      </x:c>
      <x:c r="G68" s="24" t="str">
        <x:v>Medium pelagics (30 - 89 cm)</x:v>
      </x:c>
      <x:c r="H68" s="24" t="str">
        <x:v>Other fishes &amp; inverts</x:v>
      </x:c>
      <x:c r="I68" s="31" t="n">
        <x:v>0.0001544614</x:v>
      </x:c>
      <x:c r="J68" s="31" t="n">
        <x:v>0.00010305299999999999</x:v>
      </x:c>
      <x:c r="K68" s="31" t="n">
        <x:v>0.0000514084</x:v>
      </x:c>
      <x:c r="L68" s="31" t="n">
        <x:v>0</x:v>
      </x:c>
      <x:c r="M68" s="31" t="n">
        <x:v>0.0001544614</x:v>
      </x:c>
      <x:c r="N68" s="24" t="str">
        <x:v>belonidae</x:v>
      </x:c>
      <x:c r="O68" s="32" t="n">
        <x:v>4.38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Belonidae</x:v>
      </x:c>
      <x:c r="T68" s="32" t="n">
        <x:f>IF(O68="","",(1/'Metadata'!$B$5)^(O68-1))</x:f>
        <x:v>2398.83291901949</x:v>
      </x:c>
      <x:c r="U68" s="31" t="n">
        <x:f>IF(T68="","",I68*T68)</x:f>
        <x:v>0.37052709103783704</x:v>
      </x:c>
    </x:row>
  </x:sheetData>
  <x:conditionalFormatting sqref="R2:R6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2df49f5bf0a481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0.2247596604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28.9546531749001</x:v>
      </x:c>
    </x:row>
    <x:row r="3" ht="18" customHeight="1">
      <x:c r="A3" s="24" t="str">
        <x:v>Cod-likes</x:v>
      </x:c>
      <x:c r="B3" s="31" t="n">
        <x:v>8754.833578838501</x:v>
      </x:c>
      <x:c r="C3" s="32" t="n">
        <x:v>4.13699706570263</x:v>
      </x:c>
      <x:c r="D3" s="32" t="n">
        <x:f>IF(C3="","",(1/'Metadata'!$B$5)^(C3-1))</x:f>
        <x:v>1370.8725038754637</x:v>
      </x:c>
      <x:c r="E3" s="31" t="n">
        <x:f>IF(B3=0,"",B3*D3)</x:f>
        <x:v>12001760.629235324</x:v>
      </x:c>
    </x:row>
    <x:row r="4" ht="18" customHeight="1">
      <x:c r="A4" s="24" t="str">
        <x:v>Crustaceans</x:v>
      </x:c>
      <x:c r="B4" s="31" t="n">
        <x:v>40.40431014580001</x:v>
      </x:c>
      <x:c r="C4" s="32" t="n">
        <x:v>2.633675433236259</x:v>
      </x:c>
      <x:c r="D4" s="32" t="n">
        <x:f>IF(C4="","",(1/'Metadata'!$B$5)^(C4-1))</x:f>
        <x:v>43.02049798178768</x:v>
      </x:c>
      <x:c r="E4" s="31" t="n">
        <x:f>IF(B4=0,"",B4*D4)</x:f>
        <x:v>1738.2135430829128</x:v>
      </x:c>
    </x:row>
    <x:row r="5" ht="18" customHeight="1">
      <x:c r="A5" s="24" t="str">
        <x:v>Flatfishes</x:v>
      </x:c>
      <x:c r="B5" s="31" t="n">
        <x:v>9829.620679532001</x:v>
      </x:c>
      <x:c r="C5" s="32" t="n">
        <x:v>3.3269815624289536</x:v>
      </x:c>
      <x:c r="D5" s="32" t="n">
        <x:f>IF(C5="","",(1/'Metadata'!$B$5)^(C5-1))</x:f>
        <x:v>212.31543235313345</x:v>
      </x:c>
      <x:c r="E5" s="31" t="n">
        <x:f>IF(B5=0,"",B5*D5)</x:f>
        <x:v>2086980.1644421383</x:v>
      </x:c>
    </x:row>
    <x:row r="6" ht="18" customHeight="1">
      <x:c r="A6" s="24" t="str">
        <x:v>Herring-likes</x:v>
      </x:c>
      <x:c r="B6" s="31" t="n">
        <x:v>29464.1182284632</x:v>
      </x:c>
      <x:c r="C6" s="32" t="n">
        <x:v>3.203436905684158</x:v>
      </x:c>
      <x:c r="D6" s="32" t="n">
        <x:f>IF(C6="","",(1/'Metadata'!$B$5)^(C6-1))</x:f>
        <x:v>159.74854294664385</x:v>
      </x:c>
      <x:c r="E6" s="31" t="n">
        <x:f>IF(B6=0,"",B6*D6)</x:f>
        <x:v>4706849.956204645</x:v>
      </x:c>
    </x:row>
    <x:row r="7" ht="18" customHeight="1">
      <x:c r="A7" s="24" t="str">
        <x:v>Molluscs</x:v>
      </x:c>
      <x:c r="B7" s="31" t="n">
        <x:v>15913.975289273698</x:v>
      </x:c>
      <x:c r="C7" s="32" t="n">
        <x:v>2.0041323561438045</x:v>
      </x:c>
      <x:c r="D7" s="32" t="n">
        <x:f>IF(C7="","",(1/'Metadata'!$B$5)^(C7-1))</x:f>
        <x:v>10.095605141559965</x:v>
      </x:c>
      <x:c r="E7" s="31" t="n">
        <x:f>IF(B7=0,"",B7*D7)</x:f>
        <x:v>160661.21075304976</x:v>
      </x:c>
    </x:row>
    <x:row r="8" ht="18" customHeight="1">
      <x:c r="A8" s="24" t="str">
        <x:v>Other fishes &amp; inverts</x:v>
      </x:c>
      <x:c r="B8" s="31" t="n">
        <x:v>1825.1798004714</x:v>
      </x:c>
      <x:c r="C8" s="32" t="n">
        <x:v>3.5882479738993602</x:v>
      </x:c>
      <x:c r="D8" s="32" t="n">
        <x:f>IF(C8="","",(1/'Metadata'!$B$5)^(C8-1))</x:f>
        <x:v>387.47882481931805</x:v>
      </x:c>
      <x:c r="E8" s="31" t="n">
        <x:f>IF(B8=0,"",B8*D8)</x:f>
        <x:v>707218.5241706155</x:v>
      </x:c>
    </x:row>
    <x:row r="9" ht="18" customHeight="1">
      <x:c r="A9" s="24" t="str">
        <x:v>Perch-likes</x:v>
      </x:c>
      <x:c r="B9" s="31" t="n">
        <x:v>222.38669981370006</x:v>
      </x:c>
      <x:c r="C9" s="32" t="n">
        <x:v>3.9692286193651825</x:v>
      </x:c>
      <x:c r="D9" s="32" t="n">
        <x:f>IF(C9="","",(1/'Metadata'!$B$5)^(C9-1))</x:f>
        <x:v>931.5981541588172</x:v>
      </x:c>
      <x:c r="E9" s="31" t="n">
        <x:f>IF(B9=0,"",B9*D9)</x:f>
        <x:v>207175.03905591395</x:v>
      </x:c>
    </x:row>
    <x:row r="10" ht="18" customHeight="1">
      <x:c r="A10" s="24" t="str">
        <x:v>Salmon, smelts, etc</x:v>
      </x:c>
      <x:c r="B10" s="31" t="n">
        <x:v>470.50345896849996</x:v>
      </x:c>
      <x:c r="C10" s="32" t="n">
        <x:v>3.5817591487816705</x:v>
      </x:c>
      <x:c r="D10" s="32" t="n">
        <x:f>IF(C10="","",(1/'Metadata'!$B$5)^(C10-1))</x:f>
        <x:v>381.73251074844313</x:v>
      </x:c>
      <x:c r="E10" s="31" t="n">
        <x:f>IF(B10=0,"",B10*D10)</x:f>
        <x:v>179606.46670787258</x:v>
      </x:c>
    </x:row>
    <x:row r="11" ht="18" customHeight="1">
      <x:c r="A11" s="24" t="str">
        <x:v>Scorpionfishes</x:v>
      </x:c>
      <x:c r="B11" s="31" t="n">
        <x:v>44.6116565984</x:v>
      </x:c>
      <x:c r="C11" s="32" t="n">
        <x:v>3.889951421295324</x:v>
      </x:c>
      <x:c r="D11" s="32" t="n">
        <x:f>IF(C11="","",(1/'Metadata'!$B$5)^(C11-1))</x:f>
        <x:v>776.1602931204974</x:v>
      </x:c>
      <x:c r="E11" s="31" t="n">
        <x:f>IF(B11=0,"",B11*D11)</x:f>
        <x:v>34625.79646200512</x:v>
      </x:c>
    </x:row>
    <x:row r="12" ht="18" customHeight="1">
      <x:c r="A12" s="24" t="str">
        <x:v>Sharks &amp; rays</x:v>
      </x:c>
      <x:c r="B12" s="31" t="n">
        <x:v>0.006159248599999999</x:v>
      </x:c>
      <x:c r="C12" s="32" t="n">
        <x:v>4.014395390048066</x:v>
      </x:c>
      <x:c r="D12" s="32" t="n">
        <x:f>IF(C12="","",(1/'Metadata'!$B$5)^(C12-1))</x:f>
        <x:v>1033.7020797446874</x:v>
      </x:c>
      <x:c r="E12" s="31" t="n">
        <x:f>IF(B12=0,"",B12*D12)</x:f>
        <x:v>6.366828087484553</x:v>
      </x:c>
    </x:row>
  </x:sheetData>
  <x:pageMargins left="0.7" right="0.7" top="0.75" bottom="0.75" header="0.3" footer="0.3"/>
  <x:tableParts count="1">
    <x:tablePart xmlns:r="http://schemas.openxmlformats.org/officeDocument/2006/relationships" r:id="R7a91a544323b452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7256.2059290263</x:v>
      </x:c>
      <x:c r="C2" s="32" t="n">
        <x:v>4.091583280382873</x:v>
      </x:c>
      <x:c r="D2" s="32" t="n">
        <x:f>IF(C2="","",(1/'Metadata'!$B$5)^(C2-1))</x:f>
        <x:v>1234.7620706521138</x:v>
      </x:c>
      <x:c r="E2" s="31" t="n">
        <x:f>IF(B2=0,"",B2*D2)</x:f>
        <x:v>8959687.858002659</x:v>
      </x:c>
    </x:row>
    <x:row r="3" ht="18" customHeight="1">
      <x:c r="A3" s="24" t="str">
        <x:v>Large demersals (&gt;=90 cm)</x:v>
      </x:c>
      <x:c r="B3" s="31" t="n">
        <x:v>411.81066758289995</x:v>
      </x:c>
      <x:c r="C3" s="32" t="n">
        <x:v>3.685571727677805</x:v>
      </x:c>
      <x:c r="D3" s="32" t="n">
        <x:f>IF(C3="","",(1/'Metadata'!$B$5)^(C3-1))</x:f>
        <x:v>484.8101768161067</x:v>
      </x:c>
      <x:c r="E3" s="31" t="n">
        <x:f>IF(B3=0,"",B3*D3)</x:f>
        <x:v>199650.0025656247</x:v>
      </x:c>
    </x:row>
    <x:row r="4" ht="18" customHeight="1">
      <x:c r="A4" s="24" t="str">
        <x:v>Large flatfishes (&gt;=90 cm)</x:v>
      </x:c>
      <x:c r="B4" s="31" t="n">
        <x:v>3867.1169247925004</x:v>
      </x:c>
      <x:c r="C4" s="32" t="n">
        <x:v>3.2944216497752037</x:v>
      </x:c>
      <x:c r="D4" s="32" t="n">
        <x:f>IF(C4="","",(1/'Metadata'!$B$5)^(C4-1))</x:f>
        <x:v>196.97978077588618</x:v>
      </x:c>
      <x:c r="E4" s="31" t="n">
        <x:f>IF(B4=0,"",B4*D4)</x:f>
        <x:v>761743.8440803458</x:v>
      </x:c>
    </x:row>
    <x:row r="5" ht="18" customHeight="1">
      <x:c r="A5" s="24" t="str">
        <x:v>Large pelagics (&gt;=90 cm)</x:v>
      </x:c>
      <x:c r="B5" s="31" t="n">
        <x:v>380.4604348051</x:v>
      </x:c>
      <x:c r="C5" s="32" t="n">
        <x:v>3.4387643518553284</x:v>
      </x:c>
      <x:c r="D5" s="32" t="n">
        <x:f>IF(C5="","",(1/'Metadata'!$B$5)^(C5-1))</x:f>
        <x:v>274.6403550432669</x:v>
      </x:c>
      <x:c r="E5" s="31" t="n">
        <x:f>IF(B5=0,"",B5*D5)</x:f>
        <x:v>104489.78889478836</x:v>
      </x:c>
    </x:row>
    <x:row r="6" ht="18" customHeight="1">
      <x:c r="A6" s="24" t="str">
        <x:v>Large rays (&gt;=90 cm)</x:v>
      </x:c>
      <x:c r="B6" s="31" t="n">
        <x:v>0.003</x:v>
      </x:c>
      <x:c r="C6" s="32" t="n">
        <x:v>3.8399999999999994</x:v>
      </x:c>
      <x:c r="D6" s="32" t="n">
        <x:f>IF(C6="","",(1/'Metadata'!$B$5)^(C6-1))</x:f>
        <x:v>691.8309709189356</x:v>
      </x:c>
      <x:c r="E6" s="31" t="n">
        <x:f>IF(B6=0,"",B6*D6)</x:f>
        <x:v>2.0754929127568067</x:v>
      </x:c>
    </x:row>
    <x:row r="7" ht="18" customHeight="1">
      <x:c r="A7" s="24" t="str">
        <x:v>Large sharks (&gt;=90 cm)</x:v>
      </x:c>
      <x:c r="B7" s="31" t="n">
        <x:v>0.0021061658</x:v>
      </x:c>
      <x:c r="C7" s="32" t="n">
        <x:v>4.37</x:v>
      </x:c>
      <x:c r="D7" s="32" t="n">
        <x:f>IF(C7="","",(1/'Metadata'!$B$5)^(C7-1))</x:f>
        <x:v>2344.228815319923</x:v>
      </x:c>
      <x:c r="E7" s="31" t="n">
        <x:f>IF(B7=0,"",B7*D7)</x:f>
        <x:v>4.9373345582013375</x:v>
      </x:c>
    </x:row>
    <x:row r="8" ht="18" customHeight="1">
      <x:c r="A8" s="24" t="str">
        <x:v>Lobsters, crabs</x:v>
      </x:c>
      <x:c r="B8" s="31" t="n">
        <x:v>29.676900383200003</x:v>
      </x:c>
      <x:c r="C8" s="32" t="n">
        <x:v>2.6133081604240442</x:v>
      </x:c>
      <x:c r="D8" s="32" t="n">
        <x:f>IF(C8="","",(1/'Metadata'!$B$5)^(C8-1))</x:f>
        <x:v>41.04952729964078</x:v>
      </x:c>
      <x:c r="E8" s="31" t="n">
        <x:f>IF(B8=0,"",B8*D8)</x:f>
        <x:v>1218.2227324488883</x:v>
      </x:c>
    </x:row>
    <x:row r="9" ht="18" customHeight="1">
      <x:c r="A9" s="24" t="str">
        <x:v>Medium benthopelagics (30 - 89 cm)</x:v>
      </x:c>
      <x:c r="B9" s="31" t="n">
        <x:v>1847.7037542374</x:v>
      </x:c>
      <x:c r="C9" s="32" t="n">
        <x:v>4.137857309344062</x:v>
      </x:c>
      <x:c r="D9" s="32" t="n">
        <x:f>IF(C9="","",(1/'Metadata'!$B$5)^(C9-1))</x:f>
        <x:v>1373.590597540702</x:v>
      </x:c>
      <x:c r="E9" s="31" t="n">
        <x:f>IF(B9=0,"",B9*D9)</x:f>
        <x:v>2537988.503861149</x:v>
      </x:c>
    </x:row>
    <x:row r="10" ht="18" customHeight="1">
      <x:c r="A10" s="24" t="str">
        <x:v>Medium demersals (30 - 89 cm)</x:v>
      </x:c>
      <x:c r="B10" s="31" t="n">
        <x:v>625.7113350363</x:v>
      </x:c>
      <x:c r="C10" s="32" t="n">
        <x:v>3.3600820867607646</x:v>
      </x:c>
      <x:c r="D10" s="32" t="n">
        <x:f>IF(C10="","",(1/'Metadata'!$B$5)^(C10-1))</x:f>
        <x:v>229.13006945993723</x:v>
      </x:c>
      <x:c r="E10" s="31" t="n">
        <x:f>IF(B10=0,"",B10*D10)</x:f>
        <x:v>143369.28165873748</x:v>
      </x:c>
    </x:row>
    <x:row r="11" ht="18" customHeight="1">
      <x:c r="A11" s="24" t="str">
        <x:v>Medium pelagics (30 - 89 cm)</x:v>
      </x:c>
      <x:c r="B11" s="31" t="n">
        <x:v>16152.2007188408</x:v>
      </x:c>
      <x:c r="C11" s="32" t="n">
        <x:v>3.41527723121737</x:v>
      </x:c>
      <x:c r="D11" s="32" t="n">
        <x:f>IF(C11="","",(1/'Metadata'!$B$5)^(C11-1))</x:f>
        <x:v>260.1819900920739</x:v>
      </x:c>
      <x:c r="E11" s="31" t="n">
        <x:f>IF(B11=0,"",B11*D11)</x:f>
        <x:v>4202511.727394626</x:v>
      </x:c>
    </x:row>
    <x:row r="12" ht="18" customHeight="1">
      <x:c r="A12" s="24" t="str">
        <x:v>Medium reef assoc. fish (30 - 89 cm)</x:v>
      </x:c>
      <x:c r="B12" s="31" t="n">
        <x:v>0.2033509354</x:v>
      </x:c>
      <x:c r="C12" s="32" t="n">
        <x:v>2.53</x:v>
      </x:c>
      <x:c r="D12" s="32" t="n">
        <x:f>IF(C12="","",(1/'Metadata'!$B$5)^(C12-1))</x:f>
        <x:v>33.88441561392024</x:v>
      </x:c>
      <x:c r="E12" s="31" t="n">
        <x:f>IF(B12=0,"",B12*D12)</x:f>
        <x:v>6.890427610573045</x:v>
      </x:c>
    </x:row>
    <x:row r="13" ht="18" customHeight="1">
      <x:c r="A13" s="24" t="str">
        <x:v>Other demersal invertebrates</x:v>
      </x:c>
      <x:c r="B13" s="31" t="n">
        <x:v>15913.975289273698</x:v>
      </x:c>
      <x:c r="C13" s="32" t="n">
        <x:v>2.0041323561438045</x:v>
      </x:c>
      <x:c r="D13" s="32" t="n">
        <x:f>IF(C13="","",(1/'Metadata'!$B$5)^(C13-1))</x:f>
        <x:v>10.095605141559965</x:v>
      </x:c>
      <x:c r="E13" s="31" t="n">
        <x:f>IF(B13=0,"",B13*D13)</x:f>
        <x:v>160661.21075304976</x:v>
      </x:c>
    </x:row>
    <x:row r="14" ht="18" customHeight="1">
      <x:c r="A14" s="24" t="str">
        <x:v>Shrimps</x:v>
      </x:c>
      <x:c r="B14" s="31" t="n">
        <x:v>10.7274097626</x:v>
      </x:c>
      <x:c r="C14" s="32" t="n">
        <x:v>2.6900205845544156</x:v>
      </x:c>
      <x:c r="D14" s="32" t="n">
        <x:f>IF(C14="","",(1/'Metadata'!$B$5)^(C14-1))</x:f>
        <x:v>48.98020343023486</x:v>
      </x:c>
      <x:c r="E14" s="31" t="n">
        <x:f>IF(B14=0,"",B14*D14)</x:f>
        <x:v>525.4307124516355</x:v>
      </x:c>
    </x:row>
    <x:row r="15" ht="18" customHeight="1">
      <x:c r="A15" s="24" t="str">
        <x:v>Small benthopelagics (&lt;30 cm)</x:v>
      </x:c>
      <x:c r="B15" s="31" t="n">
        <x:v>4.9746522812</x:v>
      </x:c>
      <x:c r="C15" s="32" t="n">
        <x:v>3.3100000000000005</x:v>
      </x:c>
      <x:c r="D15" s="32" t="n">
        <x:f>IF(C15="","",(1/'Metadata'!$B$5)^(C15-1))</x:f>
        <x:v>204.17379446695315</x:v>
      </x:c>
      <x:c r="E15" s="31" t="n">
        <x:f>IF(B15=0,"",B15*D15)</x:f>
        <x:v>1015.6936324062884</x:v>
      </x:c>
    </x:row>
    <x:row r="16" ht="18" customHeight="1">
      <x:c r="A16" s="24" t="str">
        <x:v>Small demersals (&lt;30 cm)</x:v>
      </x:c>
      <x:c r="B16" s="31" t="n">
        <x:v>37.8992777137</x:v>
      </x:c>
      <x:c r="C16" s="32" t="n">
        <x:v>3.0800206948471662</x:v>
      </x:c>
      <x:c r="D16" s="32" t="n">
        <x:f>IF(C16="","",(1/'Metadata'!$B$5)^(C16-1))</x:f>
        <x:v>120.23217258623554</x:v>
      </x:c>
      <x:c r="E16" s="31" t="n">
        <x:f>IF(B16=0,"",B16*D16)</x:f>
        <x:v>4556.712498967248</x:v>
      </x:c>
    </x:row>
    <x:row r="17" ht="18" customHeight="1">
      <x:c r="A17" s="24" t="str">
        <x:v>Small pelagics (&lt;30 cm)</x:v>
      </x:c>
      <x:c r="B17" s="31" t="n">
        <x:v>14060.4298561611</x:v>
      </x:c>
      <x:c r="C17" s="32" t="n">
        <x:v>3.010001598526238</x:v>
      </x:c>
      <x:c r="D17" s="32" t="n">
        <x:f>IF(C17="","",(1/'Metadata'!$B$5)^(C17-1))</x:f>
        <x:v>102.32967587658828</x:v>
      </x:c>
      <x:c r="E17" s="31" t="n">
        <x:f>IF(B17=0,"",B17*D17)</x:f>
        <x:v>1438799.2298664702</x:v>
      </x:c>
    </x:row>
    <x:row r="18" ht="18" customHeight="1">
      <x:c r="A18" s="24" t="str">
        <x:v>Small reef assoc. fish (&lt;30 cm)</x:v>
      </x:c>
      <x:c r="B18" s="31" t="n">
        <x:v>4.2582061939</x:v>
      </x:c>
      <x:c r="C18" s="32" t="n">
        <x:v>3.11</x:v>
      </x:c>
      <x:c r="D18" s="32" t="n">
        <x:f>IF(C18="","",(1/'Metadata'!$B$5)^(C18-1))</x:f>
        <x:v>128.82495516931337</x:v>
      </x:c>
      <x:c r="E18" s="31" t="n">
        <x:f>IF(B18=0,"",B18*D18)</x:f>
        <x:v>548.5632220308601</x:v>
      </x:c>
    </x:row>
    <x:row r="19" ht="18" customHeight="1">
      <x:c r="A19" s="24" t="str">
        <x:v>Small to medium flatfishes (&lt;90 cm)</x:v>
      </x:c>
      <x:c r="B19" s="31" t="n">
        <x:v>5962.5037547395</x:v>
      </x:c>
      <x:c r="C19" s="32" t="n">
        <x:v>3.348099031611761</x:v>
      </x:c>
      <x:c r="D19" s="32" t="n">
        <x:f>IF(C19="","",(1/'Metadata'!$B$5)^(C19-1))</x:f>
        <x:v>222.8943354409823</x:v>
      </x:c>
      <x:c r="E19" s="31" t="n">
        <x:f>IF(B19=0,"",B19*D19)</x:f>
        <x:v>1329008.3119770228</x:v>
      </x:c>
    </x:row>
    <x:row r="20" ht="18" customHeight="1">
      <x:c r="A20" s="24" t="str">
        <x:v>Small to medium rays (&lt;90 cm)</x:v>
      </x:c>
      <x:c r="B20" s="31" t="n">
        <x:v>0.0010530828</x:v>
      </x:c>
      <x:c r="C20" s="32" t="n">
        <x:v>3.8000000000000003</x:v>
      </x:c>
      <x:c r="D20" s="32" t="n">
        <x:f>IF(C20="","",(1/'Metadata'!$B$5)^(C20-1))</x:f>
        <x:v>630.9573444801937</x:v>
      </x:c>
      <x:c r="E20" s="31" t="n">
        <x:f>IF(B20=0,"",B20*D20)</x:f>
        <x:v>0.6644503270057669</x:v>
      </x:c>
    </x:row>
  </x:sheetData>
  <x:pageMargins left="0.7" right="0.7" top="0.75" bottom="0.75" header="0.3" footer="0.3"/>
  <x:tableParts count="1">
    <x:tablePart xmlns:r="http://schemas.openxmlformats.org/officeDocument/2006/relationships" r:id="Rac87cb156fca4c2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EEZ_931</x:v>
      </x:c>
      <x:c r="B2" s="24" t="str">
        <x:v>raw_filtered_tonnes</x:v>
      </x:c>
      <x:c r="C2" s="24" t="n">
        <x:v>66565.8646210142</x:v>
      </x:c>
      <x:c r="D2" s="24" t="str">
        <x:v>tonnes</x:v>
      </x:c>
    </x:row>
    <x:row r="3" ht="18" customHeight="1">
      <x:c r="A3" s="24" t="str">
        <x:v>EEZ_931</x:v>
      </x:c>
      <x:c r="B3" s="24" t="str">
        <x:v>species_catch_tonnes</x:v>
      </x:c>
      <x:c r="C3" s="24" t="n">
        <x:v>66565.8646210142</x:v>
      </x:c>
      <x:c r="D3" s="24" t="str">
        <x:v>tonnes</x:v>
      </x:c>
    </x:row>
    <x:row r="4" ht="18" customHeight="1">
      <x:c r="A4" s="24" t="str">
        <x:v>EEZ_931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EEZ_931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EEZ_931</x:v>
      </x:c>
      <x:c r="B6" s="24" t="str">
        <x:v>matched_catch_tonnes</x:v>
      </x:c>
      <x:c r="C6" s="24" t="n">
        <x:v>66565.8646210142</x:v>
      </x:c>
      <x:c r="D6" s="24" t="str">
        <x:v>tonnes</x:v>
      </x:c>
    </x:row>
    <x:row r="7" ht="18" customHeight="1">
      <x:c r="A7" s="24" t="str">
        <x:v>EEZ_931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EEZ_931</x:v>
      </x:c>
      <x:c r="B8" s="24" t="str">
        <x:v>taxa_count</x:v>
      </x:c>
      <x:c r="C8" s="24" t="n">
        <x:v>67</x:v>
      </x:c>
      <x:c r="D8" s="24" t="str">
        <x:v>count</x:v>
      </x:c>
    </x:row>
    <x:row r="9" ht="18" customHeight="1">
      <x:c r="A9" s="24" t="str">
        <x:v>EEZ_931</x:v>
      </x:c>
      <x:c r="B9" s="24" t="str">
        <x:v>matched_taxa_count</x:v>
      </x:c>
      <x:c r="C9" s="24" t="n">
        <x:v>67</x:v>
      </x:c>
      <x:c r="D9" s="24" t="str">
        <x:v>count</x:v>
      </x:c>
    </x:row>
    <x:row r="10" ht="18" customHeight="1">
      <x:c r="A10" s="24" t="str">
        <x:v>EEZ_931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EEZ_931</x:v>
      </x:c>
      <x:c r="B11" s="24" t="str">
        <x:v>species_ppr</x:v>
      </x:c>
      <x:c r="C11" s="24" t="n">
        <x:v>22017567.609833583</x:v>
      </x:c>
      <x:c r="D11" s="24" t="str">
        <x:v>tonnes_primary_production_equivalent</x:v>
      </x:c>
    </x:row>
    <x:row r="12" ht="18" customHeight="1">
      <x:c r="A12" s="24" t="str">
        <x:v>EEZ_931</x:v>
      </x:c>
      <x:c r="B12" s="24" t="str">
        <x:v>commercial_ppr</x:v>
      </x:c>
      <x:c r="C12" s="24" t="n">
        <x:v>20086651.322055914</x:v>
      </x:c>
      <x:c r="D12" s="24" t="str">
        <x:v>tonnes_primary_production_equivalent</x:v>
      </x:c>
    </x:row>
    <x:row r="13" ht="18" customHeight="1">
      <x:c r="A13" s="24" t="str">
        <x:v>EEZ_931</x:v>
      </x:c>
      <x:c r="B13" s="24" t="str">
        <x:v>functional_ppr</x:v>
      </x:c>
      <x:c r="C13" s="24" t="n">
        <x:v>19845788.949558187</x:v>
      </x:c>
      <x:c r="D13" s="24" t="str">
        <x:v>tonnes_primary_production_equivalent</x:v>
      </x:c>
    </x:row>
    <x:row r="14" ht="18" customHeight="1">
      <x:c r="A14" s="24" t="str">
        <x:v>EEZ_931</x:v>
      </x:c>
      <x:c r="B14" s="24" t="str">
        <x:v>commercial_ppr_difference</x:v>
      </x:c>
      <x:c r="C14" s="24" t="n">
        <x:v>-1930916.2877776697</x:v>
      </x:c>
      <x:c r="D14" s="24" t="str">
        <x:v>tonnes_primary_production_equivalent</x:v>
      </x:c>
    </x:row>
    <x:row r="15" ht="18" customHeight="1">
      <x:c r="A15" s="24" t="str">
        <x:v>EEZ_931</x:v>
      </x:c>
      <x:c r="B15" s="24" t="str">
        <x:v>functional_ppr_difference</x:v>
      </x:c>
      <x:c r="C15" s="24" t="n">
        <x:v>-2171778.660275396</x:v>
      </x:c>
      <x:c r="D15" s="24" t="str">
        <x:v>tonnes_primary_production_equivalent</x:v>
      </x:c>
    </x:row>
    <x:row r="16" ht="18" customHeight="1">
      <x:c r="A16" s="24" t="str">
        <x:v>EEZ_931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EEZ_931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9a6bc292eb34a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EEZ_931 - Denmark (Baltic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