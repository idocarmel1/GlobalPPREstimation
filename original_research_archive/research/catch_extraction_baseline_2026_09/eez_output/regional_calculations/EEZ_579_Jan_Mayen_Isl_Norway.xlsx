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fa671e267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18eea42197f4649"/>
    <x:sheet xmlns:r="http://schemas.openxmlformats.org/officeDocument/2006/relationships" name="Commercial" sheetId="2" r:id="R0c8852b26723499a"/>
    <x:sheet xmlns:r="http://schemas.openxmlformats.org/officeDocument/2006/relationships" name="Functional" sheetId="3" r:id="Re268f2153bd74cd1"/>
    <x:sheet xmlns:r="http://schemas.openxmlformats.org/officeDocument/2006/relationships" name="Missing TL" sheetId="4" r:id="Rd1fee4216cf9438f"/>
    <x:sheet xmlns:r="http://schemas.openxmlformats.org/officeDocument/2006/relationships" name="Validation" sheetId="5" r:id="Rbd89ad0f9c184ff6"/>
    <x:sheet xmlns:r="http://schemas.openxmlformats.org/officeDocument/2006/relationships" name="Metadata" sheetId="6" r:id="R96cff7a9fcdd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1b2121e3249eb" /><Relationship Type="http://schemas.openxmlformats.org/officeDocument/2006/relationships/theme" Target="/xl/theme/theme1.xml" Id="Recd63a7f0d5f4967" /><Relationship Type="http://schemas.microsoft.com/office/2022/11/relationships/FeaturePropertyBag" Target="/xl/featurePropertyBag/featurePropertyBag.xml" Id="Rdb137eb8c37a4a32" /><Relationship Type="http://schemas.openxmlformats.org/officeDocument/2006/relationships/sharedStrings" Target="/xl/sharedStrings.xml" Id="Rab0ef467ffdb4ae5" /><Relationship Type="http://schemas.openxmlformats.org/officeDocument/2006/relationships/worksheet" Target="/xl/worksheets/sheet1.xml" Id="R618eea42197f4649" /><Relationship Type="http://schemas.openxmlformats.org/officeDocument/2006/relationships/worksheet" Target="/xl/worksheets/sheet2.xml" Id="R0c8852b26723499a" /><Relationship Type="http://schemas.openxmlformats.org/officeDocument/2006/relationships/worksheet" Target="/xl/worksheets/sheet3.xml" Id="Re268f2153bd74cd1" /><Relationship Type="http://schemas.openxmlformats.org/officeDocument/2006/relationships/worksheet" Target="/xl/worksheets/sheet4.xml" Id="Rd1fee4216cf9438f" /><Relationship Type="http://schemas.openxmlformats.org/officeDocument/2006/relationships/worksheet" Target="/xl/worksheets/sheet5.xml" Id="Rbd89ad0f9c184ff6" /><Relationship Type="http://schemas.openxmlformats.org/officeDocument/2006/relationships/worksheet" Target="/xl/worksheets/sheet6.xml" Id="R96cff7a9fcdd4c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9SpeciesTable" displayName="EEZ579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9CommercialTable" displayName="EEZ579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9FunctionalTable" displayName="EEZ579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9ValidationTable" displayName="EEZ57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59b40028b049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20e25ed4d0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09b5af8a0e4b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5e2a8b74a849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EEZ_579</x:v>
      </x:c>
      <x:c r="B2" s="24" t="str">
        <x:v>Jan Mayen Isl. (Norway)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299.07090144130007</x:v>
      </x:c>
      <x:c r="J2" s="31" t="n">
        <x:v>298.21088557570005</x:v>
      </x:c>
      <x:c r="K2" s="31" t="n">
        <x:v>0.8600158656</x:v>
      </x:c>
      <x:c r="L2" s="31" t="n">
        <x:v>298.21088557570005</x:v>
      </x:c>
      <x:c r="M2" s="31" t="n">
        <x:v>0.8600158656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367937.590301939</x:v>
      </x:c>
    </x:row>
    <x:row r="3" ht="18" customHeight="1">
      <x:c r="A3" s="24" t="str">
        <x:v>EEZ_579</x:v>
      </x:c>
      <x:c r="B3" s="24" t="str">
        <x:v>Jan Mayen Isl. (Norway)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209.5638909449</x:v>
      </x:c>
      <x:c r="J3" s="31" t="n">
        <x:v>209.48223685600001</x:v>
      </x:c>
      <x:c r="K3" s="31" t="n">
        <x:v>0.0816540889</x:v>
      </x:c>
      <x:c r="L3" s="31" t="n">
        <x:v>209.48223685600001</x:v>
      </x:c>
      <x:c r="M3" s="31" t="n">
        <x:v>0.0816540889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39931.576209904066</x:v>
      </x:c>
    </x:row>
    <x:row r="4" ht="18" customHeight="1">
      <x:c r="A4" s="24" t="str">
        <x:v>EEZ_579</x:v>
      </x:c>
      <x:c r="B4" s="24" t="str">
        <x:v>Jan Mayen Isl. (Norway)</x:v>
      </x:c>
      <x:c r="C4" s="24" t="str">
        <x:v>EEZ</x:v>
      </x:c>
      <x:c r="D4" s="30" t="n">
        <x:v>2019</x:v>
      </x:c>
      <x:c r="E4" s="24" t="str">
        <x:v>Melanogrammus aeglefinus</x:v>
      </x:c>
      <x:c r="F4" s="24" t="str">
        <x:v>Haddock</x:v>
      </x:c>
      <x:c r="G4" s="24" t="str">
        <x:v>Medium demersals (30 - 89 cm)</x:v>
      </x:c>
      <x:c r="H4" s="24" t="str">
        <x:v>Cod-likes</x:v>
      </x:c>
      <x:c r="I4" s="31" t="n">
        <x:v>20.240636688800002</x:v>
      </x:c>
      <x:c r="J4" s="31" t="n">
        <x:v>20.240636688800002</x:v>
      </x:c>
      <x:c r="K4" s="31" t="n">
        <x:v>0</x:v>
      </x:c>
      <x:c r="L4" s="31" t="n">
        <x:v>20.240636688800002</x:v>
      </x:c>
      <x:c r="M4" s="31" t="n">
        <x:v>0</x:v>
      </x:c>
      <x:c r="N4" s="24" t="str">
        <x:v>melanogrammus aeglefinus</x:v>
      </x:c>
      <x:c r="O4" s="32" t="n">
        <x:v>4.03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Melanogrammus aeglefinus</x:v>
      </x:c>
      <x:c r="T4" s="32" t="n">
        <x:f>IF(O4="","",(1/'Metadata'!$B$5)^(O4-1))</x:f>
        <x:v>1071.519305237607</x:v>
      </x:c>
      <x:c r="U4" s="31" t="n">
        <x:f>IF(T4="","",I4*T4)</x:f>
        <x:v>21688.232962349797</x:v>
      </x:c>
    </x:row>
    <x:row r="5" ht="18" customHeight="1">
      <x:c r="A5" s="24" t="str">
        <x:v>EEZ_579</x:v>
      </x:c>
      <x:c r="B5" s="24" t="str">
        <x:v>Jan Mayen Isl. (Norway)</x:v>
      </x:c>
      <x:c r="C5" s="24" t="str">
        <x:v>EEZ</x:v>
      </x:c>
      <x:c r="D5" s="30" t="n">
        <x:v>2019</x:v>
      </x:c>
      <x:c r="E5" s="24" t="str">
        <x:v>Sebastes</x:v>
      </x:c>
      <x:c r="F5" s="24" t="str">
        <x:v>Redfishes</x:v>
      </x:c>
      <x:c r="G5" s="24" t="str">
        <x:v>Large reef assoc. fish (&gt;=90 cm)</x:v>
      </x:c>
      <x:c r="H5" s="24" t="str">
        <x:v>Scorpionfishes</x:v>
      </x:c>
      <x:c r="I5" s="31" t="n">
        <x:v>4.5150106076</x:v>
      </x:c>
      <x:c r="J5" s="31" t="n">
        <x:v>4.5150106076</x:v>
      </x:c>
      <x:c r="K5" s="31" t="n">
        <x:v>0</x:v>
      </x:c>
      <x:c r="L5" s="31" t="n">
        <x:v>4.5150106076</x:v>
      </x:c>
      <x:c r="M5" s="31" t="n">
        <x:v>0</x:v>
      </x:c>
      <x:c r="N5" s="24" t="str">
        <x:v>sebastes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Sebastes</x:v>
      </x:c>
      <x:c r="T5" s="32" t="n">
        <x:f>IF(O5="","",(1/'Metadata'!$B$5)^(O5-1))</x:f>
        <x:v>616.5950018614822</x:v>
      </x:c>
      <x:c r="U5" s="31" t="n">
        <x:f>IF(T5="","",I5*T5)</x:f>
        <x:v>2783.932973997734</x:v>
      </x:c>
    </x:row>
    <x:row r="6" ht="18" customHeight="1">
      <x:c r="A6" s="24" t="str">
        <x:v>EEZ_579</x:v>
      </x:c>
      <x:c r="B6" s="24" t="str">
        <x:v>Jan Mayen Isl. (Norway)</x:v>
      </x:c>
      <x:c r="C6" s="24" t="str">
        <x:v>EEZ</x:v>
      </x:c>
      <x:c r="D6" s="30" t="n">
        <x:v>2019</x:v>
      </x:c>
      <x:c r="E6" s="24" t="str">
        <x:v>Micromesistius poutassou</x:v>
      </x:c>
      <x:c r="F6" s="24" t="str">
        <x:v>Blue whiting</x:v>
      </x:c>
      <x:c r="G6" s="24" t="str">
        <x:v>Medium benthopelagics (30 - 89 cm)</x:v>
      </x:c>
      <x:c r="H6" s="24" t="str">
        <x:v>Cod-likes</x:v>
      </x:c>
      <x:c r="I6" s="31" t="n">
        <x:v>0.7248402790999999</x:v>
      </x:c>
      <x:c r="J6" s="31" t="n">
        <x:v>0.7248402790999999</x:v>
      </x:c>
      <x:c r="K6" s="31" t="n">
        <x:v>0</x:v>
      </x:c>
      <x:c r="L6" s="31" t="n">
        <x:v>0.7248402790999999</x:v>
      </x:c>
      <x:c r="M6" s="31" t="n">
        <x:v>0</x:v>
      </x:c>
      <x:c r="N6" s="24" t="str">
        <x:v>micromesistius poutassou</x:v>
      </x:c>
      <x:c r="O6" s="32" t="n">
        <x:v>4.13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Micromesistius poutassou</x:v>
      </x:c>
      <x:c r="T6" s="32" t="n">
        <x:f>IF(O6="","",(1/'Metadata'!$B$5)^(O6-1))</x:f>
        <x:v>1348.9628825916532</x:v>
      </x:c>
      <x:c r="U6" s="31" t="n">
        <x:f>IF(T6="","",I6*T6)</x:f>
        <x:v>977.7826323132743</x:v>
      </x:c>
    </x:row>
    <x:row r="7" ht="18" customHeight="1">
      <x:c r="A7" s="24" t="str">
        <x:v>EEZ_579</x:v>
      </x:c>
      <x:c r="B7" s="24" t="str">
        <x:v>Jan Mayen Isl. (Norway)</x:v>
      </x:c>
      <x:c r="C7" s="24" t="str">
        <x:v>EEZ</x:v>
      </x:c>
      <x:c r="D7" s="30" t="n">
        <x:v>2019</x:v>
      </x:c>
      <x:c r="E7" s="24" t="str">
        <x:v>Lophiidae</x:v>
      </x:c>
      <x:c r="F7" s="24" t="str">
        <x:v>Goosefishes</x:v>
      </x:c>
      <x:c r="G7" s="24" t="str">
        <x:v>Medium bathydemersals (30 - 89 cm)</x:v>
      </x:c>
      <x:c r="H7" s="24" t="str">
        <x:v>Other fishes &amp; inverts</x:v>
      </x:c>
      <x:c r="I7" s="31" t="n">
        <x:v>0.0381784917</x:v>
      </x:c>
      <x:c r="J7" s="31" t="n">
        <x:v>0.0381784917</x:v>
      </x:c>
      <x:c r="K7" s="31" t="n">
        <x:v>0</x:v>
      </x:c>
      <x:c r="L7" s="31" t="n">
        <x:v>0.0381784917</x:v>
      </x:c>
      <x:c r="M7" s="31" t="n">
        <x:v>0</x:v>
      </x:c>
      <x:c r="N7" s="24" t="str">
        <x:v>lophiidae</x:v>
      </x:c>
      <x:c r="O7" s="32" t="n">
        <x:v>4.46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Lophiidae</x:v>
      </x:c>
      <x:c r="T7" s="32" t="n">
        <x:f>IF(O7="","",(1/'Metadata'!$B$5)^(O7-1))</x:f>
        <x:v>2884.031503126606</x:v>
      </x:c>
      <x:c r="U7" s="31" t="n">
        <x:f>IF(T7="","",I7*T7)</x:f>
        <x:v>110.10797280465763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659b40028b0499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320.0363784092001</x:v>
      </x:c>
      <x:c r="C2" s="32" t="n">
        <x:v>4.086295906746424</x:v>
      </x:c>
      <x:c r="D2" s="32" t="n">
        <x:f>IF(C2="","",(1/'Metadata'!$B$5)^(C2-1))</x:f>
        <x:v>1219.8204410679675</x:v>
      </x:c>
      <x:c r="E2" s="31" t="n">
        <x:f>IF(B2=0,"",B2*D2)</x:f>
        <x:v>390386.9162689054</x:v>
      </x:c>
    </x:row>
    <x:row r="3" ht="18" customHeight="1">
      <x:c r="A3" s="24" t="str">
        <x:v>Other fishes &amp; inverts</x:v>
      </x:c>
      <x:c r="B3" s="31" t="n">
        <x:v>209.6020694366</x:v>
      </x:c>
      <x:c r="C3" s="32" t="n">
        <x:v>3.280214934043004</x:v>
      </x:c>
      <x:c r="D3" s="32" t="n">
        <x:f>IF(C3="","",(1/'Metadata'!$B$5)^(C3-1))</x:f>
        <x:v>190.64039713390926</x:v>
      </x:c>
      <x:c r="E3" s="31" t="n">
        <x:f>IF(B3=0,"",B3*D3)</x:f>
        <x:v>39958.62175748265</x:v>
      </x:c>
    </x:row>
    <x:row r="4" ht="18" customHeight="1">
      <x:c r="A4" s="24" t="str">
        <x:v>Scorpionfishes</x:v>
      </x:c>
      <x:c r="B4" s="31" t="n">
        <x:v>4.5150106076</x:v>
      </x:c>
      <x:c r="C4" s="32" t="n">
        <x:v>3.7899999999999996</x:v>
      </x:c>
      <x:c r="D4" s="32" t="n">
        <x:f>IF(C4="","",(1/'Metadata'!$B$5)^(C4-1))</x:f>
        <x:v>616.5950018614816</x:v>
      </x:c>
      <x:c r="E4" s="31" t="n">
        <x:f>IF(B4=0,"",B4*D4)</x:f>
        <x:v>2783.932973997731</x:v>
      </x:c>
    </x:row>
  </x:sheetData>
  <x:pageMargins left="0.7" right="0.7" top="0.75" bottom="0.75" header="0.3" footer="0.3"/>
  <x:tableParts count="1">
    <x:tablePart xmlns:r="http://schemas.openxmlformats.org/officeDocument/2006/relationships" r:id="Rb320e25ed4d04d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299.07090144130007</x:v>
      </x:c>
      <x:c r="C2" s="32" t="n">
        <x:v>4.09</x:v>
      </x:c>
      <x:c r="D2" s="32" t="n">
        <x:f>IF(C2="","",(1/'Metadata'!$B$5)^(C2-1))</x:f>
        <x:v>1230.268770812381</x:v>
      </x:c>
      <x:c r="E2" s="31" t="n">
        <x:f>IF(B2=0,"",B2*D2)</x:f>
        <x:v>367937.590301939</x:v>
      </x:c>
    </x:row>
    <x:row r="3" ht="18" customHeight="1">
      <x:c r="A3" s="24" t="str">
        <x:v>Large reef assoc. fish (&gt;=90 cm)</x:v>
      </x:c>
      <x:c r="B3" s="31" t="n">
        <x:v>4.5150106076</x:v>
      </x:c>
      <x:c r="C3" s="32" t="n">
        <x:v>3.7899999999999996</x:v>
      </x:c>
      <x:c r="D3" s="32" t="n">
        <x:f>IF(C3="","",(1/'Metadata'!$B$5)^(C3-1))</x:f>
        <x:v>616.5950018614816</x:v>
      </x:c>
      <x:c r="E3" s="31" t="n">
        <x:f>IF(B3=0,"",B3*D3)</x:f>
        <x:v>2783.932973997731</x:v>
      </x:c>
    </x:row>
    <x:row r="4" ht="18" customHeight="1">
      <x:c r="A4" s="24" t="str">
        <x:v>Medium bathydemersals (30 - 89 cm)</x:v>
      </x:c>
      <x:c r="B4" s="31" t="n">
        <x:v>0.0381784917</x:v>
      </x:c>
      <x:c r="C4" s="32" t="n">
        <x:v>4.46</x:v>
      </x:c>
      <x:c r="D4" s="32" t="n">
        <x:f>IF(C4="","",(1/'Metadata'!$B$5)^(C4-1))</x:f>
        <x:v>2884.031503126606</x:v>
      </x:c>
      <x:c r="E4" s="31" t="n">
        <x:f>IF(B4=0,"",B4*D4)</x:f>
        <x:v>110.10797280465763</x:v>
      </x:c>
    </x:row>
    <x:row r="5" ht="18" customHeight="1">
      <x:c r="A5" s="24" t="str">
        <x:v>Medium benthopelagics (30 - 89 cm)</x:v>
      </x:c>
      <x:c r="B5" s="31" t="n">
        <x:v>0.7248402790999999</x:v>
      </x:c>
      <x:c r="C5" s="32" t="n">
        <x:v>4.13</x:v>
      </x:c>
      <x:c r="D5" s="32" t="n">
        <x:f>IF(C5="","",(1/'Metadata'!$B$5)^(C5-1))</x:f>
        <x:v>1348.9628825916532</x:v>
      </x:c>
      <x:c r="E5" s="31" t="n">
        <x:f>IF(B5=0,"",B5*D5)</x:f>
        <x:v>977.7826323132743</x:v>
      </x:c>
    </x:row>
    <x:row r="6" ht="18" customHeight="1">
      <x:c r="A6" s="24" t="str">
        <x:v>Medium demersals (30 - 89 cm)</x:v>
      </x:c>
      <x:c r="B6" s="31" t="n">
        <x:v>229.80452763370002</x:v>
      </x:c>
      <x:c r="C6" s="32" t="n">
        <x:v>3.346058217707516</x:v>
      </x:c>
      <x:c r="D6" s="32" t="n">
        <x:f>IF(C6="","",(1/'Metadata'!$B$5)^(C6-1))</x:f>
        <x:v>221.84937916797247</x:v>
      </x:c>
      <x:c r="E6" s="31" t="n">
        <x:f>IF(B6=0,"",B6*D6)</x:f>
        <x:v>50981.991785525526</x:v>
      </x:c>
    </x:row>
  </x:sheetData>
  <x:pageMargins left="0.7" right="0.7" top="0.75" bottom="0.75" header="0.3" footer="0.3"/>
  <x:tableParts count="1">
    <x:tablePart xmlns:r="http://schemas.openxmlformats.org/officeDocument/2006/relationships" r:id="Ra409b5af8a0e4b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EEZ_579</x:v>
      </x:c>
      <x:c r="B2" s="24" t="str">
        <x:v>raw_filtered_tonnes</x:v>
      </x:c>
      <x:c r="C2" s="24" t="n">
        <x:v>534.1534584534</x:v>
      </x:c>
      <x:c r="D2" s="24" t="str">
        <x:v>tonnes</x:v>
      </x:c>
    </x:row>
    <x:row r="3" ht="18" customHeight="1">
      <x:c r="A3" s="24" t="str">
        <x:v>EEZ_579</x:v>
      </x:c>
      <x:c r="B3" s="24" t="str">
        <x:v>species_catch_tonnes</x:v>
      </x:c>
      <x:c r="C3" s="24" t="n">
        <x:v>534.1534584534</x:v>
      </x:c>
      <x:c r="D3" s="24" t="str">
        <x:v>tonnes</x:v>
      </x:c>
    </x:row>
    <x:row r="4" ht="18" customHeight="1">
      <x:c r="A4" s="24" t="str">
        <x:v>EEZ_579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EEZ_579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EEZ_579</x:v>
      </x:c>
      <x:c r="B6" s="24" t="str">
        <x:v>matched_catch_tonnes</x:v>
      </x:c>
      <x:c r="C6" s="24" t="n">
        <x:v>534.1534584534</x:v>
      </x:c>
      <x:c r="D6" s="24" t="str">
        <x:v>tonnes</x:v>
      </x:c>
    </x:row>
    <x:row r="7" ht="18" customHeight="1">
      <x:c r="A7" s="24" t="str">
        <x:v>EEZ_579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EEZ_579</x:v>
      </x:c>
      <x:c r="B8" s="24" t="str">
        <x:v>taxa_count</x:v>
      </x:c>
      <x:c r="C8" s="24" t="n">
        <x:v>6</x:v>
      </x:c>
      <x:c r="D8" s="24" t="str">
        <x:v>count</x:v>
      </x:c>
    </x:row>
    <x:row r="9" ht="18" customHeight="1">
      <x:c r="A9" s="24" t="str">
        <x:v>EEZ_579</x:v>
      </x:c>
      <x:c r="B9" s="24" t="str">
        <x:v>matched_taxa_count</x:v>
      </x:c>
      <x:c r="C9" s="24" t="n">
        <x:v>6</x:v>
      </x:c>
      <x:c r="D9" s="24" t="str">
        <x:v>count</x:v>
      </x:c>
    </x:row>
    <x:row r="10" ht="18" customHeight="1">
      <x:c r="A10" s="24" t="str">
        <x:v>EEZ_579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EEZ_579</x:v>
      </x:c>
      <x:c r="B11" s="24" t="str">
        <x:v>species_ppr</x:v>
      </x:c>
      <x:c r="C11" s="24" t="n">
        <x:v>433429.22305330844</x:v>
      </x:c>
      <x:c r="D11" s="24" t="str">
        <x:v>tonnes_primary_production_equivalent</x:v>
      </x:c>
    </x:row>
    <x:row r="12" ht="18" customHeight="1">
      <x:c r="A12" s="24" t="str">
        <x:v>EEZ_579</x:v>
      </x:c>
      <x:c r="B12" s="24" t="str">
        <x:v>commercial_ppr</x:v>
      </x:c>
      <x:c r="C12" s="24" t="n">
        <x:v>433129.47100038576</x:v>
      </x:c>
      <x:c r="D12" s="24" t="str">
        <x:v>tonnes_primary_production_equivalent</x:v>
      </x:c>
    </x:row>
    <x:row r="13" ht="18" customHeight="1">
      <x:c r="A13" s="24" t="str">
        <x:v>EEZ_579</x:v>
      </x:c>
      <x:c r="B13" s="24" t="str">
        <x:v>functional_ppr</x:v>
      </x:c>
      <x:c r="C13" s="24" t="n">
        <x:v>422791.40566658013</x:v>
      </x:c>
      <x:c r="D13" s="24" t="str">
        <x:v>tonnes_primary_production_equivalent</x:v>
      </x:c>
    </x:row>
    <x:row r="14" ht="18" customHeight="1">
      <x:c r="A14" s="24" t="str">
        <x:v>EEZ_579</x:v>
      </x:c>
      <x:c r="B14" s="24" t="str">
        <x:v>commercial_ppr_difference</x:v>
      </x:c>
      <x:c r="C14" s="24" t="n">
        <x:v>-299.7520529226749</x:v>
      </x:c>
      <x:c r="D14" s="24" t="str">
        <x:v>tonnes_primary_production_equivalent</x:v>
      </x:c>
    </x:row>
    <x:row r="15" ht="18" customHeight="1">
      <x:c r="A15" s="24" t="str">
        <x:v>EEZ_579</x:v>
      </x:c>
      <x:c r="B15" s="24" t="str">
        <x:v>functional_ppr_difference</x:v>
      </x:c>
      <x:c r="C15" s="24" t="n">
        <x:v>-10637.817386728304</x:v>
      </x:c>
      <x:c r="D15" s="24" t="str">
        <x:v>tonnes_primary_production_equivalent</x:v>
      </x:c>
    </x:row>
    <x:row r="16" ht="18" customHeight="1">
      <x:c r="A16" s="24" t="str">
        <x:v>EEZ_579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EEZ_579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05e2a8b74a8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EEZ_579 - Jan Mayen Isl. (Norway)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