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e4a6a9da1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ba5887af77647cf"/>
    <x:sheet xmlns:r="http://schemas.openxmlformats.org/officeDocument/2006/relationships" name="Commercial" sheetId="2" r:id="Re045e1b1025a4b1e"/>
    <x:sheet xmlns:r="http://schemas.openxmlformats.org/officeDocument/2006/relationships" name="Functional" sheetId="3" r:id="R26195f2380844c9d"/>
    <x:sheet xmlns:r="http://schemas.openxmlformats.org/officeDocument/2006/relationships" name="Missing TL" sheetId="4" r:id="Rf7d6c6f9438c4ec3"/>
    <x:sheet xmlns:r="http://schemas.openxmlformats.org/officeDocument/2006/relationships" name="Validation" sheetId="5" r:id="Re00a3607b3fe4665"/>
    <x:sheet xmlns:r="http://schemas.openxmlformats.org/officeDocument/2006/relationships" name="Metadata" sheetId="6" r:id="R8a548364becc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1bd06697c4e4c" /><Relationship Type="http://schemas.openxmlformats.org/officeDocument/2006/relationships/theme" Target="/xl/theme/theme1.xml" Id="R5280f10f1e554c62" /><Relationship Type="http://schemas.microsoft.com/office/2022/11/relationships/FeaturePropertyBag" Target="/xl/featurePropertyBag/featurePropertyBag.xml" Id="R06bd5ee3894b4d4f" /><Relationship Type="http://schemas.openxmlformats.org/officeDocument/2006/relationships/sharedStrings" Target="/xl/sharedStrings.xml" Id="Rbccda13d0dea4675" /><Relationship Type="http://schemas.openxmlformats.org/officeDocument/2006/relationships/worksheet" Target="/xl/worksheets/sheet1.xml" Id="Rfba5887af77647cf" /><Relationship Type="http://schemas.openxmlformats.org/officeDocument/2006/relationships/worksheet" Target="/xl/worksheets/sheet2.xml" Id="Re045e1b1025a4b1e" /><Relationship Type="http://schemas.openxmlformats.org/officeDocument/2006/relationships/worksheet" Target="/xl/worksheets/sheet3.xml" Id="R26195f2380844c9d" /><Relationship Type="http://schemas.openxmlformats.org/officeDocument/2006/relationships/worksheet" Target="/xl/worksheets/sheet4.xml" Id="Rf7d6c6f9438c4ec3" /><Relationship Type="http://schemas.openxmlformats.org/officeDocument/2006/relationships/worksheet" Target="/xl/worksheets/sheet5.xml" Id="Re00a3607b3fe4665" /><Relationship Type="http://schemas.openxmlformats.org/officeDocument/2006/relationships/worksheet" Target="/xl/worksheets/sheet6.xml" Id="R8a548364becc46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80SpeciesTable" displayName="EEZ180SpeciesTable" ref="A1:U35" headerRowCount="1" totalsRowCount="0" totalsRowShown="0">
  <x:autoFilter ref="A1:U3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80CommercialTable" displayName="EEZ180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80FunctionalTable" displayName="EEZ180FunctionalTable" ref="A1:E16" headerRowCount="1" totalsRowCount="0" totalsRowShown="0">
  <x:autoFilter ref="A1:E1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80ValidationTable" displayName="EEZ18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879b557bfc47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9da6e2a0bf4c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936b2e6d8147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f92c863038469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EEZ_180</x:v>
      </x:c>
      <x:c r="B2" s="24" t="str">
        <x:v>Congo (ex-Zaire)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9722.4571169192</x:v>
      </x:c>
      <x:c r="J2" s="31" t="n">
        <x:v>8359.879964236701</x:v>
      </x:c>
      <x:c r="K2" s="31" t="n">
        <x:v>1362.5771526825</x:v>
      </x:c>
      <x:c r="L2" s="31" t="n">
        <x:v>974.4272842373</x:v>
      </x:c>
      <x:c r="M2" s="31" t="n">
        <x:v>8748.0298326819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1852576.0118371735</x:v>
      </x:c>
    </x:row>
    <x:row r="3" ht="18" customHeight="1">
      <x:c r="A3" s="24" t="str">
        <x:v>EEZ_180</x:v>
      </x:c>
      <x:c r="B3" s="24" t="str">
        <x:v>Congo (ex-Zaire)</x:v>
      </x:c>
      <x:c r="C3" s="24" t="str">
        <x:v>EEZ</x:v>
      </x:c>
      <x:c r="D3" s="30" t="n">
        <x:v>2019</x:v>
      </x:c>
      <x:c r="E3" s="24" t="str">
        <x:v>Sciaenidae</x:v>
      </x:c>
      <x:c r="F3" s="24" t="str">
        <x:v>Drums, croakers</x:v>
      </x:c>
      <x:c r="G3" s="24" t="str">
        <x:v>Medium demersals (30 - 89 cm)</x:v>
      </x:c>
      <x:c r="H3" s="24" t="str">
        <x:v>Perch-likes</x:v>
      </x:c>
      <x:c r="I3" s="31" t="n">
        <x:v>2359.6596999999</x:v>
      </x:c>
      <x:c r="J3" s="31" t="n">
        <x:v>1759.9999999999</x:v>
      </x:c>
      <x:c r="K3" s="31" t="n">
        <x:v>599.6597</x:v>
      </x:c>
      <x:c r="L3" s="31" t="n">
        <x:v>1759.9999999999</x:v>
      </x:c>
      <x:c r="M3" s="31" t="n">
        <x:v>599.6597</x:v>
      </x:c>
      <x:c r="N3" s="24" t="str">
        <x:v>sciaenidae</x:v>
      </x:c>
      <x:c r="O3" s="32" t="n">
        <x:v>3.76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Sciaenidae</x:v>
      </x:c>
      <x:c r="T3" s="32" t="n">
        <x:f>IF(O3="","",(1/'Metadata'!$B$5)^(O3-1))</x:f>
        <x:v>575.4399373371566</x:v>
      </x:c>
      <x:c r="U3" s="31" t="n">
        <x:f>IF(T3="","",I3*T3)</x:f>
        <x:v>1357842.4299049564</x:v>
      </x:c>
    </x:row>
    <x:row r="4" ht="18" customHeight="1">
      <x:c r="A4" s="24" t="str">
        <x:v>EEZ_180</x:v>
      </x:c>
      <x:c r="B4" s="24" t="str">
        <x:v>Congo (ex-Zaire)</x:v>
      </x:c>
      <x:c r="C4" s="24" t="str">
        <x:v>EEZ</x:v>
      </x:c>
      <x:c r="D4" s="30" t="n">
        <x:v>2019</x:v>
      </x:c>
      <x:c r="E4" s="24" t="str">
        <x:v>Trichiurus lepturus</x:v>
      </x:c>
      <x:c r="F4" s="24" t="str">
        <x:v>Largehead hairtail</x:v>
      </x:c>
      <x:c r="G4" s="24" t="str">
        <x:v>Large benthopelagics (&gt;=90 cm)</x:v>
      </x:c>
      <x:c r="H4" s="24" t="str">
        <x:v>Perch-likes</x:v>
      </x:c>
      <x:c r="I4" s="31" t="n">
        <x:v>1929.9999999999</x:v>
      </x:c>
      <x:c r="J4" s="31" t="n">
        <x:v>1929.9999999999</x:v>
      </x:c>
      <x:c r="K4" s="31" t="n">
        <x:v>0</x:v>
      </x:c>
      <x:c r="L4" s="31" t="n">
        <x:v>1929.9999999999</x:v>
      </x:c>
      <x:c r="M4" s="31" t="n">
        <x:v>0</x:v>
      </x:c>
      <x:c r="N4" s="24" t="str">
        <x:v>trichiurus lepturus</x:v>
      </x:c>
      <x:c r="O4" s="32" t="n">
        <x:v>4.42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Trichiurus lepturus</x:v>
      </x:c>
      <x:c r="T4" s="32" t="n">
        <x:f>IF(O4="","",(1/'Metadata'!$B$5)^(O4-1))</x:f>
        <x:v>2630.2679918953813</x:v>
      </x:c>
      <x:c r="U4" s="31" t="n">
        <x:f>IF(T4="","",I4*T4)</x:f>
        <x:v>5076417.224357823</x:v>
      </x:c>
    </x:row>
    <x:row r="5" ht="18" customHeight="1">
      <x:c r="A5" s="24" t="str">
        <x:v>EEZ_180</x:v>
      </x:c>
      <x:c r="B5" s="24" t="str">
        <x:v>Congo (ex-Zaire)</x:v>
      </x:c>
      <x:c r="C5" s="24" t="str">
        <x:v>EEZ</x:v>
      </x:c>
      <x:c r="D5" s="30" t="n">
        <x:v>2019</x:v>
      </x:c>
      <x:c r="E5" s="24" t="str">
        <x:v>Cynoglossus</x:v>
      </x:c>
      <x:c r="F5" s="24" t="str">
        <x:v>Tonguesoles</x:v>
      </x:c>
      <x:c r="G5" s="24" t="str">
        <x:v>Small to medium flatfishes (&lt;90 cm)</x:v>
      </x:c>
      <x:c r="H5" s="24" t="str">
        <x:v>Flatfishes</x:v>
      </x:c>
      <x:c r="I5" s="31" t="n">
        <x:v>922.96370603</x:v>
      </x:c>
      <x:c r="J5" s="31" t="n">
        <x:v>323.30400603</x:v>
      </x:c>
      <x:c r="K5" s="31" t="n">
        <x:v>599.6597</x:v>
      </x:c>
      <x:c r="L5" s="31" t="n">
        <x:v>103.85</x:v>
      </x:c>
      <x:c r="M5" s="31" t="n">
        <x:v>819.11370603</x:v>
      </x:c>
      <x:c r="N5" s="24" t="str">
        <x:v>cynoglossus</x:v>
      </x:c>
      <x:c r="O5" s="32" t="n">
        <x:v>3.36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Cynoglossus</x:v>
      </x:c>
      <x:c r="T5" s="32" t="n">
        <x:f>IF(O5="","",(1/'Metadata'!$B$5)^(O5-1))</x:f>
        <x:v>229.08676527677724</x:v>
      </x:c>
      <x:c r="U5" s="31" t="n">
        <x:f>IF(T5="","",I5*T5)</x:f>
        <x:v>211438.76988227904</x:v>
      </x:c>
    </x:row>
    <x:row r="6" ht="18" customHeight="1">
      <x:c r="A6" s="24" t="str">
        <x:v>EEZ_180</x:v>
      </x:c>
      <x:c r="B6" s="24" t="str">
        <x:v>Congo (ex-Zaire)</x:v>
      </x:c>
      <x:c r="C6" s="24" t="str">
        <x:v>EEZ</x:v>
      </x:c>
      <x:c r="D6" s="30" t="n">
        <x:v>2019</x:v>
      </x:c>
      <x:c r="E6" s="24" t="str">
        <x:v>Pomadasys</x:v>
      </x:c>
      <x:c r="F6" s="24" t="str">
        <x:v>Grunters</x:v>
      </x:c>
      <x:c r="G6" s="24" t="str">
        <x:v>Medium demersals (30 - 89 cm)</x:v>
      </x:c>
      <x:c r="H6" s="24" t="str">
        <x:v>Perch-likes</x:v>
      </x:c>
      <x:c r="I6" s="31" t="n">
        <x:v>803.0318159767</x:v>
      </x:c>
      <x:c r="J6" s="31" t="n">
        <x:v>323.3040159767</x:v>
      </x:c>
      <x:c r="K6" s="31" t="n">
        <x:v>479.7278</x:v>
      </x:c>
      <x:c r="L6" s="31" t="n">
        <x:v>103.84999999999998</x:v>
      </x:c>
      <x:c r="M6" s="31" t="n">
        <x:v>699.1818159767</x:v>
      </x:c>
      <x:c r="N6" s="24" t="str">
        <x:v>pomadasys</x:v>
      </x:c>
      <x:c r="O6" s="32" t="n">
        <x:v>3.59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Pomadasys</x:v>
      </x:c>
      <x:c r="T6" s="32" t="n">
        <x:f>IF(O6="","",(1/'Metadata'!$B$5)^(O6-1))</x:f>
        <x:v>389.04514499428046</x:v>
      </x:c>
      <x:c r="U6" s="31" t="n">
        <x:f>IF(T6="","",I6*T6)</x:f>
        <x:v>312415.6292816756</x:v>
      </x:c>
    </x:row>
    <x:row r="7" ht="18" customHeight="1">
      <x:c r="A7" s="24" t="str">
        <x:v>EEZ_180</x:v>
      </x:c>
      <x:c r="B7" s="24" t="str">
        <x:v>Congo (ex-Zaire)</x:v>
      </x:c>
      <x:c r="C7" s="24" t="str">
        <x:v>EEZ</x:v>
      </x:c>
      <x:c r="D7" s="30" t="n">
        <x:v>2019</x:v>
      </x:c>
      <x:c r="E7" s="24" t="str">
        <x:v>Lutjanus</x:v>
      </x:c>
      <x:c r="F7" s="24" t="str">
        <x:v>Snappers</x:v>
      </x:c>
      <x:c r="G7" s="24" t="str">
        <x:v>Medium reef assoc. fish (30 - 89 cm)</x:v>
      </x:c>
      <x:c r="H7" s="24" t="str">
        <x:v>Perch-likes</x:v>
      </x:c>
      <x:c r="I7" s="31" t="n">
        <x:v>749.9520549803</x:v>
      </x:c>
      <x:c r="J7" s="31" t="n">
        <x:v>270.2242549803</x:v>
      </x:c>
      <x:c r="K7" s="31" t="n">
        <x:v>479.7278</x:v>
      </x:c>
      <x:c r="L7" s="31" t="n">
        <x:v>86.8</x:v>
      </x:c>
      <x:c r="M7" s="31" t="n">
        <x:v>663.1520549803</x:v>
      </x:c>
      <x:c r="N7" s="24" t="str">
        <x:v>lutjanus</x:v>
      </x:c>
      <x:c r="O7" s="32" t="n">
        <x:v>4.02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Lutjanus</x:v>
      </x:c>
      <x:c r="T7" s="32" t="n">
        <x:f>IF(O7="","",(1/'Metadata'!$B$5)^(O7-1))</x:f>
        <x:v>1047.1285480508984</x:v>
      </x:c>
      <x:c r="U7" s="31" t="n">
        <x:f>IF(T7="","",I7*T7)</x:f>
        <x:v>785296.206439309</x:v>
      </x:c>
    </x:row>
    <x:row r="8" ht="18" customHeight="1">
      <x:c r="A8" s="24" t="str">
        <x:v>EEZ_180</x:v>
      </x:c>
      <x:c r="B8" s="24" t="str">
        <x:v>Congo (ex-Zaire)</x:v>
      </x:c>
      <x:c r="C8" s="24" t="str">
        <x:v>EEZ</x:v>
      </x:c>
      <x:c r="D8" s="30" t="n">
        <x:v>2019</x:v>
      </x:c>
      <x:c r="E8" s="24" t="str">
        <x:v>Sardinella</x:v>
      </x:c>
      <x:c r="F8" s="24" t="str">
        <x:v>Sardinellas</x:v>
      </x:c>
      <x:c r="G8" s="24" t="str">
        <x:v>Small pelagics (&lt;30 cm)</x:v>
      </x:c>
      <x:c r="H8" s="24" t="str">
        <x:v>Herring-likes</x:v>
      </x:c>
      <x:c r="I8" s="31" t="n">
        <x:v>681.3677949274</x:v>
      </x:c>
      <x:c r="J8" s="31" t="n">
        <x:v>283.1936949274</x:v>
      </x:c>
      <x:c r="K8" s="31" t="n">
        <x:v>398.1741</x:v>
      </x:c>
      <x:c r="L8" s="31" t="n">
        <x:v>99.7694300001</x:v>
      </x:c>
      <x:c r="M8" s="31" t="n">
        <x:v>581.5983649273</x:v>
      </x:c>
      <x:c r="N8" s="24" t="str">
        <x:v>sardinella</x:v>
      </x:c>
      <x:c r="O8" s="32" t="n">
        <x:v>2.77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Sardinella</x:v>
      </x:c>
      <x:c r="T8" s="32" t="n">
        <x:f>IF(O8="","",(1/'Metadata'!$B$5)^(O8-1))</x:f>
        <x:v>58.8843655355589</x:v>
      </x:c>
      <x:c r="U8" s="31" t="n">
        <x:f>IF(T8="","",I8*T8)</x:f>
        <x:v>40121.910300662756</x:v>
      </x:c>
    </x:row>
    <x:row r="9" ht="18" customHeight="1">
      <x:c r="A9" s="24" t="str">
        <x:v>EEZ_180</x:v>
      </x:c>
      <x:c r="B9" s="24" t="str">
        <x:v>Congo (ex-Zaire)</x:v>
      </x:c>
      <x:c r="C9" s="24" t="str">
        <x:v>EEZ</x:v>
      </x:c>
      <x:c r="D9" s="30" t="n">
        <x:v>2019</x:v>
      </x:c>
      <x:c r="E9" s="24" t="str">
        <x:v>Elasmobranchii</x:v>
      </x:c>
      <x:c r="F9" s="24" t="str">
        <x:v>Sharks, rays, skates</x:v>
      </x:c>
      <x:c r="G9" s="24" t="str">
        <x:v>Large sharks (&gt;=90 cm)</x:v>
      </x:c>
      <x:c r="H9" s="24" t="str">
        <x:v>Sharks &amp; rays</x:v>
      </x:c>
      <x:c r="I9" s="31" t="n">
        <x:v>640.0000000001</x:v>
      </x:c>
      <x:c r="J9" s="31" t="n">
        <x:v>640.0000000001</x:v>
      </x:c>
      <x:c r="K9" s="31" t="n">
        <x:v>0</x:v>
      </x:c>
      <x:c r="L9" s="31" t="n">
        <x:v>640.0000000001</x:v>
      </x:c>
      <x:c r="M9" s="31" t="n">
        <x:v>0</x:v>
      </x:c>
      <x:c r="N9" s="24" t="str">
        <x:v>elasmobranchii</x:v>
      </x:c>
      <x:c r="O9" s="32" t="n">
        <x:v>4.05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Elasmobranchii</x:v>
      </x:c>
      <x:c r="T9" s="32" t="n">
        <x:f>IF(O9="","",(1/'Metadata'!$B$5)^(O9-1))</x:f>
        <x:v>1122.018454301963</x:v>
      </x:c>
      <x:c r="U9" s="31" t="n">
        <x:f>IF(T9="","",I9*T9)</x:f>
        <x:v>718091.8107533685</x:v>
      </x:c>
    </x:row>
    <x:row r="10" ht="18" customHeight="1">
      <x:c r="A10" s="24" t="str">
        <x:v>EEZ_180</x:v>
      </x:c>
      <x:c r="B10" s="24" t="str">
        <x:v>Congo (ex-Zaire)</x:v>
      </x:c>
      <x:c r="C10" s="24" t="str">
        <x:v>EEZ</x:v>
      </x:c>
      <x:c r="D10" s="30" t="n">
        <x:v>2019</x:v>
      </x:c>
      <x:c r="E10" s="24" t="str">
        <x:v>Ethmalosa fimbriata</x:v>
      </x:c>
      <x:c r="F10" s="24" t="str">
        <x:v>Bonga shad</x:v>
      </x:c>
      <x:c r="G10" s="24" t="str">
        <x:v>Medium pelagics (30 - 89 cm)</x:v>
      </x:c>
      <x:c r="H10" s="24" t="str">
        <x:v>Herring-likes</x:v>
      </x:c>
      <x:c r="I10" s="31" t="n">
        <x:v>624.9694989541</x:v>
      </x:c>
      <x:c r="J10" s="31" t="n">
        <x:v>226.7953989541</x:v>
      </x:c>
      <x:c r="K10" s="31" t="n">
        <x:v>398.1741</x:v>
      </x:c>
      <x:c r="L10" s="31" t="n">
        <x:v>72.85</x:v>
      </x:c>
      <x:c r="M10" s="31" t="n">
        <x:v>552.1194989541</x:v>
      </x:c>
      <x:c r="N10" s="24" t="str">
        <x:v>ethmalosa fimbriata</x:v>
      </x:c>
      <x:c r="O10" s="32" t="n">
        <x:v>2.5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Ethmalosa fimbriata</x:v>
      </x:c>
      <x:c r="T10" s="32" t="n">
        <x:f>IF(O10="","",(1/'Metadata'!$B$5)^(O10-1))</x:f>
        <x:v>31.622776601683793</x:v>
      </x:c>
      <x:c r="U10" s="31" t="n">
        <x:f>IF(T10="","",I10*T10)</x:f>
        <x:v>19763.27084829176</x:v>
      </x:c>
    </x:row>
    <x:row r="11" ht="18" customHeight="1">
      <x:c r="A11" s="24" t="str">
        <x:v>EEZ_180</x:v>
      </x:c>
      <x:c r="B11" s="24" t="str">
        <x:v>Congo (ex-Zaire)</x:v>
      </x:c>
      <x:c r="C11" s="24" t="str">
        <x:v>EEZ</x:v>
      </x:c>
      <x:c r="D11" s="30" t="n">
        <x:v>2019</x:v>
      </x:c>
      <x:c r="E11" s="24" t="str">
        <x:v>Sparidae</x:v>
      </x:c>
      <x:c r="F11" s="24" t="str">
        <x:v>Porgies, seabreams</x:v>
      </x:c>
      <x:c r="G11" s="24" t="str">
        <x:v>Medium benthopelagics (30 - 89 cm)</x:v>
      </x:c>
      <x:c r="H11" s="24" t="str">
        <x:v>Perch-likes</x:v>
      </x:c>
      <x:c r="I11" s="31" t="n">
        <x:v>479.7278</x:v>
      </x:c>
      <x:c r="J11" s="31" t="n">
        <x:v>0</x:v>
      </x:c>
      <x:c r="K11" s="31" t="n">
        <x:v>479.7278</x:v>
      </x:c>
      <x:c r="L11" s="31" t="n">
        <x:v>0</x:v>
      </x:c>
      <x:c r="M11" s="31" t="n">
        <x:v>479.7278</x:v>
      </x:c>
      <x:c r="N11" s="24" t="str">
        <x:v>sparidae</x:v>
      </x:c>
      <x:c r="O11" s="32" t="n">
        <x:v>3.31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Sparidae</x:v>
      </x:c>
      <x:c r="T11" s="32" t="n">
        <x:f>IF(O11="","",(1/'Metadata'!$B$5)^(O11-1))</x:f>
        <x:v>204.17379446695296</x:v>
      </x:c>
      <x:c r="U11" s="31" t="n">
        <x:f>IF(T11="","",I11*T11)</x:f>
        <x:v>97947.84523728352</x:v>
      </x:c>
    </x:row>
    <x:row r="12" ht="18" customHeight="1">
      <x:c r="A12" s="24" t="str">
        <x:v>EEZ_180</x:v>
      </x:c>
      <x:c r="B12" s="24" t="str">
        <x:v>Congo (ex-Zaire)</x:v>
      </x:c>
      <x:c r="C12" s="24" t="str">
        <x:v>EEZ</x:v>
      </x:c>
      <x:c r="D12" s="30" t="n">
        <x:v>2019</x:v>
      </x:c>
      <x:c r="E12" s="24" t="str">
        <x:v>Polynemidae</x:v>
      </x:c>
      <x:c r="F12" s="24" t="str">
        <x:v>Threadfins</x:v>
      </x:c>
      <x:c r="G12" s="24" t="str">
        <x:v>Small demersals (&lt;30 cm)</x:v>
      </x:c>
      <x:c r="H12" s="24" t="str">
        <x:v>Perch-likes</x:v>
      </x:c>
      <x:c r="I12" s="31" t="n">
        <x:v>420</x:v>
      </x:c>
      <x:c r="J12" s="31" t="n">
        <x:v>420</x:v>
      </x:c>
      <x:c r="K12" s="31" t="n">
        <x:v>0</x:v>
      </x:c>
      <x:c r="L12" s="31" t="n">
        <x:v>420</x:v>
      </x:c>
      <x:c r="M12" s="31" t="n">
        <x:v>0</x:v>
      </x:c>
      <x:c r="N12" s="24" t="str">
        <x:v>polynemidae</x:v>
      </x:c>
      <x:c r="O12" s="32" t="n">
        <x:v>3.62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Polynemidae</x:v>
      </x:c>
      <x:c r="T12" s="32" t="n">
        <x:f>IF(O12="","",(1/'Metadata'!$B$5)^(O12-1))</x:f>
        <x:v>416.8693834703355</x:v>
      </x:c>
      <x:c r="U12" s="31" t="n">
        <x:f>IF(T12="","",I12*T12)</x:f>
        <x:v>175085.1410575409</x:v>
      </x:c>
    </x:row>
    <x:row r="13" ht="18" customHeight="1">
      <x:c r="A13" s="24" t="str">
        <x:v>EEZ_180</x:v>
      </x:c>
      <x:c r="B13" s="24" t="str">
        <x:v>Congo (ex-Zaire)</x:v>
      </x:c>
      <x:c r="C13" s="24" t="str">
        <x:v>EEZ</x:v>
      </x:c>
      <x:c r="D13" s="30" t="n">
        <x:v>2019</x:v>
      </x:c>
      <x:c r="E13" s="24" t="str">
        <x:v>Caranx hippos</x:v>
      </x:c>
      <x:c r="F13" s="24" t="str">
        <x:v>Crevalle jack</x:v>
      </x:c>
      <x:c r="G13" s="24" t="str">
        <x:v>Large reef assoc. fish (&gt;=90 cm)</x:v>
      </x:c>
      <x:c r="H13" s="24" t="str">
        <x:v>Perch-likes</x:v>
      </x:c>
      <x:c r="I13" s="31" t="n">
        <x:v>339.9999999999</x:v>
      </x:c>
      <x:c r="J13" s="31" t="n">
        <x:v>339.9999999999</x:v>
      </x:c>
      <x:c r="K13" s="31" t="n">
        <x:v>0</x:v>
      </x:c>
      <x:c r="L13" s="31" t="n">
        <x:v>339.9999999999</x:v>
      </x:c>
      <x:c r="M13" s="31" t="n">
        <x:v>0</x:v>
      </x:c>
      <x:c r="N13" s="24" t="str">
        <x:v>caranx hippos</x:v>
      </x:c>
      <x:c r="O13" s="32" t="n">
        <x:v>3.56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Caranx hippos</x:v>
      </x:c>
      <x:c r="T13" s="32" t="n">
        <x:f>IF(O13="","",(1/'Metadata'!$B$5)^(O13-1))</x:f>
        <x:v>363.0780547701014</x:v>
      </x:c>
      <x:c r="U13" s="31" t="n">
        <x:f>IF(T13="","",I13*T13)</x:f>
        <x:v>123446.53862179817</x:v>
      </x:c>
    </x:row>
    <x:row r="14" ht="18" customHeight="1">
      <x:c r="A14" s="24" t="str">
        <x:v>EEZ_180</x:v>
      </x:c>
      <x:c r="B14" s="24" t="str">
        <x:v>Congo (ex-Zaire)</x:v>
      </x:c>
      <x:c r="C14" s="24" t="str">
        <x:v>EEZ</x:v>
      </x:c>
      <x:c r="D14" s="30" t="n">
        <x:v>2019</x:v>
      </x:c>
      <x:c r="E14" s="24" t="str">
        <x:v>Pseudotolithus</x:v>
      </x:c>
      <x:c r="F14" s="24" t="str">
        <x:v>African croakers</x:v>
      </x:c>
      <x:c r="G14" s="24" t="str">
        <x:v>Large demersals (&gt;=90 cm)</x:v>
      </x:c>
      <x:c r="H14" s="24" t="str">
        <x:v>Perch-likes</x:v>
      </x:c>
      <x:c r="I14" s="31" t="n">
        <x:v>323.30408063</x:v>
      </x:c>
      <x:c r="J14" s="31" t="n">
        <x:v>323.30408063</x:v>
      </x:c>
      <x:c r="K14" s="31" t="n">
        <x:v>0</x:v>
      </x:c>
      <x:c r="L14" s="31" t="n">
        <x:v>103.8500000001</x:v>
      </x:c>
      <x:c r="M14" s="31" t="n">
        <x:v>219.4540806299</x:v>
      </x:c>
      <x:c r="N14" s="24" t="str">
        <x:v>pseudotolithus</x:v>
      </x:c>
      <x:c r="O14" s="32" t="n">
        <x:v>3.79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Pseudotolithus</x:v>
      </x:c>
      <x:c r="T14" s="32" t="n">
        <x:f>IF(O14="","",(1/'Metadata'!$B$5)^(O14-1))</x:f>
        <x:v>616.5950018614822</x:v>
      </x:c>
      <x:c r="U14" s="31" t="n">
        <x:f>IF(T14="","",I14*T14)</x:f>
        <x:v>199347.6801978796</x:v>
      </x:c>
    </x:row>
    <x:row r="15" ht="18" customHeight="1">
      <x:c r="A15" s="24" t="str">
        <x:v>EEZ_180</x:v>
      </x:c>
      <x:c r="B15" s="24" t="str">
        <x:v>Congo (ex-Zaire)</x:v>
      </x:c>
      <x:c r="C15" s="24" t="str">
        <x:v>EEZ</x:v>
      </x:c>
      <x:c r="D15" s="30" t="n">
        <x:v>2019</x:v>
      </x:c>
      <x:c r="E15" s="24" t="str">
        <x:v>Galeoides decadactylus</x:v>
      </x:c>
      <x:c r="F15" s="24" t="str">
        <x:v>Lesser African threadfin</x:v>
      </x:c>
      <x:c r="G15" s="24" t="str">
        <x:v>Medium demersals (30 - 89 cm)</x:v>
      </x:c>
      <x:c r="H15" s="24" t="str">
        <x:v>Perch-likes</x:v>
      </x:c>
      <x:c r="I15" s="31" t="n">
        <x:v>323.3040358701</x:v>
      </x:c>
      <x:c r="J15" s="31" t="n">
        <x:v>323.3040358701</x:v>
      </x:c>
      <x:c r="K15" s="31" t="n">
        <x:v>0</x:v>
      </x:c>
      <x:c r="L15" s="31" t="n">
        <x:v>103.8500000001</x:v>
      </x:c>
      <x:c r="M15" s="31" t="n">
        <x:v>219.45403587</x:v>
      </x:c>
      <x:c r="N15" s="24" t="str">
        <x:v>galeoides decadactylus</x:v>
      </x:c>
      <x:c r="O15" s="32" t="n">
        <x:v>3.57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Galeoides decadactylus</x:v>
      </x:c>
      <x:c r="T15" s="32" t="n">
        <x:f>IF(O15="","",(1/'Metadata'!$B$5)^(O15-1))</x:f>
        <x:v>371.5352290971724</x:v>
      </x:c>
      <x:c r="U15" s="31" t="n">
        <x:f>IF(T15="","",I15*T15)</x:f>
        <x:v>120118.83903503805</x:v>
      </x:c>
    </x:row>
    <x:row r="16" ht="18" customHeight="1">
      <x:c r="A16" s="24" t="str">
        <x:v>EEZ_180</x:v>
      </x:c>
      <x:c r="B16" s="24" t="str">
        <x:v>Congo (ex-Zaire)</x:v>
      </x:c>
      <x:c r="C16" s="24" t="str">
        <x:v>EEZ</x:v>
      </x:c>
      <x:c r="D16" s="30" t="n">
        <x:v>2019</x:v>
      </x:c>
      <x:c r="E16" s="24" t="str">
        <x:v>Dentex</x:v>
      </x:c>
      <x:c r="F16" s="24" t="str">
        <x:v>Toothed seabreams</x:v>
      </x:c>
      <x:c r="G16" s="24" t="str">
        <x:v>Large benthopelagics (&gt;=90 cm)</x:v>
      </x:c>
      <x:c r="H16" s="24" t="str">
        <x:v>Perch-likes</x:v>
      </x:c>
      <x:c r="I16" s="31" t="n">
        <x:v>323.30402841</x:v>
      </x:c>
      <x:c r="J16" s="31" t="n">
        <x:v>323.30402841</x:v>
      </x:c>
      <x:c r="K16" s="31" t="n">
        <x:v>0</x:v>
      </x:c>
      <x:c r="L16" s="31" t="n">
        <x:v>103.85</x:v>
      </x:c>
      <x:c r="M16" s="31" t="n">
        <x:v>219.45402841</x:v>
      </x:c>
      <x:c r="N16" s="24" t="str">
        <x:v>dentex</x:v>
      </x:c>
      <x:c r="O16" s="32" t="n">
        <x:v>3.96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Dentex</x:v>
      </x:c>
      <x:c r="T16" s="32" t="n">
        <x:f>IF(O16="","",(1/'Metadata'!$B$5)^(O16-1))</x:f>
        <x:v>912.0108393559096</x:v>
      </x:c>
      <x:c r="U16" s="31" t="n">
        <x:f>IF(T16="","",I16*T16)</x:f>
        <x:v>294856.77831735095</x:v>
      </x:c>
    </x:row>
    <x:row r="17" ht="18" customHeight="1">
      <x:c r="A17" s="24" t="str">
        <x:v>EEZ_180</x:v>
      </x:c>
      <x:c r="B17" s="24" t="str">
        <x:v>Congo (ex-Zaire)</x:v>
      </x:c>
      <x:c r="C17" s="24" t="str">
        <x:v>EEZ</x:v>
      </x:c>
      <x:c r="D17" s="30" t="n">
        <x:v>2019</x:v>
      </x:c>
      <x:c r="E17" s="24" t="str">
        <x:v>Pentanemus quinquarius</x:v>
      </x:c>
      <x:c r="F17" s="24" t="str">
        <x:v>Royal threadfin</x:v>
      </x:c>
      <x:c r="G17" s="24" t="str">
        <x:v>Small demersals (&lt;30 cm)</x:v>
      </x:c>
      <x:c r="H17" s="24" t="str">
        <x:v>Perch-likes</x:v>
      </x:c>
      <x:c r="I17" s="31" t="n">
        <x:v>270.224279847</x:v>
      </x:c>
      <x:c r="J17" s="31" t="n">
        <x:v>270.224279847</x:v>
      </x:c>
      <x:c r="K17" s="31" t="n">
        <x:v>0</x:v>
      </x:c>
      <x:c r="L17" s="31" t="n">
        <x:v>86.8</x:v>
      </x:c>
      <x:c r="M17" s="31" t="n">
        <x:v>183.424279847</x:v>
      </x:c>
      <x:c r="N17" s="24" t="str">
        <x:v>pentanemus quinquarius</x:v>
      </x:c>
      <x:c r="O17" s="32" t="n">
        <x:v>3.56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Pentanemus quinquarius</x:v>
      </x:c>
      <x:c r="T17" s="32" t="n">
        <x:f>IF(O17="","",(1/'Metadata'!$B$5)^(O17-1))</x:f>
        <x:v>363.0780547701014</x:v>
      </x:c>
      <x:c r="U17" s="31" t="n">
        <x:f>IF(T17="","",I17*T17)</x:f>
        <x:v>98112.50587850028</x:v>
      </x:c>
    </x:row>
    <x:row r="18" ht="18" customHeight="1">
      <x:c r="A18" s="24" t="str">
        <x:v>EEZ_180</x:v>
      </x:c>
      <x:c r="B18" s="24" t="str">
        <x:v>Congo (ex-Zaire)</x:v>
      </x:c>
      <x:c r="C18" s="24" t="str">
        <x:v>EEZ</x:v>
      </x:c>
      <x:c r="D18" s="30" t="n">
        <x:v>2019</x:v>
      </x:c>
      <x:c r="E18" s="24" t="str">
        <x:v>Brachydeuterus auritus</x:v>
      </x:c>
      <x:c r="F18" s="24" t="str">
        <x:v>Bigeye grunt</x:v>
      </x:c>
      <x:c r="G18" s="24" t="str">
        <x:v>Small demersals (&lt;30 cm)</x:v>
      </x:c>
      <x:c r="H18" s="24" t="str">
        <x:v>Perch-likes</x:v>
      </x:c>
      <x:c r="I18" s="31" t="n">
        <x:v>270.2242773603</x:v>
      </x:c>
      <x:c r="J18" s="31" t="n">
        <x:v>270.2242773603</x:v>
      </x:c>
      <x:c r="K18" s="31" t="n">
        <x:v>0</x:v>
      </x:c>
      <x:c r="L18" s="31" t="n">
        <x:v>86.7999999999</x:v>
      </x:c>
      <x:c r="M18" s="31" t="n">
        <x:v>183.42427736040003</x:v>
      </x:c>
      <x:c r="N18" s="24" t="str">
        <x:v>brachydeuterus auritus</x:v>
      </x:c>
      <x:c r="O18" s="32" t="n">
        <x:v>3.03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Brachydeuterus auritus</x:v>
      </x:c>
      <x:c r="T18" s="32" t="n">
        <x:f>IF(O18="","",(1/'Metadata'!$B$5)^(O18-1))</x:f>
        <x:v>107.1519305237606</x:v>
      </x:c>
      <x:c r="U18" s="31" t="n">
        <x:f>IF(T18="","",I18*T18)</x:f>
        <x:v>28955.05299354428</x:v>
      </x:c>
    </x:row>
    <x:row r="19" ht="18" customHeight="1">
      <x:c r="A19" s="24" t="str">
        <x:v>EEZ_180</x:v>
      </x:c>
      <x:c r="B19" s="24" t="str">
        <x:v>Congo (ex-Zaire)</x:v>
      </x:c>
      <x:c r="C19" s="24" t="str">
        <x:v>EEZ</x:v>
      </x:c>
      <x:c r="D19" s="30" t="n">
        <x:v>2019</x:v>
      </x:c>
      <x:c r="E19" s="24" t="str">
        <x:v>Epinephelus</x:v>
      </x:c>
      <x:c r="F19" s="24" t="str">
        <x:v>Seabasses, hinds</x:v>
      </x:c>
      <x:c r="G19" s="24" t="str">
        <x:v>Medium reef assoc. fish (30 - 89 cm)</x:v>
      </x:c>
      <x:c r="H19" s="24" t="str">
        <x:v>Perch-likes</x:v>
      </x:c>
      <x:c r="I19" s="31" t="n">
        <x:v>270.2242549804</x:v>
      </x:c>
      <x:c r="J19" s="31" t="n">
        <x:v>270.2242549804</x:v>
      </x:c>
      <x:c r="K19" s="31" t="n">
        <x:v>0</x:v>
      </x:c>
      <x:c r="L19" s="31" t="n">
        <x:v>86.8</x:v>
      </x:c>
      <x:c r="M19" s="31" t="n">
        <x:v>183.4242549804</x:v>
      </x:c>
      <x:c r="N19" s="24" t="str">
        <x:v>epinephelus</x:v>
      </x:c>
      <x:c r="O19" s="32" t="n">
        <x:v>3.84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Epinephelus</x:v>
      </x:c>
      <x:c r="T19" s="32" t="n">
        <x:f>IF(O19="","",(1/'Metadata'!$B$5)^(O19-1))</x:f>
        <x:v>691.8309709189363</x:v>
      </x:c>
      <x:c r="U19" s="31" t="n">
        <x:f>IF(T19="","",I19*T19)</x:f>
        <x:v>186949.50868893633</x:v>
      </x:c>
    </x:row>
    <x:row r="20" ht="18" customHeight="1">
      <x:c r="A20" s="24" t="str">
        <x:v>EEZ_180</x:v>
      </x:c>
      <x:c r="B20" s="24" t="str">
        <x:v>Congo (ex-Zaire)</x:v>
      </x:c>
      <x:c r="C20" s="24" t="str">
        <x:v>EEZ</x:v>
      </x:c>
      <x:c r="D20" s="30" t="n">
        <x:v>2019</x:v>
      </x:c>
      <x:c r="E20" s="24" t="str">
        <x:v>Congridae</x:v>
      </x:c>
      <x:c r="F20" s="24" t="str">
        <x:v>Conger, garden eels</x:v>
      </x:c>
      <x:c r="G20" s="24" t="str">
        <x:v>Large demersals (&gt;=90 cm)</x:v>
      </x:c>
      <x:c r="H20" s="24" t="str">
        <x:v>Other fishes &amp; inverts</x:v>
      </x:c>
      <x:c r="I20" s="31" t="n">
        <x:v>240</x:v>
      </x:c>
      <x:c r="J20" s="31" t="n">
        <x:v>240</x:v>
      </x:c>
      <x:c r="K20" s="31" t="n">
        <x:v>0</x:v>
      </x:c>
      <x:c r="L20" s="31" t="n">
        <x:v>240</x:v>
      </x:c>
      <x:c r="M20" s="31" t="n">
        <x:v>0</x:v>
      </x:c>
      <x:c r="N20" s="24" t="str">
        <x:v>congridae</x:v>
      </x:c>
      <x:c r="O20" s="32" t="n">
        <x:v>4.18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Congridae</x:v>
      </x:c>
      <x:c r="T20" s="32" t="n">
        <x:f>IF(O20="","",(1/'Metadata'!$B$5)^(O20-1))</x:f>
        <x:v>1513.5612484362073</x:v>
      </x:c>
      <x:c r="U20" s="31" t="n">
        <x:f>IF(T20="","",I20*T20)</x:f>
        <x:v>363254.69962468976</x:v>
      </x:c>
    </x:row>
    <x:row r="21" ht="18" customHeight="1">
      <x:c r="A21" s="24" t="str">
        <x:v>EEZ_180</x:v>
      </x:c>
      <x:c r="B21" s="24" t="str">
        <x:v>Congo (ex-Zaire)</x:v>
      </x:c>
      <x:c r="C21" s="24" t="str">
        <x:v>EEZ</x:v>
      </x:c>
      <x:c r="D21" s="30" t="n">
        <x:v>2019</x:v>
      </x:c>
      <x:c r="E21" s="24" t="str">
        <x:v>Trachurus trecae</x:v>
      </x:c>
      <x:c r="F21" s="24" t="str">
        <x:v>Cunene horse mackerel</x:v>
      </x:c>
      <x:c r="G21" s="24" t="str">
        <x:v>Medium benthopelagics (30 - 89 cm)</x:v>
      </x:c>
      <x:c r="H21" s="24" t="str">
        <x:v>Perch-likes</x:v>
      </x:c>
      <x:c r="I21" s="31" t="n">
        <x:v>226.79538154760002</x:v>
      </x:c>
      <x:c r="J21" s="31" t="n">
        <x:v>226.79538154760002</x:v>
      </x:c>
      <x:c r="K21" s="31" t="n">
        <x:v>0</x:v>
      </x:c>
      <x:c r="L21" s="31" t="n">
        <x:v>72.85000000000001</x:v>
      </x:c>
      <x:c r="M21" s="31" t="n">
        <x:v>153.9453815476</x:v>
      </x:c>
      <x:c r="N21" s="24" t="str">
        <x:v>trachurus trecae</x:v>
      </x:c>
      <x:c r="O21" s="32" t="n">
        <x:v>3.49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Trachurus trecae</x:v>
      </x:c>
      <x:c r="T21" s="32" t="n">
        <x:f>IF(O21="","",(1/'Metadata'!$B$5)^(O21-1))</x:f>
        <x:v>309.0295432513592</x:v>
      </x:c>
      <x:c r="U21" s="31" t="n">
        <x:f>IF(T21="","",I21*T21)</x:f>
        <x:v>70086.47317117258</x:v>
      </x:c>
    </x:row>
    <x:row r="22" ht="18" customHeight="1">
      <x:c r="A22" s="24" t="str">
        <x:v>EEZ_180</x:v>
      </x:c>
      <x:c r="B22" s="24" t="str">
        <x:v>Congo (ex-Zaire)</x:v>
      </x:c>
      <x:c r="C22" s="24" t="str">
        <x:v>EEZ</x:v>
      </x:c>
      <x:c r="D22" s="30" t="n">
        <x:v>2019</x:v>
      </x:c>
      <x:c r="E22" s="24" t="str">
        <x:v>Sphyraena</x:v>
      </x:c>
      <x:c r="F22" s="24" t="str">
        <x:v>Barracudas, sennets</x:v>
      </x:c>
      <x:c r="G22" s="24" t="str">
        <x:v>Large pelagics (&gt;=90 cm)</x:v>
      </x:c>
      <x:c r="H22" s="24" t="str">
        <x:v>Perch-likes</x:v>
      </x:c>
      <x:c r="I22" s="31" t="n">
        <x:v>226.795379061</x:v>
      </x:c>
      <x:c r="J22" s="31" t="n">
        <x:v>226.795379061</x:v>
      </x:c>
      <x:c r="K22" s="31" t="n">
        <x:v>0</x:v>
      </x:c>
      <x:c r="L22" s="31" t="n">
        <x:v>72.85</x:v>
      </x:c>
      <x:c r="M22" s="31" t="n">
        <x:v>153.94537906099998</x:v>
      </x:c>
      <x:c r="N22" s="24" t="str">
        <x:v>sphyraena</x:v>
      </x:c>
      <x:c r="O22" s="32" t="n">
        <x:v>4.4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Sphyraena</x:v>
      </x:c>
      <x:c r="T22" s="32" t="n">
        <x:f>IF(O22="","",(1/'Metadata'!$B$5)^(O22-1))</x:f>
        <x:v>2511.886431509582</x:v>
      </x:c>
      <x:c r="U22" s="31" t="n">
        <x:f>IF(T22="","",I22*T22)</x:f>
        <x:v>569684.2353923983</x:v>
      </x:c>
    </x:row>
    <x:row r="23" ht="18" customHeight="1">
      <x:c r="A23" s="24" t="str">
        <x:v>EEZ_180</x:v>
      </x:c>
      <x:c r="B23" s="24" t="str">
        <x:v>Congo (ex-Zaire)</x:v>
      </x:c>
      <x:c r="C23" s="24" t="str">
        <x:v>EEZ</x:v>
      </x:c>
      <x:c r="D23" s="30" t="n">
        <x:v>2019</x:v>
      </x:c>
      <x:c r="E23" s="24" t="str">
        <x:v>Carcharhinus</x:v>
      </x:c>
      <x:c r="F23" s="24" t="str">
        <x:v>Sharp-nosed sharks</x:v>
      </x:c>
      <x:c r="G23" s="24" t="str">
        <x:v>Large sharks (&gt;=90 cm)</x:v>
      </x:c>
      <x:c r="H23" s="24" t="str">
        <x:v>Sharks &amp; rays</x:v>
      </x:c>
      <x:c r="I23" s="31" t="n">
        <x:v>226.7953790609</x:v>
      </x:c>
      <x:c r="J23" s="31" t="n">
        <x:v>226.7953790609</x:v>
      </x:c>
      <x:c r="K23" s="31" t="n">
        <x:v>0</x:v>
      </x:c>
      <x:c r="L23" s="31" t="n">
        <x:v>72.8499999999</x:v>
      </x:c>
      <x:c r="M23" s="31" t="n">
        <x:v>153.94537906099998</x:v>
      </x:c>
      <x:c r="N23" s="24" t="str">
        <x:v>carcharhinus</x:v>
      </x:c>
      <x:c r="O23" s="32" t="n">
        <x:v>4.26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Carcharhinus</x:v>
      </x:c>
      <x:c r="T23" s="32" t="n">
        <x:f>IF(O23="","",(1/'Metadata'!$B$5)^(O23-1))</x:f>
        <x:v>1819.7008586099826</x:v>
      </x:c>
      <x:c r="U23" s="31" t="n">
        <x:f>IF(T23="","",I23*T23)</x:f>
        <x:v>412699.7460058962</x:v>
      </x:c>
    </x:row>
    <x:row r="24" ht="18" customHeight="1">
      <x:c r="A24" s="24" t="str">
        <x:v>EEZ_180</x:v>
      </x:c>
      <x:c r="B24" s="24" t="str">
        <x:v>Congo (ex-Zaire)</x:v>
      </x:c>
      <x:c r="C24" s="24" t="str">
        <x:v>EEZ</x:v>
      </x:c>
      <x:c r="D24" s="30" t="n">
        <x:v>2019</x:v>
      </x:c>
      <x:c r="E24" s="24" t="str">
        <x:v>Penaeus notialis</x:v>
      </x:c>
      <x:c r="F24" s="24" t="str">
        <x:v>Southern pink shrimp</x:v>
      </x:c>
      <x:c r="G24" s="24" t="str">
        <x:v>Shrimps</x:v>
      </x:c>
      <x:c r="H24" s="24" t="str">
        <x:v>Crustaceans</x:v>
      </x:c>
      <x:c r="I24" s="31" t="n">
        <x:v>226.795371601</x:v>
      </x:c>
      <x:c r="J24" s="31" t="n">
        <x:v>226.795371601</x:v>
      </x:c>
      <x:c r="K24" s="31" t="n">
        <x:v>0</x:v>
      </x:c>
      <x:c r="L24" s="31" t="n">
        <x:v>72.85000000010001</x:v>
      </x:c>
      <x:c r="M24" s="31" t="n">
        <x:v>153.9453716009</x:v>
      </x:c>
      <x:c r="N24" s="24" t="str">
        <x:v>penaeus notialis</x:v>
      </x:c>
      <x:c r="O24" s="32" t="n">
        <x:v>2.7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Penaeus notialis</x:v>
      </x:c>
      <x:c r="T24" s="32" t="n">
        <x:f>IF(O24="","",(1/'Metadata'!$B$5)^(O24-1))</x:f>
        <x:v>50.11872336272725</x:v>
      </x:c>
      <x:c r="U24" s="31" t="n">
        <x:f>IF(T24="","",I24*T24)</x:f>
        <x:v>11366.694489217447</x:v>
      </x:c>
    </x:row>
    <x:row r="25" ht="18" customHeight="1">
      <x:c r="A25" s="24" t="str">
        <x:v>EEZ_180</x:v>
      </x:c>
      <x:c r="B25" s="24" t="str">
        <x:v>Congo (ex-Zaire)</x:v>
      </x:c>
      <x:c r="C25" s="24" t="str">
        <x:v>EEZ</x:v>
      </x:c>
      <x:c r="D25" s="30" t="n">
        <x:v>2019</x:v>
      </x:c>
      <x:c r="E25" s="24" t="str">
        <x:v>Parapenaeopsis atlantica</x:v>
      </x:c>
      <x:c r="F25" s="24" t="str">
        <x:v>Guinea shrimp</x:v>
      </x:c>
      <x:c r="G25" s="24" t="str">
        <x:v>Shrimps</x:v>
      </x:c>
      <x:c r="H25" s="24" t="str">
        <x:v>Crustaceans</x:v>
      </x:c>
      <x:c r="I25" s="31" t="n">
        <x:v>226.79537160089998</x:v>
      </x:c>
      <x:c r="J25" s="31" t="n">
        <x:v>226.79537160089998</x:v>
      </x:c>
      <x:c r="K25" s="31" t="n">
        <x:v>0</x:v>
      </x:c>
      <x:c r="L25" s="31" t="n">
        <x:v>72.85</x:v>
      </x:c>
      <x:c r="M25" s="31" t="n">
        <x:v>153.9453716009</x:v>
      </x:c>
      <x:c r="N25" s="24" t="str">
        <x:v>parapenaeopsis atlantica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Parapenaeopsis atlantica</x:v>
      </x:c>
      <x:c r="T25" s="32" t="n">
        <x:f>IF(O25="","",(1/'Metadata'!$B$5)^(O25-1))</x:f>
        <x:v>50.11872336272725</x:v>
      </x:c>
      <x:c r="U25" s="31" t="n">
        <x:f>IF(T25="","",I25*T25)</x:f>
        <x:v>11366.694489212434</x:v>
      </x:c>
    </x:row>
    <x:row r="26" ht="18" customHeight="1">
      <x:c r="A26" s="24" t="str">
        <x:v>EEZ_180</x:v>
      </x:c>
      <x:c r="B26" s="24" t="str">
        <x:v>Congo (ex-Zaire)</x:v>
      </x:c>
      <x:c r="C26" s="24" t="str">
        <x:v>EEZ</x:v>
      </x:c>
      <x:c r="D26" s="30" t="n">
        <x:v>2019</x:v>
      </x:c>
      <x:c r="E26" s="24" t="str">
        <x:v>Raja miraletus</x:v>
      </x:c>
      <x:c r="F26" s="24" t="str">
        <x:v>Brown ray</x:v>
      </x:c>
      <x:c r="G26" s="24" t="str">
        <x:v>Small to medium rays (&lt;90 cm)</x:v>
      </x:c>
      <x:c r="H26" s="24" t="str">
        <x:v>Sharks &amp; rays</x:v>
      </x:c>
      <x:c r="I26" s="31" t="n">
        <x:v>226.7953541942</x:v>
      </x:c>
      <x:c r="J26" s="31" t="n">
        <x:v>226.7953541942</x:v>
      </x:c>
      <x:c r="K26" s="31" t="n">
        <x:v>0</x:v>
      </x:c>
      <x:c r="L26" s="31" t="n">
        <x:v>72.85</x:v>
      </x:c>
      <x:c r="M26" s="31" t="n">
        <x:v>153.9453541942</x:v>
      </x:c>
      <x:c r="N26" s="24" t="str">
        <x:v>raja miraletus</x:v>
      </x:c>
      <x:c r="O26" s="32" t="n">
        <x:v>3.8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Raja miraletus</x:v>
      </x:c>
      <x:c r="T26" s="32" t="n">
        <x:f>IF(O26="","",(1/'Metadata'!$B$5)^(O26-1))</x:f>
        <x:v>630.957344480193</x:v>
      </x:c>
      <x:c r="U26" s="31" t="n">
        <x:f>IF(T26="","",I26*T26)</x:f>
        <x:v>143098.19442281724</x:v>
      </x:c>
    </x:row>
    <x:row r="27" ht="18" customHeight="1">
      <x:c r="A27" s="24" t="str">
        <x:v>EEZ_180</x:v>
      </x:c>
      <x:c r="B27" s="24" t="str">
        <x:v>Congo (ex-Zaire)</x:v>
      </x:c>
      <x:c r="C27" s="24" t="str">
        <x:v>EEZ</x:v>
      </x:c>
      <x:c r="D27" s="30" t="n">
        <x:v>2019</x:v>
      </x:c>
      <x:c r="E27" s="24" t="str">
        <x:v>Sphyraenidae</x:v>
      </x:c>
      <x:c r="F27" s="24" t="str">
        <x:v>Barracudas</x:v>
      </x:c>
      <x:c r="G27" s="24" t="str">
        <x:v>Medium reef assoc. fish (30 - 89 cm)</x:v>
      </x:c>
      <x:c r="H27" s="24" t="str">
        <x:v>Perch-likes</x:v>
      </x:c>
      <x:c r="I27" s="31" t="n">
        <x:v>130</x:v>
      </x:c>
      <x:c r="J27" s="31" t="n">
        <x:v>130</x:v>
      </x:c>
      <x:c r="K27" s="31" t="n">
        <x:v>0</x:v>
      </x:c>
      <x:c r="L27" s="31" t="n">
        <x:v>130</x:v>
      </x:c>
      <x:c r="M27" s="31" t="n">
        <x:v>0</x:v>
      </x:c>
      <x:c r="N27" s="24" t="str">
        <x:v>sphyraenidae</x:v>
      </x:c>
      <x:c r="O27" s="32" t="n">
        <x:v>4.4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Sphyraenidae</x:v>
      </x:c>
      <x:c r="T27" s="32" t="n">
        <x:f>IF(O27="","",(1/'Metadata'!$B$5)^(O27-1))</x:f>
        <x:v>2511.886431509582</x:v>
      </x:c>
      <x:c r="U27" s="31" t="n">
        <x:f>IF(T27="","",I27*T27)</x:f>
        <x:v>326545.23609624564</x:v>
      </x:c>
    </x:row>
    <x:row r="28" ht="18" customHeight="1">
      <x:c r="A28" s="24" t="str">
        <x:v>EEZ_180</x:v>
      </x:c>
      <x:c r="B28" s="24" t="str">
        <x:v>Congo (ex-Zaire)</x:v>
      </x:c>
      <x:c r="C28" s="24" t="str">
        <x:v>EEZ</x:v>
      </x:c>
      <x:c r="D28" s="30" t="n">
        <x:v>2019</x:v>
      </x:c>
      <x:c r="E28" s="24" t="str">
        <x:v>Batoidea</x:v>
      </x:c>
      <x:c r="F28" s="24" t="str">
        <x:v>Batoids, skates, rays, sawfishes</x:v>
      </x:c>
      <x:c r="G28" s="24" t="str">
        <x:v>Large rays (&gt;=90 cm)</x:v>
      </x:c>
      <x:c r="H28" s="24" t="str">
        <x:v>Sharks &amp; rays</x:v>
      </x:c>
      <x:c r="I28" s="31" t="n">
        <x:v>119.9999999999</x:v>
      </x:c>
      <x:c r="J28" s="31" t="n">
        <x:v>119.9999999999</x:v>
      </x:c>
      <x:c r="K28" s="31" t="n">
        <x:v>0</x:v>
      </x:c>
      <x:c r="L28" s="31" t="n">
        <x:v>119.9999999999</x:v>
      </x:c>
      <x:c r="M28" s="31" t="n">
        <x:v>0</x:v>
      </x:c>
      <x:c r="N28" s="24" t="str">
        <x:v>batoidea</x:v>
      </x:c>
      <x:c r="O28" s="32" t="n">
        <x:v>3.72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Batoidea</x:v>
      </x:c>
      <x:c r="T28" s="32" t="n">
        <x:f>IF(O28="","",(1/'Metadata'!$B$5)^(O28-1))</x:f>
        <x:v>524.8074602497728</x:v>
      </x:c>
      <x:c r="U28" s="31" t="n">
        <x:f>IF(T28="","",I28*T28)</x:f>
        <x:v>62976.89522992026</x:v>
      </x:c>
    </x:row>
    <x:row r="29" ht="18" customHeight="1">
      <x:c r="A29" s="24" t="str">
        <x:v>EEZ_180</x:v>
      </x:c>
      <x:c r="B29" s="24" t="str">
        <x:v>Congo (ex-Zaire)</x:v>
      </x:c>
      <x:c r="C29" s="24" t="str">
        <x:v>EEZ</x:v>
      </x:c>
      <x:c r="D29" s="30" t="n">
        <x:v>2019</x:v>
      </x:c>
      <x:c r="E29" s="24" t="str">
        <x:v>Trachurus</x:v>
      </x:c>
      <x:c r="F29" s="24" t="str">
        <x:v>Jacks, horse mackerels</x:v>
      </x:c>
      <x:c r="G29" s="24" t="str">
        <x:v>Medium pelagics (30 - 89 cm)</x:v>
      </x:c>
      <x:c r="H29" s="24" t="str">
        <x:v>Perch-likes</x:v>
      </x:c>
      <x:c r="I29" s="31" t="n">
        <x:v>69.619250835</x:v>
      </x:c>
      <x:c r="J29" s="31" t="n">
        <x:v>69.619250835</x:v>
      </x:c>
      <x:c r="K29" s="31" t="n">
        <x:v>0</x:v>
      </x:c>
      <x:c r="L29" s="31" t="n">
        <x:v>69.619250835</x:v>
      </x:c>
      <x:c r="M29" s="31" t="n">
        <x:v>0</x:v>
      </x:c>
      <x:c r="N29" s="24" t="str">
        <x:v>trachurus</x:v>
      </x:c>
      <x:c r="O29" s="32" t="n">
        <x:v>3.69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Trachurus</x:v>
      </x:c>
      <x:c r="T29" s="32" t="n">
        <x:f>IF(O29="","",(1/'Metadata'!$B$5)^(O29-1))</x:f>
        <x:v>489.77881936844614</x:v>
      </x:c>
      <x:c r="U29" s="31" t="n">
        <x:f>IF(T29="","",I29*T29)</x:f>
        <x:v>34098.03447928201</x:v>
      </x:c>
    </x:row>
    <x:row r="30" ht="18" customHeight="1">
      <x:c r="A30" s="24" t="str">
        <x:v>EEZ_180</x:v>
      </x:c>
      <x:c r="B30" s="24" t="str">
        <x:v>Congo (ex-Zaire)</x:v>
      </x:c>
      <x:c r="C30" s="24" t="str">
        <x:v>EEZ</x:v>
      </x:c>
      <x:c r="D30" s="30" t="n">
        <x:v>2019</x:v>
      </x:c>
      <x:c r="E30" s="24" t="str">
        <x:v>Thunnus albacares</x:v>
      </x:c>
      <x:c r="F30" s="24" t="str">
        <x:v>Yellowfin tuna</x:v>
      </x:c>
      <x:c r="G30" s="24" t="str">
        <x:v>Large pelagics (&gt;=90 cm)</x:v>
      </x:c>
      <x:c r="H30" s="24" t="str">
        <x:v>Tuna &amp; billfishes</x:v>
      </x:c>
      <x:c r="I30" s="31" t="n">
        <x:v>1.5474426741</x:v>
      </x:c>
      <x:c r="J30" s="31" t="n">
        <x:v>1.5474426741</x:v>
      </x:c>
      <x:c r="K30" s="31" t="n">
        <x:v>0</x:v>
      </x:c>
      <x:c r="L30" s="31" t="n">
        <x:v>1.5474426741</x:v>
      </x:c>
      <x:c r="M30" s="31" t="n">
        <x:v>0</x:v>
      </x:c>
      <x:c r="N30" s="24" t="str">
        <x:v>thunnus albacares</x:v>
      </x:c>
      <x:c r="O30" s="32" t="n">
        <x:v>4.41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albacares</x:v>
      </x:c>
      <x:c r="T30" s="32" t="n">
        <x:f>IF(O30="","",(1/'Metadata'!$B$5)^(O30-1))</x:f>
        <x:v>2570.3957827688646</x:v>
      </x:c>
      <x:c r="U30" s="31" t="n">
        <x:f>IF(T30="","",I30*T30)</x:f>
        <x:v>3977.5401235832146</x:v>
      </x:c>
    </x:row>
    <x:row r="31" ht="18" customHeight="1">
      <x:c r="A31" s="24" t="str">
        <x:v>EEZ_180</x:v>
      </x:c>
      <x:c r="B31" s="24" t="str">
        <x:v>Congo (ex-Zaire)</x:v>
      </x:c>
      <x:c r="C31" s="24" t="str">
        <x:v>EEZ</x:v>
      </x:c>
      <x:c r="D31" s="30" t="n">
        <x:v>2019</x:v>
      </x:c>
      <x:c r="E31" s="24" t="str">
        <x:v>Prionace glauca</x:v>
      </x:c>
      <x:c r="F31" s="24" t="str">
        <x:v>Blue shark</x:v>
      </x:c>
      <x:c r="G31" s="24" t="str">
        <x:v>Large sharks (&gt;=90 cm)</x:v>
      </x:c>
      <x:c r="H31" s="24" t="str">
        <x:v>Sharks &amp; rays</x:v>
      </x:c>
      <x:c r="I31" s="31" t="n">
        <x:v>1.0583074772</x:v>
      </x:c>
      <x:c r="J31" s="31" t="n">
        <x:v>1.0583074772</x:v>
      </x:c>
      <x:c r="K31" s="31" t="n">
        <x:v>0</x:v>
      </x:c>
      <x:c r="L31" s="31" t="n">
        <x:v>1.0583074772</x:v>
      </x:c>
      <x:c r="M31" s="31" t="n">
        <x:v>0</x:v>
      </x:c>
      <x:c r="N31" s="24" t="str">
        <x:v>prionace glauca</x:v>
      </x:c>
      <x:c r="O31" s="32" t="n">
        <x:v>4.35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Prionace glauca</x:v>
      </x:c>
      <x:c r="T31" s="32" t="n">
        <x:f>IF(O31="","",(1/'Metadata'!$B$5)^(O31-1))</x:f>
        <x:v>2238.7211385683377</x:v>
      </x:c>
      <x:c r="U31" s="31" t="n">
        <x:f>IF(T31="","",I31*T31)</x:f>
        <x:v>2369.255320312569</x:v>
      </x:c>
    </x:row>
    <x:row r="32" ht="18" customHeight="1">
      <x:c r="A32" s="24" t="str">
        <x:v>EEZ_180</x:v>
      </x:c>
      <x:c r="B32" s="24" t="str">
        <x:v>Congo (ex-Zaire)</x:v>
      </x:c>
      <x:c r="C32" s="24" t="str">
        <x:v>EEZ</x:v>
      </x:c>
      <x:c r="D32" s="30" t="n">
        <x:v>2019</x:v>
      </x:c>
      <x:c r="E32" s="24" t="str">
        <x:v>Trichiuridae</x:v>
      </x:c>
      <x:c r="F32" s="24" t="str">
        <x:v>Cutlassfishes</x:v>
      </x:c>
      <x:c r="G32" s="24" t="str">
        <x:v>Large benthopelagics (&gt;=90 cm)</x:v>
      </x:c>
      <x:c r="H32" s="24" t="str">
        <x:v>Perch-likes</x:v>
      </x:c>
      <x:c r="I32" s="31" t="n">
        <x:v>0.386174</x:v>
      </x:c>
      <x:c r="J32" s="31" t="n">
        <x:v>0.386174</x:v>
      </x:c>
      <x:c r="K32" s="31" t="n">
        <x:v>0</x:v>
      </x:c>
      <x:c r="L32" s="31" t="n">
        <x:v>0.386174</x:v>
      </x:c>
      <x:c r="M32" s="31" t="n">
        <x:v>0</x:v>
      </x:c>
      <x:c r="N32" s="24" t="str">
        <x:v>trichiuridae</x:v>
      </x:c>
      <x:c r="O32" s="32" t="n">
        <x:v>4.15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Trichiuridae</x:v>
      </x:c>
      <x:c r="T32" s="32" t="n">
        <x:f>IF(O32="","",(1/'Metadata'!$B$5)^(O32-1))</x:f>
        <x:v>1412.5375446227554</x:v>
      </x:c>
      <x:c r="U32" s="31" t="n">
        <x:f>IF(T32="","",I32*T32)</x:f>
        <x:v>545.485273757148</x:v>
      </x:c>
    </x:row>
    <x:row r="33" ht="18" customHeight="1">
      <x:c r="A33" s="24" t="str">
        <x:v>EEZ_180</x:v>
      </x:c>
      <x:c r="B33" s="24" t="str">
        <x:v>Congo (ex-Zaire)</x:v>
      </x:c>
      <x:c r="C33" s="24" t="str">
        <x:v>EEZ</x:v>
      </x:c>
      <x:c r="D33" s="30" t="n">
        <x:v>2019</x:v>
      </x:c>
      <x:c r="E33" s="24" t="str">
        <x:v>Thunnus obesus</x:v>
      </x:c>
      <x:c r="F33" s="24" t="str">
        <x:v>Bigeye tuna</x:v>
      </x:c>
      <x:c r="G33" s="24" t="str">
        <x:v>Large pelagics (&gt;=90 cm)</x:v>
      </x:c>
      <x:c r="H33" s="24" t="str">
        <x:v>Tuna &amp; billfishes</x:v>
      </x:c>
      <x:c r="I33" s="31" t="n">
        <x:v>0.178069543</x:v>
      </x:c>
      <x:c r="J33" s="31" t="n">
        <x:v>0.178069543</x:v>
      </x:c>
      <x:c r="K33" s="31" t="n">
        <x:v>0</x:v>
      </x:c>
      <x:c r="L33" s="31" t="n">
        <x:v>0.178069543</x:v>
      </x:c>
      <x:c r="M33" s="31" t="n">
        <x:v>0</x:v>
      </x:c>
      <x:c r="N33" s="24" t="str">
        <x:v>thunnus obesus</x:v>
      </x:c>
      <x:c r="O33" s="32" t="n">
        <x:v>4.49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Thunnus obesus</x:v>
      </x:c>
      <x:c r="T33" s="32" t="n">
        <x:f>IF(O33="","",(1/'Metadata'!$B$5)^(O33-1))</x:f>
        <x:v>3090.295432513592</x:v>
      </x:c>
      <x:c r="U33" s="31" t="n">
        <x:f>IF(T33="","",I33*T33)</x:f>
        <x:v>550.2874954026827</x:v>
      </x:c>
    </x:row>
    <x:row r="34" ht="18" customHeight="1">
      <x:c r="A34" s="24" t="str">
        <x:v>EEZ_180</x:v>
      </x:c>
      <x:c r="B34" s="24" t="str">
        <x:v>Congo (ex-Zaire)</x:v>
      </x:c>
      <x:c r="C34" s="24" t="str">
        <x:v>EEZ</x:v>
      </x:c>
      <x:c r="D34" s="30" t="n">
        <x:v>2019</x:v>
      </x:c>
      <x:c r="E34" s="24" t="str">
        <x:v>Isurus oxyrinchus</x:v>
      </x:c>
      <x:c r="F34" s="24" t="str">
        <x:v>Shortfin mako</x:v>
      </x:c>
      <x:c r="G34" s="24" t="str">
        <x:v>Large sharks (&gt;=90 cm)</x:v>
      </x:c>
      <x:c r="H34" s="24" t="str">
        <x:v>Sharks &amp; rays</x:v>
      </x:c>
      <x:c r="I34" s="31" t="n">
        <x:v>0.077235</x:v>
      </x:c>
      <x:c r="J34" s="31" t="n">
        <x:v>0.077235</x:v>
      </x:c>
      <x:c r="K34" s="31" t="n">
        <x:v>0</x:v>
      </x:c>
      <x:c r="L34" s="31" t="n">
        <x:v>0.077235</x:v>
      </x:c>
      <x:c r="M34" s="31" t="n">
        <x:v>0</x:v>
      </x:c>
      <x:c r="N34" s="24" t="str">
        <x:v>isurus oxyrinchus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Isurus oxyrinchus</x:v>
      </x:c>
      <x:c r="T34" s="32" t="n">
        <x:f>IF(O34="","",(1/'Metadata'!$B$5)^(O34-1))</x:f>
        <x:v>3162.2776601683795</x:v>
      </x:c>
      <x:c r="U34" s="31" t="n">
        <x:f>IF(T34="","",I34*T34)</x:f>
        <x:v>244.23851508310477</x:v>
      </x:c>
    </x:row>
    <x:row r="35" ht="18" customHeight="1">
      <x:c r="A35" s="24" t="str">
        <x:v>EEZ_180</x:v>
      </x:c>
      <x:c r="B35" s="24" t="str">
        <x:v>Congo (ex-Zaire)</x:v>
      </x:c>
      <x:c r="C35" s="24" t="str">
        <x:v>EEZ</x:v>
      </x:c>
      <x:c r="D35" s="30" t="n">
        <x:v>2019</x:v>
      </x:c>
      <x:c r="E35" s="24" t="str">
        <x:v>Xiphias gladius</x:v>
      </x:c>
      <x:c r="F35" s="24" t="str">
        <x:v>Swordfish</x:v>
      </x:c>
      <x:c r="G35" s="24" t="str">
        <x:v>Large pelagics (&gt;=90 cm)</x:v>
      </x:c>
      <x:c r="H35" s="24" t="str">
        <x:v>Tuna &amp; billfishes</x:v>
      </x:c>
      <x:c r="I35" s="31" t="n">
        <x:v>0.0027225114</x:v>
      </x:c>
      <x:c r="J35" s="31" t="n">
        <x:v>0.0027225114</x:v>
      </x:c>
      <x:c r="K35" s="31" t="n">
        <x:v>0</x:v>
      </x:c>
      <x:c r="L35" s="31" t="n">
        <x:v>0.0027225114</x:v>
      </x:c>
      <x:c r="M35" s="31" t="n">
        <x:v>0</x:v>
      </x:c>
      <x:c r="N35" s="24" t="str">
        <x:v>xiphias gladius</x:v>
      </x:c>
      <x:c r="O35" s="32" t="n">
        <x:v>4.53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Xiphias gladius</x:v>
      </x:c>
      <x:c r="T35" s="32" t="n">
        <x:f>IF(O35="","",(1/'Metadata'!$B$5)^(O35-1))</x:f>
        <x:v>3388.4415613920273</x:v>
      </x:c>
      <x:c r="U35" s="31" t="n">
        <x:f>IF(T35="","",I35*T35)</x:f>
        <x:v>9.225070779123595</x:v>
      </x:c>
    </x:row>
  </x:sheetData>
  <x:conditionalFormatting sqref="R2:R3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c879b557bfc479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453.59074320189995</x:v>
      </x:c>
      <x:c r="C2" s="32" t="n">
        <x:v>2.7</x:v>
      </x:c>
      <x:c r="D2" s="32" t="n">
        <x:f>IF(C2="","",(1/'Metadata'!$B$5)^(C2-1))</x:f>
        <x:v>50.11872336272725</x:v>
      </x:c>
      <x:c r="E2" s="31" t="n">
        <x:f>IF(B2=0,"",B2*D2)</x:f>
        <x:v>22733.38897842988</x:v>
      </x:c>
    </x:row>
    <x:row r="3" ht="18" customHeight="1">
      <x:c r="A3" s="24" t="str">
        <x:v>Flatfishes</x:v>
      </x:c>
      <x:c r="B3" s="31" t="n">
        <x:v>922.96370603</x:v>
      </x:c>
      <x:c r="C3" s="32" t="n">
        <x:v>3.36</x:v>
      </x:c>
      <x:c r="D3" s="32" t="n">
        <x:f>IF(C3="","",(1/'Metadata'!$B$5)^(C3-1))</x:f>
        <x:v>229.08676527677724</x:v>
      </x:c>
      <x:c r="E3" s="31" t="n">
        <x:f>IF(B3=0,"",B3*D3)</x:f>
        <x:v>211438.76988227904</x:v>
      </x:c>
    </x:row>
    <x:row r="4" ht="18" customHeight="1">
      <x:c r="A4" s="24" t="str">
        <x:v>Herring-likes</x:v>
      </x:c>
      <x:c r="B4" s="31" t="n">
        <x:v>1306.3372938815</x:v>
      </x:c>
      <x:c r="C4" s="32" t="n">
        <x:v>2.640828333916559</x:v>
      </x:c>
      <x:c r="D4" s="32" t="n">
        <x:f>IF(C4="","",(1/'Metadata'!$B$5)^(C4-1))</x:f>
        <x:v>43.73491974489254</x:v>
      </x:c>
      <x:c r="E4" s="31" t="n">
        <x:f>IF(B4=0,"",B4*D4)</x:f>
        <x:v>57132.5567076675</x:v>
      </x:c>
    </x:row>
    <x:row r="5" ht="18" customHeight="1">
      <x:c r="A5" s="24" t="str">
        <x:v>Other fishes &amp; inverts</x:v>
      </x:c>
      <x:c r="B5" s="31" t="n">
        <x:v>9962.4571169192</x:v>
      </x:c>
      <x:c r="C5" s="32" t="n">
        <x:v>3.301681398219839</x:v>
      </x:c>
      <x:c r="D5" s="32" t="n">
        <x:f>IF(C5="","",(1/'Metadata'!$B$5)^(C5-1))</x:f>
        <x:v>200.30020704839848</x:v>
      </x:c>
      <x:c r="E5" s="31" t="n">
        <x:f>IF(B5=0,"",B5*D5)</x:f>
        <x:v>1995482.2232297068</x:v>
      </x:c>
    </x:row>
    <x:row r="6" ht="18" customHeight="1">
      <x:c r="A6" s="24" t="str">
        <x:v>Perch-likes</x:v>
      </x:c>
      <x:c r="B6" s="31" t="n">
        <x:v>9516.552513498098</x:v>
      </x:c>
      <x:c r="C6" s="32" t="n">
        <x:v>3.8582737905745406</x:v>
      </x:c>
      <x:c r="D6" s="32" t="n">
        <x:f>IF(C6="","",(1/'Metadata'!$B$5)^(C6-1))</x:f>
        <x:v>721.5622274830016</x:v>
      </x:c>
      <x:c r="E6" s="31" t="n">
        <x:f>IF(B6=0,"",B6*D6)</x:f>
        <x:v>6866784.829598646</x:v>
      </x:c>
    </x:row>
    <x:row r="7" ht="18" customHeight="1">
      <x:c r="A7" s="24" t="str">
        <x:v>Sharks &amp; rays</x:v>
      </x:c>
      <x:c r="B7" s="31" t="n">
        <x:v>1214.7262757323</x:v>
      </x:c>
      <x:c r="C7" s="32" t="n">
        <x:v>4.010221852512872</x:v>
      </x:c>
      <x:c r="D7" s="32" t="n">
        <x:f>IF(C7="","",(1/'Metadata'!$B$5)^(C7-1))</x:f>
        <x:v>1023.8158589666328</x:v>
      </x:c>
      <x:c r="E7" s="31" t="n">
        <x:f>IF(B7=0,"",B7*D7)</x:f>
        <x:v>1243656.0253982036</x:v>
      </x:c>
    </x:row>
    <x:row r="8" ht="18" customHeight="1">
      <x:c r="A8" s="24" t="str">
        <x:v>Tuna &amp; billfishes</x:v>
      </x:c>
      <x:c r="B8" s="31" t="n">
        <x:v>1.7282347285</x:v>
      </x:c>
      <x:c r="C8" s="32" t="n">
        <x:v>4.418431878244137</x:v>
      </x:c>
      <x:c r="D8" s="32" t="n">
        <x:f>IF(C8="","",(1/'Metadata'!$B$5)^(C8-1))</x:f>
        <x:v>2620.7879197171333</x:v>
      </x:c>
      <x:c r="E8" s="31" t="n">
        <x:f>IF(B8=0,"",B8*D8)</x:f>
        <x:v>4529.336698888419</x:v>
      </x:c>
    </x:row>
  </x:sheetData>
  <x:pageMargins left="0.7" right="0.7" top="0.75" bottom="0.75" header="0.3" footer="0.3"/>
  <x:tableParts count="1">
    <x:tablePart xmlns:r="http://schemas.openxmlformats.org/officeDocument/2006/relationships" r:id="R619da6e2a0bf4c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2253.6902024099</x:v>
      </x:c>
      <x:c r="C2" s="32" t="n">
        <x:v>4.353964251213649</x:v>
      </x:c>
      <x:c r="D2" s="32" t="n">
        <x:f>IF(C2="","",(1/'Metadata'!$B$5)^(C2-1))</x:f>
        <x:v>2259.2497932728065</x:v>
      </x:c>
      <x:c r="E2" s="31" t="n">
        <x:f>IF(B2=0,"",B2*D2)</x:f>
        <x:v>5091649.123895516</x:v>
      </x:c>
    </x:row>
    <x:row r="3" ht="18" customHeight="1">
      <x:c r="A3" s="24" t="str">
        <x:v>Large demersals (&gt;=90 cm)</x:v>
      </x:c>
      <x:c r="B3" s="31" t="n">
        <x:v>563.30408063</x:v>
      </x:c>
      <x:c r="C3" s="32" t="n">
        <x:v>3.9561624746181803</x:v>
      </x:c>
      <x:c r="D3" s="32" t="n">
        <x:f>IF(C3="","",(1/'Metadata'!$B$5)^(C3-1))</x:f>
        <x:v>903.9876027483664</x:v>
      </x:c>
      <x:c r="E3" s="31" t="n">
        <x:f>IF(B3=0,"",B3*D3)</x:f>
        <x:v>509219.90546708624</x:v>
      </x:c>
    </x:row>
    <x:row r="4" ht="18" customHeight="1">
      <x:c r="A4" s="24" t="str">
        <x:v>Large pelagics (&gt;=90 cm)</x:v>
      </x:c>
      <x:c r="B4" s="31" t="n">
        <x:v>228.52361378950002</x:v>
      </x:c>
      <x:c r="C4" s="32" t="n">
        <x:v>4.4001393930875015</x:v>
      </x:c>
      <x:c r="D4" s="32" t="n">
        <x:f>IF(C4="","",(1/'Metadata'!$B$5)^(C4-1))</x:f>
        <x:v>2512.692787143667</x:v>
      </x:c>
      <x:c r="E4" s="31" t="n">
        <x:f>IF(B4=0,"",B4*D4)</x:f>
        <x:v>574209.6360608817</x:v>
      </x:c>
    </x:row>
    <x:row r="5" ht="18" customHeight="1">
      <x:c r="A5" s="24" t="str">
        <x:v>Large rays (&gt;=90 cm)</x:v>
      </x:c>
      <x:c r="B5" s="31" t="n">
        <x:v>119.9999999999</x:v>
      </x:c>
      <x:c r="C5" s="32" t="n">
        <x:v>3.72</x:v>
      </x:c>
      <x:c r="D5" s="32" t="n">
        <x:f>IF(C5="","",(1/'Metadata'!$B$5)^(C5-1))</x:f>
        <x:v>524.8074602497728</x:v>
      </x:c>
      <x:c r="E5" s="31" t="n">
        <x:f>IF(B5=0,"",B5*D5)</x:f>
        <x:v>62976.89522992026</x:v>
      </x:c>
    </x:row>
    <x:row r="6" ht="18" customHeight="1">
      <x:c r="A6" s="24" t="str">
        <x:v>Large reef assoc. fish (&gt;=90 cm)</x:v>
      </x:c>
      <x:c r="B6" s="31" t="n">
        <x:v>339.9999999999</x:v>
      </x:c>
      <x:c r="C6" s="32" t="n">
        <x:v>3.56</x:v>
      </x:c>
      <x:c r="D6" s="32" t="n">
        <x:f>IF(C6="","",(1/'Metadata'!$B$5)^(C6-1))</x:f>
        <x:v>363.0780547701014</x:v>
      </x:c>
      <x:c r="E6" s="31" t="n">
        <x:f>IF(B6=0,"",B6*D6)</x:f>
        <x:v>123446.53862179817</x:v>
      </x:c>
    </x:row>
    <x:row r="7" ht="18" customHeight="1">
      <x:c r="A7" s="24" t="str">
        <x:v>Large sharks (&gt;=90 cm)</x:v>
      </x:c>
      <x:c r="B7" s="31" t="n">
        <x:v>867.9309215382</x:v>
      </x:c>
      <x:c r="C7" s="32" t="n">
        <x:v>4.105280064813128</x:v>
      </x:c>
      <x:c r="D7" s="32" t="n">
        <x:f>IF(C7="","",(1/'Metadata'!$B$5)^(C7-1))</x:f>
        <x:v>1274.3245937074837</x:v>
      </x:c>
      <x:c r="E7" s="31" t="n">
        <x:f>IF(B7=0,"",B7*D7)</x:f>
        <x:v>1106025.7189553287</x:v>
      </x:c>
    </x:row>
    <x:row r="8" ht="18" customHeight="1">
      <x:c r="A8" s="24" t="str">
        <x:v>Medium benthopelagics (30 - 89 cm)</x:v>
      </x:c>
      <x:c r="B8" s="31" t="n">
        <x:v>706.5231815476</x:v>
      </x:c>
      <x:c r="C8" s="32" t="n">
        <x:v>3.36778036693594</x:v>
      </x:c>
      <x:c r="D8" s="32" t="n">
        <x:f>IF(C8="","",(1/'Metadata'!$B$5)^(C8-1))</x:f>
        <x:v>233.22782753060582</x:v>
      </x:c>
      <x:c r="E8" s="31" t="n">
        <x:f>IF(B8=0,"",B8*D8)</x:f>
        <x:v>164780.86673235855</x:v>
      </x:c>
    </x:row>
    <x:row r="9" ht="18" customHeight="1">
      <x:c r="A9" s="24" t="str">
        <x:v>Medium demersals (30 - 89 cm)</x:v>
      </x:c>
      <x:c r="B9" s="31" t="n">
        <x:v>13208.4526687659</x:v>
      </x:c>
      <x:c r="C9" s="32" t="n">
        <x:v>3.39169625438745</x:v>
      </x:c>
      <x:c r="D9" s="32" t="n">
        <x:f>IF(C9="","",(1/'Metadata'!$B$5)^(C9-1))</x:f>
        <x:v>246.43151920310981</x:v>
      </x:c>
      <x:c r="E9" s="31" t="n">
        <x:f>IF(B9=0,"",B9*D9)</x:f>
        <x:v>3254979.057486351</x:v>
      </x:c>
    </x:row>
    <x:row r="10" ht="18" customHeight="1">
      <x:c r="A10" s="24" t="str">
        <x:v>Medium pelagics (30 - 89 cm)</x:v>
      </x:c>
      <x:c r="B10" s="31" t="n">
        <x:v>694.5887497891</x:v>
      </x:c>
      <x:c r="C10" s="32" t="n">
        <x:v>2.619274762971334</x:v>
      </x:c>
      <x:c r="D10" s="32" t="n">
        <x:f>IF(C10="","",(1/'Metadata'!$B$5)^(C10-1))</x:f>
        <x:v>41.61738258859293</x:v>
      </x:c>
      <x:c r="E10" s="31" t="n">
        <x:f>IF(B10=0,"",B10*D10)</x:f>
        <x:v>28906.965741705422</x:v>
      </x:c>
    </x:row>
    <x:row r="11" ht="18" customHeight="1">
      <x:c r="A11" s="24" t="str">
        <x:v>Medium reef assoc. fish (30 - 89 cm)</x:v>
      </x:c>
      <x:c r="B11" s="31" t="n">
        <x:v>1150.1763099607</x:v>
      </x:c>
      <x:c r="C11" s="32" t="n">
        <x:v>4.020660450138773</x:v>
      </x:c>
      <x:c r="D11" s="32" t="n">
        <x:f>IF(C11="","",(1/'Metadata'!$B$5)^(C11-1))</x:f>
        <x:v>1048.7221725271083</x:v>
      </x:c>
      <x:c r="E11" s="31" t="n">
        <x:f>IF(B11=0,"",B11*D11)</x:f>
        <x:v>1206215.398571198</x:v>
      </x:c>
    </x:row>
    <x:row r="12" ht="18" customHeight="1">
      <x:c r="A12" s="24" t="str">
        <x:v>Shrimps</x:v>
      </x:c>
      <x:c r="B12" s="31" t="n">
        <x:v>453.59074320189995</x:v>
      </x:c>
      <x:c r="C12" s="32" t="n">
        <x:v>2.7</x:v>
      </x:c>
      <x:c r="D12" s="32" t="n">
        <x:f>IF(C12="","",(1/'Metadata'!$B$5)^(C12-1))</x:f>
        <x:v>50.11872336272725</x:v>
      </x:c>
      <x:c r="E12" s="31" t="n">
        <x:f>IF(B12=0,"",B12*D12)</x:f>
        <x:v>22733.38897842988</x:v>
      </x:c>
    </x:row>
    <x:row r="13" ht="18" customHeight="1">
      <x:c r="A13" s="24" t="str">
        <x:v>Small demersals (&lt;30 cm)</x:v>
      </x:c>
      <x:c r="B13" s="31" t="n">
        <x:v>960.4485572072999</x:v>
      </x:c>
      <x:c r="C13" s="32" t="n">
        <x:v>3.437121095018225</x:v>
      </x:c>
      <x:c r="D13" s="32" t="n">
        <x:f>IF(C13="","",(1/'Metadata'!$B$5)^(C13-1))</x:f>
        <x:v>273.60315119572135</x:v>
      </x:c>
      <x:c r="E13" s="31" t="n">
        <x:f>IF(B13=0,"",B13*D13)</x:f>
        <x:v>262781.7518133013</x:v>
      </x:c>
    </x:row>
    <x:row r="14" ht="18" customHeight="1">
      <x:c r="A14" s="24" t="str">
        <x:v>Small pelagics (&lt;30 cm)</x:v>
      </x:c>
      <x:c r="B14" s="31" t="n">
        <x:v>681.3677949274</x:v>
      </x:c>
      <x:c r="C14" s="32" t="n">
        <x:v>2.77</x:v>
      </x:c>
      <x:c r="D14" s="32" t="n">
        <x:f>IF(C14="","",(1/'Metadata'!$B$5)^(C14-1))</x:f>
        <x:v>58.8843655355589</x:v>
      </x:c>
      <x:c r="E14" s="31" t="n">
        <x:f>IF(B14=0,"",B14*D14)</x:f>
        <x:v>40121.910300662756</x:v>
      </x:c>
    </x:row>
    <x:row r="15" ht="18" customHeight="1">
      <x:c r="A15" s="24" t="str">
        <x:v>Small to medium flatfishes (&lt;90 cm)</x:v>
      </x:c>
      <x:c r="B15" s="31" t="n">
        <x:v>922.96370603</x:v>
      </x:c>
      <x:c r="C15" s="32" t="n">
        <x:v>3.36</x:v>
      </x:c>
      <x:c r="D15" s="32" t="n">
        <x:f>IF(C15="","",(1/'Metadata'!$B$5)^(C15-1))</x:f>
        <x:v>229.08676527677724</x:v>
      </x:c>
      <x:c r="E15" s="31" t="n">
        <x:f>IF(B15=0,"",B15*D15)</x:f>
        <x:v>211438.76988227904</x:v>
      </x:c>
    </x:row>
    <x:row r="16" ht="18" customHeight="1">
      <x:c r="A16" s="24" t="str">
        <x:v>Small to medium rays (&lt;90 cm)</x:v>
      </x:c>
      <x:c r="B16" s="31" t="n">
        <x:v>226.7953541942</x:v>
      </x:c>
      <x:c r="C16" s="32" t="n">
        <x:v>3.8</x:v>
      </x:c>
      <x:c r="D16" s="32" t="n">
        <x:f>IF(C16="","",(1/'Metadata'!$B$5)^(C16-1))</x:f>
        <x:v>630.957344480193</x:v>
      </x:c>
      <x:c r="E16" s="31" t="n">
        <x:f>IF(B16=0,"",B16*D16)</x:f>
        <x:v>143098.19442281724</x:v>
      </x:c>
    </x:row>
  </x:sheetData>
  <x:pageMargins left="0.7" right="0.7" top="0.75" bottom="0.75" header="0.3" footer="0.3"/>
  <x:tableParts count="1">
    <x:tablePart xmlns:r="http://schemas.openxmlformats.org/officeDocument/2006/relationships" r:id="R73936b2e6d8147f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EEZ_180</x:v>
      </x:c>
      <x:c r="B2" s="24" t="str">
        <x:v>raw_filtered_tonnes</x:v>
      </x:c>
      <x:c r="C2" s="24" t="n">
        <x:v>23378.3558839915</x:v>
      </x:c>
      <x:c r="D2" s="24" t="str">
        <x:v>tonnes</x:v>
      </x:c>
    </x:row>
    <x:row r="3" ht="18" customHeight="1">
      <x:c r="A3" s="24" t="str">
        <x:v>EEZ_180</x:v>
      </x:c>
      <x:c r="B3" s="24" t="str">
        <x:v>species_catch_tonnes</x:v>
      </x:c>
      <x:c r="C3" s="24" t="n">
        <x:v>23378.3558839915</x:v>
      </x:c>
      <x:c r="D3" s="24" t="str">
        <x:v>tonnes</x:v>
      </x:c>
    </x:row>
    <x:row r="4" ht="18" customHeight="1">
      <x:c r="A4" s="24" t="str">
        <x:v>EEZ_180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EEZ_180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EEZ_180</x:v>
      </x:c>
      <x:c r="B6" s="24" t="str">
        <x:v>matched_catch_tonnes</x:v>
      </x:c>
      <x:c r="C6" s="24" t="n">
        <x:v>23378.3558839915</x:v>
      </x:c>
      <x:c r="D6" s="24" t="str">
        <x:v>tonnes</x:v>
      </x:c>
    </x:row>
    <x:row r="7" ht="18" customHeight="1">
      <x:c r="A7" s="24" t="str">
        <x:v>EEZ_180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EEZ_180</x:v>
      </x:c>
      <x:c r="B8" s="24" t="str">
        <x:v>taxa_count</x:v>
      </x:c>
      <x:c r="C8" s="24" t="n">
        <x:v>34</x:v>
      </x:c>
      <x:c r="D8" s="24" t="str">
        <x:v>count</x:v>
      </x:c>
    </x:row>
    <x:row r="9" ht="18" customHeight="1">
      <x:c r="A9" s="24" t="str">
        <x:v>EEZ_180</x:v>
      </x:c>
      <x:c r="B9" s="24" t="str">
        <x:v>matched_taxa_count</x:v>
      </x:c>
      <x:c r="C9" s="24" t="n">
        <x:v>34</x:v>
      </x:c>
      <x:c r="D9" s="24" t="str">
        <x:v>count</x:v>
      </x:c>
    </x:row>
    <x:row r="10" ht="18" customHeight="1">
      <x:c r="A10" s="24" t="str">
        <x:v>EEZ_180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EEZ_180</x:v>
      </x:c>
      <x:c r="B11" s="24" t="str">
        <x:v>species_ppr</x:v>
      </x:c>
      <x:c r="C11" s="24" t="n">
        <x:v>13711656.088833181</x:v>
      </x:c>
      <x:c r="D11" s="24" t="str">
        <x:v>tonnes_primary_production_equivalent</x:v>
      </x:c>
    </x:row>
    <x:row r="12" ht="18" customHeight="1">
      <x:c r="A12" s="24" t="str">
        <x:v>EEZ_180</x:v>
      </x:c>
      <x:c r="B12" s="24" t="str">
        <x:v>commercial_ppr</x:v>
      </x:c>
      <x:c r="C12" s="24" t="n">
        <x:v>10401757.13049382</x:v>
      </x:c>
      <x:c r="D12" s="24" t="str">
        <x:v>tonnes_primary_production_equivalent</x:v>
      </x:c>
    </x:row>
    <x:row r="13" ht="18" customHeight="1">
      <x:c r="A13" s="24" t="str">
        <x:v>EEZ_180</x:v>
      </x:c>
      <x:c r="B13" s="24" t="str">
        <x:v>functional_ppr</x:v>
      </x:c>
      <x:c r="C13" s="24" t="n">
        <x:v>12802584.122159634</x:v>
      </x:c>
      <x:c r="D13" s="24" t="str">
        <x:v>tonnes_primary_production_equivalent</x:v>
      </x:c>
    </x:row>
    <x:row r="14" ht="18" customHeight="1">
      <x:c r="A14" s="24" t="str">
        <x:v>EEZ_180</x:v>
      </x:c>
      <x:c r="B14" s="24" t="str">
        <x:v>commercial_ppr_difference</x:v>
      </x:c>
      <x:c r="C14" s="24" t="n">
        <x:v>-3309898.9583393615</x:v>
      </x:c>
      <x:c r="D14" s="24" t="str">
        <x:v>tonnes_primary_production_equivalent</x:v>
      </x:c>
    </x:row>
    <x:row r="15" ht="18" customHeight="1">
      <x:c r="A15" s="24" t="str">
        <x:v>EEZ_180</x:v>
      </x:c>
      <x:c r="B15" s="24" t="str">
        <x:v>functional_ppr_difference</x:v>
      </x:c>
      <x:c r="C15" s="24" t="n">
        <x:v>-909071.9666735474</x:v>
      </x:c>
      <x:c r="D15" s="24" t="str">
        <x:v>tonnes_primary_production_equivalent</x:v>
      </x:c>
    </x:row>
    <x:row r="16" ht="18" customHeight="1">
      <x:c r="A16" s="24" t="str">
        <x:v>EEZ_180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EEZ_180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cf92c86303846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EEZ_180 - Congo (ex-Zaire)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EEZ_180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raw_data/SAU_downloads/EEZ_180-catch.zip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