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d5736772c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39a19d6579c4ef6"/>
    <x:sheet xmlns:r="http://schemas.openxmlformats.org/officeDocument/2006/relationships" name="Commercial" sheetId="2" r:id="Re7339a71ad784a81"/>
    <x:sheet xmlns:r="http://schemas.openxmlformats.org/officeDocument/2006/relationships" name="Functional" sheetId="3" r:id="R488c37384cf6478a"/>
    <x:sheet xmlns:r="http://schemas.openxmlformats.org/officeDocument/2006/relationships" name="Missing TL" sheetId="4" r:id="R4617599d02c74c10"/>
    <x:sheet xmlns:r="http://schemas.openxmlformats.org/officeDocument/2006/relationships" name="Validation" sheetId="5" r:id="R6ec6d823ee964f9a"/>
    <x:sheet xmlns:r="http://schemas.openxmlformats.org/officeDocument/2006/relationships" name="Metadata" sheetId="6" r:id="R16455912abf2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7672395cf4c4e" /><Relationship Type="http://schemas.openxmlformats.org/officeDocument/2006/relationships/theme" Target="/xl/theme/theme1.xml" Id="Rd771cbfbb53b40be" /><Relationship Type="http://schemas.microsoft.com/office/2022/11/relationships/FeaturePropertyBag" Target="/xl/featurePropertyBag/featurePropertyBag.xml" Id="Rb299ffb3e5574d26" /><Relationship Type="http://schemas.openxmlformats.org/officeDocument/2006/relationships/sharedStrings" Target="/xl/sharedStrings.xml" Id="R210175bb7cbd4806" /><Relationship Type="http://schemas.openxmlformats.org/officeDocument/2006/relationships/worksheet" Target="/xl/worksheets/sheet1.xml" Id="R539a19d6579c4ef6" /><Relationship Type="http://schemas.openxmlformats.org/officeDocument/2006/relationships/worksheet" Target="/xl/worksheets/sheet2.xml" Id="Re7339a71ad784a81" /><Relationship Type="http://schemas.openxmlformats.org/officeDocument/2006/relationships/worksheet" Target="/xl/worksheets/sheet3.xml" Id="R488c37384cf6478a" /><Relationship Type="http://schemas.openxmlformats.org/officeDocument/2006/relationships/worksheet" Target="/xl/worksheets/sheet4.xml" Id="R4617599d02c74c10" /><Relationship Type="http://schemas.openxmlformats.org/officeDocument/2006/relationships/worksheet" Target="/xl/worksheets/sheet5.xml" Id="R6ec6d823ee964f9a" /><Relationship Type="http://schemas.openxmlformats.org/officeDocument/2006/relationships/worksheet" Target="/xl/worksheets/sheet6.xml" Id="R16455912abf248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83SpeciesTable" displayName="EEZ683SpeciesTable" ref="A1:U123" headerRowCount="1" totalsRowCount="0" totalsRowShown="0">
  <x:autoFilter ref="A1:U1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83CommercialTable" displayName="EEZ683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83FunctionalTable" displayName="EEZ683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83ValidationTable" displayName="EEZ68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20cb5f60004c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7db784b68c43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ec4ae3010344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33a8d5c23449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EEZ_683</x:v>
      </x:c>
      <x:c r="B2" s="24" t="str">
        <x:v>Saudi Arabia (Red Sea)</x:v>
      </x:c>
      <x:c r="C2" s="24" t="str">
        <x:v>EEZ</x:v>
      </x:c>
      <x:c r="D2" s="30" t="n">
        <x:v>2019</x:v>
      </x:c>
      <x:c r="E2" s="24" t="str">
        <x:v>Rastrelliger kanagurta</x:v>
      </x:c>
      <x:c r="F2" s="24" t="str">
        <x:v>Indian mackerel</x:v>
      </x:c>
      <x:c r="G2" s="24" t="str">
        <x:v>Medium pelagics (30 - 89 cm)</x:v>
      </x:c>
      <x:c r="H2" s="24" t="str">
        <x:v>Perch-likes</x:v>
      </x:c>
      <x:c r="I2" s="31" t="n">
        <x:v>3888.2503594111</x:v>
      </x:c>
      <x:c r="J2" s="31" t="n">
        <x:v>3888.2503594111</x:v>
      </x:c>
      <x:c r="K2" s="31" t="n">
        <x:v>0</x:v>
      </x:c>
      <x:c r="L2" s="31" t="n">
        <x:v>3778.12812</x:v>
      </x:c>
      <x:c r="M2" s="31" t="n">
        <x:v>110.1222394111</x:v>
      </x:c>
      <x:c r="N2" s="24" t="str">
        <x:v>rastrelliger kanagurta</x:v>
      </x:c>
      <x:c r="O2" s="32" t="n">
        <x:v>3.19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Rastrelliger kanagurta</x:v>
      </x:c>
      <x:c r="T2" s="32" t="n">
        <x:f>IF(O2="","",(1/'Metadata'!$B$5)^(O2-1))</x:f>
        <x:v>154.88166189124811</x:v>
      </x:c>
      <x:c r="U2" s="31" t="n">
        <x:f>IF(T2="","",I2*T2)</x:f>
        <x:v>602218.677514834</x:v>
      </x:c>
    </x:row>
    <x:row r="3" ht="18" customHeight="1">
      <x:c r="A3" s="24" t="str">
        <x:v>EEZ_683</x:v>
      </x:c>
      <x:c r="B3" s="24" t="str">
        <x:v>Saudi Arabia (Red Sea)</x:v>
      </x:c>
      <x:c r="C3" s="24" t="str">
        <x:v>EEZ</x:v>
      </x:c>
      <x:c r="D3" s="30" t="n">
        <x:v>2019</x:v>
      </x:c>
      <x:c r="E3" s="24" t="str">
        <x:v>Leiognathidae</x:v>
      </x:c>
      <x:c r="F3" s="24" t="str">
        <x:v>Slipmouths, ponyfishes</x:v>
      </x:c>
      <x:c r="G3" s="24" t="str">
        <x:v>Small benthopelagics (&lt;30 cm)</x:v>
      </x:c>
      <x:c r="H3" s="24" t="str">
        <x:v>Perch-likes</x:v>
      </x:c>
      <x:c r="I3" s="31" t="n">
        <x:v>3437.0344223102</x:v>
      </x:c>
      <x:c r="J3" s="31" t="n">
        <x:v>0</x:v>
      </x:c>
      <x:c r="K3" s="31" t="n">
        <x:v>3437.0344223102</x:v>
      </x:c>
      <x:c r="L3" s="31" t="n">
        <x:v>0</x:v>
      </x:c>
      <x:c r="M3" s="31" t="n">
        <x:v>3437.0344223102</x:v>
      </x:c>
      <x:c r="N3" s="24" t="str">
        <x:v>leiognathidae</x:v>
      </x:c>
      <x:c r="O3" s="32" t="n">
        <x:v>3.24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Leiognathidae</x:v>
      </x:c>
      <x:c r="T3" s="32" t="n">
        <x:f>IF(O3="","",(1/'Metadata'!$B$5)^(O3-1))</x:f>
        <x:v>173.78008287493762</x:v>
      </x:c>
      <x:c r="U3" s="31" t="n">
        <x:f>IF(T3="","",I3*T3)</x:f>
        <x:v>597288.1267530799</x:v>
      </x:c>
    </x:row>
    <x:row r="4" ht="18" customHeight="1">
      <x:c r="A4" s="24" t="str">
        <x:v>EEZ_683</x:v>
      </x:c>
      <x:c r="B4" s="24" t="str">
        <x:v>Saudi Arabia (Red Sea)</x:v>
      </x:c>
      <x:c r="C4" s="24" t="str">
        <x:v>EEZ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2677.2107236363</x:v>
      </x:c>
      <x:c r="J4" s="31" t="n">
        <x:v>2677.2107236363</x:v>
      </x:c>
      <x:c r="K4" s="31" t="n">
        <x:v>0</x:v>
      </x:c>
      <x:c r="L4" s="31" t="n">
        <x:v>1454.4378277789</x:v>
      </x:c>
      <x:c r="M4" s="31" t="n">
        <x:v>1222.7728958574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1041555.8341573268</x:v>
      </x:c>
    </x:row>
    <x:row r="5" ht="18" customHeight="1">
      <x:c r="A5" s="24" t="str">
        <x:v>EEZ_683</x:v>
      </x:c>
      <x:c r="B5" s="24" t="str">
        <x:v>Saudi Arabia (Red Sea)</x:v>
      </x:c>
      <x:c r="C5" s="24" t="str">
        <x:v>EEZ</x:v>
      </x:c>
      <x:c r="D5" s="30" t="n">
        <x:v>2019</x:v>
      </x:c>
      <x:c r="E5" s="24" t="str">
        <x:v>Scomberomorus commerson</x:v>
      </x:c>
      <x:c r="F5" s="24" t="str">
        <x:v>Narrow-barred Spanish mackerel</x:v>
      </x:c>
      <x:c r="G5" s="24" t="str">
        <x:v>Large pelagics (&gt;=90 cm)</x:v>
      </x:c>
      <x:c r="H5" s="24" t="str">
        <x:v>Perch-likes</x:v>
      </x:c>
      <x:c r="I5" s="31" t="n">
        <x:v>2125.4289391561997</x:v>
      </x:c>
      <x:c r="J5" s="31" t="n">
        <x:v>2125.4289391561997</x:v>
      </x:c>
      <x:c r="K5" s="31" t="n">
        <x:v>0</x:v>
      </x:c>
      <x:c r="L5" s="31" t="n">
        <x:v>1730.5262889824</x:v>
      </x:c>
      <x:c r="M5" s="31" t="n">
        <x:v>394.9026501738</x:v>
      </x:c>
      <x:c r="N5" s="24" t="str">
        <x:v>scomberomorus commerson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commerson</x:v>
      </x:c>
      <x:c r="T5" s="32" t="n">
        <x:f>IF(O5="","",(1/'Metadata'!$B$5)^(O5-1))</x:f>
        <x:v>3162.2776601683795</x:v>
      </x:c>
      <x:c r="U5" s="31" t="n">
        <x:f>IF(T5="","",I5*T5)</x:f>
        <x:v>6721196.452569028</x:v>
      </x:c>
    </x:row>
    <x:row r="6" ht="18" customHeight="1">
      <x:c r="A6" s="24" t="str">
        <x:v>EEZ_683</x:v>
      </x:c>
      <x:c r="B6" s="24" t="str">
        <x:v>Saudi Arabia (Red Sea)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1598.9598760547</x:v>
      </x:c>
      <x:c r="J6" s="31" t="n">
        <x:v>1598.9598760547</x:v>
      </x:c>
      <x:c r="K6" s="31" t="n">
        <x:v>0</x:v>
      </x:c>
      <x:c r="L6" s="31" t="n">
        <x:v>962.1345193609001</x:v>
      </x:c>
      <x:c r="M6" s="31" t="n">
        <x:v>636.8253566938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1526994.8269779927</x:v>
      </x:c>
    </x:row>
    <x:row r="7" ht="18" customHeight="1">
      <x:c r="A7" s="24" t="str">
        <x:v>EEZ_683</x:v>
      </x:c>
      <x:c r="B7" s="24" t="str">
        <x:v>Saudi Arabia (Red Sea)</x:v>
      </x:c>
      <x:c r="C7" s="24" t="str">
        <x:v>EEZ</x:v>
      </x:c>
      <x:c r="D7" s="30" t="n">
        <x:v>2019</x:v>
      </x:c>
      <x:c r="E7" s="24" t="str">
        <x:v>Metapenaeus monoceros</x:v>
      </x:c>
      <x:c r="F7" s="24" t="str">
        <x:v>Speckled shrimp</x:v>
      </x:c>
      <x:c r="G7" s="24" t="str">
        <x:v>Shrimps</x:v>
      </x:c>
      <x:c r="H7" s="24" t="str">
        <x:v>Crustaceans</x:v>
      </x:c>
      <x:c r="I7" s="31" t="n">
        <x:v>1396.25486</x:v>
      </x:c>
      <x:c r="J7" s="31" t="n">
        <x:v>1396.25486</x:v>
      </x:c>
      <x:c r="K7" s="31" t="n">
        <x:v>0</x:v>
      </x:c>
      <x:c r="L7" s="31" t="n">
        <x:v>1396.25486</x:v>
      </x:c>
      <x:c r="M7" s="31" t="n">
        <x:v>0</x:v>
      </x:c>
      <x:c r="N7" s="24" t="str">
        <x:v>metapenaeus monoceros</x:v>
      </x:c>
      <x:c r="O7" s="32" t="n">
        <x:v>2.7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Metapenaeus monoceros</x:v>
      </x:c>
      <x:c r="T7" s="32" t="n">
        <x:f>IF(O7="","",(1/'Metadata'!$B$5)^(O7-1))</x:f>
        <x:v>50.11872336272725</x:v>
      </x:c>
      <x:c r="U7" s="31" t="n">
        <x:f>IF(T7="","",I7*T7)</x:f>
        <x:v>69978.51107220347</x:v>
      </x:c>
    </x:row>
    <x:row r="8" ht="18" customHeight="1">
      <x:c r="A8" s="24" t="str">
        <x:v>EEZ_683</x:v>
      </x:c>
      <x:c r="B8" s="24" t="str">
        <x:v>Saudi Arabia (Red Sea)</x:v>
      </x:c>
      <x:c r="C8" s="24" t="str">
        <x:v>EEZ</x:v>
      </x:c>
      <x:c r="D8" s="30" t="n">
        <x:v>2019</x:v>
      </x:c>
      <x:c r="E8" s="24" t="str">
        <x:v>Decapterus russelli</x:v>
      </x:c>
      <x:c r="F8" s="24" t="str">
        <x:v>Indian scad</x:v>
      </x:c>
      <x:c r="G8" s="24" t="str">
        <x:v>Medium pelagics (30 - 89 cm)</x:v>
      </x:c>
      <x:c r="H8" s="24" t="str">
        <x:v>Perch-likes</x:v>
      </x:c>
      <x:c r="I8" s="31" t="n">
        <x:v>1361.3826120782</x:v>
      </x:c>
      <x:c r="J8" s="31" t="n">
        <x:v>1361.3826120782</x:v>
      </x:c>
      <x:c r="K8" s="31" t="n">
        <x:v>0</x:v>
      </x:c>
      <x:c r="L8" s="31" t="n">
        <x:v>1282.281</x:v>
      </x:c>
      <x:c r="M8" s="31" t="n">
        <x:v>79.10161207819999</x:v>
      </x:c>
      <x:c r="N8" s="24" t="str">
        <x:v>decapterus russelli</x:v>
      </x:c>
      <x:c r="O8" s="32" t="n">
        <x:v>3.68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Decapterus russelli</x:v>
      </x:c>
      <x:c r="T8" s="32" t="n">
        <x:f>IF(O8="","",(1/'Metadata'!$B$5)^(O8-1))</x:f>
        <x:v>478.6300923226385</x:v>
      </x:c>
      <x:c r="U8" s="31" t="n">
        <x:f>IF(T8="","",I8*T8)</x:f>
        <x:v>651598.6853054237</x:v>
      </x:c>
    </x:row>
    <x:row r="9" ht="18" customHeight="1">
      <x:c r="A9" s="24" t="str">
        <x:v>EEZ_683</x:v>
      </x:c>
      <x:c r="B9" s="24" t="str">
        <x:v>Saudi Arabia (Red Sea)</x:v>
      </x:c>
      <x:c r="C9" s="24" t="str">
        <x:v>EEZ</x:v>
      </x:c>
      <x:c r="D9" s="30" t="n">
        <x:v>2019</x:v>
      </x:c>
      <x:c r="E9" s="24" t="str">
        <x:v>Sphyraena barracuda</x:v>
      </x:c>
      <x:c r="F9" s="24" t="str">
        <x:v>Great barracuda</x:v>
      </x:c>
      <x:c r="G9" s="24" t="str">
        <x:v>Large pelagics (&gt;=90 cm)</x:v>
      </x:c>
      <x:c r="H9" s="24" t="str">
        <x:v>Perch-likes</x:v>
      </x:c>
      <x:c r="I9" s="31" t="n">
        <x:v>1306.6187487257998</x:v>
      </x:c>
      <x:c r="J9" s="31" t="n">
        <x:v>1306.6187487257998</x:v>
      </x:c>
      <x:c r="K9" s="31" t="n">
        <x:v>0</x:v>
      </x:c>
      <x:c r="L9" s="31" t="n">
        <x:v>1176.15498</x:v>
      </x:c>
      <x:c r="M9" s="31" t="n">
        <x:v>130.4637687258</x:v>
      </x:c>
      <x:c r="N9" s="24" t="str">
        <x:v>sphyraena barracuda</x:v>
      </x:c>
      <x:c r="O9" s="32" t="n">
        <x:v>4.49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Sphyraena barracuda</x:v>
      </x:c>
      <x:c r="T9" s="32" t="n">
        <x:f>IF(O9="","",(1/'Metadata'!$B$5)^(O9-1))</x:f>
        <x:v>3090.295432513592</x:v>
      </x:c>
      <x:c r="U9" s="31" t="n">
        <x:f>IF(T9="","",I9*T9)</x:f>
        <x:v>4037837.951223964</x:v>
      </x:c>
    </x:row>
    <x:row r="10" ht="18" customHeight="1">
      <x:c r="A10" s="24" t="str">
        <x:v>EEZ_683</x:v>
      </x:c>
      <x:c r="B10" s="24" t="str">
        <x:v>Saudi Arabia (Red Sea)</x:v>
      </x:c>
      <x:c r="C10" s="24" t="str">
        <x:v>EEZ</x:v>
      </x:c>
      <x:c r="D10" s="30" t="n">
        <x:v>2019</x:v>
      </x:c>
      <x:c r="E10" s="24" t="str">
        <x:v>Lethrinus lentjan</x:v>
      </x:c>
      <x:c r="F10" s="24" t="str">
        <x:v>Pink ear emperor</x:v>
      </x:c>
      <x:c r="G10" s="24" t="str">
        <x:v>Medium demersals (30 - 89 cm)</x:v>
      </x:c>
      <x:c r="H10" s="24" t="str">
        <x:v>Perch-likes</x:v>
      </x:c>
      <x:c r="I10" s="31" t="n">
        <x:v>1240.3721530664</x:v>
      </x:c>
      <x:c r="J10" s="31" t="n">
        <x:v>1240.3721530664</x:v>
      </x:c>
      <x:c r="K10" s="31" t="n">
        <x:v>0</x:v>
      </x:c>
      <x:c r="L10" s="31" t="n">
        <x:v>1095.4872021961</x:v>
      </x:c>
      <x:c r="M10" s="31" t="n">
        <x:v>144.8849508703</x:v>
      </x:c>
      <x:c r="N10" s="24" t="str">
        <x:v>lethrinus lentjan</x:v>
      </x:c>
      <x:c r="O10" s="32" t="n">
        <x:v>3.94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Lethrinus lentjan</x:v>
      </x:c>
      <x:c r="T10" s="32" t="n">
        <x:f>IF(O10="","",(1/'Metadata'!$B$5)^(O10-1))</x:f>
        <x:v>870.9635899560806</x:v>
      </x:c>
      <x:c r="U10" s="31" t="n">
        <x:f>IF(T10="","",I10*T10)</x:f>
        <x:v>1080318.9833162648</x:v>
      </x:c>
    </x:row>
    <x:row r="11" ht="18" customHeight="1">
      <x:c r="A11" s="24" t="str">
        <x:v>EEZ_683</x:v>
      </x:c>
      <x:c r="B11" s="24" t="str">
        <x:v>Saudi Arabia (Red Sea)</x:v>
      </x:c>
      <x:c r="C11" s="24" t="str">
        <x:v>EEZ</x:v>
      </x:c>
      <x:c r="D11" s="30" t="n">
        <x:v>2019</x:v>
      </x:c>
      <x:c r="E11" s="24" t="str">
        <x:v>Euthynnus affinis</x:v>
      </x:c>
      <x:c r="F11" s="24" t="str">
        <x:v>Kawakawa</x:v>
      </x:c>
      <x:c r="G11" s="24" t="str">
        <x:v>Large pelagics (&gt;=90 cm)</x:v>
      </x:c>
      <x:c r="H11" s="24" t="str">
        <x:v>Tuna &amp; billfishes</x:v>
      </x:c>
      <x:c r="I11" s="31" t="n">
        <x:v>1223.8427135778</x:v>
      </x:c>
      <x:c r="J11" s="31" t="n">
        <x:v>1223.8427135778</x:v>
      </x:c>
      <x:c r="K11" s="31" t="n">
        <x:v>0</x:v>
      </x:c>
      <x:c r="L11" s="31" t="n">
        <x:v>1083.9580471921</x:v>
      </x:c>
      <x:c r="M11" s="31" t="n">
        <x:v>139.8846663857</x:v>
      </x:c>
      <x:c r="N11" s="24" t="str">
        <x:v>euthynnus affinis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Euthynnus affinis</x:v>
      </x:c>
      <x:c r="T11" s="32" t="n">
        <x:f>IF(O11="","",(1/'Metadata'!$B$5)^(O11-1))</x:f>
        <x:v>3162.2776601683795</x:v>
      </x:c>
      <x:c r="U11" s="31" t="n">
        <x:f>IF(T11="","",I11*T11)</x:f>
        <x:v>3870130.4727069256</x:v>
      </x:c>
    </x:row>
    <x:row r="12" ht="18" customHeight="1">
      <x:c r="A12" s="24" t="str">
        <x:v>EEZ_683</x:v>
      </x:c>
      <x:c r="B12" s="24" t="str">
        <x:v>Saudi Arabia (Red Sea)</x:v>
      </x:c>
      <x:c r="C12" s="24" t="str">
        <x:v>EEZ</x:v>
      </x:c>
      <x:c r="D12" s="30" t="n">
        <x:v>2019</x:v>
      </x:c>
      <x:c r="E12" s="24" t="str">
        <x:v>Marine fishes not identified</x:v>
      </x:c>
      <x:c r="F12" s="24" t="str">
        <x:v>Marine fishes nei</x:v>
      </x:c>
      <x:c r="G12" s="24" t="str">
        <x:v>Medium demersals (30 - 89 cm)</x:v>
      </x:c>
      <x:c r="H12" s="24" t="str">
        <x:v>Other fishes &amp; inverts</x:v>
      </x:c>
      <x:c r="I12" s="31" t="n">
        <x:v>1111.6930249211</x:v>
      </x:c>
      <x:c r="J12" s="31" t="n">
        <x:v>546.9985986493</x:v>
      </x:c>
      <x:c r="K12" s="31" t="n">
        <x:v>564.6944262718</x:v>
      </x:c>
      <x:c r="L12" s="31" t="n">
        <x:v>193.645152122</x:v>
      </x:c>
      <x:c r="M12" s="31" t="n">
        <x:v>918.0478727991</x:v>
      </x:c>
      <x:c r="N12" s="24" t="str">
        <x:v>marine fishes not identified</x:v>
      </x:c>
      <x:c r="O12" s="32" t="n">
        <x:v>3.28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fishes not identified</x:v>
      </x:c>
      <x:c r="T12" s="32" t="n">
        <x:f>IF(O12="","",(1/'Metadata'!$B$5)^(O12-1))</x:f>
        <x:v>190.54607179632464</x:v>
      </x:c>
      <x:c r="U12" s="31" t="n">
        <x:f>IF(T12="","",I12*T12)</x:f>
        <x:v>211828.73894208923</x:v>
      </x:c>
    </x:row>
    <x:row r="13" ht="18" customHeight="1">
      <x:c r="A13" s="24" t="str">
        <x:v>EEZ_683</x:v>
      </x:c>
      <x:c r="B13" s="24" t="str">
        <x:v>Saudi Arabia (Red Sea)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929.3004816236</x:v>
      </x:c>
      <x:c r="J13" s="31" t="n">
        <x:v>820.7054014066</x:v>
      </x:c>
      <x:c r="K13" s="31" t="n">
        <x:v>108.595080217</x:v>
      </x:c>
      <x:c r="L13" s="31" t="n">
        <x:v>725.136545219</x:v>
      </x:c>
      <x:c r="M13" s="31" t="n">
        <x:v>204.1639364046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1042692.2899733814</x:v>
      </x:c>
    </x:row>
    <x:row r="14" ht="18" customHeight="1">
      <x:c r="A14" s="24" t="str">
        <x:v>EEZ_683</x:v>
      </x:c>
      <x:c r="B14" s="24" t="str">
        <x:v>Saudi Arabia (Red Sea)</x:v>
      </x:c>
      <x:c r="C14" s="24" t="str">
        <x:v>EEZ</x:v>
      </x:c>
      <x:c r="D14" s="30" t="n">
        <x:v>2019</x:v>
      </x:c>
      <x:c r="E14" s="24" t="str">
        <x:v>Penaeus semisulcatus</x:v>
      </x:c>
      <x:c r="F14" s="24" t="str">
        <x:v>Green tiger prawn</x:v>
      </x:c>
      <x:c r="G14" s="24" t="str">
        <x:v>Shrimps</x:v>
      </x:c>
      <x:c r="H14" s="24" t="str">
        <x:v>Crustaceans</x:v>
      </x:c>
      <x:c r="I14" s="31" t="n">
        <x:v>774.1491177093</x:v>
      </x:c>
      <x:c r="J14" s="31" t="n">
        <x:v>774.1491177093</x:v>
      </x:c>
      <x:c r="K14" s="31" t="n">
        <x:v>0</x:v>
      </x:c>
      <x:c r="L14" s="31" t="n">
        <x:v>774.1491177093</x:v>
      </x:c>
      <x:c r="M14" s="31" t="n">
        <x:v>0</x:v>
      </x:c>
      <x:c r="N14" s="24" t="str">
        <x:v>penaeus semisulcatus</x:v>
      </x:c>
      <x:c r="O14" s="32" t="n">
        <x:v>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Penaeus semisulcatus</x:v>
      </x:c>
      <x:c r="T14" s="32" t="n">
        <x:f>IF(O14="","",(1/'Metadata'!$B$5)^(O14-1))</x:f>
        <x:v>10</x:v>
      </x:c>
      <x:c r="U14" s="31" t="n">
        <x:f>IF(T14="","",I14*T14)</x:f>
        <x:v>7741.491177092999</x:v>
      </x:c>
    </x:row>
    <x:row r="15" ht="18" customHeight="1">
      <x:c r="A15" s="24" t="str">
        <x:v>EEZ_683</x:v>
      </x:c>
      <x:c r="B15" s="24" t="str">
        <x:v>Saudi Arabia (Red Sea)</x:v>
      </x:c>
      <x:c r="C15" s="24" t="str">
        <x:v>EEZ</x:v>
      </x:c>
      <x:c r="D15" s="30" t="n">
        <x:v>2019</x:v>
      </x:c>
      <x:c r="E15" s="24" t="str">
        <x:v>Atule mate</x:v>
      </x:c>
      <x:c r="F15" s="24" t="str">
        <x:v>Yellowtail scad</x:v>
      </x:c>
      <x:c r="G15" s="24" t="str">
        <x:v>Small pelagics (&lt;30 cm)</x:v>
      </x:c>
      <x:c r="H15" s="24" t="str">
        <x:v>Perch-likes</x:v>
      </x:c>
      <x:c r="I15" s="31" t="n">
        <x:v>746.0015785183</x:v>
      </x:c>
      <x:c r="J15" s="31" t="n">
        <x:v>746.0015785183</x:v>
      </x:c>
      <x:c r="K15" s="31" t="n">
        <x:v>0</x:v>
      </x:c>
      <x:c r="L15" s="31" t="n">
        <x:v>674.7660213737</x:v>
      </x:c>
      <x:c r="M15" s="31" t="n">
        <x:v>71.2355571446</x:v>
      </x:c>
      <x:c r="N15" s="24" t="str">
        <x:v>atule mate</x:v>
      </x:c>
      <x:c r="O15" s="32" t="n">
        <x:v>4.22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Atule mate</x:v>
      </x:c>
      <x:c r="T15" s="32" t="n">
        <x:f>IF(O15="","",(1/'Metadata'!$B$5)^(O15-1))</x:f>
        <x:v>1659.5869074375596</x:v>
      </x:c>
      <x:c r="U15" s="31" t="n">
        <x:f>IF(T15="","",I15*T15)</x:f>
        <x:v>1238054.4526367232</x:v>
      </x:c>
    </x:row>
    <x:row r="16" ht="18" customHeight="1">
      <x:c r="A16" s="24" t="str">
        <x:v>EEZ_683</x:v>
      </x:c>
      <x:c r="B16" s="24" t="str">
        <x:v>Saudi Arabia (Red Sea)</x:v>
      </x:c>
      <x:c r="C16" s="24" t="str">
        <x:v>EEZ</x:v>
      </x:c>
      <x:c r="D16" s="30" t="n">
        <x:v>2019</x:v>
      </x:c>
      <x:c r="E16" s="24" t="str">
        <x:v>Sparidae</x:v>
      </x:c>
      <x:c r="F16" s="24" t="str">
        <x:v>Porgies, seabreams</x:v>
      </x:c>
      <x:c r="G16" s="24" t="str">
        <x:v>Medium benthopelagics (30 - 89 cm)</x:v>
      </x:c>
      <x:c r="H16" s="24" t="str">
        <x:v>Perch-likes</x:v>
      </x:c>
      <x:c r="I16" s="31" t="n">
        <x:v>733.7428207608</x:v>
      </x:c>
      <x:c r="J16" s="31" t="n">
        <x:v>733.7428207608</x:v>
      </x:c>
      <x:c r="K16" s="31" t="n">
        <x:v>0</x:v>
      </x:c>
      <x:c r="L16" s="31" t="n">
        <x:v>2.8225334200999996</x:v>
      </x:c>
      <x:c r="M16" s="31" t="n">
        <x:v>730.9202873407</x:v>
      </x:c>
      <x:c r="N16" s="24" t="str">
        <x:v>sparidae</x:v>
      </x:c>
      <x:c r="O16" s="32" t="n">
        <x:v>3.31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Sparidae</x:v>
      </x:c>
      <x:c r="T16" s="32" t="n">
        <x:f>IF(O16="","",(1/'Metadata'!$B$5)^(O16-1))</x:f>
        <x:v>204.17379446695296</x:v>
      </x:c>
      <x:c r="U16" s="31" t="n">
        <x:f>IF(T16="","",I16*T16)</x:f>
        <x:v>149811.05587761788</x:v>
      </x:c>
    </x:row>
    <x:row r="17" ht="18" customHeight="1">
      <x:c r="A17" s="24" t="str">
        <x:v>EEZ_683</x:v>
      </x:c>
      <x:c r="B17" s="24" t="str">
        <x:v>Saudi Arabia (Red Sea)</x:v>
      </x:c>
      <x:c r="C17" s="24" t="str">
        <x:v>EEZ</x:v>
      </x:c>
      <x:c r="D17" s="30" t="n">
        <x:v>2019</x:v>
      </x:c>
      <x:c r="E17" s="24" t="str">
        <x:v>Epinephelus tauvina</x:v>
      </x:c>
      <x:c r="F17" s="24" t="str">
        <x:v>Greasy grouper</x:v>
      </x:c>
      <x:c r="G17" s="24" t="str">
        <x:v>Medium reef assoc. fish (30 - 89 cm)</x:v>
      </x:c>
      <x:c r="H17" s="24" t="str">
        <x:v>Perch-likes</x:v>
      </x:c>
      <x:c r="I17" s="31" t="n">
        <x:v>703.3049193466</x:v>
      </x:c>
      <x:c r="J17" s="31" t="n">
        <x:v>703.3049193466</x:v>
      </x:c>
      <x:c r="K17" s="31" t="n">
        <x:v>0</x:v>
      </x:c>
      <x:c r="L17" s="31" t="n">
        <x:v>602.3455889448</x:v>
      </x:c>
      <x:c r="M17" s="31" t="n">
        <x:v>100.9593304018</x:v>
      </x:c>
      <x:c r="N17" s="24" t="str">
        <x:v>epinephelus tauvina</x:v>
      </x:c>
      <x:c r="O17" s="32" t="n">
        <x:v>4.13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Epinephelus tauvina</x:v>
      </x:c>
      <x:c r="T17" s="32" t="n">
        <x:f>IF(O17="","",(1/'Metadata'!$B$5)^(O17-1))</x:f>
        <x:v>1348.9628825916532</x:v>
      </x:c>
      <x:c r="U17" s="31" t="n">
        <x:f>IF(T17="","",I17*T17)</x:f>
        <x:v>948732.2313426796</x:v>
      </x:c>
    </x:row>
    <x:row r="18" ht="18" customHeight="1">
      <x:c r="A18" s="24" t="str">
        <x:v>EEZ_683</x:v>
      </x:c>
      <x:c r="B18" s="24" t="str">
        <x:v>Saudi Arabia (Red Sea)</x:v>
      </x:c>
      <x:c r="C18" s="24" t="str">
        <x:v>EEZ</x:v>
      </x:c>
      <x:c r="D18" s="30" t="n">
        <x:v>2019</x:v>
      </x:c>
      <x:c r="E18" s="24" t="str">
        <x:v>Flavocaranx bajad</x:v>
      </x:c>
      <x:c r="F18" s="24" t="str">
        <x:v>Orangespotted trevally</x:v>
      </x:c>
      <x:c r="G18" s="24" t="str">
        <x:v>Medium reef assoc. fish (30 - 89 cm)</x:v>
      </x:c>
      <x:c r="H18" s="24" t="str">
        <x:v>Perch-likes</x:v>
      </x:c>
      <x:c r="I18" s="31" t="n">
        <x:v>611.6869783720999</x:v>
      </x:c>
      <x:c r="J18" s="31" t="n">
        <x:v>611.6869783720999</x:v>
      </x:c>
      <x:c r="K18" s="31" t="n">
        <x:v>0</x:v>
      </x:c>
      <x:c r="L18" s="31" t="n">
        <x:v>527.1452986293</x:v>
      </x:c>
      <x:c r="M18" s="31" t="n">
        <x:v>84.5416797428</x:v>
      </x:c>
      <x:c r="N18" s="24" t="str">
        <x:v>flavocaranx bajad</x:v>
      </x:c>
      <x:c r="O18" s="32" t="n">
        <x:v>4.3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Flavocaranx bajad</x:v>
      </x:c>
      <x:c r="T18" s="32" t="n">
        <x:f>IF(O18="","",(1/'Metadata'!$B$5)^(O18-1))</x:f>
        <x:v>1995.2623149688789</x:v>
      </x:c>
      <x:c r="U18" s="31" t="n">
        <x:f>IF(T18="","",I18*T18)</x:f>
        <x:v>1220475.9765030346</x:v>
      </x:c>
    </x:row>
    <x:row r="19" ht="18" customHeight="1">
      <x:c r="A19" s="24" t="str">
        <x:v>EEZ_683</x:v>
      </x:c>
      <x:c r="B19" s="24" t="str">
        <x:v>Saudi Arabia (Red Sea)</x:v>
      </x:c>
      <x:c r="C19" s="24" t="str">
        <x:v>EEZ</x:v>
      </x:c>
      <x:c r="D19" s="30" t="n">
        <x:v>2019</x:v>
      </x:c>
      <x:c r="E19" s="24" t="str">
        <x:v>Netuma thalassina</x:v>
      </x:c>
      <x:c r="F19" s="24" t="str">
        <x:v>Giant catfish</x:v>
      </x:c>
      <x:c r="G19" s="24" t="str">
        <x:v>Large demersals (&gt;=90 cm)</x:v>
      </x:c>
      <x:c r="H19" s="24" t="str">
        <x:v>Other fishes &amp; inverts</x:v>
      </x:c>
      <x:c r="I19" s="31" t="n">
        <x:v>552.4603540773</x:v>
      </x:c>
      <x:c r="J19" s="31" t="n">
        <x:v>552.4603540773</x:v>
      </x:c>
      <x:c r="K19" s="31" t="n">
        <x:v>0</x:v>
      </x:c>
      <x:c r="L19" s="31" t="n">
        <x:v>531.9054494348</x:v>
      </x:c>
      <x:c r="M19" s="31" t="n">
        <x:v>20.5549046425</x:v>
      </x:c>
      <x:c r="N19" s="24" t="str">
        <x:v>netuma thalassina</x:v>
      </x:c>
      <x:c r="O19" s="32" t="n">
        <x:v>3.54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Netuma thalassina</x:v>
      </x:c>
      <x:c r="T19" s="32" t="n">
        <x:f>IF(O19="","",(1/'Metadata'!$B$5)^(O19-1))</x:f>
        <x:v>346.73685045253166</x:v>
      </x:c>
      <x:c r="U19" s="31" t="n">
        <x:f>IF(T19="","",I19*T19)</x:f>
        <x:v>191558.36317265348</x:v>
      </x:c>
    </x:row>
    <x:row r="20" ht="18" customHeight="1">
      <x:c r="A20" s="24" t="str">
        <x:v>EEZ_683</x:v>
      </x:c>
      <x:c r="B20" s="24" t="str">
        <x:v>Saudi Arabia (Red Sea)</x:v>
      </x:c>
      <x:c r="C20" s="24" t="str">
        <x:v>EEZ</x:v>
      </x:c>
      <x:c r="D20" s="30" t="n">
        <x:v>2019</x:v>
      </x:c>
      <x:c r="E20" s="24" t="str">
        <x:v>Sphyraena</x:v>
      </x:c>
      <x:c r="F20" s="24" t="str">
        <x:v>Barracudas, sennets</x:v>
      </x:c>
      <x:c r="G20" s="24" t="str">
        <x:v>Large pelagics (&gt;=90 cm)</x:v>
      </x:c>
      <x:c r="H20" s="24" t="str">
        <x:v>Perch-likes</x:v>
      </x:c>
      <x:c r="I20" s="31" t="n">
        <x:v>522.8840019286</x:v>
      </x:c>
      <x:c r="J20" s="31" t="n">
        <x:v>522.8840019286</x:v>
      </x:c>
      <x:c r="K20" s="31" t="n">
        <x:v>0</x:v>
      </x:c>
      <x:c r="L20" s="31" t="n">
        <x:v>460.8568507898</x:v>
      </x:c>
      <x:c r="M20" s="31" t="n">
        <x:v>62.0271511388</x:v>
      </x:c>
      <x:c r="N20" s="24" t="str">
        <x:v>sphyraena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Sphyraena</x:v>
      </x:c>
      <x:c r="T20" s="32" t="n">
        <x:f>IF(O20="","",(1/'Metadata'!$B$5)^(O20-1))</x:f>
        <x:v>2511.886431509582</x:v>
      </x:c>
      <x:c r="U20" s="31" t="n">
        <x:f>IF(T20="","",I20*T20)</x:f>
        <x:v>1313425.2296978806</x:v>
      </x:c>
    </x:row>
    <x:row r="21" ht="18" customHeight="1">
      <x:c r="A21" s="24" t="str">
        <x:v>EEZ_683</x:v>
      </x:c>
      <x:c r="B21" s="24" t="str">
        <x:v>Saudi Arabia (Red Sea)</x:v>
      </x:c>
      <x:c r="C21" s="24" t="str">
        <x:v>EEZ</x:v>
      </x:c>
      <x:c r="D21" s="30" t="n">
        <x:v>2019</x:v>
      </x:c>
      <x:c r="E21" s="24" t="str">
        <x:v>Portunus pelagicus</x:v>
      </x:c>
      <x:c r="F21" s="24" t="str">
        <x:v>Blue swimming crab</x:v>
      </x:c>
      <x:c r="G21" s="24" t="str">
        <x:v>Lobsters, crabs</x:v>
      </x:c>
      <x:c r="H21" s="24" t="str">
        <x:v>Crustaceans</x:v>
      </x:c>
      <x:c r="I21" s="31" t="n">
        <x:v>521.1552379990001</x:v>
      </x:c>
      <x:c r="J21" s="31" t="n">
        <x:v>521.1552379990001</x:v>
      </x:c>
      <x:c r="K21" s="31" t="n">
        <x:v>0</x:v>
      </x:c>
      <x:c r="L21" s="31" t="n">
        <x:v>521.1552379990001</x:v>
      </x:c>
      <x:c r="M21" s="31" t="n">
        <x:v>0</x:v>
      </x:c>
      <x:c r="N21" s="24" t="str">
        <x:v>portunus pelagicus</x:v>
      </x:c>
      <x:c r="O21" s="32" t="n">
        <x:v>2.48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Portunus pelagicus</x:v>
      </x:c>
      <x:c r="T21" s="32" t="n">
        <x:f>IF(O21="","",(1/'Metadata'!$B$5)^(O21-1))</x:f>
        <x:v>30.19951720402016</x:v>
      </x:c>
      <x:c r="U21" s="31" t="n">
        <x:f>IF(T21="","",I21*T21)</x:f>
        <x:v>15738.636575916024</x:v>
      </x:c>
    </x:row>
    <x:row r="22" ht="18" customHeight="1">
      <x:c r="A22" s="24" t="str">
        <x:v>EEZ_683</x:v>
      </x:c>
      <x:c r="B22" s="24" t="str">
        <x:v>Saudi Arabia (Red Sea)</x:v>
      </x:c>
      <x:c r="C22" s="24" t="str">
        <x:v>EEZ</x:v>
      </x:c>
      <x:c r="D22" s="30" t="n">
        <x:v>2019</x:v>
      </x:c>
      <x:c r="E22" s="24" t="str">
        <x:v>Sepia pharaonis</x:v>
      </x:c>
      <x:c r="F22" s="24" t="str">
        <x:v>Pharaoh cuttlefish</x:v>
      </x:c>
      <x:c r="G22" s="24" t="str">
        <x:v>Cephalopods</x:v>
      </x:c>
      <x:c r="H22" s="24" t="str">
        <x:v>Other fishes &amp; inverts</x:v>
      </x:c>
      <x:c r="I22" s="31" t="n">
        <x:v>519.8284044143</x:v>
      </x:c>
      <x:c r="J22" s="31" t="n">
        <x:v>519.8284044143</x:v>
      </x:c>
      <x:c r="K22" s="31" t="n">
        <x:v>0</x:v>
      </x:c>
      <x:c r="L22" s="31" t="n">
        <x:v>519.8284044143</x:v>
      </x:c>
      <x:c r="M22" s="31" t="n">
        <x:v>0</x:v>
      </x:c>
      <x:c r="N22" s="24" t="str">
        <x:v>sepia pharaonis</x:v>
      </x:c>
      <x:c r="O22" s="32" t="n">
        <x:v>3.8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Sepia pharaonis</x:v>
      </x:c>
      <x:c r="T22" s="32" t="n">
        <x:f>IF(O22="","",(1/'Metadata'!$B$5)^(O22-1))</x:f>
        <x:v>630.957344480193</x:v>
      </x:c>
      <x:c r="U22" s="31" t="n">
        <x:f>IF(T22="","",I22*T22)</x:f>
        <x:v>327989.5496346226</x:v>
      </x:c>
    </x:row>
    <x:row r="23" ht="18" customHeight="1">
      <x:c r="A23" s="24" t="str">
        <x:v>EEZ_683</x:v>
      </x:c>
      <x:c r="B23" s="24" t="str">
        <x:v>Saudi Arabia (Red Sea)</x:v>
      </x:c>
      <x:c r="C23" s="24" t="str">
        <x:v>EEZ</x:v>
      </x:c>
      <x:c r="D23" s="30" t="n">
        <x:v>2019</x:v>
      </x:c>
      <x:c r="E23" s="24" t="str">
        <x:v>Lethrinus mahsena</x:v>
      </x:c>
      <x:c r="F23" s="24" t="str">
        <x:v>Sky emperor</x:v>
      </x:c>
      <x:c r="G23" s="24" t="str">
        <x:v>Medium reef assoc. fish (30 - 89 cm)</x:v>
      </x:c>
      <x:c r="H23" s="24" t="str">
        <x:v>Perch-likes</x:v>
      </x:c>
      <x:c r="I23" s="31" t="n">
        <x:v>473.2063331087</x:v>
      </x:c>
      <x:c r="J23" s="31" t="n">
        <x:v>473.2063331087</x:v>
      </x:c>
      <x:c r="K23" s="31" t="n">
        <x:v>0</x:v>
      </x:c>
      <x:c r="L23" s="31" t="n">
        <x:v>448.05761</x:v>
      </x:c>
      <x:c r="M23" s="31" t="n">
        <x:v>25.1487231087</x:v>
      </x:c>
      <x:c r="N23" s="24" t="str">
        <x:v>lethrinus mahsena</x:v>
      </x:c>
      <x:c r="O23" s="32" t="n">
        <x:v>3.43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Lethrinus mahsena</x:v>
      </x:c>
      <x:c r="T23" s="32" t="n">
        <x:f>IF(O23="","",(1/'Metadata'!$B$5)^(O23-1))</x:f>
        <x:v>269.1534803926917</x:v>
      </x:c>
      <x:c r="U23" s="31" t="n">
        <x:f>IF(T23="","",I23*T23)</x:f>
        <x:v>127365.13150007001</x:v>
      </x:c>
    </x:row>
    <x:row r="24" ht="18" customHeight="1">
      <x:c r="A24" s="24" t="str">
        <x:v>EEZ_683</x:v>
      </x:c>
      <x:c r="B24" s="24" t="str">
        <x:v>Saudi Arabia (Red Sea)</x:v>
      </x:c>
      <x:c r="C24" s="24" t="str">
        <x:v>EEZ</x:v>
      </x:c>
      <x:c r="D24" s="30" t="n">
        <x:v>2019</x:v>
      </x:c>
      <x:c r="E24" s="24" t="str">
        <x:v>Rachycentron canadum</x:v>
      </x:c>
      <x:c r="F24" s="24" t="str">
        <x:v>Cobia</x:v>
      </x:c>
      <x:c r="G24" s="24" t="str">
        <x:v>Large pelagics (&gt;=90 cm)</x:v>
      </x:c>
      <x:c r="H24" s="24" t="str">
        <x:v>Perch-likes</x:v>
      </x:c>
      <x:c r="I24" s="31" t="n">
        <x:v>433.20356834740005</x:v>
      </x:c>
      <x:c r="J24" s="31" t="n">
        <x:v>433.20356834740005</x:v>
      </x:c>
      <x:c r="K24" s="31" t="n">
        <x:v>0</x:v>
      </x:c>
      <x:c r="L24" s="31" t="n">
        <x:v>433.20356834740005</x:v>
      </x:c>
      <x:c r="M24" s="31" t="n">
        <x:v>0</x:v>
      </x:c>
      <x:c r="N24" s="24" t="str">
        <x:v>rachycentron canadum</x:v>
      </x:c>
      <x:c r="O24" s="32" t="n">
        <x:v>3.96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Rachycentron canadum</x:v>
      </x:c>
      <x:c r="T24" s="32" t="n">
        <x:f>IF(O24="","",(1/'Metadata'!$B$5)^(O24-1))</x:f>
        <x:v>912.0108393559096</x:v>
      </x:c>
      <x:c r="U24" s="31" t="n">
        <x:f>IF(T24="","",I24*T24)</x:f>
        <x:v>395086.3499804875</x:v>
      </x:c>
    </x:row>
    <x:row r="25" ht="18" customHeight="1">
      <x:c r="A25" s="24" t="str">
        <x:v>EEZ_683</x:v>
      </x:c>
      <x:c r="B25" s="24" t="str">
        <x:v>Saudi Arabia (Red Sea)</x:v>
      </x:c>
      <x:c r="C25" s="24" t="str">
        <x:v>EEZ</x:v>
      </x:c>
      <x:c r="D25" s="30" t="n">
        <x:v>2019</x:v>
      </x:c>
      <x:c r="E25" s="24" t="str">
        <x:v>Gnathanodon speciosus</x:v>
      </x:c>
      <x:c r="F25" s="24" t="str">
        <x:v>Golden trevally</x:v>
      </x:c>
      <x:c r="G25" s="24" t="str">
        <x:v>Large reef assoc. fish (&gt;=90 cm)</x:v>
      </x:c>
      <x:c r="H25" s="24" t="str">
        <x:v>Perch-likes</x:v>
      </x:c>
      <x:c r="I25" s="31" t="n">
        <x:v>420.38706362470003</x:v>
      </x:c>
      <x:c r="J25" s="31" t="n">
        <x:v>420.38706362470003</x:v>
      </x:c>
      <x:c r="K25" s="31" t="n">
        <x:v>0</x:v>
      </x:c>
      <x:c r="L25" s="31" t="n">
        <x:v>384.5119807771</x:v>
      </x:c>
      <x:c r="M25" s="31" t="n">
        <x:v>35.8750828476</x:v>
      </x:c>
      <x:c r="N25" s="24" t="str">
        <x:v>gnathanodon speciosus</x:v>
      </x:c>
      <x:c r="O25" s="32" t="n">
        <x:v>3.84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Gnathanodon speciosus</x:v>
      </x:c>
      <x:c r="T25" s="32" t="n">
        <x:f>IF(O25="","",(1/'Metadata'!$B$5)^(O25-1))</x:f>
        <x:v>691.8309709189363</x:v>
      </x:c>
      <x:c r="U25" s="31" t="n">
        <x:f>IF(T25="","",I25*T25)</x:f>
        <x:v>290836.7903892369</x:v>
      </x:c>
    </x:row>
    <x:row r="26" ht="18" customHeight="1">
      <x:c r="A26" s="24" t="str">
        <x:v>EEZ_683</x:v>
      </x:c>
      <x:c r="B26" s="24" t="str">
        <x:v>Saudi Arabia (Red Sea)</x:v>
      </x:c>
      <x:c r="C26" s="24" t="str">
        <x:v>EEZ</x:v>
      </x:c>
      <x:c r="D26" s="30" t="n">
        <x:v>2019</x:v>
      </x:c>
      <x:c r="E26" s="24" t="str">
        <x:v>Epinephelus multinotatus</x:v>
      </x:c>
      <x:c r="F26" s="24" t="str">
        <x:v>White-blotched grouper</x:v>
      </x:c>
      <x:c r="G26" s="24" t="str">
        <x:v>Medium reef assoc. fish (30 - 89 cm)</x:v>
      </x:c>
      <x:c r="H26" s="24" t="str">
        <x:v>Perch-likes</x:v>
      </x:c>
      <x:c r="I26" s="31" t="n">
        <x:v>387.63707586559997</x:v>
      </x:c>
      <x:c r="J26" s="31" t="n">
        <x:v>387.63707586559997</x:v>
      </x:c>
      <x:c r="K26" s="31" t="n">
        <x:v>0</x:v>
      </x:c>
      <x:c r="L26" s="31" t="n">
        <x:v>338.9832802275</x:v>
      </x:c>
      <x:c r="M26" s="31" t="n">
        <x:v>48.6537956381</x:v>
      </x:c>
      <x:c r="N26" s="24" t="str">
        <x:v>epinephelus multinotatus</x:v>
      </x:c>
      <x:c r="O26" s="32" t="n">
        <x:v>3.86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Epinephelus multinotatus</x:v>
      </x:c>
      <x:c r="T26" s="32" t="n">
        <x:f>IF(O26="","",(1/'Metadata'!$B$5)^(O26-1))</x:f>
        <x:v>724.4359600749899</x:v>
      </x:c>
      <x:c r="U26" s="31" t="n">
        <x:f>IF(T26="","",I26*T26)</x:f>
        <x:v>280818.2372153576</x:v>
      </x:c>
    </x:row>
    <x:row r="27" ht="18" customHeight="1">
      <x:c r="A27" s="24" t="str">
        <x:v>EEZ_683</x:v>
      </x:c>
      <x:c r="B27" s="24" t="str">
        <x:v>Saudi Arabia (Red Sea)</x:v>
      </x:c>
      <x:c r="C27" s="24" t="str">
        <x:v>EEZ</x:v>
      </x:c>
      <x:c r="D27" s="30" t="n">
        <x:v>2019</x:v>
      </x:c>
      <x:c r="E27" s="24" t="str">
        <x:v>Terapontidae</x:v>
      </x:c>
      <x:c r="F27" s="24" t="str">
        <x:v>Grunters, tigerperches</x:v>
      </x:c>
      <x:c r="G27" s="24" t="str">
        <x:v>Medium demersals (30 - 89 cm)</x:v>
      </x:c>
      <x:c r="H27" s="24" t="str">
        <x:v>Perch-likes</x:v>
      </x:c>
      <x:c r="I27" s="31" t="n">
        <x:v>385.5125812519</x:v>
      </x:c>
      <x:c r="J27" s="31" t="n">
        <x:v>0</x:v>
      </x:c>
      <x:c r="K27" s="31" t="n">
        <x:v>385.5125812519</x:v>
      </x:c>
      <x:c r="L27" s="31" t="n">
        <x:v>0</x:v>
      </x:c>
      <x:c r="M27" s="31" t="n">
        <x:v>385.5125812519</x:v>
      </x:c>
      <x:c r="N27" s="24" t="str">
        <x:v>terapontidae</x:v>
      </x:c>
      <x:c r="O27" s="32" t="n">
        <x:v>3.64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Terapontidae</x:v>
      </x:c>
      <x:c r="T27" s="32" t="n">
        <x:f>IF(O27="","",(1/'Metadata'!$B$5)^(O27-1))</x:f>
        <x:v>436.5158322401661</x:v>
      </x:c>
      <x:c r="U27" s="31" t="n">
        <x:f>IF(T27="","",I27*T27)</x:f>
        <x:v>168282.34524422776</x:v>
      </x:c>
    </x:row>
    <x:row r="28" ht="18" customHeight="1">
      <x:c r="A28" s="24" t="str">
        <x:v>EEZ_683</x:v>
      </x:c>
      <x:c r="B28" s="24" t="str">
        <x:v>Saudi Arabia (Red Sea)</x:v>
      </x:c>
      <x:c r="C28" s="24" t="str">
        <x:v>EEZ</x:v>
      </x:c>
      <x:c r="D28" s="30" t="n">
        <x:v>2019</x:v>
      </x:c>
      <x:c r="E28" s="24" t="str">
        <x:v>Epinephelus areolatus</x:v>
      </x:c>
      <x:c r="F28" s="24" t="str">
        <x:v>Areolate grouper</x:v>
      </x:c>
      <x:c r="G28" s="24" t="str">
        <x:v>Medium reef assoc. fish (30 - 89 cm)</x:v>
      </x:c>
      <x:c r="H28" s="24" t="str">
        <x:v>Perch-likes</x:v>
      </x:c>
      <x:c r="I28" s="31" t="n">
        <x:v>306.6947669245</x:v>
      </x:c>
      <x:c r="J28" s="31" t="n">
        <x:v>306.6947669245</x:v>
      </x:c>
      <x:c r="K28" s="31" t="n">
        <x:v>0</x:v>
      </x:c>
      <x:c r="L28" s="31" t="n">
        <x:v>253.9596425682</x:v>
      </x:c>
      <x:c r="M28" s="31" t="n">
        <x:v>52.7351243563</x:v>
      </x:c>
      <x:c r="N28" s="24" t="str">
        <x:v>epinephelus areolatus</x:v>
      </x:c>
      <x:c r="O28" s="32" t="n">
        <x:v>3.74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Epinephelus areolatus</x:v>
      </x:c>
      <x:c r="T28" s="32" t="n">
        <x:f>IF(O28="","",(1/'Metadata'!$B$5)^(O28-1))</x:f>
        <x:v>549.5408738576248</x:v>
      </x:c>
      <x:c r="U28" s="31" t="n">
        <x:f>IF(T28="","",I28*T28)</x:f>
        <x:v>168541.3102232503</x:v>
      </x:c>
    </x:row>
    <x:row r="29" ht="18" customHeight="1">
      <x:c r="A29" s="24" t="str">
        <x:v>EEZ_683</x:v>
      </x:c>
      <x:c r="B29" s="24" t="str">
        <x:v>Saudi Arabia (Red Sea)</x:v>
      </x:c>
      <x:c r="C29" s="24" t="str">
        <x:v>EEZ</x:v>
      </x:c>
      <x:c r="D29" s="30" t="n">
        <x:v>2019</x:v>
      </x:c>
      <x:c r="E29" s="24" t="str">
        <x:v>Scolopsis taeniata</x:v>
      </x:c>
      <x:c r="F29" s="24" t="str">
        <x:v>Black-streaked monocle bream</x:v>
      </x:c>
      <x:c r="G29" s="24" t="str">
        <x:v>Small reef assoc. fish (&lt;30 cm)</x:v>
      </x:c>
      <x:c r="H29" s="24" t="str">
        <x:v>Perch-likes</x:v>
      </x:c>
      <x:c r="I29" s="31" t="n">
        <x:v>302.8962641288</x:v>
      </x:c>
      <x:c r="J29" s="31" t="n">
        <x:v>302.8962641288</x:v>
      </x:c>
      <x:c r="K29" s="31" t="n">
        <x:v>0</x:v>
      </x:c>
      <x:c r="L29" s="31" t="n">
        <x:v>302.8962641288</x:v>
      </x:c>
      <x:c r="M29" s="31" t="n">
        <x:v>0</x:v>
      </x:c>
      <x:c r="N29" s="24" t="str">
        <x:v>scolopsis taeniata</x:v>
      </x:c>
      <x:c r="O29" s="32" t="n">
        <x:v>3.51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Scolopsis taeniata</x:v>
      </x:c>
      <x:c r="T29" s="32" t="n">
        <x:f>IF(O29="","",(1/'Metadata'!$B$5)^(O29-1))</x:f>
        <x:v>323.5936569296281</x:v>
      </x:c>
      <x:c r="U29" s="31" t="n">
        <x:f>IF(T29="","",I29*T29)</x:f>
        <x:v>98015.30977976092</x:v>
      </x:c>
    </x:row>
    <x:row r="30" ht="18" customHeight="1">
      <x:c r="A30" s="24" t="str">
        <x:v>EEZ_683</x:v>
      </x:c>
      <x:c r="B30" s="24" t="str">
        <x:v>Saudi Arabia (Red Sea)</x:v>
      </x:c>
      <x:c r="C30" s="24" t="str">
        <x:v>EEZ</x:v>
      </x:c>
      <x:c r="D30" s="30" t="n">
        <x:v>2019</x:v>
      </x:c>
      <x:c r="E30" s="24" t="str">
        <x:v>Variola louti</x:v>
      </x:c>
      <x:c r="F30" s="24" t="str">
        <x:v>Yellow-edged lyretail</x:v>
      </x:c>
      <x:c r="G30" s="24" t="str">
        <x:v>Medium reef assoc. fish (30 - 89 cm)</x:v>
      </x:c>
      <x:c r="H30" s="24" t="str">
        <x:v>Perch-likes</x:v>
      </x:c>
      <x:c r="I30" s="31" t="n">
        <x:v>288.4626864669</x:v>
      </x:c>
      <x:c r="J30" s="31" t="n">
        <x:v>288.4626864669</x:v>
      </x:c>
      <x:c r="K30" s="31" t="n">
        <x:v>0</x:v>
      </x:c>
      <x:c r="L30" s="31" t="n">
        <x:v>243.8902202896</x:v>
      </x:c>
      <x:c r="M30" s="31" t="n">
        <x:v>44.5724661773</x:v>
      </x:c>
      <x:c r="N30" s="24" t="str">
        <x:v>variola louti</x:v>
      </x:c>
      <x:c r="O30" s="32" t="n">
        <x:v>4.33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Variola louti</x:v>
      </x:c>
      <x:c r="T30" s="32" t="n">
        <x:f>IF(O30="","",(1/'Metadata'!$B$5)^(O30-1))</x:f>
        <x:v>2137.9620895022326</x:v>
      </x:c>
      <x:c r="U30" s="31" t="n">
        <x:f>IF(T30="","",I30*T30)</x:f>
        <x:v>616722.287902201</x:v>
      </x:c>
    </x:row>
    <x:row r="31" ht="18" customHeight="1">
      <x:c r="A31" s="24" t="str">
        <x:v>EEZ_683</x:v>
      </x:c>
      <x:c r="B31" s="24" t="str">
        <x:v>Saudi Arabia (Red Sea)</x:v>
      </x:c>
      <x:c r="C31" s="24" t="str">
        <x:v>EEZ</x:v>
      </x:c>
      <x:c r="D31" s="30" t="n">
        <x:v>2019</x:v>
      </x:c>
      <x:c r="E31" s="24" t="str">
        <x:v>Lutjanus bohar</x:v>
      </x:c>
      <x:c r="F31" s="24" t="str">
        <x:v>Two-spot red snapper</x:v>
      </x:c>
      <x:c r="G31" s="24" t="str">
        <x:v>Medium reef assoc. fish (30 - 89 cm)</x:v>
      </x:c>
      <x:c r="H31" s="24" t="str">
        <x:v>Perch-likes</x:v>
      </x:c>
      <x:c r="I31" s="31" t="n">
        <x:v>276.7510384783</x:v>
      </x:c>
      <x:c r="J31" s="31" t="n">
        <x:v>276.7510384783</x:v>
      </x:c>
      <x:c r="K31" s="31" t="n">
        <x:v>0</x:v>
      </x:c>
      <x:c r="L31" s="31" t="n">
        <x:v>239.68655407199998</x:v>
      </x:c>
      <x:c r="M31" s="31" t="n">
        <x:v>37.064484406300004</x:v>
      </x:c>
      <x:c r="N31" s="24" t="str">
        <x:v>lutjanus bohar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bohar</x:v>
      </x:c>
      <x:c r="T31" s="32" t="n">
        <x:f>IF(O31="","",(1/'Metadata'!$B$5)^(O31-1))</x:f>
        <x:v>1862.0871366628655</x:v>
      </x:c>
      <x:c r="U31" s="31" t="n">
        <x:f>IF(T31="","",I31*T31)</x:f>
        <x:v>515334.5488085322</x:v>
      </x:c>
    </x:row>
    <x:row r="32" ht="18" customHeight="1">
      <x:c r="A32" s="24" t="str">
        <x:v>EEZ_683</x:v>
      </x:c>
      <x:c r="B32" s="24" t="str">
        <x:v>Saudi Arabia (Red Sea)</x:v>
      </x:c>
      <x:c r="C32" s="24" t="str">
        <x:v>EEZ</x:v>
      </x:c>
      <x:c r="D32" s="30" t="n">
        <x:v>2019</x:v>
      </x:c>
      <x:c r="E32" s="24" t="str">
        <x:v>Lethrinus borbonicus</x:v>
      </x:c>
      <x:c r="F32" s="24" t="str">
        <x:v>Snubnose emperor</x:v>
      </x:c>
      <x:c r="G32" s="24" t="str">
        <x:v>Medium reef assoc. fish (30 - 89 cm)</x:v>
      </x:c>
      <x:c r="H32" s="24" t="str">
        <x:v>Perch-likes</x:v>
      </x:c>
      <x:c r="I32" s="31" t="n">
        <x:v>270.5422330111</x:v>
      </x:c>
      <x:c r="J32" s="31" t="n">
        <x:v>270.5422330111</x:v>
      </x:c>
      <x:c r="K32" s="31" t="n">
        <x:v>0</x:v>
      </x:c>
      <x:c r="L32" s="31" t="n">
        <x:v>234.1443064439</x:v>
      </x:c>
      <x:c r="M32" s="31" t="n">
        <x:v>36.3979265672</x:v>
      </x:c>
      <x:c r="N32" s="24" t="str">
        <x:v>lethrinus borbonicus</x:v>
      </x:c>
      <x:c r="O32" s="32" t="n">
        <x:v>3.47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Lethrinus borbonicus</x:v>
      </x:c>
      <x:c r="T32" s="32" t="n">
        <x:f>IF(O32="","",(1/'Metadata'!$B$5)^(O32-1))</x:f>
        <x:v>295.1209226666387</x:v>
      </x:c>
      <x:c r="U32" s="31" t="n">
        <x:f>IF(T32="","",I32*T32)</x:f>
        <x:v>79842.67342652859</x:v>
      </x:c>
    </x:row>
    <x:row r="33" ht="18" customHeight="1">
      <x:c r="A33" s="24" t="str">
        <x:v>EEZ_683</x:v>
      </x:c>
      <x:c r="B33" s="24" t="str">
        <x:v>Saudi Arabia (Red Sea)</x:v>
      </x:c>
      <x:c r="C33" s="24" t="str">
        <x:v>EEZ</x:v>
      </x:c>
      <x:c r="D33" s="30" t="n">
        <x:v>2019</x:v>
      </x:c>
      <x:c r="E33" s="24" t="str">
        <x:v>Plectropomus areolatus</x:v>
      </x:c>
      <x:c r="F33" s="24" t="str">
        <x:v>Squaretail coralgrouper</x:v>
      </x:c>
      <x:c r="G33" s="24" t="str">
        <x:v>Medium reef assoc. fish (30 - 89 cm)</x:v>
      </x:c>
      <x:c r="H33" s="24" t="str">
        <x:v>Perch-likes</x:v>
      </x:c>
      <x:c r="I33" s="31" t="n">
        <x:v>268.95212054449996</x:v>
      </x:c>
      <x:c r="J33" s="31" t="n">
        <x:v>268.95212054449996</x:v>
      </x:c>
      <x:c r="K33" s="31" t="n">
        <x:v>0</x:v>
      </x:c>
      <x:c r="L33" s="31" t="n">
        <x:v>225.99070302279998</x:v>
      </x:c>
      <x:c r="M33" s="31" t="n">
        <x:v>42.9614175217</x:v>
      </x:c>
      <x:c r="N33" s="24" t="str">
        <x:v>plectropomus areolatus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Plectropomus areolatus</x:v>
      </x:c>
      <x:c r="T33" s="32" t="n">
        <x:f>IF(O33="","",(1/'Metadata'!$B$5)^(O33-1))</x:f>
        <x:v>3162.2776601683795</x:v>
      </x:c>
      <x:c r="U33" s="31" t="n">
        <x:f>IF(T33="","",I33*T33)</x:f>
        <x:v>850501.2824527853</x:v>
      </x:c>
    </x:row>
    <x:row r="34" ht="18" customHeight="1">
      <x:c r="A34" s="24" t="str">
        <x:v>EEZ_683</x:v>
      </x:c>
      <x:c r="B34" s="24" t="str">
        <x:v>Saudi Arabia (Red Sea)</x:v>
      </x:c>
      <x:c r="C34" s="24" t="str">
        <x:v>EEZ</x:v>
      </x:c>
      <x:c r="D34" s="30" t="n">
        <x:v>2019</x:v>
      </x:c>
      <x:c r="E34" s="24" t="str">
        <x:v>Siganus</x:v>
      </x:c>
      <x:c r="F34" s="24" t="str">
        <x:v>Spinefoots</x:v>
      </x:c>
      <x:c r="G34" s="24" t="str">
        <x:v>Medium reef assoc. fish (30 - 89 cm)</x:v>
      </x:c>
      <x:c r="H34" s="24" t="str">
        <x:v>Perch-likes</x:v>
      </x:c>
      <x:c r="I34" s="31" t="n">
        <x:v>264.543637149</x:v>
      </x:c>
      <x:c r="J34" s="31" t="n">
        <x:v>264.543637149</x:v>
      </x:c>
      <x:c r="K34" s="31" t="n">
        <x:v>0</x:v>
      </x:c>
      <x:c r="L34" s="31" t="n">
        <x:v>224.8504024667</x:v>
      </x:c>
      <x:c r="M34" s="31" t="n">
        <x:v>39.6932346823</x:v>
      </x:c>
      <x:c r="N34" s="24" t="str">
        <x:v>siganus</x:v>
      </x:c>
      <x:c r="O34" s="32" t="n">
        <x:v>2.11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Siganus</x:v>
      </x:c>
      <x:c r="T34" s="32" t="n">
        <x:f>IF(O34="","",(1/'Metadata'!$B$5)^(O34-1))</x:f>
        <x:v>12.882495516931336</x:v>
      </x:c>
      <x:c r="U34" s="31" t="n">
        <x:f>IF(T34="","",I34*T34)</x:f>
        <x:v>3407.9822196047025</x:v>
      </x:c>
    </x:row>
    <x:row r="35" ht="18" customHeight="1">
      <x:c r="A35" s="24" t="str">
        <x:v>EEZ_683</x:v>
      </x:c>
      <x:c r="B35" s="24" t="str">
        <x:v>Saudi Arabia (Red Sea)</x:v>
      </x:c>
      <x:c r="C35" s="24" t="str">
        <x:v>EEZ</x:v>
      </x:c>
      <x:c r="D35" s="30" t="n">
        <x:v>2019</x:v>
      </x:c>
      <x:c r="E35" s="24" t="str">
        <x:v>Scaridae</x:v>
      </x:c>
      <x:c r="F35" s="24" t="str">
        <x:v>Parrotfishes</x:v>
      </x:c>
      <x:c r="G35" s="24" t="str">
        <x:v>Medium reef assoc. fish (30 - 89 cm)</x:v>
      </x:c>
      <x:c r="H35" s="24" t="str">
        <x:v>Perch-likes</x:v>
      </x:c>
      <x:c r="I35" s="31" t="n">
        <x:v>256.7548255745</x:v>
      </x:c>
      <x:c r="J35" s="31" t="n">
        <x:v>256.7548255745</x:v>
      </x:c>
      <x:c r="K35" s="31" t="n">
        <x:v>0</x:v>
      </x:c>
      <x:c r="L35" s="31" t="n">
        <x:v>217.5746625655</x:v>
      </x:c>
      <x:c r="M35" s="31" t="n">
        <x:v>39.180163009000005</x:v>
      </x:c>
      <x:c r="N35" s="24" t="str">
        <x:v>scaridae</x:v>
      </x:c>
      <x:c r="O35" s="32" t="n">
        <x:v>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Scaridae</x:v>
      </x:c>
      <x:c r="T35" s="32" t="n">
        <x:f>IF(O35="","",(1/'Metadata'!$B$5)^(O35-1))</x:f>
        <x:v>10</x:v>
      </x:c>
      <x:c r="U35" s="31" t="n">
        <x:f>IF(T35="","",I35*T35)</x:f>
        <x:v>2567.548255745</x:v>
      </x:c>
    </x:row>
    <x:row r="36" ht="18" customHeight="1">
      <x:c r="A36" s="24" t="str">
        <x:v>EEZ_683</x:v>
      </x:c>
      <x:c r="B36" s="24" t="str">
        <x:v>Saudi Arabia (Red Sea)</x:v>
      </x:c>
      <x:c r="C36" s="24" t="str">
        <x:v>EEZ</x:v>
      </x:c>
      <x:c r="D36" s="30" t="n">
        <x:v>2019</x:v>
      </x:c>
      <x:c r="E36" s="24" t="str">
        <x:v>Lutjanus quinquelineatus</x:v>
      </x:c>
      <x:c r="F36" s="24" t="str">
        <x:v>Five-lined snapper</x:v>
      </x:c>
      <x:c r="G36" s="24" t="str">
        <x:v>Medium reef assoc. fish (30 - 89 cm)</x:v>
      </x:c>
      <x:c r="H36" s="24" t="str">
        <x:v>Perch-likes</x:v>
      </x:c>
      <x:c r="I36" s="31" t="n">
        <x:v>250.2056609873</x:v>
      </x:c>
      <x:c r="J36" s="31" t="n">
        <x:v>250.2056609873</x:v>
      </x:c>
      <x:c r="K36" s="31" t="n">
        <x:v>0</x:v>
      </x:c>
      <x:c r="L36" s="31" t="n">
        <x:v>217.0541358491</x:v>
      </x:c>
      <x:c r="M36" s="31" t="n">
        <x:v>33.1515251382</x:v>
      </x:c>
      <x:c r="N36" s="24" t="str">
        <x:v>lutjanus quinquelineatus</x:v>
      </x:c>
      <x:c r="O36" s="32" t="n">
        <x:v>3.68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Lutjanus quinquelineatus</x:v>
      </x:c>
      <x:c r="T36" s="32" t="n">
        <x:f>IF(O36="","",(1/'Metadata'!$B$5)^(O36-1))</x:f>
        <x:v>478.6300923226385</x:v>
      </x:c>
      <x:c r="U36" s="31" t="n">
        <x:f>IF(T36="","",I36*T36)</x:f>
        <x:v>119755.9586179982</x:v>
      </x:c>
    </x:row>
    <x:row r="37" ht="18" customHeight="1">
      <x:c r="A37" s="24" t="str">
        <x:v>EEZ_683</x:v>
      </x:c>
      <x:c r="B37" s="24" t="str">
        <x:v>Saudi Arabia (Red Sea)</x:v>
      </x:c>
      <x:c r="C37" s="24" t="str">
        <x:v>EEZ</x:v>
      </x:c>
      <x:c r="D37" s="30" t="n">
        <x:v>2019</x:v>
      </x:c>
      <x:c r="E37" s="24" t="str">
        <x:v>Naso unicornis</x:v>
      </x:c>
      <x:c r="F37" s="24" t="str">
        <x:v>Bluespine unicornfish</x:v>
      </x:c>
      <x:c r="G37" s="24" t="str">
        <x:v>Medium reef assoc. fish (30 - 89 cm)</x:v>
      </x:c>
      <x:c r="H37" s="24" t="str">
        <x:v>Perch-likes</x:v>
      </x:c>
      <x:c r="I37" s="31" t="n">
        <x:v>238.2257066398</x:v>
      </x:c>
      <x:c r="J37" s="31" t="n">
        <x:v>238.2257066398</x:v>
      </x:c>
      <x:c r="K37" s="31" t="n">
        <x:v>0</x:v>
      </x:c>
      <x:c r="L37" s="31" t="n">
        <x:v>211.25104</x:v>
      </x:c>
      <x:c r="M37" s="31" t="n">
        <x:v>26.9746666398</x:v>
      </x:c>
      <x:c r="N37" s="24" t="str">
        <x:v>naso unicornis</x:v>
      </x:c>
      <x:c r="O37" s="32" t="n">
        <x:v>2.17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Naso unicornis</x:v>
      </x:c>
      <x:c r="T37" s="32" t="n">
        <x:f>IF(O37="","",(1/'Metadata'!$B$5)^(O37-1))</x:f>
        <x:v>14.791083881682072</x:v>
      </x:c>
      <x:c r="U37" s="31" t="n">
        <x:f>IF(T37="","",I37*T37)</x:f>
        <x:v>3523.616409682267</x:v>
      </x:c>
    </x:row>
    <x:row r="38" ht="18" customHeight="1">
      <x:c r="A38" s="24" t="str">
        <x:v>EEZ_683</x:v>
      </x:c>
      <x:c r="B38" s="24" t="str">
        <x:v>Saudi Arabia (Red Sea)</x:v>
      </x:c>
      <x:c r="C38" s="24" t="str">
        <x:v>EEZ</x:v>
      </x:c>
      <x:c r="D38" s="30" t="n">
        <x:v>2019</x:v>
      </x:c>
      <x:c r="E38" s="24" t="str">
        <x:v>Plectropomus pessuliferus</x:v>
      </x:c>
      <x:c r="F38" s="24" t="str">
        <x:v>Roving coralgrouper</x:v>
      </x:c>
      <x:c r="G38" s="24" t="str">
        <x:v>Large reef assoc. fish (&gt;=90 cm)</x:v>
      </x:c>
      <x:c r="H38" s="24" t="str">
        <x:v>Perch-likes</x:v>
      </x:c>
      <x:c r="I38" s="31" t="n">
        <x:v>236.8215520342</x:v>
      </x:c>
      <x:c r="J38" s="31" t="n">
        <x:v>236.8215520342</x:v>
      </x:c>
      <x:c r="K38" s="31" t="n">
        <x:v>0</x:v>
      </x:c>
      <x:c r="L38" s="31" t="n">
        <x:v>201.3783868991</x:v>
      </x:c>
      <x:c r="M38" s="31" t="n">
        <x:v>35.443165135099996</x:v>
      </x:c>
      <x:c r="N38" s="24" t="str">
        <x:v>plectropomus pessuliferus</x:v>
      </x:c>
      <x:c r="O38" s="32" t="n">
        <x:v>4.28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Plectropomus pessuliferus</x:v>
      </x:c>
      <x:c r="T38" s="32" t="n">
        <x:f>IF(O38="","",(1/'Metadata'!$B$5)^(O38-1))</x:f>
        <x:v>1905.4607179632483</x:v>
      </x:c>
      <x:c r="U38" s="31" t="n">
        <x:f>IF(T38="","",I38*T38)</x:f>
        <x:v>451254.1645682575</x:v>
      </x:c>
    </x:row>
    <x:row r="39" ht="18" customHeight="1">
      <x:c r="A39" s="24" t="str">
        <x:v>EEZ_683</x:v>
      </x:c>
      <x:c r="B39" s="24" t="str">
        <x:v>Saudi Arabia (Red Sea)</x:v>
      </x:c>
      <x:c r="C39" s="24" t="str">
        <x:v>EEZ</x:v>
      </x:c>
      <x:c r="D39" s="30" t="n">
        <x:v>2019</x:v>
      </x:c>
      <x:c r="E39" s="24" t="str">
        <x:v>Gerres oyena</x:v>
      </x:c>
      <x:c r="F39" s="24" t="str">
        <x:v>Common silver-biddy</x:v>
      </x:c>
      <x:c r="G39" s="24" t="str">
        <x:v>Small demersals (&lt;30 cm)</x:v>
      </x:c>
      <x:c r="H39" s="24" t="str">
        <x:v>Perch-likes</x:v>
      </x:c>
      <x:c r="I39" s="31" t="n">
        <x:v>231.9263314835</x:v>
      </x:c>
      <x:c r="J39" s="31" t="n">
        <x:v>231.9263314835</x:v>
      </x:c>
      <x:c r="K39" s="31" t="n">
        <x:v>0</x:v>
      </x:c>
      <x:c r="L39" s="31" t="n">
        <x:v>211.9336113337</x:v>
      </x:c>
      <x:c r="M39" s="31" t="n">
        <x:v>19.9927201498</x:v>
      </x:c>
      <x:c r="N39" s="24" t="str">
        <x:v>gerres oyena</x:v>
      </x:c>
      <x:c r="O39" s="32" t="n">
        <x:v>3.07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Gerres oyena</x:v>
      </x:c>
      <x:c r="T39" s="32" t="n">
        <x:f>IF(O39="","",(1/'Metadata'!$B$5)^(O39-1))</x:f>
        <x:v>117.48975549395291</x:v>
      </x:c>
      <x:c r="U39" s="31" t="n">
        <x:f>IF(T39="","",I39*T39)</x:f>
        <x:v>27248.967978605888</x:v>
      </x:c>
    </x:row>
    <x:row r="40" ht="18" customHeight="1">
      <x:c r="A40" s="24" t="str">
        <x:v>EEZ_683</x:v>
      </x:c>
      <x:c r="B40" s="24" t="str">
        <x:v>Saudi Arabia (Red Sea)</x:v>
      </x:c>
      <x:c r="C40" s="24" t="str">
        <x:v>EEZ</x:v>
      </x:c>
      <x:c r="D40" s="30" t="n">
        <x:v>2019</x:v>
      </x:c>
      <x:c r="E40" s="24" t="str">
        <x:v>Aphareus rutilans</x:v>
      </x:c>
      <x:c r="F40" s="24" t="str">
        <x:v>Rusty jobfish</x:v>
      </x:c>
      <x:c r="G40" s="24" t="str">
        <x:v>Medium reef assoc. fish (30 - 89 cm)</x:v>
      </x:c>
      <x:c r="H40" s="24" t="str">
        <x:v>Perch-likes</x:v>
      </x:c>
      <x:c r="I40" s="31" t="n">
        <x:v>230.590268934</x:v>
      </x:c>
      <x:c r="J40" s="31" t="n">
        <x:v>230.590268934</x:v>
      </x:c>
      <x:c r="K40" s="31" t="n">
        <x:v>0</x:v>
      </x:c>
      <x:c r="L40" s="31" t="n">
        <x:v>208.3081</x:v>
      </x:c>
      <x:c r="M40" s="31" t="n">
        <x:v>22.282168934</x:v>
      </x:c>
      <x:c r="N40" s="24" t="str">
        <x:v>aphareus rutilans</x:v>
      </x:c>
      <x:c r="O40" s="32" t="n">
        <x:v>4.11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Aphareus rutilans</x:v>
      </x:c>
      <x:c r="T40" s="32" t="n">
        <x:f>IF(O40="","",(1/'Metadata'!$B$5)^(O40-1))</x:f>
        <x:v>1288.249551693135</x:v>
      </x:c>
      <x:c r="U40" s="31" t="n">
        <x:f>IF(T40="","",I40*T40)</x:f>
        <x:v>297057.8105790249</x:v>
      </x:c>
    </x:row>
    <x:row r="41" ht="18" customHeight="1">
      <x:c r="A41" s="24" t="str">
        <x:v>EEZ_683</x:v>
      </x:c>
      <x:c r="B41" s="24" t="str">
        <x:v>Saudi Arabia (Red Sea)</x:v>
      </x:c>
      <x:c r="C41" s="24" t="str">
        <x:v>EEZ</x:v>
      </x:c>
      <x:c r="D41" s="30" t="n">
        <x:v>2019</x:v>
      </x:c>
      <x:c r="E41" s="24" t="str">
        <x:v>Moolgarda seheli</x:v>
      </x:c>
      <x:c r="F41" s="24" t="str">
        <x:v>Bluespot mullet</x:v>
      </x:c>
      <x:c r="G41" s="24" t="str">
        <x:v>Medium reef assoc. fish (30 - 89 cm)</x:v>
      </x:c>
      <x:c r="H41" s="24" t="str">
        <x:v>Perch-likes</x:v>
      </x:c>
      <x:c r="I41" s="31" t="n">
        <x:v>229.5740906336</x:v>
      </x:c>
      <x:c r="J41" s="31" t="n">
        <x:v>229.5740906336</x:v>
      </x:c>
      <x:c r="K41" s="31" t="n">
        <x:v>0</x:v>
      </x:c>
      <x:c r="L41" s="31" t="n">
        <x:v>191.8476380864</x:v>
      </x:c>
      <x:c r="M41" s="31" t="n">
        <x:v>37.7264525472</x:v>
      </x:c>
      <x:c r="N41" s="24" t="str">
        <x:v>moolgarda seheli</x:v>
      </x:c>
      <x:c r="O41" s="32" t="n">
        <x:v>2.32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Moolgarda seheli</x:v>
      </x:c>
      <x:c r="T41" s="32" t="n">
        <x:f>IF(O41="","",(1/'Metadata'!$B$5)^(O41-1))</x:f>
        <x:v>20.892961308540386</x:v>
      </x:c>
      <x:c r="U41" s="31" t="n">
        <x:f>IF(T41="","",I41*T41)</x:f>
        <x:v>4796.482593051149</x:v>
      </x:c>
    </x:row>
    <x:row r="42" ht="18" customHeight="1">
      <x:c r="A42" s="24" t="str">
        <x:v>EEZ_683</x:v>
      </x:c>
      <x:c r="B42" s="24" t="str">
        <x:v>Saudi Arabia (Red Sea)</x:v>
      </x:c>
      <x:c r="C42" s="24" t="str">
        <x:v>EEZ</x:v>
      </x:c>
      <x:c r="D42" s="30" t="n">
        <x:v>2019</x:v>
      </x:c>
      <x:c r="E42" s="24" t="str">
        <x:v>Gerreidae</x:v>
      </x:c>
      <x:c r="F42" s="24" t="str">
        <x:v>Mojarras, silverbellies</x:v>
      </x:c>
      <x:c r="G42" s="24" t="str">
        <x:v>Small benthopelagics (&lt;30 cm)</x:v>
      </x:c>
      <x:c r="H42" s="24" t="str">
        <x:v>Perch-likes</x:v>
      </x:c>
      <x:c r="I42" s="31" t="n">
        <x:v>222.6199889368</x:v>
      </x:c>
      <x:c r="J42" s="31" t="n">
        <x:v>0</x:v>
      </x:c>
      <x:c r="K42" s="31" t="n">
        <x:v>222.6199889368</x:v>
      </x:c>
      <x:c r="L42" s="31" t="n">
        <x:v>0</x:v>
      </x:c>
      <x:c r="M42" s="31" t="n">
        <x:v>222.6199889368</x:v>
      </x:c>
      <x:c r="N42" s="24" t="str">
        <x:v>gerreidae</x:v>
      </x:c>
      <x:c r="O42" s="32" t="n">
        <x:v>3.03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Gerreidae</x:v>
      </x:c>
      <x:c r="T42" s="32" t="n">
        <x:f>IF(O42="","",(1/'Metadata'!$B$5)^(O42-1))</x:f>
        <x:v>107.1519305237606</x:v>
      </x:c>
      <x:c r="U42" s="31" t="n">
        <x:f>IF(T42="","",I42*T42)</x:f>
        <x:v>23854.16158775635</x:v>
      </x:c>
    </x:row>
    <x:row r="43" ht="18" customHeight="1">
      <x:c r="A43" s="24" t="str">
        <x:v>EEZ_683</x:v>
      </x:c>
      <x:c r="B43" s="24" t="str">
        <x:v>Saudi Arabia (Red Sea)</x:v>
      </x:c>
      <x:c r="C43" s="24" t="str">
        <x:v>EEZ</x:v>
      </x:c>
      <x:c r="D43" s="30" t="n">
        <x:v>2019</x:v>
      </x:c>
      <x:c r="E43" s="24" t="str">
        <x:v>Trichiuridae</x:v>
      </x:c>
      <x:c r="F43" s="24" t="str">
        <x:v>Cutlassfishes</x:v>
      </x:c>
      <x:c r="G43" s="24" t="str">
        <x:v>Large benthopelagics (&gt;=90 cm)</x:v>
      </x:c>
      <x:c r="H43" s="24" t="str">
        <x:v>Perch-likes</x:v>
      </x:c>
      <x:c r="I43" s="31" t="n">
        <x:v>222.6199889368</x:v>
      </x:c>
      <x:c r="J43" s="31" t="n">
        <x:v>0</x:v>
      </x:c>
      <x:c r="K43" s="31" t="n">
        <x:v>222.6199889368</x:v>
      </x:c>
      <x:c r="L43" s="31" t="n">
        <x:v>0</x:v>
      </x:c>
      <x:c r="M43" s="31" t="n">
        <x:v>222.6199889368</x:v>
      </x:c>
      <x:c r="N43" s="24" t="str">
        <x:v>trichiuridae</x:v>
      </x:c>
      <x:c r="O43" s="32" t="n">
        <x:v>4.15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Trichiuridae</x:v>
      </x:c>
      <x:c r="T43" s="32" t="n">
        <x:f>IF(O43="","",(1/'Metadata'!$B$5)^(O43-1))</x:f>
        <x:v>1412.5375446227554</x:v>
      </x:c>
      <x:c r="U43" s="31" t="n">
        <x:f>IF(T43="","",I43*T43)</x:f>
        <x:v>314459.0925567325</x:v>
      </x:c>
    </x:row>
    <x:row r="44" ht="18" customHeight="1">
      <x:c r="A44" s="24" t="str">
        <x:v>EEZ_683</x:v>
      </x:c>
      <x:c r="B44" s="24" t="str">
        <x:v>Saudi Arabia (Red Sea)</x:v>
      </x:c>
      <x:c r="C44" s="24" t="str">
        <x:v>EEZ</x:v>
      </x:c>
      <x:c r="D44" s="30" t="n">
        <x:v>2019</x:v>
      </x:c>
      <x:c r="E44" s="24" t="str">
        <x:v>Cephalopholis miniata</x:v>
      </x:c>
      <x:c r="F44" s="24" t="str">
        <x:v>Coral hind</x:v>
      </x:c>
      <x:c r="G44" s="24" t="str">
        <x:v>Medium reef assoc. fish (30 - 89 cm)</x:v>
      </x:c>
      <x:c r="H44" s="24" t="str">
        <x:v>Perch-likes</x:v>
      </x:c>
      <x:c r="I44" s="31" t="n">
        <x:v>216.13494227150002</x:v>
      </x:c>
      <x:c r="J44" s="31" t="n">
        <x:v>216.13494227150002</x:v>
      </x:c>
      <x:c r="K44" s="31" t="n">
        <x:v>0</x:v>
      </x:c>
      <x:c r="L44" s="31" t="n">
        <x:v>189.06925419720002</x:v>
      </x:c>
      <x:c r="M44" s="31" t="n">
        <x:v>27.0656880743</x:v>
      </x:c>
      <x:c r="N44" s="24" t="str">
        <x:v>cephalopholis miniata</x:v>
      </x:c>
      <x:c r="O44" s="32" t="n">
        <x:v>4.29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Cephalopholis miniata</x:v>
      </x:c>
      <x:c r="T44" s="32" t="n">
        <x:f>IF(O44="","",(1/'Metadata'!$B$5)^(O44-1))</x:f>
        <x:v>1949.8445997580454</x:v>
      </x:c>
      <x:c r="U44" s="31" t="n">
        <x:f>IF(T44="","",I44*T44)</x:f>
        <x:v>421429.5500071012</x:v>
      </x:c>
    </x:row>
    <x:row r="45" ht="18" customHeight="1">
      <x:c r="A45" s="24" t="str">
        <x:v>EEZ_683</x:v>
      </x:c>
      <x:c r="B45" s="24" t="str">
        <x:v>Saudi Arabia (Red Sea)</x:v>
      </x:c>
      <x:c r="C45" s="24" t="str">
        <x:v>EEZ</x:v>
      </x:c>
      <x:c r="D45" s="30" t="n">
        <x:v>2019</x:v>
      </x:c>
      <x:c r="E45" s="24" t="str">
        <x:v>Lutjanus gibbus</x:v>
      </x:c>
      <x:c r="F45" s="24" t="str">
        <x:v>Humpback red snapper</x:v>
      </x:c>
      <x:c r="G45" s="24" t="str">
        <x:v>Medium reef assoc. fish (30 - 89 cm)</x:v>
      </x:c>
      <x:c r="H45" s="24" t="str">
        <x:v>Perch-likes</x:v>
      </x:c>
      <x:c r="I45" s="31" t="n">
        <x:v>203.0108724945</x:v>
      </x:c>
      <x:c r="J45" s="31" t="n">
        <x:v>203.0108724945</x:v>
      </x:c>
      <x:c r="K45" s="31" t="n">
        <x:v>0</x:v>
      </x:c>
      <x:c r="L45" s="31" t="n">
        <x:v>167.1420167711</x:v>
      </x:c>
      <x:c r="M45" s="31" t="n">
        <x:v>35.8688557234</x:v>
      </x:c>
      <x:c r="N45" s="24" t="str">
        <x:v>lutjanus gibbus</x:v>
      </x:c>
      <x:c r="O45" s="32" t="n">
        <x:v>4.12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Lutjanus gibbus</x:v>
      </x:c>
      <x:c r="T45" s="32" t="n">
        <x:f>IF(O45="","",(1/'Metadata'!$B$5)^(O45-1))</x:f>
        <x:v>1318.2567385564075</x:v>
      </x:c>
      <x:c r="U45" s="31" t="n">
        <x:f>IF(T45="","",I45*T45)</x:f>
        <x:v>267620.4506660903</x:v>
      </x:c>
    </x:row>
    <x:row r="46" ht="18" customHeight="1">
      <x:c r="A46" s="24" t="str">
        <x:v>EEZ_683</x:v>
      </x:c>
      <x:c r="B46" s="24" t="str">
        <x:v>Saudi Arabia (Red Sea)</x:v>
      </x:c>
      <x:c r="C46" s="24" t="str">
        <x:v>EEZ</x:v>
      </x:c>
      <x:c r="D46" s="30" t="n">
        <x:v>2019</x:v>
      </x:c>
      <x:c r="E46" s="24" t="str">
        <x:v>Scomberoides commersonnianus</x:v>
      </x:c>
      <x:c r="F46" s="24" t="str">
        <x:v>Talang queenfish</x:v>
      </x:c>
      <x:c r="G46" s="24" t="str">
        <x:v>Large reef assoc. fish (&gt;=90 cm)</x:v>
      </x:c>
      <x:c r="H46" s="24" t="str">
        <x:v>Perch-likes</x:v>
      </x:c>
      <x:c r="I46" s="31" t="n">
        <x:v>192.7850977916</x:v>
      </x:c>
      <x:c r="J46" s="31" t="n">
        <x:v>192.7850977916</x:v>
      </x:c>
      <x:c r="K46" s="31" t="n">
        <x:v>0</x:v>
      </x:c>
      <x:c r="L46" s="31" t="n">
        <x:v>177.35585828680001</x:v>
      </x:c>
      <x:c r="M46" s="31" t="n">
        <x:v>15.4292395048</x:v>
      </x:c>
      <x:c r="N46" s="24" t="str">
        <x:v>scomberoides commersonnianus</x:v>
      </x:c>
      <x:c r="O46" s="32" t="n">
        <x:v>4.48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Scomberoides commersonnianus</x:v>
      </x:c>
      <x:c r="T46" s="32" t="n">
        <x:f>IF(O46="","",(1/'Metadata'!$B$5)^(O46-1))</x:f>
        <x:v>3019.951720402019</x:v>
      </x:c>
      <x:c r="U46" s="31" t="n">
        <x:f>IF(T46="","",I46*T46)</x:f>
        <x:v>582201.687743614</x:v>
      </x:c>
    </x:row>
    <x:row r="47" ht="18" customHeight="1">
      <x:c r="A47" s="24" t="str">
        <x:v>EEZ_683</x:v>
      </x:c>
      <x:c r="B47" s="24" t="str">
        <x:v>Saudi Arabia (Red Sea)</x:v>
      </x:c>
      <x:c r="C47" s="24" t="str">
        <x:v>EEZ</x:v>
      </x:c>
      <x:c r="D47" s="30" t="n">
        <x:v>2019</x:v>
      </x:c>
      <x:c r="E47" s="24" t="str">
        <x:v>Mulloidichthys flavolineatus</x:v>
      </x:c>
      <x:c r="F47" s="24" t="str">
        <x:v>Yellowstripe goatfish</x:v>
      </x:c>
      <x:c r="G47" s="24" t="str">
        <x:v>Medium reef assoc. fish (30 - 89 cm)</x:v>
      </x:c>
      <x:c r="H47" s="24" t="str">
        <x:v>Perch-likes</x:v>
      </x:c>
      <x:c r="I47" s="31" t="n">
        <x:v>181.8734101586</x:v>
      </x:c>
      <x:c r="J47" s="31" t="n">
        <x:v>181.8734101586</x:v>
      </x:c>
      <x:c r="K47" s="31" t="n">
        <x:v>0</x:v>
      </x:c>
      <x:c r="L47" s="31" t="n">
        <x:v>180.8006199999</x:v>
      </x:c>
      <x:c r="M47" s="31" t="n">
        <x:v>1.0727901587</x:v>
      </x:c>
      <x:c r="N47" s="24" t="str">
        <x:v>mulloidichthys flavolineatus</x:v>
      </x:c>
      <x:c r="O47" s="32" t="n">
        <x:v>3.84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Mulloidichthys flavolineatus</x:v>
      </x:c>
      <x:c r="T47" s="32" t="n">
        <x:f>IF(O47="","",(1/'Metadata'!$B$5)^(O47-1))</x:f>
        <x:v>691.8309709189363</x:v>
      </x:c>
      <x:c r="U47" s="31" t="n">
        <x:f>IF(T47="","",I47*T47)</x:f>
        <x:v>125825.65793436216</x:v>
      </x:c>
    </x:row>
    <x:row r="48" ht="18" customHeight="1">
      <x:c r="A48" s="24" t="str">
        <x:v>EEZ_683</x:v>
      </x:c>
      <x:c r="B48" s="24" t="str">
        <x:v>Saudi Arabia (Red Sea)</x:v>
      </x:c>
      <x:c r="C48" s="24" t="str">
        <x:v>EEZ</x:v>
      </x:c>
      <x:c r="D48" s="30" t="n">
        <x:v>2019</x:v>
      </x:c>
      <x:c r="E48" s="24" t="str">
        <x:v>Argyrops spinifer</x:v>
      </x:c>
      <x:c r="F48" s="24" t="str">
        <x:v>King soldier bream</x:v>
      </x:c>
      <x:c r="G48" s="24" t="str">
        <x:v>Medium demersals (30 - 89 cm)</x:v>
      </x:c>
      <x:c r="H48" s="24" t="str">
        <x:v>Perch-likes</x:v>
      </x:c>
      <x:c r="I48" s="31" t="n">
        <x:v>176.0484809352</x:v>
      </x:c>
      <x:c r="J48" s="31" t="n">
        <x:v>176.0484809352</x:v>
      </x:c>
      <x:c r="K48" s="31" t="n">
        <x:v>0</x:v>
      </x:c>
      <x:c r="L48" s="31" t="n">
        <x:v>159.46324216440001</x:v>
      </x:c>
      <x:c r="M48" s="31" t="n">
        <x:v>16.5852387708</x:v>
      </x:c>
      <x:c r="N48" s="24" t="str">
        <x:v>argyrops spinifer</x:v>
      </x:c>
      <x:c r="O48" s="32" t="n">
        <x:v>4.49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Argyrops spinifer</x:v>
      </x:c>
      <x:c r="T48" s="32" t="n">
        <x:f>IF(O48="","",(1/'Metadata'!$B$5)^(O48-1))</x:f>
        <x:v>3090.295432513592</x:v>
      </x:c>
      <x:c r="U48" s="31" t="n">
        <x:f>IF(T48="","",I48*T48)</x:f>
        <x:v>544041.8165350048</x:v>
      </x:c>
    </x:row>
    <x:row r="49" ht="18" customHeight="1">
      <x:c r="A49" s="24" t="str">
        <x:v>EEZ_683</x:v>
      </x:c>
      <x:c r="B49" s="24" t="str">
        <x:v>Saudi Arabia (Red Sea)</x:v>
      </x:c>
      <x:c r="C49" s="24" t="str">
        <x:v>EEZ</x:v>
      </x:c>
      <x:c r="D49" s="30" t="n">
        <x:v>2019</x:v>
      </x:c>
      <x:c r="E49" s="24" t="str">
        <x:v>Cephalopholis hemistiktos</x:v>
      </x:c>
      <x:c r="F49" s="24" t="str">
        <x:v>Yellowfin hind</x:v>
      </x:c>
      <x:c r="G49" s="24" t="str">
        <x:v>Medium reef assoc. fish (30 - 89 cm)</x:v>
      </x:c>
      <x:c r="H49" s="24" t="str">
        <x:v>Perch-likes</x:v>
      </x:c>
      <x:c r="I49" s="31" t="n">
        <x:v>174.50941258359998</x:v>
      </x:c>
      <x:c r="J49" s="31" t="n">
        <x:v>174.50941258359998</x:v>
      </x:c>
      <x:c r="K49" s="31" t="n">
        <x:v>0</x:v>
      </x:c>
      <x:c r="L49" s="31" t="n">
        <x:v>149.9140042366</x:v>
      </x:c>
      <x:c r="M49" s="31" t="n">
        <x:v>24.595408347</x:v>
      </x:c>
      <x:c r="N49" s="24" t="str">
        <x:v>cephalopholis hemistiktos</x:v>
      </x:c>
      <x:c r="O49" s="32" t="n">
        <x:v>4.14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Cephalopholis hemistiktos</x:v>
      </x:c>
      <x:c r="T49" s="32" t="n">
        <x:f>IF(O49="","",(1/'Metadata'!$B$5)^(O49-1))</x:f>
        <x:v>1380.3842646028838</x:v>
      </x:c>
      <x:c r="U49" s="31" t="n">
        <x:f>IF(T49="","",I49*T49)</x:f>
        <x:v>240890.0471554939</x:v>
      </x:c>
    </x:row>
    <x:row r="50" ht="18" customHeight="1">
      <x:c r="A50" s="24" t="str">
        <x:v>EEZ_683</x:v>
      </x:c>
      <x:c r="B50" s="24" t="str">
        <x:v>Saudi Arabia (Red Sea)</x:v>
      </x:c>
      <x:c r="C50" s="24" t="str">
        <x:v>EEZ</x:v>
      </x:c>
      <x:c r="D50" s="30" t="n">
        <x:v>2019</x:v>
      </x:c>
      <x:c r="E50" s="24" t="str">
        <x:v>Lutjanidae</x:v>
      </x:c>
      <x:c r="F50" s="24" t="str">
        <x:v>Snappers</x:v>
      </x:c>
      <x:c r="G50" s="24" t="str">
        <x:v>Medium reef assoc. fish (30 - 89 cm)</x:v>
      </x:c>
      <x:c r="H50" s="24" t="str">
        <x:v>Perch-likes</x:v>
      </x:c>
      <x:c r="I50" s="31" t="n">
        <x:v>158.6280391675</x:v>
      </x:c>
      <x:c r="J50" s="31" t="n">
        <x:v>158.6280391675</x:v>
      </x:c>
      <x:c r="K50" s="31" t="n">
        <x:v>0</x:v>
      </x:c>
      <x:c r="L50" s="31" t="n">
        <x:v>132.3242064242</x:v>
      </x:c>
      <x:c r="M50" s="31" t="n">
        <x:v>26.3038327433</x:v>
      </x:c>
      <x:c r="N50" s="24" t="str">
        <x:v>lutjanidae</x:v>
      </x:c>
      <x:c r="O50" s="32" t="n">
        <x:v>4.02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Lutjanidae</x:v>
      </x:c>
      <x:c r="T50" s="32" t="n">
        <x:f>IF(O50="","",(1/'Metadata'!$B$5)^(O50-1))</x:f>
        <x:v>1047.1285480508984</x:v>
      </x:c>
      <x:c r="U50" s="31" t="n">
        <x:f>IF(T50="","",I50*T50)</x:f>
        <x:v>166103.9483336253</x:v>
      </x:c>
    </x:row>
    <x:row r="51" ht="18" customHeight="1">
      <x:c r="A51" s="24" t="str">
        <x:v>EEZ_683</x:v>
      </x:c>
      <x:c r="B51" s="24" t="str">
        <x:v>Saudi Arabia (Red Sea)</x:v>
      </x:c>
      <x:c r="C51" s="24" t="str">
        <x:v>EEZ</x:v>
      </x:c>
      <x:c r="D51" s="30" t="n">
        <x:v>2019</x:v>
      </x:c>
      <x:c r="E51" s="24" t="str">
        <x:v>Tylosurus crocodilus</x:v>
      </x:c>
      <x:c r="F51" s="24" t="str">
        <x:v>Hound needlefish</x:v>
      </x:c>
      <x:c r="G51" s="24" t="str">
        <x:v>Large pelagics (&gt;=90 cm)</x:v>
      </x:c>
      <x:c r="H51" s="24" t="str">
        <x:v>Other fishes &amp; inverts</x:v>
      </x:c>
      <x:c r="I51" s="31" t="n">
        <x:v>158.0697586557</x:v>
      </x:c>
      <x:c r="J51" s="31" t="n">
        <x:v>158.0697586557</x:v>
      </x:c>
      <x:c r="K51" s="31" t="n">
        <x:v>0</x:v>
      </x:c>
      <x:c r="L51" s="31" t="n">
        <x:v>138.5484100001</x:v>
      </x:c>
      <x:c r="M51" s="31" t="n">
        <x:v>19.5213486556</x:v>
      </x:c>
      <x:c r="N51" s="24" t="str">
        <x:v>tylosurus crocodilus</x:v>
      </x:c>
      <x:c r="O51" s="32" t="n">
        <x:v>4.43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Tylosurus crocodilus</x:v>
      </x:c>
      <x:c r="T51" s="32" t="n">
        <x:f>IF(O51="","",(1/'Metadata'!$B$5)^(O51-1))</x:f>
        <x:v>2691.534803926914</x:v>
      </x:c>
      <x:c r="U51" s="31" t="n">
        <x:f>IF(T51="","",I51*T51)</x:f>
        <x:v>425450.2568701441</x:v>
      </x:c>
    </x:row>
    <x:row r="52" ht="18" customHeight="1">
      <x:c r="A52" s="24" t="str">
        <x:v>EEZ_683</x:v>
      </x:c>
      <x:c r="B52" s="24" t="str">
        <x:v>Saudi Arabia (Red Sea)</x:v>
      </x:c>
      <x:c r="C52" s="24" t="str">
        <x:v>EEZ</x:v>
      </x:c>
      <x:c r="D52" s="30" t="n">
        <x:v>2019</x:v>
      </x:c>
      <x:c r="E52" s="24" t="str">
        <x:v>Plectorhinchus gaterinus</x:v>
      </x:c>
      <x:c r="F52" s="24" t="str">
        <x:v>Blackspotted rubberlip</x:v>
      </x:c>
      <x:c r="G52" s="24" t="str">
        <x:v>Medium reef assoc. fish (30 - 89 cm)</x:v>
      </x:c>
      <x:c r="H52" s="24" t="str">
        <x:v>Perch-likes</x:v>
      </x:c>
      <x:c r="I52" s="31" t="n">
        <x:v>156.3143771252</x:v>
      </x:c>
      <x:c r="J52" s="31" t="n">
        <x:v>156.3143771252</x:v>
      </x:c>
      <x:c r="K52" s="31" t="n">
        <x:v>0</x:v>
      </x:c>
      <x:c r="L52" s="31" t="n">
        <x:v>138.5775696612</x:v>
      </x:c>
      <x:c r="M52" s="31" t="n">
        <x:v>17.736807464</x:v>
      </x:c>
      <x:c r="N52" s="24" t="str">
        <x:v>plectorhinchus gaterinus</x:v>
      </x:c>
      <x:c r="O52" s="32" t="n">
        <x:v>3.99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Plectorhinchus gaterinus</x:v>
      </x:c>
      <x:c r="T52" s="32" t="n">
        <x:f>IF(O52="","",(1/'Metadata'!$B$5)^(O52-1))</x:f>
        <x:v>977.2372209558112</x:v>
      </x:c>
      <x:c r="U52" s="31" t="n">
        <x:f>IF(T52="","",I52*T52)</x:f>
        <x:v>152756.22749726905</x:v>
      </x:c>
    </x:row>
    <x:row r="53" ht="18" customHeight="1">
      <x:c r="A53" s="24" t="str">
        <x:v>EEZ_683</x:v>
      </x:c>
      <x:c r="B53" s="24" t="str">
        <x:v>Saudi Arabia (Red Sea)</x:v>
      </x:c>
      <x:c r="C53" s="24" t="str">
        <x:v>EEZ</x:v>
      </x:c>
      <x:c r="D53" s="30" t="n">
        <x:v>2019</x:v>
      </x:c>
      <x:c r="E53" s="24" t="str">
        <x:v>Chondrichthyes</x:v>
      </x:c>
      <x:c r="F53" s="24" t="str">
        <x:v>Sharks, rays, chimaeras</x:v>
      </x:c>
      <x:c r="G53" s="24" t="str">
        <x:v>Large sharks (&gt;=90 cm)</x:v>
      </x:c>
      <x:c r="H53" s="24" t="str">
        <x:v>Sharks &amp; rays</x:v>
      </x:c>
      <x:c r="I53" s="31" t="n">
        <x:v>150.4815738874</x:v>
      </x:c>
      <x:c r="J53" s="31" t="n">
        <x:v>150.4815738874</x:v>
      </x:c>
      <x:c r="K53" s="31" t="n">
        <x:v>0</x:v>
      </x:c>
      <x:c r="L53" s="31" t="n">
        <x:v>150.4815738874</x:v>
      </x:c>
      <x:c r="M53" s="31" t="n">
        <x:v>0</x:v>
      </x:c>
      <x:c r="N53" s="24" t="str">
        <x:v>chondrichthyes</x:v>
      </x:c>
      <x:c r="O53" s="32" t="n">
        <x:v>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Chondrichthyes</x:v>
      </x:c>
      <x:c r="T53" s="32" t="n">
        <x:f>IF(O53="","",(1/'Metadata'!$B$5)^(O53-1))</x:f>
        <x:v>1000</x:v>
      </x:c>
      <x:c r="U53" s="31" t="n">
        <x:f>IF(T53="","",I53*T53)</x:f>
        <x:v>150481.5738874</x:v>
      </x:c>
    </x:row>
    <x:row r="54" ht="18" customHeight="1">
      <x:c r="A54" s="24" t="str">
        <x:v>EEZ_683</x:v>
      </x:c>
      <x:c r="B54" s="24" t="str">
        <x:v>Saudi Arabia (Red Sea)</x:v>
      </x:c>
      <x:c r="C54" s="24" t="str">
        <x:v>EEZ</x:v>
      </x:c>
      <x:c r="D54" s="30" t="n">
        <x:v>2019</x:v>
      </x:c>
      <x:c r="E54" s="24" t="str">
        <x:v>Pomadasys argenteus</x:v>
      </x:c>
      <x:c r="F54" s="24" t="str">
        <x:v>Silver grunt</x:v>
      </x:c>
      <x:c r="G54" s="24" t="str">
        <x:v>Medium demersals (30 - 89 cm)</x:v>
      </x:c>
      <x:c r="H54" s="24" t="str">
        <x:v>Perch-likes</x:v>
      </x:c>
      <x:c r="I54" s="31" t="n">
        <x:v>148.3754710338</x:v>
      </x:c>
      <x:c r="J54" s="31" t="n">
        <x:v>148.3754710338</x:v>
      </x:c>
      <x:c r="K54" s="31" t="n">
        <x:v>0</x:v>
      </x:c>
      <x:c r="L54" s="31" t="n">
        <x:v>129.9458275524</x:v>
      </x:c>
      <x:c r="M54" s="31" t="n">
        <x:v>18.4296434814</x:v>
      </x:c>
      <x:c r="N54" s="24" t="str">
        <x:v>pomadasys argenteus</x:v>
      </x:c>
      <x:c r="O54" s="32" t="n">
        <x:v>3.47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Pomadasys argenteus</x:v>
      </x:c>
      <x:c r="T54" s="32" t="n">
        <x:f>IF(O54="","",(1/'Metadata'!$B$5)^(O54-1))</x:f>
        <x:v>295.1209226666387</x:v>
      </x:c>
      <x:c r="U54" s="31" t="n">
        <x:f>IF(T54="","",I54*T54)</x:f>
        <x:v>43788.70591259219</x:v>
      </x:c>
    </x:row>
    <x:row r="55" ht="18" customHeight="1">
      <x:c r="A55" s="24" t="str">
        <x:v>EEZ_683</x:v>
      </x:c>
      <x:c r="B55" s="24" t="str">
        <x:v>Saudi Arabia (Red Sea)</x:v>
      </x:c>
      <x:c r="C55" s="24" t="str">
        <x:v>EEZ</x:v>
      </x:c>
      <x:c r="D55" s="30" t="n">
        <x:v>2019</x:v>
      </x:c>
      <x:c r="E55" s="24" t="str">
        <x:v>Alepes djedaba</x:v>
      </x:c>
      <x:c r="F55" s="24" t="str">
        <x:v>Shrimp scad</x:v>
      </x:c>
      <x:c r="G55" s="24" t="str">
        <x:v>Medium reef assoc. fish (30 - 89 cm)</x:v>
      </x:c>
      <x:c r="H55" s="24" t="str">
        <x:v>Perch-likes</x:v>
      </x:c>
      <x:c r="I55" s="31" t="n">
        <x:v>142.4746013871</x:v>
      </x:c>
      <x:c r="J55" s="31" t="n">
        <x:v>142.4746013871</x:v>
      </x:c>
      <x:c r="K55" s="31" t="n">
        <x:v>0</x:v>
      </x:c>
      <x:c r="L55" s="31" t="n">
        <x:v>127.7716995708</x:v>
      </x:c>
      <x:c r="M55" s="31" t="n">
        <x:v>14.7029018163</x:v>
      </x:c>
      <x:c r="N55" s="24" t="str">
        <x:v>alepes djedaba</x:v>
      </x:c>
      <x:c r="O55" s="32" t="n">
        <x:v>3.32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Alepes djedaba</x:v>
      </x:c>
      <x:c r="T55" s="32" t="n">
        <x:f>IF(O55="","",(1/'Metadata'!$B$5)^(O55-1))</x:f>
        <x:v>208.92961308540387</x:v>
      </x:c>
      <x:c r="U55" s="31" t="n">
        <x:f>IF(T55="","",I55*T55)</x:f>
        <x:v>29767.16334230395</x:v>
      </x:c>
    </x:row>
    <x:row r="56" ht="18" customHeight="1">
      <x:c r="A56" s="24" t="str">
        <x:v>EEZ_683</x:v>
      </x:c>
      <x:c r="B56" s="24" t="str">
        <x:v>Saudi Arabia (Red Sea)</x:v>
      </x:c>
      <x:c r="C56" s="24" t="str">
        <x:v>EEZ</x:v>
      </x:c>
      <x:c r="D56" s="30" t="n">
        <x:v>2019</x:v>
      </x:c>
      <x:c r="E56" s="24" t="str">
        <x:v>Bolbometopon muricatum</x:v>
      </x:c>
      <x:c r="F56" s="24" t="str">
        <x:v>Green humphead parrotfish</x:v>
      </x:c>
      <x:c r="G56" s="24" t="str">
        <x:v>Large reef assoc. fish (&gt;=90 cm)</x:v>
      </x:c>
      <x:c r="H56" s="24" t="str">
        <x:v>Perch-likes</x:v>
      </x:c>
      <x:c r="I56" s="31" t="n">
        <x:v>138.9779482166</x:v>
      </x:c>
      <x:c r="J56" s="31" t="n">
        <x:v>138.9779482166</x:v>
      </x:c>
      <x:c r="K56" s="31" t="n">
        <x:v>0</x:v>
      </x:c>
      <x:c r="L56" s="31" t="n">
        <x:v>123.5235602414</x:v>
      </x:c>
      <x:c r="M56" s="31" t="n">
        <x:v>15.4543879752</x:v>
      </x:c>
      <x:c r="N56" s="24" t="str">
        <x:v>bolbometopon muricatum</x:v>
      </x:c>
      <x:c r="O56" s="32" t="n">
        <x:v>2.67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Bolbometopon muricatum</x:v>
      </x:c>
      <x:c r="T56" s="32" t="n">
        <x:f>IF(O56="","",(1/'Metadata'!$B$5)^(O56-1))</x:f>
        <x:v>46.77351412871981</x:v>
      </x:c>
      <x:c r="U56" s="31" t="n">
        <x:f>IF(T56="","",I56*T56)</x:f>
        <x:v>6500.48702448963</x:v>
      </x:c>
    </x:row>
    <x:row r="57" ht="18" customHeight="1">
      <x:c r="A57" s="24" t="str">
        <x:v>EEZ_683</x:v>
      </x:c>
      <x:c r="B57" s="24" t="str">
        <x:v>Saudi Arabia (Red Sea)</x:v>
      </x:c>
      <x:c r="C57" s="24" t="str">
        <x:v>EEZ</x:v>
      </x:c>
      <x:c r="D57" s="30" t="n">
        <x:v>2019</x:v>
      </x:c>
      <x:c r="E57" s="24" t="str">
        <x:v>Lethrinus obsoletus</x:v>
      </x:c>
      <x:c r="F57" s="24" t="str">
        <x:v>Orange-striped emperor</x:v>
      </x:c>
      <x:c r="G57" s="24" t="str">
        <x:v>Medium demersals (30 - 89 cm)</x:v>
      </x:c>
      <x:c r="H57" s="24" t="str">
        <x:v>Perch-likes</x:v>
      </x:c>
      <x:c r="I57" s="31" t="n">
        <x:v>135.5649671809</x:v>
      </x:c>
      <x:c r="J57" s="31" t="n">
        <x:v>135.5649671809</x:v>
      </x:c>
      <x:c r="K57" s="31" t="n">
        <x:v>0</x:v>
      </x:c>
      <x:c r="L57" s="31" t="n">
        <x:v>117.4248993636</x:v>
      </x:c>
      <x:c r="M57" s="31" t="n">
        <x:v>18.1400678173</x:v>
      </x:c>
      <x:c r="N57" s="24" t="str">
        <x:v>lethrinus obsoletus</x:v>
      </x:c>
      <x:c r="O57" s="32" t="n">
        <x:v>3.89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Lethrinus obsoletus</x:v>
      </x:c>
      <x:c r="T57" s="32" t="n">
        <x:f>IF(O57="","",(1/'Metadata'!$B$5)^(O57-1))</x:f>
        <x:v>776.247116628692</x:v>
      </x:c>
      <x:c r="U57" s="31" t="n">
        <x:f>IF(T57="","",I57*T57)</x:f>
        <x:v>105231.91489003687</x:v>
      </x:c>
    </x:row>
    <x:row r="58" ht="18" customHeight="1">
      <x:c r="A58" s="24" t="str">
        <x:v>EEZ_683</x:v>
      </x:c>
      <x:c r="B58" s="24" t="str">
        <x:v>Saudi Arabia (Red Sea)</x:v>
      </x:c>
      <x:c r="C58" s="24" t="str">
        <x:v>EEZ</x:v>
      </x:c>
      <x:c r="D58" s="30" t="n">
        <x:v>2019</x:v>
      </x:c>
      <x:c r="E58" s="24" t="str">
        <x:v>Synodontidae</x:v>
      </x:c>
      <x:c r="F58" s="24" t="str">
        <x:v>Lizardfishes, sauries</x:v>
      </x:c>
      <x:c r="G58" s="24" t="str">
        <x:v>Medium demersals (30 - 89 cm)</x:v>
      </x:c>
      <x:c r="H58" s="24" t="str">
        <x:v>Other fishes &amp; inverts</x:v>
      </x:c>
      <x:c r="I58" s="31" t="n">
        <x:v>133.8013962617</x:v>
      </x:c>
      <x:c r="J58" s="31" t="n">
        <x:v>133.8013962617</x:v>
      </x:c>
      <x:c r="K58" s="31" t="n">
        <x:v>0</x:v>
      </x:c>
      <x:c r="L58" s="31" t="n">
        <x:v>133.7566964843</x:v>
      </x:c>
      <x:c r="M58" s="31" t="n">
        <x:v>0.0446997774</x:v>
      </x:c>
      <x:c r="N58" s="24" t="str">
        <x:v>synodontidae</x:v>
      </x:c>
      <x:c r="O58" s="32" t="n">
        <x:v>4.3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Synodontidae</x:v>
      </x:c>
      <x:c r="T58" s="32" t="n">
        <x:f>IF(O58="","",(1/'Metadata'!$B$5)^(O58-1))</x:f>
        <x:v>1995.2623149688789</x:v>
      </x:c>
      <x:c r="U58" s="31" t="n">
        <x:f>IF(T58="","",I58*T58)</x:f>
        <x:v>266968.8836511879</x:v>
      </x:c>
    </x:row>
    <x:row r="59" ht="18" customHeight="1">
      <x:c r="A59" s="24" t="str">
        <x:v>EEZ_683</x:v>
      </x:c>
      <x:c r="B59" s="24" t="str">
        <x:v>Saudi Arabia (Red Sea)</x:v>
      </x:c>
      <x:c r="C59" s="24" t="str">
        <x:v>EEZ</x:v>
      </x:c>
      <x:c r="D59" s="30" t="n">
        <x:v>2019</x:v>
      </x:c>
      <x:c r="E59" s="24" t="str">
        <x:v>Sphyraena obtusata</x:v>
      </x:c>
      <x:c r="F59" s="24" t="str">
        <x:v>Obtuse barracuda</x:v>
      </x:c>
      <x:c r="G59" s="24" t="str">
        <x:v>Medium reef assoc. fish (30 - 89 cm)</x:v>
      </x:c>
      <x:c r="H59" s="24" t="str">
        <x:v>Perch-likes</x:v>
      </x:c>
      <x:c r="I59" s="31" t="n">
        <x:v>127.6004671801</x:v>
      </x:c>
      <x:c r="J59" s="31" t="n">
        <x:v>127.6004671801</x:v>
      </x:c>
      <x:c r="K59" s="31" t="n">
        <x:v>0</x:v>
      </x:c>
      <x:c r="L59" s="31" t="n">
        <x:v>112.9207103337</x:v>
      </x:c>
      <x:c r="M59" s="31" t="n">
        <x:v>14.679756846399998</x:v>
      </x:c>
      <x:c r="N59" s="24" t="str">
        <x:v>sphyraena obtusata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Sphyraena obtusata</x:v>
      </x:c>
      <x:c r="T59" s="32" t="n">
        <x:f>IF(O59="","",(1/'Metadata'!$B$5)^(O59-1))</x:f>
        <x:v>3162.2776601683795</x:v>
      </x:c>
      <x:c r="U59" s="31" t="n">
        <x:f>IF(T59="","",I59*T59)</x:f>
        <x:v>403508.1067906787</x:v>
      </x:c>
    </x:row>
    <x:row r="60" ht="18" customHeight="1">
      <x:c r="A60" s="24" t="str">
        <x:v>EEZ_683</x:v>
      </x:c>
      <x:c r="B60" s="24" t="str">
        <x:v>Saudi Arabia (Red Sea)</x:v>
      </x:c>
      <x:c r="C60" s="24" t="str">
        <x:v>EEZ</x:v>
      </x:c>
      <x:c r="D60" s="30" t="n">
        <x:v>2019</x:v>
      </x:c>
      <x:c r="E60" s="24" t="str">
        <x:v>Portunidae</x:v>
      </x:c>
      <x:c r="F60" s="24" t="str">
        <x:v>Swimming crabs</x:v>
      </x:c>
      <x:c r="G60" s="24" t="str">
        <x:v>Lobsters, crabs</x:v>
      </x:c>
      <x:c r="H60" s="24" t="str">
        <x:v>Crustaceans</x:v>
      </x:c>
      <x:c r="I60" s="31" t="n">
        <x:v>108.595080217</x:v>
      </x:c>
      <x:c r="J60" s="31" t="n">
        <x:v>0</x:v>
      </x:c>
      <x:c r="K60" s="31" t="n">
        <x:v>108.595080217</x:v>
      </x:c>
      <x:c r="L60" s="31" t="n">
        <x:v>0</x:v>
      </x:c>
      <x:c r="M60" s="31" t="n">
        <x:v>108.595080217</x:v>
      </x:c>
      <x:c r="N60" s="24" t="str">
        <x:v>portunidae</x:v>
      </x:c>
      <x:c r="O60" s="32" t="n">
        <x:v>3.56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Portunidae</x:v>
      </x:c>
      <x:c r="T60" s="32" t="n">
        <x:f>IF(O60="","",(1/'Metadata'!$B$5)^(O60-1))</x:f>
        <x:v>363.0780547701014</x:v>
      </x:c>
      <x:c r="U60" s="31" t="n">
        <x:f>IF(T60="","",I60*T60)</x:f>
        <x:v>39428.49048279148</x:v>
      </x:c>
    </x:row>
    <x:row r="61" ht="18" customHeight="1">
      <x:c r="A61" s="24" t="str">
        <x:v>EEZ_683</x:v>
      </x:c>
      <x:c r="B61" s="24" t="str">
        <x:v>Saudi Arabia (Red Sea)</x:v>
      </x:c>
      <x:c r="C61" s="24" t="str">
        <x:v>EEZ</x:v>
      </x:c>
      <x:c r="D61" s="30" t="n">
        <x:v>2019</x:v>
      </x:c>
      <x:c r="E61" s="24" t="str">
        <x:v>Platycephalidae</x:v>
      </x:c>
      <x:c r="F61" s="24" t="str">
        <x:v>Flatheads</x:v>
      </x:c>
      <x:c r="G61" s="24" t="str">
        <x:v>Medium demersals (30 - 89 cm)</x:v>
      </x:c>
      <x:c r="H61" s="24" t="str">
        <x:v>Scorpionfishes</x:v>
      </x:c>
      <x:c r="I61" s="31" t="n">
        <x:v>108.595080217</x:v>
      </x:c>
      <x:c r="J61" s="31" t="n">
        <x:v>0</x:v>
      </x:c>
      <x:c r="K61" s="31" t="n">
        <x:v>108.595080217</x:v>
      </x:c>
      <x:c r="L61" s="31" t="n">
        <x:v>0</x:v>
      </x:c>
      <x:c r="M61" s="31" t="n">
        <x:v>108.595080217</x:v>
      </x:c>
      <x:c r="N61" s="24" t="str">
        <x:v>platycephalidae</x:v>
      </x:c>
      <x:c r="O61" s="32" t="n">
        <x:v>3.9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Platycephalidae</x:v>
      </x:c>
      <x:c r="T61" s="32" t="n">
        <x:f>IF(O61="","",(1/'Metadata'!$B$5)^(O61-1))</x:f>
        <x:v>794.3282347242813</x:v>
      </x:c>
      <x:c r="U61" s="31" t="n">
        <x:f>IF(T61="","",I61*T61)</x:f>
        <x:v>86260.13836851134</x:v>
      </x:c>
    </x:row>
    <x:row r="62" ht="18" customHeight="1">
      <x:c r="A62" s="24" t="str">
        <x:v>EEZ_683</x:v>
      </x:c>
      <x:c r="B62" s="24" t="str">
        <x:v>Saudi Arabia (Red Sea)</x:v>
      </x:c>
      <x:c r="C62" s="24" t="str">
        <x:v>EEZ</x:v>
      </x:c>
      <x:c r="D62" s="30" t="n">
        <x:v>2019</x:v>
      </x:c>
      <x:c r="E62" s="24" t="str">
        <x:v>Tetraodontidae</x:v>
      </x:c>
      <x:c r="F62" s="24" t="str">
        <x:v>Puffers, tobies</x:v>
      </x:c>
      <x:c r="G62" s="24" t="str">
        <x:v>Large reef assoc. fish (&gt;=90 cm)</x:v>
      </x:c>
      <x:c r="H62" s="24" t="str">
        <x:v>Other fishes &amp; inverts</x:v>
      </x:c>
      <x:c r="I62" s="31" t="n">
        <x:v>108.595080217</x:v>
      </x:c>
      <x:c r="J62" s="31" t="n">
        <x:v>0</x:v>
      </x:c>
      <x:c r="K62" s="31" t="n">
        <x:v>108.595080217</x:v>
      </x:c>
      <x:c r="L62" s="31" t="n">
        <x:v>0</x:v>
      </x:c>
      <x:c r="M62" s="31" t="n">
        <x:v>108.595080217</x:v>
      </x:c>
      <x:c r="N62" s="24" t="str">
        <x:v>tetraodontidae</x:v>
      </x:c>
      <x:c r="O62" s="32" t="n">
        <x:v>3.5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Tetraodontidae</x:v>
      </x:c>
      <x:c r="T62" s="32" t="n">
        <x:f>IF(O62="","",(1/'Metadata'!$B$5)^(O62-1))</x:f>
        <x:v>316.22776601683796</x:v>
      </x:c>
      <x:c r="U62" s="31" t="n">
        <x:f>IF(T62="","",I62*T62)</x:f>
        <x:v>34340.77961744123</x:v>
      </x:c>
    </x:row>
    <x:row r="63" ht="18" customHeight="1">
      <x:c r="A63" s="24" t="str">
        <x:v>EEZ_683</x:v>
      </x:c>
      <x:c r="B63" s="24" t="str">
        <x:v>Saudi Arabia (Red Sea)</x:v>
      </x:c>
      <x:c r="C63" s="24" t="str">
        <x:v>EEZ</x:v>
      </x:c>
      <x:c r="D63" s="30" t="n">
        <x:v>2019</x:v>
      </x:c>
      <x:c r="E63" s="24" t="str">
        <x:v>Scomberoides tol</x:v>
      </x:c>
      <x:c r="F63" s="24" t="str">
        <x:v>Needlescaled queenfish</x:v>
      </x:c>
      <x:c r="G63" s="24" t="str">
        <x:v>Medium pelagics (30 - 89 cm)</x:v>
      </x:c>
      <x:c r="H63" s="24" t="str">
        <x:v>Perch-likes</x:v>
      </x:c>
      <x:c r="I63" s="31" t="n">
        <x:v>108.0279879736</x:v>
      </x:c>
      <x:c r="J63" s="31" t="n">
        <x:v>108.0279879736</x:v>
      </x:c>
      <x:c r="K63" s="31" t="n">
        <x:v>0</x:v>
      </x:c>
      <x:c r="L63" s="31" t="n">
        <x:v>95.551250385</x:v>
      </x:c>
      <x:c r="M63" s="31" t="n">
        <x:v>12.4767375886</x:v>
      </x:c>
      <x:c r="N63" s="24" t="str">
        <x:v>scomberoides tol</x:v>
      </x:c>
      <x:c r="O63" s="32" t="n">
        <x:v>4.11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Scomberoides tol</x:v>
      </x:c>
      <x:c r="T63" s="32" t="n">
        <x:f>IF(O63="","",(1/'Metadata'!$B$5)^(O63-1))</x:f>
        <x:v>1288.249551693135</x:v>
      </x:c>
      <x:c r="U63" s="31" t="n">
        <x:f>IF(T63="","",I63*T63)</x:f>
        <x:v>139167.00707730156</x:v>
      </x:c>
    </x:row>
    <x:row r="64" ht="18" customHeight="1">
      <x:c r="A64" s="24" t="str">
        <x:v>EEZ_683</x:v>
      </x:c>
      <x:c r="B64" s="24" t="str">
        <x:v>Saudi Arabia (Red Sea)</x:v>
      </x:c>
      <x:c r="C64" s="24" t="str">
        <x:v>EEZ</x:v>
      </x:c>
      <x:c r="D64" s="30" t="n">
        <x:v>2019</x:v>
      </x:c>
      <x:c r="E64" s="24" t="str">
        <x:v>Rhabdosargus haffara</x:v>
      </x:c>
      <x:c r="F64" s="24" t="str">
        <x:v>Haffara seabream</x:v>
      </x:c>
      <x:c r="G64" s="24" t="str">
        <x:v>Medium reef assoc. fish (30 - 89 cm)</x:v>
      </x:c>
      <x:c r="H64" s="24" t="str">
        <x:v>Perch-likes</x:v>
      </x:c>
      <x:c r="I64" s="31" t="n">
        <x:v>106.4107012272</x:v>
      </x:c>
      <x:c r="J64" s="31" t="n">
        <x:v>106.4107012272</x:v>
      </x:c>
      <x:c r="K64" s="31" t="n">
        <x:v>0</x:v>
      </x:c>
      <x:c r="L64" s="31" t="n">
        <x:v>93.8775365599</x:v>
      </x:c>
      <x:c r="M64" s="31" t="n">
        <x:v>12.5331646673</x:v>
      </x:c>
      <x:c r="N64" s="24" t="str">
        <x:v>rhabdosargus haffara</x:v>
      </x:c>
      <x:c r="O64" s="32" t="n">
        <x:v>3.5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Rhabdosargus haffara</x:v>
      </x:c>
      <x:c r="T64" s="32" t="n">
        <x:f>IF(O64="","",(1/'Metadata'!$B$5)^(O64-1))</x:f>
        <x:v>316.22776601683796</x:v>
      </x:c>
      <x:c r="U64" s="31" t="n">
        <x:f>IF(T64="","",I64*T64)</x:f>
        <x:v>33650.018329362654</x:v>
      </x:c>
    </x:row>
    <x:row r="65" ht="18" customHeight="1">
      <x:c r="A65" s="24" t="str">
        <x:v>EEZ_683</x:v>
      </x:c>
      <x:c r="B65" s="24" t="str">
        <x:v>Saudi Arabia (Red Sea)</x:v>
      </x:c>
      <x:c r="C65" s="24" t="str">
        <x:v>EEZ</x:v>
      </x:c>
      <x:c r="D65" s="30" t="n">
        <x:v>2019</x:v>
      </x:c>
      <x:c r="E65" s="24" t="str">
        <x:v>Lethrinus nebulosus</x:v>
      </x:c>
      <x:c r="F65" s="24" t="str">
        <x:v>Spangled emperor</x:v>
      </x:c>
      <x:c r="G65" s="24" t="str">
        <x:v>Medium demersals (30 - 89 cm)</x:v>
      </x:c>
      <x:c r="H65" s="24" t="str">
        <x:v>Perch-likes</x:v>
      </x:c>
      <x:c r="I65" s="31" t="n">
        <x:v>101.2403456635</x:v>
      </x:c>
      <x:c r="J65" s="31" t="n">
        <x:v>101.2403456635</x:v>
      </x:c>
      <x:c r="K65" s="31" t="n">
        <x:v>0</x:v>
      </x:c>
      <x:c r="L65" s="31" t="n">
        <x:v>86.75185057649999</x:v>
      </x:c>
      <x:c r="M65" s="31" t="n">
        <x:v>14.488495087</x:v>
      </x:c>
      <x:c r="N65" s="24" t="str">
        <x:v>lethrinus nebulosus</x:v>
      </x:c>
      <x:c r="O65" s="32" t="n">
        <x:v>3.76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Lethrinus nebulosus</x:v>
      </x:c>
      <x:c r="T65" s="32" t="n">
        <x:f>IF(O65="","",(1/'Metadata'!$B$5)^(O65-1))</x:f>
        <x:v>575.4399373371566</x:v>
      </x:c>
      <x:c r="U65" s="31" t="n">
        <x:f>IF(T65="","",I65*T65)</x:f>
        <x:v>58257.738164596514</x:v>
      </x:c>
    </x:row>
    <x:row r="66" ht="18" customHeight="1">
      <x:c r="A66" s="24" t="str">
        <x:v>EEZ_683</x:v>
      </x:c>
      <x:c r="B66" s="24" t="str">
        <x:v>Saudi Arabia (Red Sea)</x:v>
      </x:c>
      <x:c r="C66" s="24" t="str">
        <x:v>EEZ</x:v>
      </x:c>
      <x:c r="D66" s="30" t="n">
        <x:v>2019</x:v>
      </x:c>
      <x:c r="E66" s="24" t="str">
        <x:v>Labridae</x:v>
      </x:c>
      <x:c r="F66" s="24" t="str">
        <x:v>Wrasses, gropers, tuskfishes</x:v>
      </x:c>
      <x:c r="G66" s="24" t="str">
        <x:v>Medium reef assoc. fish (30 - 89 cm)</x:v>
      </x:c>
      <x:c r="H66" s="24" t="str">
        <x:v>Perch-likes</x:v>
      </x:c>
      <x:c r="I66" s="31" t="n">
        <x:v>97.3676751258</x:v>
      </x:c>
      <x:c r="J66" s="31" t="n">
        <x:v>97.3676751258</x:v>
      </x:c>
      <x:c r="K66" s="31" t="n">
        <x:v>0</x:v>
      </x:c>
      <x:c r="L66" s="31" t="n">
        <x:v>84.4941938503</x:v>
      </x:c>
      <x:c r="M66" s="31" t="n">
        <x:v>12.873481275500001</x:v>
      </x:c>
      <x:c r="N66" s="24" t="str">
        <x:v>labridae</x:v>
      </x:c>
      <x:c r="O66" s="32" t="n">
        <x:v>3.46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Labridae</x:v>
      </x:c>
      <x:c r="T66" s="32" t="n">
        <x:f>IF(O66="","",(1/'Metadata'!$B$5)^(O66-1))</x:f>
        <x:v>288.40315031266056</x:v>
      </x:c>
      <x:c r="U66" s="31" t="n">
        <x:f>IF(T66="","",I66*T66)</x:f>
        <x:v>28081.1442449004</x:v>
      </x:c>
    </x:row>
    <x:row r="67" ht="18" customHeight="1">
      <x:c r="A67" s="24" t="str">
        <x:v>EEZ_683</x:v>
      </x:c>
      <x:c r="B67" s="24" t="str">
        <x:v>Saudi Arabia (Red Sea)</x:v>
      </x:c>
      <x:c r="C67" s="24" t="str">
        <x:v>EEZ</x:v>
      </x:c>
      <x:c r="D67" s="30" t="n">
        <x:v>2019</x:v>
      </x:c>
      <x:c r="E67" s="24" t="str">
        <x:v>Gymnosarda unicolor</x:v>
      </x:c>
      <x:c r="F67" s="24" t="str">
        <x:v>Dogtooth tuna</x:v>
      </x:c>
      <x:c r="G67" s="24" t="str">
        <x:v>Large reef assoc. fish (&gt;=90 cm)</x:v>
      </x:c>
      <x:c r="H67" s="24" t="str">
        <x:v>Tuna &amp; billfishes</x:v>
      </x:c>
      <x:c r="I67" s="31" t="n">
        <x:v>93.149348502</x:v>
      </x:c>
      <x:c r="J67" s="31" t="n">
        <x:v>93.149348502</x:v>
      </x:c>
      <x:c r="K67" s="31" t="n">
        <x:v>0</x:v>
      </x:c>
      <x:c r="L67" s="31" t="n">
        <x:v>87.4473599998</x:v>
      </x:c>
      <x:c r="M67" s="31" t="n">
        <x:v>5.7019885022</x:v>
      </x:c>
      <x:c r="N67" s="24" t="str">
        <x:v>gymnosarda unicolor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Gymnosarda unicolor</x:v>
      </x:c>
      <x:c r="T67" s="32" t="n">
        <x:f>IF(O67="","",(1/'Metadata'!$B$5)^(O67-1))</x:f>
        <x:v>3162.2776601683795</x:v>
      </x:c>
      <x:c r="U67" s="31" t="n">
        <x:f>IF(T67="","",I67*T67)</x:f>
        <x:v>294564.1038271135</x:v>
      </x:c>
    </x:row>
    <x:row r="68" ht="18" customHeight="1">
      <x:c r="A68" s="24" t="str">
        <x:v>EEZ_683</x:v>
      </x:c>
      <x:c r="B68" s="24" t="str">
        <x:v>Saudi Arabia (Red Sea)</x:v>
      </x:c>
      <x:c r="C68" s="24" t="str">
        <x:v>EEZ</x:v>
      </x:c>
      <x:c r="D68" s="30" t="n">
        <x:v>2019</x:v>
      </x:c>
      <x:c r="E68" s="24" t="str">
        <x:v>Sargocentron spiniferum</x:v>
      </x:c>
      <x:c r="F68" s="24" t="str">
        <x:v>Sabre squirrelfish</x:v>
      </x:c>
      <x:c r="G68" s="24" t="str">
        <x:v>Medium reef assoc. fish (30 - 89 cm)</x:v>
      </x:c>
      <x:c r="H68" s="24" t="str">
        <x:v>Other fishes &amp; inverts</x:v>
      </x:c>
      <x:c r="I68" s="31" t="n">
        <x:v>86.2166284721</x:v>
      </x:c>
      <x:c r="J68" s="31" t="n">
        <x:v>86.2166284721</x:v>
      </x:c>
      <x:c r="K68" s="31" t="n">
        <x:v>0</x:v>
      </x:c>
      <x:c r="L68" s="31" t="n">
        <x:v>62.062</x:v>
      </x:c>
      <x:c r="M68" s="31" t="n">
        <x:v>24.1546284721</x:v>
      </x:c>
      <x:c r="N68" s="24" t="str">
        <x:v>sargocentron spiniferum</x:v>
      </x:c>
      <x:c r="O68" s="32" t="n">
        <x:v>3.6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Sargocentron spiniferum</x:v>
      </x:c>
      <x:c r="T68" s="32" t="n">
        <x:f>IF(O68="","",(1/'Metadata'!$B$5)^(O68-1))</x:f>
        <x:v>398.1071705534973</x:v>
      </x:c>
      <x:c r="U68" s="31" t="n">
        <x:f>IF(T68="","",I68*T68)</x:f>
        <x:v>34323.45801568983</x:v>
      </x:c>
    </x:row>
    <x:row r="69" ht="18" customHeight="1">
      <x:c r="A69" s="24" t="str">
        <x:v>EEZ_683</x:v>
      </x:c>
      <x:c r="B69" s="24" t="str">
        <x:v>Saudi Arabia (Red Sea)</x:v>
      </x:c>
      <x:c r="C69" s="24" t="str">
        <x:v>EEZ</x:v>
      </x:c>
      <x:c r="D69" s="30" t="n">
        <x:v>2019</x:v>
      </x:c>
      <x:c r="E69" s="24" t="str">
        <x:v>Trachinotus blochii</x:v>
      </x:c>
      <x:c r="F69" s="24" t="str">
        <x:v>Snubnose pompano</x:v>
      </x:c>
      <x:c r="G69" s="24" t="str">
        <x:v>Large reef assoc. fish (&gt;=90 cm)</x:v>
      </x:c>
      <x:c r="H69" s="24" t="str">
        <x:v>Perch-likes</x:v>
      </x:c>
      <x:c r="I69" s="31" t="n">
        <x:v>77.8343353278</x:v>
      </x:c>
      <x:c r="J69" s="31" t="n">
        <x:v>77.8343353278</x:v>
      </x:c>
      <x:c r="K69" s="31" t="n">
        <x:v>0</x:v>
      </x:c>
      <x:c r="L69" s="31" t="n">
        <x:v>71.0710000004</x:v>
      </x:c>
      <x:c r="M69" s="31" t="n">
        <x:v>6.7633353274</x:v>
      </x:c>
      <x:c r="N69" s="24" t="str">
        <x:v>trachinotus blochii</x:v>
      </x:c>
      <x:c r="O69" s="32" t="n">
        <x:v>3.74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Trachinotus blochii</x:v>
      </x:c>
      <x:c r="T69" s="32" t="n">
        <x:f>IF(O69="","",(1/'Metadata'!$B$5)^(O69-1))</x:f>
        <x:v>549.5408738576248</x:v>
      </x:c>
      <x:c r="U69" s="31" t="n">
        <x:f>IF(T69="","",I69*T69)</x:f>
        <x:v>42773.14865216661</x:v>
      </x:c>
    </x:row>
    <x:row r="70" ht="18" customHeight="1">
      <x:c r="A70" s="24" t="str">
        <x:v>EEZ_683</x:v>
      </x:c>
      <x:c r="B70" s="24" t="str">
        <x:v>Saudi Arabia (Red Sea)</x:v>
      </x:c>
      <x:c r="C70" s="24" t="str">
        <x:v>EEZ</x:v>
      </x:c>
      <x:c r="D70" s="30" t="n">
        <x:v>2019</x:v>
      </x:c>
      <x:c r="E70" s="24" t="str">
        <x:v>Caranx sexfasciatus</x:v>
      </x:c>
      <x:c r="F70" s="24" t="str">
        <x:v>Bigeye trevally</x:v>
      </x:c>
      <x:c r="G70" s="24" t="str">
        <x:v>Large reef assoc. fish (&gt;=90 cm)</x:v>
      </x:c>
      <x:c r="H70" s="24" t="str">
        <x:v>Perch-likes</x:v>
      </x:c>
      <x:c r="I70" s="31" t="n">
        <x:v>75.6461247335</x:v>
      </x:c>
      <x:c r="J70" s="31" t="n">
        <x:v>75.6461247335</x:v>
      </x:c>
      <x:c r="K70" s="31" t="n">
        <x:v>0</x:v>
      </x:c>
      <x:c r="L70" s="31" t="n">
        <x:v>64.6189484056</x:v>
      </x:c>
      <x:c r="M70" s="31" t="n">
        <x:v>11.0271763279</x:v>
      </x:c>
      <x:c r="N70" s="24" t="str">
        <x:v>caranx sexfasciatus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Caranx sexfasciatus</x:v>
      </x:c>
      <x:c r="T70" s="32" t="n">
        <x:f>IF(O70="","",(1/'Metadata'!$B$5)^(O70-1))</x:f>
        <x:v>3162.2776601683795</x:v>
      </x:c>
      <x:c r="U70" s="31" t="n">
        <x:f>IF(T70="","",I70*T70)</x:f>
        <x:v>239214.05032305777</x:v>
      </x:c>
    </x:row>
    <x:row r="71" ht="18" customHeight="1">
      <x:c r="A71" s="24" t="str">
        <x:v>EEZ_683</x:v>
      </x:c>
      <x:c r="B71" s="24" t="str">
        <x:v>Saudi Arabia (Red Sea)</x:v>
      </x:c>
      <x:c r="C71" s="24" t="str">
        <x:v>EEZ</x:v>
      </x:c>
      <x:c r="D71" s="30" t="n">
        <x:v>2019</x:v>
      </x:c>
      <x:c r="E71" s="24" t="str">
        <x:v>Sillago sihama</x:v>
      </x:c>
      <x:c r="F71" s="24" t="str">
        <x:v>Silver sillago</x:v>
      </x:c>
      <x:c r="G71" s="24" t="str">
        <x:v>Medium demersals (30 - 89 cm)</x:v>
      </x:c>
      <x:c r="H71" s="24" t="str">
        <x:v>Perch-likes</x:v>
      </x:c>
      <x:c r="I71" s="31" t="n">
        <x:v>71.9977981947</x:v>
      </x:c>
      <x:c r="J71" s="31" t="n">
        <x:v>71.9977981947</x:v>
      </x:c>
      <x:c r="K71" s="31" t="n">
        <x:v>0</x:v>
      </x:c>
      <x:c r="L71" s="31" t="n">
        <x:v>69.2407397695</x:v>
      </x:c>
      <x:c r="M71" s="31" t="n">
        <x:v>2.7570584252</x:v>
      </x:c>
      <x:c r="N71" s="24" t="str">
        <x:v>sillago sihama</x:v>
      </x:c>
      <x:c r="O71" s="32" t="n">
        <x:v>3.33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Sillago sihama</x:v>
      </x:c>
      <x:c r="T71" s="32" t="n">
        <x:f>IF(O71="","",(1/'Metadata'!$B$5)^(O71-1))</x:f>
        <x:v>213.79620895022325</x:v>
      </x:c>
      <x:c r="U71" s="31" t="n">
        <x:f>IF(T71="","",I71*T71)</x:f>
        <x:v>15392.856306790087</x:v>
      </x:c>
    </x:row>
    <x:row r="72" ht="18" customHeight="1">
      <x:c r="A72" s="24" t="str">
        <x:v>EEZ_683</x:v>
      </x:c>
      <x:c r="B72" s="24" t="str">
        <x:v>Saudi Arabia (Red Sea)</x:v>
      </x:c>
      <x:c r="C72" s="24" t="str">
        <x:v>EEZ</x:v>
      </x:c>
      <x:c r="D72" s="30" t="n">
        <x:v>2019</x:v>
      </x:c>
      <x:c r="E72" s="24" t="str">
        <x:v>Sphyraena jello</x:v>
      </x:c>
      <x:c r="F72" s="24" t="str">
        <x:v>Pickhandle barracuda</x:v>
      </x:c>
      <x:c r="G72" s="24" t="str">
        <x:v>Large reef assoc. fish (&gt;=90 cm)</x:v>
      </x:c>
      <x:c r="H72" s="24" t="str">
        <x:v>Perch-likes</x:v>
      </x:c>
      <x:c r="I72" s="31" t="n">
        <x:v>70.5431511589</x:v>
      </x:c>
      <x:c r="J72" s="31" t="n">
        <x:v>70.5431511589</x:v>
      </x:c>
      <x:c r="K72" s="31" t="n">
        <x:v>0</x:v>
      </x:c>
      <x:c r="L72" s="31" t="n">
        <x:v>63.513407942</x:v>
      </x:c>
      <x:c r="M72" s="31" t="n">
        <x:v>7.0297432169</x:v>
      </x:c>
      <x:c r="N72" s="24" t="str">
        <x:v>sphyraena jello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Sphyraena jello</x:v>
      </x:c>
      <x:c r="T72" s="32" t="n">
        <x:f>IF(O72="","",(1/'Metadata'!$B$5)^(O72-1))</x:f>
        <x:v>3162.2776601683795</x:v>
      </x:c>
      <x:c r="U72" s="31" t="n">
        <x:f>IF(T72="","",I72*T72)</x:f>
        <x:v>223077.03098767062</x:v>
      </x:c>
    </x:row>
    <x:row r="73" ht="18" customHeight="1">
      <x:c r="A73" s="24" t="str">
        <x:v>EEZ_683</x:v>
      </x:c>
      <x:c r="B73" s="24" t="str">
        <x:v>Saudi Arabia (Red Sea)</x:v>
      </x:c>
      <x:c r="C73" s="24" t="str">
        <x:v>EEZ</x:v>
      </x:c>
      <x:c r="D73" s="30" t="n">
        <x:v>2019</x:v>
      </x:c>
      <x:c r="E73" s="24" t="str">
        <x:v>Cephalopholis argus</x:v>
      </x:c>
      <x:c r="F73" s="24" t="str">
        <x:v>Peacock hind</x:v>
      </x:c>
      <x:c r="G73" s="24" t="str">
        <x:v>Medium reef assoc. fish (30 - 89 cm)</x:v>
      </x:c>
      <x:c r="H73" s="24" t="str">
        <x:v>Perch-likes</x:v>
      </x:c>
      <x:c r="I73" s="31" t="n">
        <x:v>61.913144691599996</x:v>
      </x:c>
      <x:c r="J73" s="31" t="n">
        <x:v>61.913144691599996</x:v>
      </x:c>
      <x:c r="K73" s="31" t="n">
        <x:v>0</x:v>
      </x:c>
      <x:c r="L73" s="31" t="n">
        <x:v>56.00595</x:v>
      </x:c>
      <x:c r="M73" s="31" t="n">
        <x:v>5.9071946916</x:v>
      </x:c>
      <x:c r="N73" s="24" t="str">
        <x:v>cephalopholis argus</x:v>
      </x:c>
      <x:c r="O73" s="32" t="n">
        <x:v>4.48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Cephalopholis argus</x:v>
      </x:c>
      <x:c r="T73" s="32" t="n">
        <x:f>IF(O73="","",(1/'Metadata'!$B$5)^(O73-1))</x:f>
        <x:v>3019.951720402019</x:v>
      </x:c>
      <x:c r="U73" s="31" t="n">
        <x:f>IF(T73="","",I73*T73)</x:f>
        <x:v>186974.70782689654</x:v>
      </x:c>
    </x:row>
    <x:row r="74" ht="18" customHeight="1">
      <x:c r="A74" s="24" t="str">
        <x:v>EEZ_683</x:v>
      </x:c>
      <x:c r="B74" s="24" t="str">
        <x:v>Saudi Arabia (Red Sea)</x:v>
      </x:c>
      <x:c r="C74" s="24" t="str">
        <x:v>EEZ</x:v>
      </x:c>
      <x:c r="D74" s="30" t="n">
        <x:v>2019</x:v>
      </x:c>
      <x:c r="E74" s="24" t="str">
        <x:v>Thunnus tonggol</x:v>
      </x:c>
      <x:c r="F74" s="24" t="str">
        <x:v>Longtail tuna</x:v>
      </x:c>
      <x:c r="G74" s="24" t="str">
        <x:v>Large pelagics (&gt;=90 cm)</x:v>
      </x:c>
      <x:c r="H74" s="24" t="str">
        <x:v>Tuna &amp; billfishes</x:v>
      </x:c>
      <x:c r="I74" s="31" t="n">
        <x:v>60.6820389703</x:v>
      </x:c>
      <x:c r="J74" s="31" t="n">
        <x:v>60.6820389703</x:v>
      </x:c>
      <x:c r="K74" s="31" t="n">
        <x:v>0</x:v>
      </x:c>
      <x:c r="L74" s="31" t="n">
        <x:v>46.922893340099996</x:v>
      </x:c>
      <x:c r="M74" s="31" t="n">
        <x:v>13.7591456302</x:v>
      </x:c>
      <x:c r="N74" s="24" t="str">
        <x:v>thunnus tonggol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tonggol</x:v>
      </x:c>
      <x:c r="T74" s="32" t="n">
        <x:f>IF(O74="","",(1/'Metadata'!$B$5)^(O74-1))</x:f>
        <x:v>3162.2776601683795</x:v>
      </x:c>
      <x:c r="U74" s="31" t="n">
        <x:f>IF(T74="","",I74*T74)</x:f>
        <x:v>191893.4562092467</x:v>
      </x:c>
    </x:row>
    <x:row r="75" ht="18" customHeight="1">
      <x:c r="A75" s="24" t="str">
        <x:v>EEZ_683</x:v>
      </x:c>
      <x:c r="B75" s="24" t="str">
        <x:v>Saudi Arabia (Red Sea)</x:v>
      </x:c>
      <x:c r="C75" s="24" t="str">
        <x:v>EEZ</x:v>
      </x:c>
      <x:c r="D75" s="30" t="n">
        <x:v>2019</x:v>
      </x:c>
      <x:c r="E75" s="24" t="str">
        <x:v>Chanos chanos</x:v>
      </x:c>
      <x:c r="F75" s="24" t="str">
        <x:v>Milkfish</x:v>
      </x:c>
      <x:c r="G75" s="24" t="str">
        <x:v>Large benthopelagics (&gt;=90 cm)</x:v>
      </x:c>
      <x:c r="H75" s="24" t="str">
        <x:v>Other fishes &amp; inverts</x:v>
      </x:c>
      <x:c r="I75" s="31" t="n">
        <x:v>56.39951035679999</x:v>
      </x:c>
      <x:c r="J75" s="31" t="n">
        <x:v>56.39951035679999</x:v>
      </x:c>
      <x:c r="K75" s="31" t="n">
        <x:v>0</x:v>
      </x:c>
      <x:c r="L75" s="31" t="n">
        <x:v>44.214169999999996</x:v>
      </x:c>
      <x:c r="M75" s="31" t="n">
        <x:v>12.1853403568</x:v>
      </x:c>
      <x:c r="N75" s="24" t="str">
        <x:v>chanos chanos</x:v>
      </x:c>
      <x:c r="O75" s="32" t="n">
        <x:v>2.03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Chanos chanos</x:v>
      </x:c>
      <x:c r="T75" s="32" t="n">
        <x:f>IF(O75="","",(1/'Metadata'!$B$5)^(O75-1))</x:f>
        <x:v>10.71519305237606</x:v>
      </x:c>
      <x:c r="U75" s="31" t="n">
        <x:f>IF(T75="","",I75*T75)</x:f>
        <x:v>604.331641532595</x:v>
      </x:c>
    </x:row>
    <x:row r="76" ht="18" customHeight="1">
      <x:c r="A76" s="24" t="str">
        <x:v>EEZ_683</x:v>
      </x:c>
      <x:c r="B76" s="24" t="str">
        <x:v>Saudi Arabia (Red Sea)</x:v>
      </x:c>
      <x:c r="C76" s="24" t="str">
        <x:v>EEZ</x:v>
      </x:c>
      <x:c r="D76" s="30" t="n">
        <x:v>2019</x:v>
      </x:c>
      <x:c r="E76" s="24" t="str">
        <x:v>Mullidae</x:v>
      </x:c>
      <x:c r="F76" s="24" t="str">
        <x:v>Goatfishes</x:v>
      </x:c>
      <x:c r="G76" s="24" t="str">
        <x:v>Medium reef assoc. fish (30 - 89 cm)</x:v>
      </x:c>
      <x:c r="H76" s="24" t="str">
        <x:v>Perch-likes</x:v>
      </x:c>
      <x:c r="I76" s="31" t="n">
        <x:v>54.297540108</x:v>
      </x:c>
      <x:c r="J76" s="31" t="n">
        <x:v>0</x:v>
      </x:c>
      <x:c r="K76" s="31" t="n">
        <x:v>54.297540108</x:v>
      </x:c>
      <x:c r="L76" s="31" t="n">
        <x:v>0</x:v>
      </x:c>
      <x:c r="M76" s="31" t="n">
        <x:v>54.297540108</x:v>
      </x:c>
      <x:c r="N76" s="24" t="str">
        <x:v>mullidae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Mullidae</x:v>
      </x:c>
      <x:c r="T76" s="32" t="n">
        <x:f>IF(O76="","",(1/'Metadata'!$B$5)^(O76-1))</x:f>
        <x:v>288.40315031266056</x:v>
      </x:c>
      <x:c r="U76" s="31" t="n">
        <x:f>IF(T76="","",I76*T76)</x:f>
        <x:v>15659.581621375239</x:v>
      </x:c>
    </x:row>
    <x:row r="77" ht="18" customHeight="1">
      <x:c r="A77" s="24" t="str">
        <x:v>EEZ_683</x:v>
      </x:c>
      <x:c r="B77" s="24" t="str">
        <x:v>Saudi Arabia (Red Sea)</x:v>
      </x:c>
      <x:c r="C77" s="24" t="str">
        <x:v>EEZ</x:v>
      </x:c>
      <x:c r="D77" s="30" t="n">
        <x:v>2019</x:v>
      </x:c>
      <x:c r="E77" s="24" t="str">
        <x:v>Engraulidae</x:v>
      </x:c>
      <x:c r="F77" s="24" t="str">
        <x:v>Anchovies, round herrings</x:v>
      </x:c>
      <x:c r="G77" s="24" t="str">
        <x:v>Small pelagics (&lt;30 cm)</x:v>
      </x:c>
      <x:c r="H77" s="24" t="str">
        <x:v>Anchovies</x:v>
      </x:c>
      <x:c r="I77" s="31" t="n">
        <x:v>54.297540108</x:v>
      </x:c>
      <x:c r="J77" s="31" t="n">
        <x:v>0</x:v>
      </x:c>
      <x:c r="K77" s="31" t="n">
        <x:v>54.297540108</x:v>
      </x:c>
      <x:c r="L77" s="31" t="n">
        <x:v>0</x:v>
      </x:c>
      <x:c r="M77" s="31" t="n">
        <x:v>54.297540108</x:v>
      </x:c>
      <x:c r="N77" s="24" t="str">
        <x:v>engraulidae</x:v>
      </x:c>
      <x:c r="O77" s="32" t="n">
        <x:v>3.2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Engraulidae</x:v>
      </x:c>
      <x:c r="T77" s="32" t="n">
        <x:f>IF(O77="","",(1/'Metadata'!$B$5)^(O77-1))</x:f>
        <x:v>158.48931924611142</x:v>
      </x:c>
      <x:c r="U77" s="31" t="n">
        <x:f>IF(T77="","",I77*T77)</x:f>
        <x:v>8605.580168455352</x:v>
      </x:c>
    </x:row>
    <x:row r="78" ht="18" customHeight="1">
      <x:c r="A78" s="24" t="str">
        <x:v>EEZ_683</x:v>
      </x:c>
      <x:c r="B78" s="24" t="str">
        <x:v>Saudi Arabia (Red Sea)</x:v>
      </x:c>
      <x:c r="C78" s="24" t="str">
        <x:v>EEZ</x:v>
      </x:c>
      <x:c r="D78" s="30" t="n">
        <x:v>2019</x:v>
      </x:c>
      <x:c r="E78" s="24" t="str">
        <x:v>Malacostraca</x:v>
      </x:c>
      <x:c r="F78" s="24" t="str">
        <x:v>Lobsters, crabs, shrimps, krill</x:v>
      </x:c>
      <x:c r="G78" s="24" t="str">
        <x:v>Shrimps</x:v>
      </x:c>
      <x:c r="H78" s="24" t="str">
        <x:v>Crustaceans</x:v>
      </x:c>
      <x:c r="I78" s="31" t="n">
        <x:v>54.297540108</x:v>
      </x:c>
      <x:c r="J78" s="31" t="n">
        <x:v>0</x:v>
      </x:c>
      <x:c r="K78" s="31" t="n">
        <x:v>54.297540108</x:v>
      </x:c>
      <x:c r="L78" s="31" t="n">
        <x:v>0</x:v>
      </x:c>
      <x:c r="M78" s="31" t="n">
        <x:v>54.297540108</x:v>
      </x:c>
      <x:c r="N78" s="24" t="str">
        <x:v>malacostraca</x:v>
      </x:c>
      <x:c r="O78" s="32" t="n">
        <x:v>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Malacostraca</x:v>
      </x:c>
      <x:c r="T78" s="32" t="n">
        <x:f>IF(O78="","",(1/'Metadata'!$B$5)^(O78-1))</x:f>
        <x:v>100</x:v>
      </x:c>
      <x:c r="U78" s="31" t="n">
        <x:f>IF(T78="","",I78*T78)</x:f>
        <x:v>5429.7540108</x:v>
      </x:c>
    </x:row>
    <x:row r="79" ht="18" customHeight="1">
      <x:c r="A79" s="24" t="str">
        <x:v>EEZ_683</x:v>
      </x:c>
      <x:c r="B79" s="24" t="str">
        <x:v>Saudi Arabia (Red Sea)</x:v>
      </x:c>
      <x:c r="C79" s="24" t="str">
        <x:v>EEZ</x:v>
      </x:c>
      <x:c r="D79" s="30" t="n">
        <x:v>2019</x:v>
      </x:c>
      <x:c r="E79" s="24" t="str">
        <x:v>Plectorhinchus schotaf</x:v>
      </x:c>
      <x:c r="F79" s="24" t="str">
        <x:v>Minstrel sweetlips</x:v>
      </x:c>
      <x:c r="G79" s="24" t="str">
        <x:v>Medium reef assoc. fish (30 - 89 cm)</x:v>
      </x:c>
      <x:c r="H79" s="24" t="str">
        <x:v>Perch-likes</x:v>
      </x:c>
      <x:c r="I79" s="31" t="n">
        <x:v>52.5364100716</x:v>
      </x:c>
      <x:c r="J79" s="31" t="n">
        <x:v>52.5364100716</x:v>
      </x:c>
      <x:c r="K79" s="31" t="n">
        <x:v>0</x:v>
      </x:c>
      <x:c r="L79" s="31" t="n">
        <x:v>46.9936619963</x:v>
      </x:c>
      <x:c r="M79" s="31" t="n">
        <x:v>5.5427480753000005</x:v>
      </x:c>
      <x:c r="N79" s="24" t="str">
        <x:v>plectorhinchus schotaf</x:v>
      </x:c>
      <x:c r="O79" s="32" t="n">
        <x:v>3.82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Plectorhinchus schotaf</x:v>
      </x:c>
      <x:c r="T79" s="32" t="n">
        <x:f>IF(O79="","",(1/'Metadata'!$B$5)^(O79-1))</x:f>
        <x:v>660.6934480075957</x:v>
      </x:c>
      <x:c r="U79" s="31" t="n">
        <x:f>IF(T79="","",I79*T79)</x:f>
        <x:v>34710.461916146385</x:v>
      </x:c>
    </x:row>
    <x:row r="80" ht="18" customHeight="1">
      <x:c r="A80" s="24" t="str">
        <x:v>EEZ_683</x:v>
      </x:c>
      <x:c r="B80" s="24" t="str">
        <x:v>Saudi Arabia (Red Sea)</x:v>
      </x:c>
      <x:c r="C80" s="24" t="str">
        <x:v>EEZ</x:v>
      </x:c>
      <x:c r="D80" s="30" t="n">
        <x:v>2019</x:v>
      </x:c>
      <x:c r="E80" s="24" t="str">
        <x:v>Platycaranx malabaricus</x:v>
      </x:c>
      <x:c r="F80" s="24" t="str">
        <x:v>Malabar trevally</x:v>
      </x:c>
      <x:c r="G80" s="24" t="str">
        <x:v>Medium reef assoc. fish (30 - 89 cm)</x:v>
      </x:c>
      <x:c r="H80" s="24" t="str">
        <x:v>Perch-likes</x:v>
      </x:c>
      <x:c r="I80" s="31" t="n">
        <x:v>51.5903591666</x:v>
      </x:c>
      <x:c r="J80" s="31" t="n">
        <x:v>51.5903591666</x:v>
      </x:c>
      <x:c r="K80" s="31" t="n">
        <x:v>0</x:v>
      </x:c>
      <x:c r="L80" s="31" t="n">
        <x:v>44.3859369749</x:v>
      </x:c>
      <x:c r="M80" s="31" t="n">
        <x:v>7.2044221917</x:v>
      </x:c>
      <x:c r="N80" s="24" t="str">
        <x:v>platycaranx malabaricus</x:v>
      </x:c>
      <x:c r="O80" s="32" t="n">
        <x:v>3.88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Platycaranx malabaricus</x:v>
      </x:c>
      <x:c r="T80" s="32" t="n">
        <x:f>IF(O80="","",(1/'Metadata'!$B$5)^(O80-1))</x:f>
        <x:v>758.5775750291835</x:v>
      </x:c>
      <x:c r="U80" s="31" t="n">
        <x:f>IF(T80="","",I80*T80)</x:f>
        <x:v>39135.28955148404</x:v>
      </x:c>
    </x:row>
    <x:row r="81" ht="18" customHeight="1">
      <x:c r="A81" s="24" t="str">
        <x:v>EEZ_683</x:v>
      </x:c>
      <x:c r="B81" s="24" t="str">
        <x:v>Saudi Arabia (Red Sea)</x:v>
      </x:c>
      <x:c r="C81" s="24" t="str">
        <x:v>EEZ</x:v>
      </x:c>
      <x:c r="D81" s="30" t="n">
        <x:v>2019</x:v>
      </x:c>
      <x:c r="E81" s="24" t="str">
        <x:v>Acanthopagrus bifasciatus</x:v>
      </x:c>
      <x:c r="F81" s="24" t="str">
        <x:v>Twobar seabream</x:v>
      </x:c>
      <x:c r="G81" s="24" t="str">
        <x:v>Medium reef assoc. fish (30 - 89 cm)</x:v>
      </x:c>
      <x:c r="H81" s="24" t="str">
        <x:v>Perch-likes</x:v>
      </x:c>
      <x:c r="I81" s="31" t="n">
        <x:v>50.7647589796</x:v>
      </x:c>
      <x:c r="J81" s="31" t="n">
        <x:v>50.7647589796</x:v>
      </x:c>
      <x:c r="K81" s="31" t="n">
        <x:v>0</x:v>
      </x:c>
      <x:c r="L81" s="31" t="n">
        <x:v>45.157815297</x:v>
      </x:c>
      <x:c r="M81" s="31" t="n">
        <x:v>5.6069436826</x:v>
      </x:c>
      <x:c r="N81" s="24" t="str">
        <x:v>acanthopagrus bifasciatus</x:v>
      </x:c>
      <x:c r="O81" s="32" t="n">
        <x:v>3.39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Acanthopagrus bifasciatus</x:v>
      </x:c>
      <x:c r="T81" s="32" t="n">
        <x:f>IF(O81="","",(1/'Metadata'!$B$5)^(O81-1))</x:f>
        <x:v>245.4708915685031</x:v>
      </x:c>
      <x:c r="U81" s="31" t="n">
        <x:f>IF(T81="","",I81*T81)</x:f>
        <x:v>12461.270646982586</x:v>
      </x:c>
    </x:row>
    <x:row r="82" ht="18" customHeight="1">
      <x:c r="A82" s="24" t="str">
        <x:v>EEZ_683</x:v>
      </x:c>
      <x:c r="B82" s="24" t="str">
        <x:v>Saudi Arabia (Red Sea)</x:v>
      </x:c>
      <x:c r="C82" s="24" t="str">
        <x:v>EEZ</x:v>
      </x:c>
      <x:c r="D82" s="30" t="n">
        <x:v>2019</x:v>
      </x:c>
      <x:c r="E82" s="24" t="str">
        <x:v>Acanthurus sohal</x:v>
      </x:c>
      <x:c r="F82" s="24" t="str">
        <x:v>Sohal surgeonfish</x:v>
      </x:c>
      <x:c r="G82" s="24" t="str">
        <x:v>Small reef assoc. fish (&lt;30 cm)</x:v>
      </x:c>
      <x:c r="H82" s="24" t="str">
        <x:v>Perch-likes</x:v>
      </x:c>
      <x:c r="I82" s="31" t="n">
        <x:v>46.7015390588</x:v>
      </x:c>
      <x:c r="J82" s="31" t="n">
        <x:v>46.7015390588</x:v>
      </x:c>
      <x:c r="K82" s="31" t="n">
        <x:v>0</x:v>
      </x:c>
      <x:c r="L82" s="31" t="n">
        <x:v>40.278998303099996</x:v>
      </x:c>
      <x:c r="M82" s="31" t="n">
        <x:v>6.4225407557</x:v>
      </x:c>
      <x:c r="N82" s="24" t="str">
        <x:v>acanthurus sohal</x:v>
      </x:c>
      <x:c r="O82" s="32" t="n">
        <x:v>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Acanthurus sohal</x:v>
      </x:c>
      <x:c r="T82" s="32" t="n">
        <x:f>IF(O82="","",(1/'Metadata'!$B$5)^(O82-1))</x:f>
        <x:v>10</x:v>
      </x:c>
      <x:c r="U82" s="31" t="n">
        <x:f>IF(T82="","",I82*T82)</x:f>
        <x:v>467.015390588</x:v>
      </x:c>
    </x:row>
    <x:row r="83" ht="18" customHeight="1">
      <x:c r="A83" s="24" t="str">
        <x:v>EEZ_683</x:v>
      </x:c>
      <x:c r="B83" s="24" t="str">
        <x:v>Saudi Arabia (Red Sea)</x:v>
      </x:c>
      <x:c r="C83" s="24" t="str">
        <x:v>EEZ</x:v>
      </x:c>
      <x:c r="D83" s="30" t="n">
        <x:v>2019</x:v>
      </x:c>
      <x:c r="E83" s="24" t="str">
        <x:v>Bothus pantherinus</x:v>
      </x:c>
      <x:c r="F83" s="24" t="str">
        <x:v>Leopard flounder</x:v>
      </x:c>
      <x:c r="G83" s="24" t="str">
        <x:v>Small to medium flatfishes (&lt;90 cm)</x:v>
      </x:c>
      <x:c r="H83" s="24" t="str">
        <x:v>Flatfishes</x:v>
      </x:c>
      <x:c r="I83" s="31" t="n">
        <x:v>46.170586515000004</x:v>
      </x:c>
      <x:c r="J83" s="31" t="n">
        <x:v>46.170586515000004</x:v>
      </x:c>
      <x:c r="K83" s="31" t="n">
        <x:v>0</x:v>
      </x:c>
      <x:c r="L83" s="31" t="n">
        <x:v>45.9875499946</x:v>
      </x:c>
      <x:c r="M83" s="31" t="n">
        <x:v>0.1830365204</x:v>
      </x:c>
      <x:c r="N83" s="24" t="str">
        <x:v>bothus pantherinus</x:v>
      </x:c>
      <x:c r="O83" s="32" t="n">
        <x:v>3.5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Bothus pantherinus</x:v>
      </x:c>
      <x:c r="T83" s="32" t="n">
        <x:f>IF(O83="","",(1/'Metadata'!$B$5)^(O83-1))</x:f>
        <x:v>316.22776601683796</x:v>
      </x:c>
      <x:c r="U83" s="31" t="n">
        <x:f>IF(T83="","",I83*T83)</x:f>
        <x:v>14600.421429325595</x:v>
      </x:c>
    </x:row>
    <x:row r="84" ht="18" customHeight="1">
      <x:c r="A84" s="24" t="str">
        <x:v>EEZ_683</x:v>
      </x:c>
      <x:c r="B84" s="24" t="str">
        <x:v>Saudi Arabia (Red Sea)</x:v>
      </x:c>
      <x:c r="C84" s="24" t="str">
        <x:v>EEZ</x:v>
      </x:c>
      <x:c r="D84" s="30" t="n">
        <x:v>2019</x:v>
      </x:c>
      <x:c r="E84" s="24" t="str">
        <x:v>Epinephelus coioides</x:v>
      </x:c>
      <x:c r="F84" s="24" t="str">
        <x:v>Orange-spotted grouper</x:v>
      </x:c>
      <x:c r="G84" s="24" t="str">
        <x:v>Large reef assoc. fish (&gt;=90 cm)</x:v>
      </x:c>
      <x:c r="H84" s="24" t="str">
        <x:v>Perch-likes</x:v>
      </x:c>
      <x:c r="I84" s="31" t="n">
        <x:v>44.16576063</x:v>
      </x:c>
      <x:c r="J84" s="31" t="n">
        <x:v>44.16576063</x:v>
      </x:c>
      <x:c r="K84" s="31" t="n">
        <x:v>0</x:v>
      </x:c>
      <x:c r="L84" s="31" t="n">
        <x:v>43.628742553500004</x:v>
      </x:c>
      <x:c r="M84" s="31" t="n">
        <x:v>0.5370180765</x:v>
      </x:c>
      <x:c r="N84" s="24" t="str">
        <x:v>epinephelus coioides</x:v>
      </x:c>
      <x:c r="O84" s="32" t="n">
        <x:v>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Epinephelus coioides</x:v>
      </x:c>
      <x:c r="T84" s="32" t="n">
        <x:f>IF(O84="","",(1/'Metadata'!$B$5)^(O84-1))</x:f>
        <x:v>1000</x:v>
      </x:c>
      <x:c r="U84" s="31" t="n">
        <x:f>IF(T84="","",I84*T84)</x:f>
        <x:v>44165.760630000004</x:v>
      </x:c>
    </x:row>
    <x:row r="85" ht="18" customHeight="1">
      <x:c r="A85" s="24" t="str">
        <x:v>EEZ_683</x:v>
      </x:c>
      <x:c r="B85" s="24" t="str">
        <x:v>Saudi Arabia (Red Sea)</x:v>
      </x:c>
      <x:c r="C85" s="24" t="str">
        <x:v>EEZ</x:v>
      </x:c>
      <x:c r="D85" s="30" t="n">
        <x:v>2019</x:v>
      </x:c>
      <x:c r="E85" s="24" t="str">
        <x:v>Haemulidae</x:v>
      </x:c>
      <x:c r="F85" s="24" t="str">
        <x:v>Grunts, sweetlips, bonnetmouths</x:v>
      </x:c>
      <x:c r="G85" s="24" t="str">
        <x:v>Medium demersals (30 - 89 cm)</x:v>
      </x:c>
      <x:c r="H85" s="24" t="str">
        <x:v>Perch-likes</x:v>
      </x:c>
      <x:c r="I85" s="31" t="n">
        <x:v>40.6872022757</x:v>
      </x:c>
      <x:c r="J85" s="31" t="n">
        <x:v>40.6872022757</x:v>
      </x:c>
      <x:c r="K85" s="31" t="n">
        <x:v>0</x:v>
      </x:c>
      <x:c r="L85" s="31" t="n">
        <x:v>35.005884932</x:v>
      </x:c>
      <x:c r="M85" s="31" t="n">
        <x:v>5.6813173437</x:v>
      </x:c>
      <x:c r="N85" s="24" t="str">
        <x:v>haemulidae</x:v>
      </x:c>
      <x:c r="O85" s="32" t="n">
        <x:v>3.36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Haemulidae</x:v>
      </x:c>
      <x:c r="T85" s="32" t="n">
        <x:f>IF(O85="","",(1/'Metadata'!$B$5)^(O85-1))</x:f>
        <x:v>229.08676527677724</x:v>
      </x:c>
      <x:c r="U85" s="31" t="n">
        <x:f>IF(T85="","",I85*T85)</x:f>
        <x:v>9320.899557502044</x:v>
      </x:c>
    </x:row>
    <x:row r="86" ht="18" customHeight="1">
      <x:c r="A86" s="24" t="str">
        <x:v>EEZ_683</x:v>
      </x:c>
      <x:c r="B86" s="24" t="str">
        <x:v>Saudi Arabia (Red Sea)</x:v>
      </x:c>
      <x:c r="C86" s="24" t="str">
        <x:v>EEZ</x:v>
      </x:c>
      <x:c r="D86" s="30" t="n">
        <x:v>2019</x:v>
      </x:c>
      <x:c r="E86" s="24" t="str">
        <x:v>Clupeiformes</x:v>
      </x:c>
      <x:c r="F86" s="24" t="str">
        <x:v>Herrings, shads, anchovies</x:v>
      </x:c>
      <x:c r="G86" s="24" t="str">
        <x:v>Small pelagics (&lt;30 cm)</x:v>
      </x:c>
      <x:c r="H86" s="24" t="str">
        <x:v>Other fishes &amp; inverts</x:v>
      </x:c>
      <x:c r="I86" s="31" t="n">
        <x:v>38.1428585109</x:v>
      </x:c>
      <x:c r="J86" s="31" t="n">
        <x:v>38.1428585109</x:v>
      </x:c>
      <x:c r="K86" s="31" t="n">
        <x:v>0</x:v>
      </x:c>
      <x:c r="L86" s="31" t="n">
        <x:v>38.1428585109</x:v>
      </x:c>
      <x:c r="M86" s="31" t="n">
        <x:v>0</x:v>
      </x:c>
      <x:c r="N86" s="24" t="str">
        <x:v>clupeiformes</x:v>
      </x:c>
      <x:c r="O86" s="32" t="n">
        <x:v>3.24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Clupeiformes</x:v>
      </x:c>
      <x:c r="T86" s="32" t="n">
        <x:f>IF(O86="","",(1/'Metadata'!$B$5)^(O86-1))</x:f>
        <x:v>173.78008287493762</x:v>
      </x:c>
      <x:c r="U86" s="31" t="n">
        <x:f>IF(T86="","",I86*T86)</x:f>
        <x:v>6628.469113111221</x:v>
      </x:c>
    </x:row>
    <x:row r="87" ht="18" customHeight="1">
      <x:c r="A87" s="24" t="str">
        <x:v>EEZ_683</x:v>
      </x:c>
      <x:c r="B87" s="24" t="str">
        <x:v>Saudi Arabia (Red Sea)</x:v>
      </x:c>
      <x:c r="C87" s="24" t="str">
        <x:v>EEZ</x:v>
      </x:c>
      <x:c r="D87" s="30" t="n">
        <x:v>2019</x:v>
      </x:c>
      <x:c r="E87" s="24" t="str">
        <x:v>Caranx ignobilis</x:v>
      </x:c>
      <x:c r="F87" s="24" t="str">
        <x:v>Giant trevally</x:v>
      </x:c>
      <x:c r="G87" s="24" t="str">
        <x:v>Large reef assoc. fish (&gt;=90 cm)</x:v>
      </x:c>
      <x:c r="H87" s="24" t="str">
        <x:v>Perch-likes</x:v>
      </x:c>
      <x:c r="I87" s="31" t="n">
        <x:v>37.987920717499996</x:v>
      </x:c>
      <x:c r="J87" s="31" t="n">
        <x:v>37.987920717499996</x:v>
      </x:c>
      <x:c r="K87" s="31" t="n">
        <x:v>0</x:v>
      </x:c>
      <x:c r="L87" s="31" t="n">
        <x:v>32.9154190866</x:v>
      </x:c>
      <x:c r="M87" s="31" t="n">
        <x:v>5.0725016309</x:v>
      </x:c>
      <x:c r="N87" s="24" t="str">
        <x:v>caranx ignobilis</x:v>
      </x:c>
      <x:c r="O87" s="32" t="n">
        <x:v>4.22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Caranx ignobilis</x:v>
      </x:c>
      <x:c r="T87" s="32" t="n">
        <x:f>IF(O87="","",(1/'Metadata'!$B$5)^(O87-1))</x:f>
        <x:v>1659.5869074375596</x:v>
      </x:c>
      <x:c r="U87" s="31" t="n">
        <x:f>IF(T87="","",I87*T87)</x:f>
        <x:v>63044.255863539016</x:v>
      </x:c>
    </x:row>
    <x:row r="88" ht="18" customHeight="1">
      <x:c r="A88" s="24" t="str">
        <x:v>EEZ_683</x:v>
      </x:c>
      <x:c r="B88" s="24" t="str">
        <x:v>Saudi Arabia (Red Sea)</x:v>
      </x:c>
      <x:c r="C88" s="24" t="str">
        <x:v>EEZ</x:v>
      </x:c>
      <x:c r="D88" s="30" t="n">
        <x:v>2019</x:v>
      </x:c>
      <x:c r="E88" s="24" t="str">
        <x:v>Epinephelus summana</x:v>
      </x:c>
      <x:c r="F88" s="24" t="str">
        <x:v>Summan grouper</x:v>
      </x:c>
      <x:c r="G88" s="24" t="str">
        <x:v>Medium reef assoc. fish (30 - 89 cm)</x:v>
      </x:c>
      <x:c r="H88" s="24" t="str">
        <x:v>Perch-likes</x:v>
      </x:c>
      <x:c r="I88" s="31" t="n">
        <x:v>37.172503341500004</x:v>
      </x:c>
      <x:c r="J88" s="31" t="n">
        <x:v>37.172503341500004</x:v>
      </x:c>
      <x:c r="K88" s="31" t="n">
        <x:v>0</x:v>
      </x:c>
      <x:c r="L88" s="31" t="n">
        <x:v>33.4133800001</x:v>
      </x:c>
      <x:c r="M88" s="31" t="n">
        <x:v>3.7591233414</x:v>
      </x:c>
      <x:c r="N88" s="24" t="str">
        <x:v>epinephelus summana</x:v>
      </x:c>
      <x:c r="O88" s="32" t="n">
        <x:v>3.8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Epinephelus summana</x:v>
      </x:c>
      <x:c r="T88" s="32" t="n">
        <x:f>IF(O88="","",(1/'Metadata'!$B$5)^(O88-1))</x:f>
        <x:v>630.957344480193</x:v>
      </x:c>
      <x:c r="U88" s="31" t="n">
        <x:f>IF(T88="","",I88*T88)</x:f>
        <x:v>23454.263996033944</x:v>
      </x:c>
    </x:row>
    <x:row r="89" ht="18" customHeight="1">
      <x:c r="A89" s="24" t="str">
        <x:v>EEZ_683</x:v>
      </x:c>
      <x:c r="B89" s="24" t="str">
        <x:v>Saudi Arabia (Red Sea)</x:v>
      </x:c>
      <x:c r="C89" s="24" t="str">
        <x:v>EEZ</x:v>
      </x:c>
      <x:c r="D89" s="30" t="n">
        <x:v>2019</x:v>
      </x:c>
      <x:c r="E89" s="24" t="str">
        <x:v>Epinephelus chlorostigma</x:v>
      </x:c>
      <x:c r="F89" s="24" t="str">
        <x:v>Brownspotted grouper</x:v>
      </x:c>
      <x:c r="G89" s="24" t="str">
        <x:v>Medium reef assoc. fish (30 - 89 cm)</x:v>
      </x:c>
      <x:c r="H89" s="24" t="str">
        <x:v>Perch-likes</x:v>
      </x:c>
      <x:c r="I89" s="31" t="n">
        <x:v>36.6526660094</x:v>
      </x:c>
      <x:c r="J89" s="31" t="n">
        <x:v>36.6526660094</x:v>
      </x:c>
      <x:c r="K89" s="31" t="n">
        <x:v>0</x:v>
      </x:c>
      <x:c r="L89" s="31" t="n">
        <x:v>30.2084543695</x:v>
      </x:c>
      <x:c r="M89" s="31" t="n">
        <x:v>6.444211639900001</x:v>
      </x:c>
      <x:c r="N89" s="24" t="str">
        <x:v>epinephelus chlorostigma</x:v>
      </x:c>
      <x:c r="O89" s="32" t="n">
        <x:v>3.99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Epinephelus chlorostigma</x:v>
      </x:c>
      <x:c r="T89" s="32" t="n">
        <x:f>IF(O89="","",(1/'Metadata'!$B$5)^(O89-1))</x:f>
        <x:v>977.2372209558112</x:v>
      </x:c>
      <x:c r="U89" s="31" t="n">
        <x:f>IF(T89="","",I89*T89)</x:f>
        <x:v>35818.349471647576</x:v>
      </x:c>
    </x:row>
    <x:row r="90" ht="18" customHeight="1">
      <x:c r="A90" s="24" t="str">
        <x:v>EEZ_683</x:v>
      </x:c>
      <x:c r="B90" s="24" t="str">
        <x:v>Saudi Arabia (Red Sea)</x:v>
      </x:c>
      <x:c r="C90" s="24" t="str">
        <x:v>EEZ</x:v>
      </x:c>
      <x:c r="D90" s="30" t="n">
        <x:v>2019</x:v>
      </x:c>
      <x:c r="E90" s="24" t="str">
        <x:v>Lethrinus microdon</x:v>
      </x:c>
      <x:c r="F90" s="24" t="str">
        <x:v>Smalltooth emperor</x:v>
      </x:c>
      <x:c r="G90" s="24" t="str">
        <x:v>Medium reef assoc. fish (30 - 89 cm)</x:v>
      </x:c>
      <x:c r="H90" s="24" t="str">
        <x:v>Perch-likes</x:v>
      </x:c>
      <x:c r="I90" s="31" t="n">
        <x:v>36.138247240300004</x:v>
      </x:c>
      <x:c r="J90" s="31" t="n">
        <x:v>36.138247240300004</x:v>
      </x:c>
      <x:c r="K90" s="31" t="n">
        <x:v>0</x:v>
      </x:c>
      <x:c r="L90" s="31" t="n">
        <x:v>27.774971092100003</x:v>
      </x:c>
      <x:c r="M90" s="31" t="n">
        <x:v>8.3632761482</x:v>
      </x:c>
      <x:c r="N90" s="24" t="str">
        <x:v>lethrinus microdon</x:v>
      </x:c>
      <x:c r="O90" s="32" t="n">
        <x:v>3.79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Lethrinus microdon</x:v>
      </x:c>
      <x:c r="T90" s="32" t="n">
        <x:f>IF(O90="","",(1/'Metadata'!$B$5)^(O90-1))</x:f>
        <x:v>616.5950018614822</x:v>
      </x:c>
      <x:c r="U90" s="31" t="n">
        <x:f>IF(T90="","",I90*T90)</x:f>
        <x:v>22282.662624403485</x:v>
      </x:c>
    </x:row>
    <x:row r="91" ht="18" customHeight="1">
      <x:c r="A91" s="24" t="str">
        <x:v>EEZ_683</x:v>
      </x:c>
      <x:c r="B91" s="24" t="str">
        <x:v>Saudi Arabia (Red Sea)</x:v>
      </x:c>
      <x:c r="C91" s="24" t="str">
        <x:v>EEZ</x:v>
      </x:c>
      <x:c r="D91" s="30" t="n">
        <x:v>2019</x:v>
      </x:c>
      <x:c r="E91" s="24" t="str">
        <x:v>Elasmobranchii</x:v>
      </x:c>
      <x:c r="F91" s="24" t="str">
        <x:v>Sharks, rays, skates</x:v>
      </x:c>
      <x:c r="G91" s="24" t="str">
        <x:v>Large sharks (&gt;=90 cm)</x:v>
      </x:c>
      <x:c r="H91" s="24" t="str">
        <x:v>Sharks &amp; rays</x:v>
      </x:c>
      <x:c r="I91" s="31" t="n">
        <x:v>34.21020058</x:v>
      </x:c>
      <x:c r="J91" s="31" t="n">
        <x:v>34.21020058</x:v>
      </x:c>
      <x:c r="K91" s="31" t="n">
        <x:v>0</x:v>
      </x:c>
      <x:c r="L91" s="31" t="n">
        <x:v>0</x:v>
      </x:c>
      <x:c r="M91" s="31" t="n">
        <x:v>34.21020058</x:v>
      </x:c>
      <x:c r="N91" s="24" t="str">
        <x:v>elasmobranchii</x:v>
      </x:c>
      <x:c r="O91" s="32" t="n">
        <x:v>4.05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Elasmobranchii</x:v>
      </x:c>
      <x:c r="T91" s="32" t="n">
        <x:f>IF(O91="","",(1/'Metadata'!$B$5)^(O91-1))</x:f>
        <x:v>1122.018454301963</x:v>
      </x:c>
      <x:c r="U91" s="31" t="n">
        <x:f>IF(T91="","",I91*T91)</x:f>
        <x:v>38384.476376131715</x:v>
      </x:c>
    </x:row>
    <x:row r="92" ht="18" customHeight="1">
      <x:c r="A92" s="24" t="str">
        <x:v>EEZ_683</x:v>
      </x:c>
      <x:c r="B92" s="24" t="str">
        <x:v>Saudi Arabia (Red Sea)</x:v>
      </x:c>
      <x:c r="C92" s="24" t="str">
        <x:v>EEZ</x:v>
      </x:c>
      <x:c r="D92" s="30" t="n">
        <x:v>2019</x:v>
      </x:c>
      <x:c r="E92" s="24" t="str">
        <x:v>Epinephelus fuscoguttatus</x:v>
      </x:c>
      <x:c r="F92" s="24" t="str">
        <x:v>Brown-marbled grouper</x:v>
      </x:c>
      <x:c r="G92" s="24" t="str">
        <x:v>Large reef assoc. fish (&gt;=90 cm)</x:v>
      </x:c>
      <x:c r="H92" s="24" t="str">
        <x:v>Perch-likes</x:v>
      </x:c>
      <x:c r="I92" s="31" t="n">
        <x:v>31.4488643149</x:v>
      </x:c>
      <x:c r="J92" s="31" t="n">
        <x:v>31.4488643149</x:v>
      </x:c>
      <x:c r="K92" s="31" t="n">
        <x:v>0</x:v>
      </x:c>
      <x:c r="L92" s="31" t="n">
        <x:v>26.2934958115</x:v>
      </x:c>
      <x:c r="M92" s="31" t="n">
        <x:v>5.1553685034</x:v>
      </x:c>
      <x:c r="N92" s="24" t="str">
        <x:v>epinephelus fuscoguttatus</x:v>
      </x:c>
      <x:c r="O92" s="32" t="n">
        <x:v>4.14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Epinephelus fuscoguttatus</x:v>
      </x:c>
      <x:c r="T92" s="32" t="n">
        <x:f>IF(O92="","",(1/'Metadata'!$B$5)^(O92-1))</x:f>
        <x:v>1380.3842646028838</x:v>
      </x:c>
      <x:c r="U92" s="31" t="n">
        <x:f>IF(T92="","",I92*T92)</x:f>
        <x:v>43411.51743991911</x:v>
      </x:c>
    </x:row>
    <x:row r="93" ht="18" customHeight="1">
      <x:c r="A93" s="24" t="str">
        <x:v>EEZ_683</x:v>
      </x:c>
      <x:c r="B93" s="24" t="str">
        <x:v>Saudi Arabia (Red Sea)</x:v>
      </x:c>
      <x:c r="C93" s="24" t="str">
        <x:v>EEZ</x:v>
      </x:c>
      <x:c r="D93" s="30" t="n">
        <x:v>2019</x:v>
      </x:c>
      <x:c r="E93" s="24" t="str">
        <x:v>Megalaspis cordyla</x:v>
      </x:c>
      <x:c r="F93" s="24" t="str">
        <x:v>Torpedo scad</x:v>
      </x:c>
      <x:c r="G93" s="24" t="str">
        <x:v>Medium pelagics (30 - 89 cm)</x:v>
      </x:c>
      <x:c r="H93" s="24" t="str">
        <x:v>Perch-likes</x:v>
      </x:c>
      <x:c r="I93" s="31" t="n">
        <x:v>27.8750519261</x:v>
      </x:c>
      <x:c r="J93" s="31" t="n">
        <x:v>27.8750519261</x:v>
      </x:c>
      <x:c r="K93" s="31" t="n">
        <x:v>0</x:v>
      </x:c>
      <x:c r="L93" s="31" t="n">
        <x:v>27.5074800004</x:v>
      </x:c>
      <x:c r="M93" s="31" t="n">
        <x:v>0.3675719257</x:v>
      </x:c>
      <x:c r="N93" s="24" t="str">
        <x:v>megalaspis cordyla</x:v>
      </x:c>
      <x:c r="O93" s="32" t="n">
        <x:v>4.24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Megalaspis cordyla</x:v>
      </x:c>
      <x:c r="T93" s="32" t="n">
        <x:f>IF(O93="","",(1/'Metadata'!$B$5)^(O93-1))</x:f>
        <x:v>1737.8008287493763</x:v>
      </x:c>
      <x:c r="U93" s="31" t="n">
        <x:f>IF(T93="","",I93*T93)</x:f>
        <x:v>48441.28833860847</x:v>
      </x:c>
    </x:row>
    <x:row r="94" ht="18" customHeight="1">
      <x:c r="A94" s="24" t="str">
        <x:v>EEZ_683</x:v>
      </x:c>
      <x:c r="B94" s="24" t="str">
        <x:v>Saudi Arabia (Red Sea)</x:v>
      </x:c>
      <x:c r="C94" s="24" t="str">
        <x:v>EEZ</x:v>
      </x:c>
      <x:c r="D94" s="30" t="n">
        <x:v>2019</x:v>
      </x:c>
      <x:c r="E94" s="24" t="str">
        <x:v>Monotaxis grandoculis</x:v>
      </x:c>
      <x:c r="F94" s="24" t="str">
        <x:v>Humpnose big-eye bream</x:v>
      </x:c>
      <x:c r="G94" s="24" t="str">
        <x:v>Medium reef assoc. fish (30 - 89 cm)</x:v>
      </x:c>
      <x:c r="H94" s="24" t="str">
        <x:v>Perch-likes</x:v>
      </x:c>
      <x:c r="I94" s="31" t="n">
        <x:v>23.513690974699998</x:v>
      </x:c>
      <x:c r="J94" s="31" t="n">
        <x:v>23.513690974699998</x:v>
      </x:c>
      <x:c r="K94" s="31" t="n">
        <x:v>0</x:v>
      </x:c>
      <x:c r="L94" s="31" t="n">
        <x:v>20.0388081437</x:v>
      </x:c>
      <x:c r="M94" s="31" t="n">
        <x:v>3.474882831</x:v>
      </x:c>
      <x:c r="N94" s="24" t="str">
        <x:v>monotaxis grandoculis</x:v>
      </x:c>
      <x:c r="O94" s="32" t="n">
        <x:v>3.37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Monotaxis grandoculis</x:v>
      </x:c>
      <x:c r="T94" s="32" t="n">
        <x:f>IF(O94="","",(1/'Metadata'!$B$5)^(O94-1))</x:f>
        <x:v>234.42288153199226</x:v>
      </x:c>
      <x:c r="U94" s="31" t="n">
        <x:f>IF(T94="","",I94*T94)</x:f>
        <x:v>5512.147193741973</x:v>
      </x:c>
    </x:row>
    <x:row r="95" ht="18" customHeight="1">
      <x:c r="A95" s="24" t="str">
        <x:v>EEZ_683</x:v>
      </x:c>
      <x:c r="B95" s="24" t="str">
        <x:v>Saudi Arabia (Red Sea)</x:v>
      </x:c>
      <x:c r="C95" s="24" t="str">
        <x:v>EEZ</x:v>
      </x:c>
      <x:c r="D95" s="30" t="n">
        <x:v>2019</x:v>
      </x:c>
      <x:c r="E95" s="24" t="str">
        <x:v>Pomacanthus maculosus</x:v>
      </x:c>
      <x:c r="F95" s="24" t="str">
        <x:v>Yellowbar angelfish</x:v>
      </x:c>
      <x:c r="G95" s="24" t="str">
        <x:v>Medium reef assoc. fish (30 - 89 cm)</x:v>
      </x:c>
      <x:c r="H95" s="24" t="str">
        <x:v>Perch-likes</x:v>
      </x:c>
      <x:c r="I95" s="31" t="n">
        <x:v>22.8860547659</x:v>
      </x:c>
      <x:c r="J95" s="31" t="n">
        <x:v>22.8860547659</x:v>
      </x:c>
      <x:c r="K95" s="31" t="n">
        <x:v>0</x:v>
      </x:c>
      <x:c r="L95" s="31" t="n">
        <x:v>19.969316706</x:v>
      </x:c>
      <x:c r="M95" s="31" t="n">
        <x:v>2.9167380599</x:v>
      </x:c>
      <x:c r="N95" s="24" t="str">
        <x:v>pomacanthus maculosus</x:v>
      </x:c>
      <x:c r="O95" s="32" t="n">
        <x:v>2.67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Pomacanthus maculosus</x:v>
      </x:c>
      <x:c r="T95" s="32" t="n">
        <x:f>IF(O95="","",(1/'Metadata'!$B$5)^(O95-1))</x:f>
        <x:v>46.77351412871981</x:v>
      </x:c>
      <x:c r="U95" s="31" t="n">
        <x:f>IF(T95="","",I95*T95)</x:f>
        <x:v>1070.461205943479</x:v>
      </x:c>
    </x:row>
    <x:row r="96" ht="18" customHeight="1">
      <x:c r="A96" s="24" t="str">
        <x:v>EEZ_683</x:v>
      </x:c>
      <x:c r="B96" s="24" t="str">
        <x:v>Saudi Arabia (Red Sea)</x:v>
      </x:c>
      <x:c r="C96" s="24" t="str">
        <x:v>EEZ</x:v>
      </x:c>
      <x:c r="D96" s="30" t="n">
        <x:v>2019</x:v>
      </x:c>
      <x:c r="E96" s="24" t="str">
        <x:v>Caranx melampygus</x:v>
      </x:c>
      <x:c r="F96" s="24" t="str">
        <x:v>Bluefin trevally</x:v>
      </x:c>
      <x:c r="G96" s="24" t="str">
        <x:v>Large reef assoc. fish (&gt;=90 cm)</x:v>
      </x:c>
      <x:c r="H96" s="24" t="str">
        <x:v>Perch-likes</x:v>
      </x:c>
      <x:c r="I96" s="31" t="n">
        <x:v>22.2435709699</x:v>
      </x:c>
      <x:c r="J96" s="31" t="n">
        <x:v>22.2435709699</x:v>
      </x:c>
      <x:c r="K96" s="31" t="n">
        <x:v>0</x:v>
      </x:c>
      <x:c r="L96" s="31" t="n">
        <x:v>19.450019597</x:v>
      </x:c>
      <x:c r="M96" s="31" t="n">
        <x:v>2.7935513729</x:v>
      </x:c>
      <x:c r="N96" s="24" t="str">
        <x:v>caranx melampygus</x:v>
      </x:c>
      <x:c r="O96" s="32" t="n">
        <x:v>4.49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Caranx melampygus</x:v>
      </x:c>
      <x:c r="T96" s="32" t="n">
        <x:f>IF(O96="","",(1/'Metadata'!$B$5)^(O96-1))</x:f>
        <x:v>3090.295432513592</x:v>
      </x:c>
      <x:c r="U96" s="31" t="n">
        <x:f>IF(T96="","",I96*T96)</x:f>
        <x:v>68739.20577107389</x:v>
      </x:c>
    </x:row>
    <x:row r="97" ht="18" customHeight="1">
      <x:c r="A97" s="24" t="str">
        <x:v>EEZ_683</x:v>
      </x:c>
      <x:c r="B97" s="24" t="str">
        <x:v>Saudi Arabia (Red Sea)</x:v>
      </x:c>
      <x:c r="C97" s="24" t="str">
        <x:v>EEZ</x:v>
      </x:c>
      <x:c r="D97" s="30" t="n">
        <x:v>2019</x:v>
      </x:c>
      <x:c r="E97" s="24" t="str">
        <x:v>Aethaloperca rogaa</x:v>
      </x:c>
      <x:c r="F97" s="24" t="str">
        <x:v>Redmouth grouper</x:v>
      </x:c>
      <x:c r="G97" s="24" t="str">
        <x:v>Medium reef assoc. fish (30 - 89 cm)</x:v>
      </x:c>
      <x:c r="H97" s="24" t="str">
        <x:v>Perch-likes</x:v>
      </x:c>
      <x:c r="I97" s="31" t="n">
        <x:v>21.7659346781</x:v>
      </x:c>
      <x:c r="J97" s="31" t="n">
        <x:v>21.7659346781</x:v>
      </x:c>
      <x:c r="K97" s="31" t="n">
        <x:v>0</x:v>
      </x:c>
      <x:c r="L97" s="31" t="n">
        <x:v>17.8994084017</x:v>
      </x:c>
      <x:c r="M97" s="31" t="n">
        <x:v>3.8665262764</x:v>
      </x:c>
      <x:c r="N97" s="24" t="str">
        <x:v>aethaloperca rogaa</x:v>
      </x:c>
      <x:c r="O97" s="32" t="n">
        <x:v>4.2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Aethaloperca rogaa</x:v>
      </x:c>
      <x:c r="T97" s="32" t="n">
        <x:f>IF(O97="","",(1/'Metadata'!$B$5)^(O97-1))</x:f>
        <x:v>1584.893192461114</x:v>
      </x:c>
      <x:c r="U97" s="31" t="n">
        <x:f>IF(T97="","",I97*T97)</x:f>
        <x:v>34496.68169887398</x:v>
      </x:c>
    </x:row>
    <x:row r="98" ht="18" customHeight="1">
      <x:c r="A98" s="24" t="str">
        <x:v>EEZ_683</x:v>
      </x:c>
      <x:c r="B98" s="24" t="str">
        <x:v>Saudi Arabia (Red Sea)</x:v>
      </x:c>
      <x:c r="C98" s="24" t="str">
        <x:v>EEZ</x:v>
      </x:c>
      <x:c r="D98" s="30" t="n">
        <x:v>2019</x:v>
      </x:c>
      <x:c r="E98" s="24" t="str">
        <x:v>Elagatis bipinnulata</x:v>
      </x:c>
      <x:c r="F98" s="24" t="str">
        <x:v>Rainbow runner</x:v>
      </x:c>
      <x:c r="G98" s="24" t="str">
        <x:v>Large pelagics (&gt;=90 cm)</x:v>
      </x:c>
      <x:c r="H98" s="24" t="str">
        <x:v>Perch-likes</x:v>
      </x:c>
      <x:c r="I98" s="31" t="n">
        <x:v>21.2764237391</x:v>
      </x:c>
      <x:c r="J98" s="31" t="n">
        <x:v>21.2764237391</x:v>
      </x:c>
      <x:c r="K98" s="31" t="n">
        <x:v>0</x:v>
      </x:c>
      <x:c r="L98" s="31" t="n">
        <x:v>19.0190000002</x:v>
      </x:c>
      <x:c r="M98" s="31" t="n">
        <x:v>2.2574237389</x:v>
      </x:c>
      <x:c r="N98" s="24" t="str">
        <x:v>elagatis bipinnulata</x:v>
      </x:c>
      <x:c r="O98" s="32" t="n">
        <x:v>4.27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Elagatis bipinnulata</x:v>
      </x:c>
      <x:c r="T98" s="32" t="n">
        <x:f>IF(O98="","",(1/'Metadata'!$B$5)^(O98-1))</x:f>
        <x:v>1862.0871366628655</x:v>
      </x:c>
      <x:c r="U98" s="31" t="n">
        <x:f>IF(T98="","",I98*T98)</x:f>
        <x:v>39618.55495876654</x:v>
      </x:c>
    </x:row>
    <x:row r="99" ht="18" customHeight="1">
      <x:c r="A99" s="24" t="str">
        <x:v>EEZ_683</x:v>
      </x:c>
      <x:c r="B99" s="24" t="str">
        <x:v>Saudi Arabia (Red Sea)</x:v>
      </x:c>
      <x:c r="C99" s="24" t="str">
        <x:v>EEZ</x:v>
      </x:c>
      <x:c r="D99" s="30" t="n">
        <x:v>2019</x:v>
      </x:c>
      <x:c r="E99" s="24" t="str">
        <x:v>Lethrinus harak</x:v>
      </x:c>
      <x:c r="F99" s="24" t="str">
        <x:v>Thumbprint emperor</x:v>
      </x:c>
      <x:c r="G99" s="24" t="str">
        <x:v>Medium reef assoc. fish (30 - 89 cm)</x:v>
      </x:c>
      <x:c r="H99" s="24" t="str">
        <x:v>Perch-likes</x:v>
      </x:c>
      <x:c r="I99" s="31" t="n">
        <x:v>20.051932601</x:v>
      </x:c>
      <x:c r="J99" s="31" t="n">
        <x:v>20.051932601</x:v>
      </x:c>
      <x:c r="K99" s="31" t="n">
        <x:v>0</x:v>
      </x:c>
      <x:c r="L99" s="31" t="n">
        <x:v>17.5782877292</x:v>
      </x:c>
      <x:c r="M99" s="31" t="n">
        <x:v>2.4736448718</x:v>
      </x:c>
      <x:c r="N99" s="24" t="str">
        <x:v>lethrinus harak</x:v>
      </x:c>
      <x:c r="O99" s="32" t="n">
        <x:v>3.59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Lethrinus harak</x:v>
      </x:c>
      <x:c r="T99" s="32" t="n">
        <x:f>IF(O99="","",(1/'Metadata'!$B$5)^(O99-1))</x:f>
        <x:v>389.04514499428046</x:v>
      </x:c>
      <x:c r="U99" s="31" t="n">
        <x:f>IF(T99="","",I99*T99)</x:f>
        <x:v>7801.107026171585</x:v>
      </x:c>
    </x:row>
    <x:row r="100" ht="18" customHeight="1">
      <x:c r="A100" s="24" t="str">
        <x:v>EEZ_683</x:v>
      </x:c>
      <x:c r="B100" s="24" t="str">
        <x:v>Saudi Arabia (Red Sea)</x:v>
      </x:c>
      <x:c r="C100" s="24" t="str">
        <x:v>EEZ</x:v>
      </x:c>
      <x:c r="D100" s="30" t="n">
        <x:v>2019</x:v>
      </x:c>
      <x:c r="E100" s="24" t="str">
        <x:v>Acanthuridae</x:v>
      </x:c>
      <x:c r="F100" s="24" t="str">
        <x:v>Surgeons, tangs, unicornfishes</x:v>
      </x:c>
      <x:c r="G100" s="24" t="str">
        <x:v>Small reef assoc. fish (&lt;30 cm)</x:v>
      </x:c>
      <x:c r="H100" s="24" t="str">
        <x:v>Perch-likes</x:v>
      </x:c>
      <x:c r="I100" s="31" t="n">
        <x:v>19.869193316199997</x:v>
      </x:c>
      <x:c r="J100" s="31" t="n">
        <x:v>19.869193316199997</x:v>
      </x:c>
      <x:c r="K100" s="31" t="n">
        <x:v>0</x:v>
      </x:c>
      <x:c r="L100" s="31" t="n">
        <x:v>17.6855295585</x:v>
      </x:c>
      <x:c r="M100" s="31" t="n">
        <x:v>2.1836637576999998</x:v>
      </x:c>
      <x:c r="N100" s="24" t="str">
        <x:v>acanthuridae</x:v>
      </x:c>
      <x:c r="O100" s="32" t="n">
        <x:v>2.28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Acanthuridae</x:v>
      </x:c>
      <x:c r="T100" s="32" t="n">
        <x:f>IF(O100="","",(1/'Metadata'!$B$5)^(O100-1))</x:f>
        <x:v>19.054607179632463</x:v>
      </x:c>
      <x:c r="U100" s="31" t="n">
        <x:f>IF(T100="","",I100*T100)</x:f>
        <x:v>378.5996736163698</x:v>
      </x:c>
    </x:row>
    <x:row r="101" ht="18" customHeight="1">
      <x:c r="A101" s="24" t="str">
        <x:v>EEZ_683</x:v>
      </x:c>
      <x:c r="B101" s="24" t="str">
        <x:v>Saudi Arabia (Red Sea)</x:v>
      </x:c>
      <x:c r="C101" s="24" t="str">
        <x:v>EEZ</x:v>
      </x:c>
      <x:c r="D101" s="30" t="n">
        <x:v>2019</x:v>
      </x:c>
      <x:c r="E101" s="24" t="str">
        <x:v>Scombroidei</x:v>
      </x:c>
      <x:c r="F101" s="24" t="str">
        <x:v>Tunas, bonitos, billfishes</x:v>
      </x:c>
      <x:c r="G101" s="24" t="str">
        <x:v>Large pelagics (&gt;=90 cm)</x:v>
      </x:c>
      <x:c r="H101" s="24" t="str">
        <x:v>Tuna &amp; billfishes</x:v>
      </x:c>
      <x:c r="I101" s="31" t="n">
        <x:v>18.8567674358</x:v>
      </x:c>
      <x:c r="J101" s="31" t="n">
        <x:v>18.8567674358</x:v>
      </x:c>
      <x:c r="K101" s="31" t="n">
        <x:v>0</x:v>
      </x:c>
      <x:c r="L101" s="31" t="n">
        <x:v>18.8567674358</x:v>
      </x:c>
      <x:c r="M101" s="31" t="n">
        <x:v>0</x:v>
      </x:c>
      <x:c r="N101" s="24" t="str">
        <x:v>scombroidei</x:v>
      </x:c>
      <x:c r="O101" s="32" t="n">
        <x:v>4.2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Scombroidei</x:v>
      </x:c>
      <x:c r="T101" s="32" t="n">
        <x:f>IF(O101="","",(1/'Metadata'!$B$5)^(O101-1))</x:f>
        <x:v>1584.893192461114</x:v>
      </x:c>
      <x:c r="U101" s="31" t="n">
        <x:f>IF(T101="","",I101*T101)</x:f>
        <x:v>29885.962340821836</x:v>
      </x:c>
    </x:row>
    <x:row r="102" ht="18" customHeight="1">
      <x:c r="A102" s="24" t="str">
        <x:v>EEZ_683</x:v>
      </x:c>
      <x:c r="B102" s="24" t="str">
        <x:v>Saudi Arabia (Red Sea)</x:v>
      </x:c>
      <x:c r="C102" s="24" t="str">
        <x:v>EEZ</x:v>
      </x:c>
      <x:c r="D102" s="30" t="n">
        <x:v>2019</x:v>
      </x:c>
      <x:c r="E102" s="24" t="str">
        <x:v>Clupeidae</x:v>
      </x:c>
      <x:c r="F102" s="24" t="str">
        <x:v>Herrings, sardines, menhadens</x:v>
      </x:c>
      <x:c r="G102" s="24" t="str">
        <x:v>Small pelagics (&lt;30 cm)</x:v>
      </x:c>
      <x:c r="H102" s="24" t="str">
        <x:v>Herring-likes</x:v>
      </x:c>
      <x:c r="I102" s="31" t="n">
        <x:v>18.727176346300002</x:v>
      </x:c>
      <x:c r="J102" s="31" t="n">
        <x:v>18.727176346300002</x:v>
      </x:c>
      <x:c r="K102" s="31" t="n">
        <x:v>0</x:v>
      </x:c>
      <x:c r="L102" s="31" t="n">
        <x:v>0</x:v>
      </x:c>
      <x:c r="M102" s="31" t="n">
        <x:v>18.727176346300002</x:v>
      </x:c>
      <x:c r="N102" s="24" t="str">
        <x:v>clupeidae</x:v>
      </x:c>
      <x:c r="O102" s="32" t="n">
        <x:v>3.16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Clupeidae</x:v>
      </x:c>
      <x:c r="T102" s="32" t="n">
        <x:f>IF(O102="","",(1/'Metadata'!$B$5)^(O102-1))</x:f>
        <x:v>144.5439770745928</x:v>
      </x:c>
      <x:c r="U102" s="31" t="n">
        <x:f>IF(T102="","",I102*T102)</x:f>
        <x:v>2706.900548471444</x:v>
      </x:c>
    </x:row>
    <x:row r="103" ht="18" customHeight="1">
      <x:c r="A103" s="24" t="str">
        <x:v>EEZ_683</x:v>
      </x:c>
      <x:c r="B103" s="24" t="str">
        <x:v>Saudi Arabia (Red Sea)</x:v>
      </x:c>
      <x:c r="C103" s="24" t="str">
        <x:v>EEZ</x:v>
      </x:c>
      <x:c r="D103" s="30" t="n">
        <x:v>2019</x:v>
      </x:c>
      <x:c r="E103" s="24" t="str">
        <x:v>Rachycentridae</x:v>
      </x:c>
      <x:c r="F103" s="24" t="str">
        <x:v>Cobias</x:v>
      </x:c>
      <x:c r="G103" s="24" t="str">
        <x:v>Large pelagics (&gt;=90 cm)</x:v>
      </x:c>
      <x:c r="H103" s="24" t="str">
        <x:v>Perch-likes</x:v>
      </x:c>
      <x:c r="I103" s="31" t="n">
        <x:v>18.2374349126</x:v>
      </x:c>
      <x:c r="J103" s="31" t="n">
        <x:v>18.2374349126</x:v>
      </x:c>
      <x:c r="K103" s="31" t="n">
        <x:v>0</x:v>
      </x:c>
      <x:c r="L103" s="31" t="n">
        <x:v>0</x:v>
      </x:c>
      <x:c r="M103" s="31" t="n">
        <x:v>18.2374349126</x:v>
      </x:c>
      <x:c r="N103" s="24" t="str">
        <x:v>rachycentridae</x:v>
      </x:c>
      <x:c r="O103" s="32" t="n">
        <x:v>3.96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Rachycentridae</x:v>
      </x:c>
      <x:c r="T103" s="32" t="n">
        <x:f>IF(O103="","",(1/'Metadata'!$B$5)^(O103-1))</x:f>
        <x:v>912.0108393559096</x:v>
      </x:c>
      <x:c r="U103" s="31" t="n">
        <x:f>IF(T103="","",I103*T103)</x:f>
        <x:v>16632.738322339097</x:v>
      </x:c>
    </x:row>
    <x:row r="104" ht="18" customHeight="1">
      <x:c r="A104" s="24" t="str">
        <x:v>EEZ_683</x:v>
      </x:c>
      <x:c r="B104" s="24" t="str">
        <x:v>Saudi Arabia (Red Sea)</x:v>
      </x:c>
      <x:c r="C104" s="24" t="str">
        <x:v>EEZ</x:v>
      </x:c>
      <x:c r="D104" s="30" t="n">
        <x:v>2019</x:v>
      </x:c>
      <x:c r="E104" s="24" t="str">
        <x:v>Diagramma pictum</x:v>
      </x:c>
      <x:c r="F104" s="24" t="str">
        <x:v>Painted sweetlips</x:v>
      </x:c>
      <x:c r="G104" s="24" t="str">
        <x:v>Large reef assoc. fish (&gt;=90 cm)</x:v>
      </x:c>
      <x:c r="H104" s="24" t="str">
        <x:v>Perch-likes</x:v>
      </x:c>
      <x:c r="I104" s="31" t="n">
        <x:v>17.2899996136</x:v>
      </x:c>
      <x:c r="J104" s="31" t="n">
        <x:v>17.2899996136</x:v>
      </x:c>
      <x:c r="K104" s="31" t="n">
        <x:v>0</x:v>
      </x:c>
      <x:c r="L104" s="31" t="n">
        <x:v>14.8650472944</x:v>
      </x:c>
      <x:c r="M104" s="31" t="n">
        <x:v>2.4249523192</x:v>
      </x:c>
      <x:c r="N104" s="24" t="str">
        <x:v>diagramma pictum</x:v>
      </x:c>
      <x:c r="O104" s="32" t="n">
        <x:v>3.7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Diagramma pictum</x:v>
      </x:c>
      <x:c r="T104" s="32" t="n">
        <x:f>IF(O104="","",(1/'Metadata'!$B$5)^(O104-1))</x:f>
        <x:v>501.18723362727246</x:v>
      </x:c>
      <x:c r="U104" s="31" t="n">
        <x:f>IF(T104="","",I104*T104)</x:f>
        <x:v>8665.527075756794</x:v>
      </x:c>
    </x:row>
    <x:row r="105" ht="18" customHeight="1">
      <x:c r="A105" s="24" t="str">
        <x:v>EEZ_683</x:v>
      </x:c>
      <x:c r="B105" s="24" t="str">
        <x:v>Saudi Arabia (Red Sea)</x:v>
      </x:c>
      <x:c r="C105" s="24" t="str">
        <x:v>EEZ</x:v>
      </x:c>
      <x:c r="D105" s="30" t="n">
        <x:v>2019</x:v>
      </x:c>
      <x:c r="E105" s="24" t="str">
        <x:v>Maculabatis gerrardi</x:v>
      </x:c>
      <x:c r="F105" s="24" t="str">
        <x:v>Sharpnose stingray</x:v>
      </x:c>
      <x:c r="G105" s="24" t="str">
        <x:v>Large rays (&gt;=90 cm)</x:v>
      </x:c>
      <x:c r="H105" s="24" t="str">
        <x:v>Sharks &amp; rays</x:v>
      </x:c>
      <x:c r="I105" s="31" t="n">
        <x:v>16.1547957056</x:v>
      </x:c>
      <x:c r="J105" s="31" t="n">
        <x:v>16.1547957056</x:v>
      </x:c>
      <x:c r="K105" s="31" t="n">
        <x:v>0</x:v>
      </x:c>
      <x:c r="L105" s="31" t="n">
        <x:v>16.1547957056</x:v>
      </x:c>
      <x:c r="M105" s="31" t="n">
        <x:v>0</x:v>
      </x:c>
      <x:c r="N105" s="24" t="str">
        <x:v>maculabatis gerrardi</x:v>
      </x:c>
      <x:c r="O105" s="32" t="n">
        <x:v>3.73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Maculabatis gerrardi</x:v>
      </x:c>
      <x:c r="T105" s="32" t="n">
        <x:f>IF(O105="","",(1/'Metadata'!$B$5)^(O105-1))</x:f>
        <x:v>537.0317963702527</x:v>
      </x:c>
      <x:c r="U105" s="31" t="n">
        <x:f>IF(T105="","",I105*T105)</x:f>
        <x:v>8675.638957772811</x:v>
      </x:c>
    </x:row>
    <x:row r="106" ht="18" customHeight="1">
      <x:c r="A106" s="24" t="str">
        <x:v>EEZ_683</x:v>
      </x:c>
      <x:c r="B106" s="24" t="str">
        <x:v>Saudi Arabia (Red Sea)</x:v>
      </x:c>
      <x:c r="C106" s="24" t="str">
        <x:v>EEZ</x:v>
      </x:c>
      <x:c r="D106" s="30" t="n">
        <x:v>2019</x:v>
      </x:c>
      <x:c r="E106" s="24" t="str">
        <x:v>Caesionidae</x:v>
      </x:c>
      <x:c r="F106" s="24" t="str">
        <x:v>Fusiliers</x:v>
      </x:c>
      <x:c r="G106" s="24" t="str">
        <x:v>Medium reef assoc. fish (30 - 89 cm)</x:v>
      </x:c>
      <x:c r="H106" s="24" t="str">
        <x:v>Perch-likes</x:v>
      </x:c>
      <x:c r="I106" s="31" t="n">
        <x:v>15.7840746925</x:v>
      </x:c>
      <x:c r="J106" s="31" t="n">
        <x:v>15.7840746925</x:v>
      </x:c>
      <x:c r="K106" s="31" t="n">
        <x:v>0</x:v>
      </x:c>
      <x:c r="L106" s="31" t="n">
        <x:v>15.72571</x:v>
      </x:c>
      <x:c r="M106" s="31" t="n">
        <x:v>0.058364692499999996</x:v>
      </x:c>
      <x:c r="N106" s="24" t="str">
        <x:v>caesionidae</x:v>
      </x:c>
      <x:c r="O106" s="32" t="n">
        <x:v>3.39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Caesionidae</x:v>
      </x:c>
      <x:c r="T106" s="32" t="n">
        <x:f>IF(O106="","",(1/'Metadata'!$B$5)^(O106-1))</x:f>
        <x:v>245.4708915685031</x:v>
      </x:c>
      <x:c r="U106" s="31" t="n">
        <x:f>IF(T106="","",I106*T106)</x:f>
        <x:v>3874.5308873518215</x:v>
      </x:c>
    </x:row>
    <x:row r="107" ht="18" customHeight="1">
      <x:c r="A107" s="24" t="str">
        <x:v>EEZ_683</x:v>
      </x:c>
      <x:c r="B107" s="24" t="str">
        <x:v>Saudi Arabia (Red Sea)</x:v>
      </x:c>
      <x:c r="C107" s="24" t="str">
        <x:v>EEZ</x:v>
      </x:c>
      <x:c r="D107" s="30" t="n">
        <x:v>2019</x:v>
      </x:c>
      <x:c r="E107" s="24" t="str">
        <x:v>Epinephelus morrhua</x:v>
      </x:c>
      <x:c r="F107" s="24" t="str">
        <x:v>Comet grouper</x:v>
      </x:c>
      <x:c r="G107" s="24" t="str">
        <x:v>Medium demersals (30 - 89 cm)</x:v>
      </x:c>
      <x:c r="H107" s="24" t="str">
        <x:v>Perch-likes</x:v>
      </x:c>
      <x:c r="I107" s="31" t="n">
        <x:v>14.6522181818</x:v>
      </x:c>
      <x:c r="J107" s="31" t="n">
        <x:v>14.6522181818</x:v>
      </x:c>
      <x:c r="K107" s="31" t="n">
        <x:v>0</x:v>
      </x:c>
      <x:c r="L107" s="31" t="n">
        <x:v>11.9671303794</x:v>
      </x:c>
      <x:c r="M107" s="31" t="n">
        <x:v>2.6850878024</x:v>
      </x:c>
      <x:c r="N107" s="24" t="str">
        <x:v>epinephelus morrhua</x:v>
      </x:c>
      <x:c r="O107" s="32" t="n">
        <x:v>3.97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Epinephelus morrhua</x:v>
      </x:c>
      <x:c r="T107" s="32" t="n">
        <x:f>IF(O107="","",(1/'Metadata'!$B$5)^(O107-1))</x:f>
        <x:v>933.2543007969915</x:v>
      </x:c>
      <x:c r="U107" s="31" t="n">
        <x:f>IF(T107="","",I107*T107)</x:f>
        <x:v>13674.245634380726</x:v>
      </x:c>
    </x:row>
    <x:row r="108" ht="18" customHeight="1">
      <x:c r="A108" s="24" t="str">
        <x:v>EEZ_683</x:v>
      </x:c>
      <x:c r="B108" s="24" t="str">
        <x:v>Saudi Arabia (Red Sea)</x:v>
      </x:c>
      <x:c r="C108" s="24" t="str">
        <x:v>EEZ</x:v>
      </x:c>
      <x:c r="D108" s="30" t="n">
        <x:v>2019</x:v>
      </x:c>
      <x:c r="E108" s="24" t="str">
        <x:v>Teuthida</x:v>
      </x:c>
      <x:c r="F108" s="24" t="str">
        <x:v>Squids</x:v>
      </x:c>
      <x:c r="G108" s="24" t="str">
        <x:v>Cephalopods</x:v>
      </x:c>
      <x:c r="H108" s="24" t="str">
        <x:v>Other fishes &amp; inverts</x:v>
      </x:c>
      <x:c r="I108" s="31" t="n">
        <x:v>14.564986074499998</x:v>
      </x:c>
      <x:c r="J108" s="31" t="n">
        <x:v>14.564986074499998</x:v>
      </x:c>
      <x:c r="K108" s="31" t="n">
        <x:v>0</x:v>
      </x:c>
      <x:c r="L108" s="31" t="n">
        <x:v>14.5620219612</x:v>
      </x:c>
      <x:c r="M108" s="31" t="n">
        <x:v>0.0029641133</x:v>
      </x:c>
      <x:c r="N108" s="24" t="str">
        <x:v>teuthida</x:v>
      </x:c>
      <x:c r="O108" s="32" t="n">
        <x:v>4.13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Teuthida</x:v>
      </x:c>
      <x:c r="T108" s="32" t="n">
        <x:f>IF(O108="","",(1/'Metadata'!$B$5)^(O108-1))</x:f>
        <x:v>1348.9628825916532</x:v>
      </x:c>
      <x:c r="U108" s="31" t="n">
        <x:f>IF(T108="","",I108*T108)</x:f>
        <x:v>19647.625599964806</x:v>
      </x:c>
    </x:row>
    <x:row r="109" ht="18" customHeight="1">
      <x:c r="A109" s="24" t="str">
        <x:v>EEZ_683</x:v>
      </x:c>
      <x:c r="B109" s="24" t="str">
        <x:v>Saudi Arabia (Red Sea)</x:v>
      </x:c>
      <x:c r="C109" s="24" t="str">
        <x:v>EEZ</x:v>
      </x:c>
      <x:c r="D109" s="30" t="n">
        <x:v>2019</x:v>
      </x:c>
      <x:c r="E109" s="24" t="str">
        <x:v>Lethrinus xanthochilus</x:v>
      </x:c>
      <x:c r="F109" s="24" t="str">
        <x:v>Yellowlip emperor</x:v>
      </x:c>
      <x:c r="G109" s="24" t="str">
        <x:v>Medium reef assoc. fish (30 - 89 cm)</x:v>
      </x:c>
      <x:c r="H109" s="24" t="str">
        <x:v>Perch-likes</x:v>
      </x:c>
      <x:c r="I109" s="31" t="n">
        <x:v>13.3110365316</x:v>
      </x:c>
      <x:c r="J109" s="31" t="n">
        <x:v>13.3110365316</x:v>
      </x:c>
      <x:c r="K109" s="31" t="n">
        <x:v>0</x:v>
      </x:c>
      <x:c r="L109" s="31" t="n">
        <x:v>11.249665218199999</x:v>
      </x:c>
      <x:c r="M109" s="31" t="n">
        <x:v>2.0613713134</x:v>
      </x:c>
      <x:c r="N109" s="24" t="str">
        <x:v>lethrinus xanthochilus</x:v>
      </x:c>
      <x:c r="O109" s="32" t="n">
        <x:v>3.78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Lethrinus xanthochilus</x:v>
      </x:c>
      <x:c r="T109" s="32" t="n">
        <x:f>IF(O109="","",(1/'Metadata'!$B$5)^(O109-1))</x:f>
        <x:v>602.5595860743575</x:v>
      </x:c>
      <x:c r="U109" s="31" t="n">
        <x:f>IF(T109="","",I109*T109)</x:f>
        <x:v>8020.692662701547</x:v>
      </x:c>
    </x:row>
    <x:row r="110" ht="18" customHeight="1">
      <x:c r="A110" s="24" t="str">
        <x:v>EEZ_683</x:v>
      </x:c>
      <x:c r="B110" s="24" t="str">
        <x:v>Saudi Arabia (Red Sea)</x:v>
      </x:c>
      <x:c r="C110" s="24" t="str">
        <x:v>EEZ</x:v>
      </x:c>
      <x:c r="D110" s="30" t="n">
        <x:v>2019</x:v>
      </x:c>
      <x:c r="E110" s="24" t="str">
        <x:v>Lutjanus kasmira</x:v>
      </x:c>
      <x:c r="F110" s="24" t="str">
        <x:v>Common bluestripe snapper</x:v>
      </x:c>
      <x:c r="G110" s="24" t="str">
        <x:v>Medium reef assoc. fish (30 - 89 cm)</x:v>
      </x:c>
      <x:c r="H110" s="24" t="str">
        <x:v>Perch-likes</x:v>
      </x:c>
      <x:c r="I110" s="31" t="n">
        <x:v>10.8250043326</x:v>
      </x:c>
      <x:c r="J110" s="31" t="n">
        <x:v>10.8250043326</x:v>
      </x:c>
      <x:c r="K110" s="31" t="n">
        <x:v>0</x:v>
      </x:c>
      <x:c r="L110" s="31" t="n">
        <x:v>8.8685217336</x:v>
      </x:c>
      <x:c r="M110" s="31" t="n">
        <x:v>1.956482599</x:v>
      </x:c>
      <x:c r="N110" s="24" t="str">
        <x:v>lutjanus kasmira</x:v>
      </x:c>
      <x:c r="O110" s="32" t="n">
        <x:v>3.87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Lutjanus kasmira</x:v>
      </x:c>
      <x:c r="T110" s="32" t="n">
        <x:f>IF(O110="","",(1/'Metadata'!$B$5)^(O110-1))</x:f>
        <x:v>741.3102413009177</x:v>
      </x:c>
      <x:c r="U110" s="31" t="n">
        <x:f>IF(T110="","",I110*T110)</x:f>
        <x:v>8024.686573883187</x:v>
      </x:c>
    </x:row>
    <x:row r="111" ht="18" customHeight="1">
      <x:c r="A111" s="24" t="str">
        <x:v>EEZ_683</x:v>
      </x:c>
      <x:c r="B111" s="24" t="str">
        <x:v>Saudi Arabia (Red Sea)</x:v>
      </x:c>
      <x:c r="C111" s="24" t="str">
        <x:v>EEZ</x:v>
      </x:c>
      <x:c r="D111" s="30" t="n">
        <x:v>2019</x:v>
      </x:c>
      <x:c r="E111" s="24" t="str">
        <x:v>Scomberoides lysan</x:v>
      </x:c>
      <x:c r="F111" s="24" t="str">
        <x:v>Doublespotted queenfish</x:v>
      </x:c>
      <x:c r="G111" s="24" t="str">
        <x:v>Medium reef assoc. fish (30 - 89 cm)</x:v>
      </x:c>
      <x:c r="H111" s="24" t="str">
        <x:v>Perch-likes</x:v>
      </x:c>
      <x:c r="I111" s="31" t="n">
        <x:v>9.1405872324</x:v>
      </x:c>
      <x:c r="J111" s="31" t="n">
        <x:v>9.1405872324</x:v>
      </x:c>
      <x:c r="K111" s="31" t="n">
        <x:v>0</x:v>
      </x:c>
      <x:c r="L111" s="31" t="n">
        <x:v>7.9024379867</x:v>
      </x:c>
      <x:c r="M111" s="31" t="n">
        <x:v>1.2381492456999998</x:v>
      </x:c>
      <x:c r="N111" s="24" t="str">
        <x:v>scomberoides lysan</x:v>
      </x:c>
      <x:c r="O111" s="32" t="n">
        <x:v>4.38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Scomberoides lysan</x:v>
      </x:c>
      <x:c r="T111" s="32" t="n">
        <x:f>IF(O111="","",(1/'Metadata'!$B$5)^(O111-1))</x:f>
        <x:v>2398.83291901949</x:v>
      </x:c>
      <x:c r="U111" s="31" t="n">
        <x:f>IF(T111="","",I111*T111)</x:f>
        <x:v>21926.741552250372</x:v>
      </x:c>
    </x:row>
    <x:row r="112" ht="18" customHeight="1">
      <x:c r="A112" s="24" t="str">
        <x:v>EEZ_683</x:v>
      </x:c>
      <x:c r="B112" s="24" t="str">
        <x:v>Saudi Arabia (Red Sea)</x:v>
      </x:c>
      <x:c r="C112" s="24" t="str">
        <x:v>EEZ</x:v>
      </x:c>
      <x:c r="D112" s="30" t="n">
        <x:v>2019</x:v>
      </x:c>
      <x:c r="E112" s="24" t="str">
        <x:v>Gerres</x:v>
      </x:c>
      <x:c r="F112" s="24" t="str">
        <x:v>Silver biddies</x:v>
      </x:c>
      <x:c r="G112" s="24" t="str">
        <x:v>Small benthopelagics (&lt;30 cm)</x:v>
      </x:c>
      <x:c r="H112" s="24" t="str">
        <x:v>Perch-likes</x:v>
      </x:c>
      <x:c r="I112" s="31" t="n">
        <x:v>9.0118540714</x:v>
      </x:c>
      <x:c r="J112" s="31" t="n">
        <x:v>9.0118540714</x:v>
      </x:c>
      <x:c r="K112" s="31" t="n">
        <x:v>0</x:v>
      </x:c>
      <x:c r="L112" s="31" t="n">
        <x:v>8.0213886785</x:v>
      </x:c>
      <x:c r="M112" s="31" t="n">
        <x:v>0.9904653929</x:v>
      </x:c>
      <x:c r="N112" s="24" t="str">
        <x:v>gerres</x:v>
      </x:c>
      <x:c r="O112" s="32" t="n">
        <x:v>3.27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Gerres</x:v>
      </x:c>
      <x:c r="T112" s="32" t="n">
        <x:f>IF(O112="","",(1/'Metadata'!$B$5)^(O112-1))</x:f>
        <x:v>186.20871366628674</x:v>
      </x:c>
      <x:c r="U112" s="31" t="n">
        <x:f>IF(T112="","",I112*T112)</x:f>
        <x:v>1678.085754383683</x:v>
      </x:c>
    </x:row>
    <x:row r="113" ht="18" customHeight="1">
      <x:c r="A113" s="24" t="str">
        <x:v>EEZ_683</x:v>
      </x:c>
      <x:c r="B113" s="24" t="str">
        <x:v>Saudi Arabia (Red Sea)</x:v>
      </x:c>
      <x:c r="C113" s="24" t="str">
        <x:v>EEZ</x:v>
      </x:c>
      <x:c r="D113" s="30" t="n">
        <x:v>2019</x:v>
      </x:c>
      <x:c r="E113" s="24" t="str">
        <x:v>Scombridae</x:v>
      </x:c>
      <x:c r="F113" s="24" t="str">
        <x:v>Mackerels, tunas, bonitos</x:v>
      </x:c>
      <x:c r="G113" s="24" t="str">
        <x:v>Medium pelagics (30 - 89 cm)</x:v>
      </x:c>
      <x:c r="H113" s="24" t="str">
        <x:v>Perch-likes</x:v>
      </x:c>
      <x:c r="I113" s="31" t="n">
        <x:v>8.367048413500001</x:v>
      </x:c>
      <x:c r="J113" s="31" t="n">
        <x:v>8.367048413500001</x:v>
      </x:c>
      <x:c r="K113" s="31" t="n">
        <x:v>0</x:v>
      </x:c>
      <x:c r="L113" s="31" t="n">
        <x:v>0</x:v>
      </x:c>
      <x:c r="M113" s="31" t="n">
        <x:v>8.367048413500001</x:v>
      </x:c>
      <x:c r="N113" s="24" t="str">
        <x:v>scombridae</x:v>
      </x:c>
      <x:c r="O113" s="32" t="n">
        <x:v>4.26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Scombridae</x:v>
      </x:c>
      <x:c r="T113" s="32" t="n">
        <x:f>IF(O113="","",(1/'Metadata'!$B$5)^(O113-1))</x:f>
        <x:v>1819.7008586099826</x:v>
      </x:c>
      <x:c r="U113" s="31" t="n">
        <x:f>IF(T113="","",I113*T113)</x:f>
        <x:v>15225.525182077245</x:v>
      </x:c>
    </x:row>
    <x:row r="114" ht="18" customHeight="1">
      <x:c r="A114" s="24" t="str">
        <x:v>EEZ_683</x:v>
      </x:c>
      <x:c r="B114" s="24" t="str">
        <x:v>Saudi Arabia (Red Sea)</x:v>
      </x:c>
      <x:c r="C114" s="24" t="str">
        <x:v>EEZ</x:v>
      </x:c>
      <x:c r="D114" s="30" t="n">
        <x:v>2019</x:v>
      </x:c>
      <x:c r="E114" s="24" t="str">
        <x:v>Crenidens crenidens</x:v>
      </x:c>
      <x:c r="F114" s="24" t="str">
        <x:v>Karanteen seabream</x:v>
      </x:c>
      <x:c r="G114" s="24" t="str">
        <x:v>Small demersals (&lt;30 cm)</x:v>
      </x:c>
      <x:c r="H114" s="24" t="str">
        <x:v>Perch-likes</x:v>
      </x:c>
      <x:c r="I114" s="31" t="n">
        <x:v>4.4961903926</x:v>
      </x:c>
      <x:c r="J114" s="31" t="n">
        <x:v>4.4961903926</x:v>
      </x:c>
      <x:c r="K114" s="31" t="n">
        <x:v>0</x:v>
      </x:c>
      <x:c r="L114" s="31" t="n">
        <x:v>4.1663702683</x:v>
      </x:c>
      <x:c r="M114" s="31" t="n">
        <x:v>0.3298201243</x:v>
      </x:c>
      <x:c r="N114" s="24" t="str">
        <x:v>crenidens crenidens</x:v>
      </x:c>
      <x:c r="O114" s="32" t="n">
        <x:v>2.8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Crenidens crenidens</x:v>
      </x:c>
      <x:c r="T114" s="32" t="n">
        <x:f>IF(O114="","",(1/'Metadata'!$B$5)^(O114-1))</x:f>
        <x:v>63.0957344480193</x:v>
      </x:c>
      <x:c r="U114" s="31" t="n">
        <x:f>IF(T114="","",I114*T114)</x:f>
        <x:v>283.69043503922524</x:v>
      </x:c>
    </x:row>
    <x:row r="115" ht="18" customHeight="1">
      <x:c r="A115" s="24" t="str">
        <x:v>EEZ_683</x:v>
      </x:c>
      <x:c r="B115" s="24" t="str">
        <x:v>Saudi Arabia (Red Sea)</x:v>
      </x:c>
      <x:c r="C115" s="24" t="str">
        <x:v>EEZ</x:v>
      </x:c>
      <x:c r="D115" s="30" t="n">
        <x:v>2019</x:v>
      </x:c>
      <x:c r="E115" s="24" t="str">
        <x:v>Acanthopagrus berda</x:v>
      </x:c>
      <x:c r="F115" s="24" t="str">
        <x:v>Goldsilk seabream</x:v>
      </x:c>
      <x:c r="G115" s="24" t="str">
        <x:v>Medium demersals (30 - 89 cm)</x:v>
      </x:c>
      <x:c r="H115" s="24" t="str">
        <x:v>Perch-likes</x:v>
      </x:c>
      <x:c r="I115" s="31" t="n">
        <x:v>3.5378515322</x:v>
      </x:c>
      <x:c r="J115" s="31" t="n">
        <x:v>3.5378515322</x:v>
      </x:c>
      <x:c r="K115" s="31" t="n">
        <x:v>0</x:v>
      </x:c>
      <x:c r="L115" s="31" t="n">
        <x:v>3.2928425604</x:v>
      </x:c>
      <x:c r="M115" s="31" t="n">
        <x:v>0.2450089718</x:v>
      </x:c>
      <x:c r="N115" s="24" t="str">
        <x:v>acanthopagrus berda</x:v>
      </x:c>
      <x:c r="O115" s="32" t="n">
        <x:v>3.48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Acanthopagrus berda</x:v>
      </x:c>
      <x:c r="T115" s="32" t="n">
        <x:f>IF(O115="","",(1/'Metadata'!$B$5)^(O115-1))</x:f>
        <x:v>301.9951720402016</x:v>
      </x:c>
      <x:c r="U115" s="31" t="n">
        <x:f>IF(T115="","",I115*T115)</x:f>
        <x:v>1068.4140821194298</x:v>
      </x:c>
    </x:row>
    <x:row r="116" ht="18" customHeight="1">
      <x:c r="A116" s="24" t="str">
        <x:v>EEZ_683</x:v>
      </x:c>
      <x:c r="B116" s="24" t="str">
        <x:v>Saudi Arabia (Red Sea)</x:v>
      </x:c>
      <x:c r="C116" s="24" t="str">
        <x:v>EEZ</x:v>
      </x:c>
      <x:c r="D116" s="30" t="n">
        <x:v>2019</x:v>
      </x:c>
      <x:c r="E116" s="24" t="str">
        <x:v>Hemiramphidae</x:v>
      </x:c>
      <x:c r="F116" s="24" t="str">
        <x:v>Halfbeaks, garfishes</x:v>
      </x:c>
      <x:c r="G116" s="24" t="str">
        <x:v>Medium pelagics (30 - 89 cm)</x:v>
      </x:c>
      <x:c r="H116" s="24" t="str">
        <x:v>Other fishes &amp; inverts</x:v>
      </x:c>
      <x:c r="I116" s="31" t="n">
        <x:v>2.4740684294</x:v>
      </x:c>
      <x:c r="J116" s="31" t="n">
        <x:v>2.4740684294</x:v>
      </x:c>
      <x:c r="K116" s="31" t="n">
        <x:v>0</x:v>
      </x:c>
      <x:c r="L116" s="31" t="n">
        <x:v>2.4740684294</x:v>
      </x:c>
      <x:c r="M116" s="31" t="n">
        <x:v>0</x:v>
      </x:c>
      <x:c r="N116" s="24" t="str">
        <x:v>hemiramphidae</x:v>
      </x:c>
      <x:c r="O116" s="32" t="n">
        <x:v>2.82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Hemiramphidae</x:v>
      </x:c>
      <x:c r="T116" s="32" t="n">
        <x:f>IF(O116="","",(1/'Metadata'!$B$5)^(O116-1))</x:f>
        <x:v>66.06934480075958</x:v>
      </x:c>
      <x:c r="U116" s="31" t="n">
        <x:f>IF(T116="","",I116*T116)</x:f>
        <x:v>163.4600801227023</x:v>
      </x:c>
    </x:row>
    <x:row r="117" ht="18" customHeight="1">
      <x:c r="A117" s="24" t="str">
        <x:v>EEZ_683</x:v>
      </x:c>
      <x:c r="B117" s="24" t="str">
        <x:v>Saudi Arabia (Red Sea)</x:v>
      </x:c>
      <x:c r="C117" s="24" t="str">
        <x:v>EEZ</x:v>
      </x:c>
      <x:c r="D117" s="30" t="n">
        <x:v>2019</x:v>
      </x:c>
      <x:c r="E117" s="24" t="str">
        <x:v>Ephippidae</x:v>
      </x:c>
      <x:c r="F117" s="24" t="str">
        <x:v>Spade-, batfishes, scats</x:v>
      </x:c>
      <x:c r="G117" s="24" t="str">
        <x:v>Medium reef assoc. fish (30 - 89 cm)</x:v>
      </x:c>
      <x:c r="H117" s="24" t="str">
        <x:v>Perch-likes</x:v>
      </x:c>
      <x:c r="I117" s="31" t="n">
        <x:v>2.2044612969</x:v>
      </x:c>
      <x:c r="J117" s="31" t="n">
        <x:v>2.2044612969</x:v>
      </x:c>
      <x:c r="K117" s="31" t="n">
        <x:v>0</x:v>
      </x:c>
      <x:c r="L117" s="31" t="n">
        <x:v>1.9617225769</x:v>
      </x:c>
      <x:c r="M117" s="31" t="n">
        <x:v>0.24273872000000002</x:v>
      </x:c>
      <x:c r="N117" s="24" t="str">
        <x:v>ephippidae</x:v>
      </x:c>
      <x:c r="O117" s="32" t="n">
        <x:v>3.57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Ephippidae</x:v>
      </x:c>
      <x:c r="T117" s="32" t="n">
        <x:f>IF(O117="","",(1/'Metadata'!$B$5)^(O117-1))</x:f>
        <x:v>371.5352290971724</x:v>
      </x:c>
      <x:c r="U117" s="31" t="n">
        <x:f>IF(T117="","",I117*T117)</x:f>
        <x:v>819.0350329795913</x:v>
      </x:c>
    </x:row>
    <x:row r="118" ht="18" customHeight="1">
      <x:c r="A118" s="24" t="str">
        <x:v>EEZ_683</x:v>
      </x:c>
      <x:c r="B118" s="24" t="str">
        <x:v>Saudi Arabia (Red Sea)</x:v>
      </x:c>
      <x:c r="C118" s="24" t="str">
        <x:v>EEZ</x:v>
      </x:c>
      <x:c r="D118" s="30" t="n">
        <x:v>2019</x:v>
      </x:c>
      <x:c r="E118" s="24" t="str">
        <x:v>Balistidae</x:v>
      </x:c>
      <x:c r="F118" s="24" t="str">
        <x:v>Triggerfishes</x:v>
      </x:c>
      <x:c r="G118" s="24" t="str">
        <x:v>Medium reef assoc. fish (30 - 89 cm)</x:v>
      </x:c>
      <x:c r="H118" s="24" t="str">
        <x:v>Other fishes &amp; inverts</x:v>
      </x:c>
      <x:c r="I118" s="31" t="n">
        <x:v>1.2808153981000001</x:v>
      </x:c>
      <x:c r="J118" s="31" t="n">
        <x:v>1.2808153981000001</x:v>
      </x:c>
      <x:c r="K118" s="31" t="n">
        <x:v>0</x:v>
      </x:c>
      <x:c r="L118" s="31" t="n">
        <x:v>0</x:v>
      </x:c>
      <x:c r="M118" s="31" t="n">
        <x:v>1.2808153981000001</x:v>
      </x:c>
      <x:c r="N118" s="24" t="str">
        <x:v>balistidae</x:v>
      </x:c>
      <x:c r="O118" s="32" t="n">
        <x:v>3.25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Balistidae</x:v>
      </x:c>
      <x:c r="T118" s="32" t="n">
        <x:f>IF(O118="","",(1/'Metadata'!$B$5)^(O118-1))</x:f>
        <x:v>177.82794100389228</x:v>
      </x:c>
      <x:c r="U118" s="31" t="n">
        <x:f>IF(T118="","",I118*T118)</x:f>
        <x:v>227.7647650502036</x:v>
      </x:c>
    </x:row>
    <x:row r="119" ht="18" customHeight="1">
      <x:c r="A119" s="24" t="str">
        <x:v>EEZ_683</x:v>
      </x:c>
      <x:c r="B119" s="24" t="str">
        <x:v>Saudi Arabia (Red Sea)</x:v>
      </x:c>
      <x:c r="C119" s="24" t="str">
        <x:v>EEZ</x:v>
      </x:c>
      <x:c r="D119" s="30" t="n">
        <x:v>2019</x:v>
      </x:c>
      <x:c r="E119" s="24" t="str">
        <x:v>Hemiramphus</x:v>
      </x:c>
      <x:c r="F119" s="24" t="str">
        <x:v>Halfbeaks</x:v>
      </x:c>
      <x:c r="G119" s="24" t="str">
        <x:v>Medium pelagics (30 - 89 cm)</x:v>
      </x:c>
      <x:c r="H119" s="24" t="str">
        <x:v>Other fishes &amp; inverts</x:v>
      </x:c>
      <x:c r="I119" s="31" t="n">
        <x:v>1.2300719045</x:v>
      </x:c>
      <x:c r="J119" s="31" t="n">
        <x:v>1.2300719045</x:v>
      </x:c>
      <x:c r="K119" s="31" t="n">
        <x:v>0</x:v>
      </x:c>
      <x:c r="L119" s="31" t="n">
        <x:v>0</x:v>
      </x:c>
      <x:c r="M119" s="31" t="n">
        <x:v>1.2300719045</x:v>
      </x:c>
      <x:c r="N119" s="24" t="str">
        <x:v>hemiramphus</x:v>
      </x:c>
      <x:c r="O119" s="32" t="n">
        <x:v>3.05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Hemiramphus</x:v>
      </x:c>
      <x:c r="T119" s="32" t="n">
        <x:f>IF(O119="","",(1/'Metadata'!$B$5)^(O119-1))</x:f>
        <x:v>112.2018454301963</x:v>
      </x:c>
      <x:c r="U119" s="31" t="n">
        <x:f>IF(T119="","",I119*T119)</x:f>
        <x:v>138.01633769673617</x:v>
      </x:c>
    </x:row>
    <x:row r="120" ht="18" customHeight="1">
      <x:c r="A120" s="24" t="str">
        <x:v>EEZ_683</x:v>
      </x:c>
      <x:c r="B120" s="24" t="str">
        <x:v>Saudi Arabia (Red Sea)</x:v>
      </x:c>
      <x:c r="C120" s="24" t="str">
        <x:v>EEZ</x:v>
      </x:c>
      <x:c r="D120" s="30" t="n">
        <x:v>2019</x:v>
      </x:c>
      <x:c r="E120" s="24" t="str">
        <x:v>Plectorhinchus pictus</x:v>
      </x:c>
      <x:c r="F120" s="24" t="str">
        <x:v>Trout sweetlips</x:v>
      </x:c>
      <x:c r="G120" s="24" t="str">
        <x:v>Medium reef assoc. fish (30 - 89 cm)</x:v>
      </x:c>
      <x:c r="H120" s="24" t="str">
        <x:v>Perch-likes</x:v>
      </x:c>
      <x:c r="I120" s="31" t="n">
        <x:v>1.0267422005</x:v>
      </x:c>
      <x:c r="J120" s="31" t="n">
        <x:v>1.0267422005</x:v>
      </x:c>
      <x:c r="K120" s="31" t="n">
        <x:v>0</x:v>
      </x:c>
      <x:c r="L120" s="31" t="n">
        <x:v>0.9574583534</x:v>
      </x:c>
      <x:c r="M120" s="31" t="n">
        <x:v>0.0692838471</x:v>
      </x:c>
      <x:c r="N120" s="24" t="str">
        <x:v>plectorhinchus pictus</x:v>
      </x:c>
      <x:c r="O120" s="32" t="n">
        <x:v>3.85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Plectorhinchus pictus</x:v>
      </x:c>
      <x:c r="T120" s="32" t="n">
        <x:f>IF(O120="","",(1/'Metadata'!$B$5)^(O120-1))</x:f>
        <x:v>707.945784384138</x:v>
      </x:c>
      <x:c r="U120" s="31" t="n">
        <x:f>IF(T120="","",I120*T120)</x:f>
        <x:v>726.8778124932684</x:v>
      </x:c>
    </x:row>
    <x:row r="121" ht="18" customHeight="1">
      <x:c r="A121" s="24" t="str">
        <x:v>EEZ_683</x:v>
      </x:c>
      <x:c r="B121" s="24" t="str">
        <x:v>Saudi Arabia (Red Sea)</x:v>
      </x:c>
      <x:c r="C121" s="24" t="str">
        <x:v>EEZ</x:v>
      </x:c>
      <x:c r="D121" s="30" t="n">
        <x:v>2019</x:v>
      </x:c>
      <x:c r="E121" s="24" t="str">
        <x:v>Istiophorus platypterus</x:v>
      </x:c>
      <x:c r="F121" s="24" t="str">
        <x:v>Indo-Pacific sailfish</x:v>
      </x:c>
      <x:c r="G121" s="24" t="str">
        <x:v>Large pelagics (&gt;=90 cm)</x:v>
      </x:c>
      <x:c r="H121" s="24" t="str">
        <x:v>Tuna &amp; billfishes</x:v>
      </x:c>
      <x:c r="I121" s="31" t="n">
        <x:v>0.7447260180999999</x:v>
      </x:c>
      <x:c r="J121" s="31" t="n">
        <x:v>0.7447260180999999</x:v>
      </x:c>
      <x:c r="K121" s="31" t="n">
        <x:v>0</x:v>
      </x:c>
      <x:c r="L121" s="31" t="n">
        <x:v>0.5385978604</x:v>
      </x:c>
      <x:c r="M121" s="31" t="n">
        <x:v>0.20612815769999998</x:v>
      </x:c>
      <x:c r="N121" s="24" t="str">
        <x:v>istiophorus platypterus</x:v>
      </x:c>
      <x:c r="O121" s="32" t="n">
        <x:v>4.5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Istiophorus platypterus</x:v>
      </x:c>
      <x:c r="T121" s="32" t="n">
        <x:f>IF(O121="","",(1/'Metadata'!$B$5)^(O121-1))</x:f>
        <x:v>3162.2776601683795</x:v>
      </x:c>
      <x:c r="U121" s="31" t="n">
        <x:f>IF(T121="","",I121*T121)</x:f>
        <x:v>2355.030449983782</x:v>
      </x:c>
    </x:row>
    <x:row r="122" ht="18" customHeight="1">
      <x:c r="A122" s="24" t="str">
        <x:v>EEZ_683</x:v>
      </x:c>
      <x:c r="B122" s="24" t="str">
        <x:v>Saudi Arabia (Red Sea)</x:v>
      </x:c>
      <x:c r="C122" s="24" t="str">
        <x:v>EEZ</x:v>
      </x:c>
      <x:c r="D122" s="30" t="n">
        <x:v>2019</x:v>
      </x:c>
      <x:c r="E122" s="24" t="str">
        <x:v>Terapon</x:v>
      </x:c>
      <x:c r="F122" s="24" t="str">
        <x:v>Terapons</x:v>
      </x:c>
      <x:c r="G122" s="24" t="str">
        <x:v>Medium demersals (30 - 89 cm)</x:v>
      </x:c>
      <x:c r="H122" s="24" t="str">
        <x:v>Perch-likes</x:v>
      </x:c>
      <x:c r="I122" s="31" t="n">
        <x:v>0.5719464074999999</x:v>
      </x:c>
      <x:c r="J122" s="31" t="n">
        <x:v>0.5719464074999999</x:v>
      </x:c>
      <x:c r="K122" s="31" t="n">
        <x:v>0</x:v>
      </x:c>
      <x:c r="L122" s="31" t="n">
        <x:v>0.5719464074999999</x:v>
      </x:c>
      <x:c r="M122" s="31" t="n">
        <x:v>0</x:v>
      </x:c>
      <x:c r="N122" s="24" t="str">
        <x:v>terapon</x:v>
      </x:c>
      <x:c r="O122" s="32" t="n">
        <x:v>3.5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Terapon</x:v>
      </x:c>
      <x:c r="T122" s="32" t="n">
        <x:f>IF(O122="","",(1/'Metadata'!$B$5)^(O122-1))</x:f>
        <x:v>316.22776601683796</x:v>
      </x:c>
      <x:c r="U122" s="31" t="n">
        <x:f>IF(T122="","",I122*T122)</x:f>
        <x:v>180.86533472508103</x:v>
      </x:c>
    </x:row>
    <x:row r="123" ht="18" customHeight="1">
      <x:c r="A123" s="24" t="str">
        <x:v>EEZ_683</x:v>
      </x:c>
      <x:c r="B123" s="24" t="str">
        <x:v>Saudi Arabia (Red Sea)</x:v>
      </x:c>
      <x:c r="C123" s="24" t="str">
        <x:v>EEZ</x:v>
      </x:c>
      <x:c r="D123" s="30" t="n">
        <x:v>2019</x:v>
      </x:c>
      <x:c r="E123" s="24" t="str">
        <x:v>Sepiidae</x:v>
      </x:c>
      <x:c r="F123" s="24" t="str">
        <x:v>Cuttlefishes</x:v>
      </x:c>
      <x:c r="G123" s="24" t="str">
        <x:v>Cephalopods</x:v>
      </x:c>
      <x:c r="H123" s="24" t="str">
        <x:v>Other fishes &amp; inverts</x:v>
      </x:c>
      <x:c r="I123" s="31" t="n">
        <x:v>0.011625903699999999</x:v>
      </x:c>
      <x:c r="J123" s="31" t="n">
        <x:v>0.011625903699999999</x:v>
      </x:c>
      <x:c r="K123" s="31" t="n">
        <x:v>0</x:v>
      </x:c>
      <x:c r="L123" s="31" t="n">
        <x:v>0</x:v>
      </x:c>
      <x:c r="M123" s="31" t="n">
        <x:v>0.011625903699999999</x:v>
      </x:c>
      <x:c r="N123" s="24" t="str">
        <x:v>sepiidae</x:v>
      </x:c>
      <x:c r="O123" s="32" t="n">
        <x:v>3.6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Sepiidae</x:v>
      </x:c>
      <x:c r="T123" s="32" t="n">
        <x:f>IF(O123="","",(1/'Metadata'!$B$5)^(O123-1))</x:f>
        <x:v>398.1071705534973</x:v>
      </x:c>
      <x:c r="U123" s="31" t="n">
        <x:f>IF(T123="","",I123*T123)</x:f>
        <x:v>4.628355627134435</x:v>
      </x:c>
    </x:row>
  </x:sheetData>
  <x:conditionalFormatting sqref="R2:R1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c20cb5f60004c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54.297540108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8605.580168455352</x:v>
      </x:c>
    </x:row>
    <x:row r="3" ht="18" customHeight="1">
      <x:c r="A3" s="24" t="str">
        <x:v>Crustaceans</x:v>
      </x:c>
      <x:c r="B3" s="31" t="n">
        <x:v>2854.4518360333</x:v>
      </x:c>
      <x:c r="C3" s="32" t="n">
        <x:v>2.508412425519416</x:v>
      </x:c>
      <x:c r="D3" s="32" t="n">
        <x:f>IF(C3="","",(1/'Metadata'!$B$5)^(C3-1))</x:f>
        <x:v>32.24129115562774</x:v>
      </x:c>
      <x:c r="E3" s="31" t="n">
        <x:f>IF(B3=0,"",B3*D3)</x:f>
        <x:v>92031.2127352658</x:v>
      </x:c>
    </x:row>
    <x:row r="4" ht="18" customHeight="1">
      <x:c r="A4" s="24" t="str">
        <x:v>Flatfishes</x:v>
      </x:c>
      <x:c r="B4" s="31" t="n">
        <x:v>46.170586515000004</x:v>
      </x:c>
      <x:c r="C4" s="32" t="n">
        <x:v>3.4999999999999996</x:v>
      </x:c>
      <x:c r="D4" s="32" t="n">
        <x:f>IF(C4="","",(1/'Metadata'!$B$5)^(C4-1))</x:f>
        <x:v>316.2277660168376</x:v>
      </x:c>
      <x:c r="E4" s="31" t="n">
        <x:f>IF(B4=0,"",B4*D4)</x:f>
        <x:v>14600.421429325579</x:v>
      </x:c>
    </x:row>
    <x:row r="5" ht="18" customHeight="1">
      <x:c r="A5" s="24" t="str">
        <x:v>Herring-likes</x:v>
      </x:c>
      <x:c r="B5" s="31" t="n">
        <x:v>18.727176346300002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2706.900548471444</x:v>
      </x:c>
    </x:row>
    <x:row r="6" ht="18" customHeight="1">
      <x:c r="A6" s="24" t="str">
        <x:v>Other fishes &amp; inverts</x:v>
      </x:c>
      <x:c r="B6" s="31" t="n">
        <x:v>2784.7685835971006</x:v>
      </x:c>
      <x:c r="C6" s="32" t="n">
        <x:v>3.539478577753321</x:v>
      </x:c>
      <x:c r="D6" s="32" t="n">
        <x:f>IF(C6="","",(1/'Metadata'!$B$5)^(C6-1))</x:f>
        <x:v>346.32080137806264</x:v>
      </x:c>
      <x:c r="E6" s="31" t="n">
        <x:f>IF(B6=0,"",B6*D6)</x:f>
        <x:v>964423.2875238003</x:v>
      </x:c>
    </x:row>
    <x:row r="7" ht="18" customHeight="1">
      <x:c r="A7" s="24" t="str">
        <x:v>Perch-likes</x:v>
      </x:c>
      <x:c r="B7" s="31" t="n">
        <x:v>31831.6678243702</x:v>
      </x:c>
      <x:c r="C7" s="32" t="n">
        <x:v>3.724592922980157</x:v>
      </x:c>
      <x:c r="D7" s="32" t="n">
        <x:f>IF(C7="","",(1/'Metadata'!$B$5)^(C7-1))</x:f>
        <x:v>530.3870637333333</x:v>
      </x:c>
      <x:c r="E7" s="31" t="n">
        <x:f>IF(B7=0,"",B7*D7)</x:f>
        <x:v>16883104.831102535</x:v>
      </x:c>
    </x:row>
    <x:row r="8" ht="18" customHeight="1">
      <x:c r="A8" s="24" t="str">
        <x:v>Scorpionfishes</x:v>
      </x:c>
      <x:c r="B8" s="31" t="n">
        <x:v>108.595080217</x:v>
      </x:c>
      <x:c r="C8" s="32" t="n">
        <x:v>3.8999999999999995</x:v>
      </x:c>
      <x:c r="D8" s="32" t="n">
        <x:f>IF(C8="","",(1/'Metadata'!$B$5)^(C8-1))</x:f>
        <x:v>794.3282347242805</x:v>
      </x:c>
      <x:c r="E8" s="31" t="n">
        <x:f>IF(B8=0,"",B8*D8)</x:f>
        <x:v>86260.13836851125</x:v>
      </x:c>
    </x:row>
    <x:row r="9" ht="18" customHeight="1">
      <x:c r="A9" s="24" t="str">
        <x:v>Sharks &amp; rays</x:v>
      </x:c>
      <x:c r="B9" s="31" t="n">
        <x:v>200.846570173</x:v>
      </x:c>
      <x:c r="C9" s="32" t="n">
        <x:v>3.9867994518939094</x:v>
      </x:c>
      <x:c r="D9" s="32" t="n">
        <x:f>IF(C9="","",(1/'Metadata'!$B$5)^(C9-1))</x:f>
        <x:v>970.0619095059646</x:v>
      </x:c>
      <x:c r="E9" s="31" t="n">
        <x:f>IF(B9=0,"",B9*D9)</x:f>
        <x:v>194833.60737974412</x:v>
      </x:c>
    </x:row>
    <x:row r="10" ht="18" customHeight="1">
      <x:c r="A10" s="24" t="str">
        <x:v>Tuna &amp; billfishes</x:v>
      </x:c>
      <x:c r="B10" s="31" t="n">
        <x:v>1397.275594504</x:v>
      </x:c>
      <x:c r="C10" s="32" t="n">
        <x:v>4.495951385501191</x:v>
      </x:c>
      <x:c r="D10" s="32" t="n">
        <x:f>IF(C10="","",(1/'Metadata'!$B$5)^(C10-1))</x:f>
        <x:v>3132.935007011248</x:v>
      </x:c>
      <x:c r="E10" s="31" t="n">
        <x:f>IF(B10=0,"",B10*D10)</x:f>
        <x:v>4377573.624464036</x:v>
      </x:c>
    </x:row>
  </x:sheetData>
  <x:pageMargins left="0.7" right="0.7" top="0.75" bottom="0.75" header="0.3" footer="0.3"/>
  <x:tableParts count="1">
    <x:tablePart xmlns:r="http://schemas.openxmlformats.org/officeDocument/2006/relationships" r:id="R5a7db784b68c43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534.4050163925</x:v>
      </x:c>
      <x:c r="C2" s="32" t="n">
        <x:v>3.8089896615422423</x:v>
      </x:c>
      <x:c r="D2" s="32" t="n">
        <x:f>IF(C2="","",(1/'Metadata'!$B$5)^(C2-1))</x:f>
        <x:v>644.1539311332069</x:v>
      </x:c>
      <x:c r="E2" s="31" t="n">
        <x:f>IF(B2=0,"",B2*D2)</x:f>
        <x:v>344239.0921265347</x:v>
      </x:c>
    </x:row>
    <x:row r="3" ht="18" customHeight="1">
      <x:c r="A3" s="24" t="str">
        <x:v>Large benthopelagics (&gt;=90 cm)</x:v>
      </x:c>
      <x:c r="B3" s="31" t="n">
        <x:v>279.0194992936</x:v>
      </x:c>
      <x:c r="C3" s="32" t="n">
        <x:v>3.7214745304212564</x:v>
      </x:c>
      <x:c r="D3" s="32" t="n">
        <x:f>IF(C3="","",(1/'Metadata'!$B$5)^(C3-1))</x:f>
        <x:v>526.5923315216655</x:v>
      </x:c>
      <x:c r="E3" s="31" t="n">
        <x:f>IF(B3=0,"",B3*D3)</x:f>
        <x:v>146929.52867302453</x:v>
      </x:c>
    </x:row>
    <x:row r="4" ht="18" customHeight="1">
      <x:c r="A4" s="24" t="str">
        <x:v>Large demersals (&gt;=90 cm)</x:v>
      </x:c>
      <x:c r="B4" s="31" t="n">
        <x:v>552.4603540773</x:v>
      </x:c>
      <x:c r="C4" s="32" t="n">
        <x:v>3.54</x:v>
      </x:c>
      <x:c r="D4" s="32" t="n">
        <x:f>IF(C4="","",(1/'Metadata'!$B$5)^(C4-1))</x:f>
        <x:v>346.73685045253166</x:v>
      </x:c>
      <x:c r="E4" s="31" t="n">
        <x:f>IF(B4=0,"",B4*D4)</x:f>
        <x:v>191558.36317265348</x:v>
      </x:c>
    </x:row>
    <x:row r="5" ht="18" customHeight="1">
      <x:c r="A5" s="24" t="str">
        <x:v>Large pelagics (&gt;=90 cm)</x:v>
      </x:c>
      <x:c r="B5" s="31" t="n">
        <x:v>5889.8451214674</x:v>
      </x:c>
      <x:c r="C5" s="32" t="n">
        <x:v>4.4438443263929575</x:v>
      </x:c>
      <x:c r="D5" s="32" t="n">
        <x:f>IF(C5="","",(1/'Metadata'!$B$5)^(C5-1))</x:f>
        <x:v>2778.717053296102</x:v>
      </x:c>
      <x:c r="E5" s="31" t="n">
        <x:f>IF(B5=0,"",B5*D5)</x:f>
        <x:v>16366213.080294317</x:v>
      </x:c>
    </x:row>
    <x:row r="6" ht="18" customHeight="1">
      <x:c r="A6" s="24" t="str">
        <x:v>Large rays (&gt;=90 cm)</x:v>
      </x:c>
      <x:c r="B6" s="31" t="n">
        <x:v>16.1547957056</x:v>
      </x:c>
      <x:c r="C6" s="32" t="n">
        <x:v>3.73</x:v>
      </x:c>
      <x:c r="D6" s="32" t="n">
        <x:f>IF(C6="","",(1/'Metadata'!$B$5)^(C6-1))</x:f>
        <x:v>537.0317963702527</x:v>
      </x:c>
      <x:c r="E6" s="31" t="n">
        <x:f>IF(B6=0,"",B6*D6)</x:f>
        <x:v>8675.638957772811</x:v>
      </x:c>
    </x:row>
    <x:row r="7" ht="18" customHeight="1">
      <x:c r="A7" s="24" t="str">
        <x:v>Large reef assoc. fish (&gt;=90 cm)</x:v>
      </x:c>
      <x:c r="B7" s="31" t="n">
        <x:v>1567.8758178522</x:v>
      </x:c>
      <x:c r="C7" s="32" t="n">
        <x:v>3.981090121357621</x:v>
      </x:c>
      <x:c r="D7" s="32" t="n">
        <x:f>IF(C7="","",(1/'Metadata'!$B$5)^(C7-1))</x:f>
        <x:v>957.3927212519565</x:v>
      </x:c>
      <x:c r="E7" s="31" t="n">
        <x:f>IF(B7=0,"",B7*D7)</x:f>
        <x:v>1501072.8958386546</x:v>
      </x:c>
    </x:row>
    <x:row r="8" ht="18" customHeight="1">
      <x:c r="A8" s="24" t="str">
        <x:v>Large sharks (&gt;=90 cm)</x:v>
      </x:c>
      <x:c r="B8" s="31" t="n">
        <x:v>184.6917744674</x:v>
      </x:c>
      <x:c r="C8" s="32" t="n">
        <x:v>4.0092614304775225</x:v>
      </x:c>
      <x:c r="D8" s="32" t="n">
        <x:f>IF(C8="","",(1/'Metadata'!$B$5)^(C8-1))</x:f>
        <x:v>1021.5542394961136</x:v>
      </x:c>
      <x:c r="E8" s="31" t="n">
        <x:f>IF(B8=0,"",B8*D8)</x:f>
        <x:v>188672.66520723252</x:v>
      </x:c>
    </x:row>
    <x:row r="9" ht="18" customHeight="1">
      <x:c r="A9" s="24" t="str">
        <x:v>Lobsters, crabs</x:v>
      </x:c>
      <x:c r="B9" s="31" t="n">
        <x:v>629.7503182160001</x:v>
      </x:c>
      <x:c r="C9" s="32" t="n">
        <x:v>2.6662368040823012</x:v>
      </x:c>
      <x:c r="D9" s="32" t="n">
        <x:f>IF(C9="","",(1/'Metadata'!$B$5)^(C9-1))</x:f>
        <x:v>46.369968842828634</x:v>
      </x:c>
      <x:c r="E9" s="31" t="n">
        <x:f>IF(B9=0,"",B9*D9)</x:f>
        <x:v>29201.50263443734</x:v>
      </x:c>
    </x:row>
    <x:row r="10" ht="18" customHeight="1">
      <x:c r="A10" s="24" t="str">
        <x:v>Medium benthopelagics (30 - 89 cm)</x:v>
      </x:c>
      <x:c r="B10" s="31" t="n">
        <x:v>733.7428207608</x:v>
      </x:c>
      <x:c r="C10" s="32" t="n">
        <x:v>3.31</x:v>
      </x:c>
      <x:c r="D10" s="32" t="n">
        <x:f>IF(C10="","",(1/'Metadata'!$B$5)^(C10-1))</x:f>
        <x:v>204.17379446695296</x:v>
      </x:c>
      <x:c r="E10" s="31" t="n">
        <x:f>IF(B10=0,"",B10*D10)</x:f>
        <x:v>149811.05587761788</x:v>
      </x:c>
    </x:row>
    <x:row r="11" ht="18" customHeight="1">
      <x:c r="A11" s="24" t="str">
        <x:v>Medium demersals (30 - 89 cm)</x:v>
      </x:c>
      <x:c r="B11" s="31" t="n">
        <x:v>3672.6505171234003</x:v>
      </x:c>
      <x:c r="C11" s="32" t="n">
        <x:v>3.702456427433608</x:v>
      </x:c>
      <x:c r="D11" s="32" t="n">
        <x:f>IF(C11="","",(1/'Metadata'!$B$5)^(C11-1))</x:f>
        <x:v>504.03004746206256</x:v>
      </x:c>
      <x:c r="E11" s="31" t="n">
        <x:f>IF(B11=0,"",B11*D11)</x:f>
        <x:v>1851126.214457276</x:v>
      </x:c>
    </x:row>
    <x:row r="12" ht="18" customHeight="1">
      <x:c r="A12" s="24" t="str">
        <x:v>Medium pelagics (30 - 89 cm)</x:v>
      </x:c>
      <x:c r="B12" s="31" t="n">
        <x:v>6326.90768176</x:v>
      </x:c>
      <x:c r="C12" s="32" t="n">
        <x:v>3.4433300080559746</x:v>
      </x:c>
      <x:c r="D12" s="32" t="n">
        <x:f>IF(C12="","",(1/'Metadata'!$B$5)^(C12-1))</x:f>
        <x:v>277.5428272788122</x:v>
      </x:c>
      <x:c r="E12" s="31" t="n">
        <x:f>IF(B12=0,"",B12*D12)</x:f>
        <x:v>1755987.8459277055</x:v>
      </x:c>
    </x:row>
    <x:row r="13" ht="18" customHeight="1">
      <x:c r="A13" s="24" t="str">
        <x:v>Medium reef assoc. fish (30 - 89 cm)</x:v>
      </x:c>
      <x:c r="B13" s="31" t="n">
        <x:v>11506.700033233601</x:v>
      </x:c>
      <x:c r="C13" s="32" t="n">
        <x:v>3.7219081167630046</x:v>
      </x:c>
      <x:c r="D13" s="32" t="n">
        <x:f>IF(C13="","",(1/'Metadata'!$B$5)^(C13-1))</x:f>
        <x:v>527.1183277420874</x:v>
      </x:c>
      <x:c r="E13" s="31" t="n">
        <x:f>IF(B13=0,"",B13*D13)</x:f>
        <x:v>6065392.479347918</x:v>
      </x:c>
    </x:row>
    <x:row r="14" ht="18" customHeight="1">
      <x:c r="A14" s="24" t="str">
        <x:v>Shrimps</x:v>
      </x:c>
      <x:c r="B14" s="31" t="n">
        <x:v>2224.7015178172996</x:v>
      </x:c>
      <x:c r="C14" s="32" t="n">
        <x:v>2.463736790686509</x:v>
      </x:c>
      <x:c r="D14" s="32" t="n">
        <x:f>IF(C14="","",(1/'Metadata'!$B$5)^(C14-1))</x:f>
        <x:v>29.089535779508733</x:v>
      </x:c>
      <x:c r="E14" s="31" t="n">
        <x:f>IF(B14=0,"",B14*D14)</x:f>
        <x:v>64715.534401273726</x:v>
      </x:c>
    </x:row>
    <x:row r="15" ht="18" customHeight="1">
      <x:c r="A15" s="24" t="str">
        <x:v>Small benthopelagics (&lt;30 cm)</x:v>
      </x:c>
      <x:c r="B15" s="31" t="n">
        <x:v>3668.6662653184003</x:v>
      </x:c>
      <x:c r="C15" s="32" t="n">
        <x:v>3.2273305886408963</x:v>
      </x:c>
      <x:c r="D15" s="32" t="n">
        <x:f>IF(C15="","",(1/'Metadata'!$B$5)^(C15-1))</x:f>
        <x:v>168.78373325983867</x:v>
      </x:c>
      <x:c r="E15" s="31" t="n">
        <x:f>IF(B15=0,"",B15*D15)</x:f>
        <x:v>619211.1883448694</x:v>
      </x:c>
    </x:row>
    <x:row r="16" ht="18" customHeight="1">
      <x:c r="A16" s="24" t="str">
        <x:v>Small demersals (&lt;30 cm)</x:v>
      </x:c>
      <x:c r="B16" s="31" t="n">
        <x:v>236.4225218761</x:v>
      </x:c>
      <x:c r="C16" s="32" t="n">
        <x:v>3.0648652463548367</x:v>
      </x:c>
      <x:c r="D16" s="32" t="n">
        <x:f>IF(C16="","",(1/'Metadata'!$B$5)^(C16-1))</x:f>
        <x:v>116.10882934531234</x:v>
      </x:c>
      <x:c r="E16" s="31" t="n">
        <x:f>IF(B16=0,"",B16*D16)</x:f>
        <x:v>27450.74224590047</x:v>
      </x:c>
    </x:row>
    <x:row r="17" ht="18" customHeight="1">
      <x:c r="A17" s="24" t="str">
        <x:v>Small pelagics (&lt;30 cm)</x:v>
      </x:c>
      <x:c r="B17" s="31" t="n">
        <x:v>857.1691534834999</x:v>
      </x:c>
      <x:c r="C17" s="32" t="n">
        <x:v>4.088620681553623</x:v>
      </x:c>
      <x:c r="D17" s="32" t="n">
        <x:f>IF(C17="","",(1/'Metadata'!$B$5)^(C17-1))</x:f>
        <x:v>1226.3676378169494</x:v>
      </x:c>
      <x:c r="E17" s="31" t="n">
        <x:f>IF(B17=0,"",B17*D17)</x:f>
        <x:v>1051204.5099671138</x:v>
      </x:c>
    </x:row>
    <x:row r="18" ht="18" customHeight="1">
      <x:c r="A18" s="24" t="str">
        <x:v>Small reef assoc. fish (&lt;30 cm)</x:v>
      </x:c>
      <x:c r="B18" s="31" t="n">
        <x:v>369.4669965038</x:v>
      </x:c>
      <x:c r="C18" s="32" t="n">
        <x:v>3.2529853473888375</x:v>
      </x:c>
      <x:c r="D18" s="32" t="n">
        <x:f>IF(C18="","",(1/'Metadata'!$B$5)^(C18-1))</x:f>
        <x:v>179.05454420111533</x:v>
      </x:c>
      <x:c r="E18" s="31" t="n">
        <x:f>IF(B18=0,"",B18*D18)</x:f>
        <x:v>66154.74465634298</x:v>
      </x:c>
    </x:row>
    <x:row r="19" ht="18" customHeight="1">
      <x:c r="A19" s="24" t="str">
        <x:v>Small to medium flatfishes (&lt;90 cm)</x:v>
      </x:c>
      <x:c r="B19" s="31" t="n">
        <x:v>46.170586515000004</x:v>
      </x:c>
      <x:c r="C19" s="32" t="n">
        <x:v>3.4999999999999996</x:v>
      </x:c>
      <x:c r="D19" s="32" t="n">
        <x:f>IF(C19="","",(1/'Metadata'!$B$5)^(C19-1))</x:f>
        <x:v>316.2277660168376</x:v>
      </x:c>
      <x:c r="E19" s="31" t="n">
        <x:f>IF(B19=0,"",B19*D19)</x:f>
        <x:v>14600.421429325579</x:v>
      </x:c>
    </x:row>
  </x:sheetData>
  <x:pageMargins left="0.7" right="0.7" top="0.75" bottom="0.75" header="0.3" footer="0.3"/>
  <x:tableParts count="1">
    <x:tablePart xmlns:r="http://schemas.openxmlformats.org/officeDocument/2006/relationships" r:id="Rc8ec4ae3010344b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EEZ_683</x:v>
      </x:c>
      <x:c r="B2" s="24" t="str">
        <x:v>raw_filtered_tonnes</x:v>
      </x:c>
      <x:c r="C2" s="24" t="n">
        <x:v>39296.800791863905</x:v>
      </x:c>
      <x:c r="D2" s="24" t="str">
        <x:v>tonnes</x:v>
      </x:c>
    </x:row>
    <x:row r="3" ht="18" customHeight="1">
      <x:c r="A3" s="24" t="str">
        <x:v>EEZ_683</x:v>
      </x:c>
      <x:c r="B3" s="24" t="str">
        <x:v>species_catch_tonnes</x:v>
      </x:c>
      <x:c r="C3" s="24" t="n">
        <x:v>39296.800791863905</x:v>
      </x:c>
      <x:c r="D3" s="24" t="str">
        <x:v>tonnes</x:v>
      </x:c>
    </x:row>
    <x:row r="4" ht="18" customHeight="1">
      <x:c r="A4" s="24" t="str">
        <x:v>EEZ_683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EEZ_683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EEZ_683</x:v>
      </x:c>
      <x:c r="B6" s="24" t="str">
        <x:v>matched_catch_tonnes</x:v>
      </x:c>
      <x:c r="C6" s="24" t="n">
        <x:v>39296.800791863905</x:v>
      </x:c>
      <x:c r="D6" s="24" t="str">
        <x:v>tonnes</x:v>
      </x:c>
    </x:row>
    <x:row r="7" ht="18" customHeight="1">
      <x:c r="A7" s="24" t="str">
        <x:v>EEZ_683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EEZ_683</x:v>
      </x:c>
      <x:c r="B8" s="24" t="str">
        <x:v>taxa_count</x:v>
      </x:c>
      <x:c r="C8" s="24" t="n">
        <x:v>122</x:v>
      </x:c>
      <x:c r="D8" s="24" t="str">
        <x:v>count</x:v>
      </x:c>
    </x:row>
    <x:row r="9" ht="18" customHeight="1">
      <x:c r="A9" s="24" t="str">
        <x:v>EEZ_683</x:v>
      </x:c>
      <x:c r="B9" s="24" t="str">
        <x:v>matched_taxa_count</x:v>
      </x:c>
      <x:c r="C9" s="24" t="n">
        <x:v>122</x:v>
      </x:c>
      <x:c r="D9" s="24" t="str">
        <x:v>count</x:v>
      </x:c>
    </x:row>
    <x:row r="10" ht="18" customHeight="1">
      <x:c r="A10" s="24" t="str">
        <x:v>EEZ_683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EEZ_683</x:v>
      </x:c>
      <x:c r="B11" s="24" t="str">
        <x:v>species_ppr</x:v>
      </x:c>
      <x:c r="C11" s="24" t="n">
        <x:v>38075252.287188336</x:v>
      </x:c>
      <x:c r="D11" s="24" t="str">
        <x:v>tonnes_primary_production_equivalent</x:v>
      </x:c>
    </x:row>
    <x:row r="12" ht="18" customHeight="1">
      <x:c r="A12" s="24" t="str">
        <x:v>EEZ_683</x:v>
      </x:c>
      <x:c r="B12" s="24" t="str">
        <x:v>commercial_ppr</x:v>
      </x:c>
      <x:c r="C12" s="24" t="n">
        <x:v>22624139.603720143</x:v>
      </x:c>
      <x:c r="D12" s="24" t="str">
        <x:v>tonnes_primary_production_equivalent</x:v>
      </x:c>
    </x:row>
    <x:row r="13" ht="18" customHeight="1">
      <x:c r="A13" s="24" t="str">
        <x:v>EEZ_683</x:v>
      </x:c>
      <x:c r="B13" s="24" t="str">
        <x:v>functional_ppr</x:v>
      </x:c>
      <x:c r="C13" s="24" t="n">
        <x:v>30442217.503559966</x:v>
      </x:c>
      <x:c r="D13" s="24" t="str">
        <x:v>tonnes_primary_production_equivalent</x:v>
      </x:c>
    </x:row>
    <x:row r="14" ht="18" customHeight="1">
      <x:c r="A14" s="24" t="str">
        <x:v>EEZ_683</x:v>
      </x:c>
      <x:c r="B14" s="24" t="str">
        <x:v>commercial_ppr_difference</x:v>
      </x:c>
      <x:c r="C14" s="24" t="n">
        <x:v>-15451112.683468193</x:v>
      </x:c>
      <x:c r="D14" s="24" t="str">
        <x:v>tonnes_primary_production_equivalent</x:v>
      </x:c>
    </x:row>
    <x:row r="15" ht="18" customHeight="1">
      <x:c r="A15" s="24" t="str">
        <x:v>EEZ_683</x:v>
      </x:c>
      <x:c r="B15" s="24" t="str">
        <x:v>functional_ppr_difference</x:v>
      </x:c>
      <x:c r="C15" s="24" t="n">
        <x:v>-7633034.783628371</x:v>
      </x:c>
      <x:c r="D15" s="24" t="str">
        <x:v>tonnes_primary_production_equivalent</x:v>
      </x:c>
    </x:row>
    <x:row r="16" ht="18" customHeight="1">
      <x:c r="A16" s="24" t="str">
        <x:v>EEZ_683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EEZ_683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f33a8d5c23449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EEZ_683 - Saudi Arabia (Red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EEZ_683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raw_data/SAU_downloads/EEZ_683-catch.zip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