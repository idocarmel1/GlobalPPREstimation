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ec8e98d28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f2466954cfb4d15"/>
    <x:sheet xmlns:r="http://schemas.openxmlformats.org/officeDocument/2006/relationships" name="Commercial" sheetId="2" r:id="Re27fb55c821b4a9f"/>
    <x:sheet xmlns:r="http://schemas.openxmlformats.org/officeDocument/2006/relationships" name="Functional" sheetId="3" r:id="R2d725ed38edf4b8d"/>
    <x:sheet xmlns:r="http://schemas.openxmlformats.org/officeDocument/2006/relationships" name="Missing TL" sheetId="4" r:id="Rd57030a5bd054e70"/>
    <x:sheet xmlns:r="http://schemas.openxmlformats.org/officeDocument/2006/relationships" name="Validation" sheetId="5" r:id="R06b92f34bd4d48d3"/>
    <x:sheet xmlns:r="http://schemas.openxmlformats.org/officeDocument/2006/relationships" name="Metadata" sheetId="6" r:id="R325d416b22af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3171b65c64242" /><Relationship Type="http://schemas.openxmlformats.org/officeDocument/2006/relationships/theme" Target="/xl/theme/theme1.xml" Id="Rbcd00cbf1e0545f4" /><Relationship Type="http://schemas.microsoft.com/office/2022/11/relationships/FeaturePropertyBag" Target="/xl/featurePropertyBag/featurePropertyBag.xml" Id="Reb46942b70bd4efa" /><Relationship Type="http://schemas.openxmlformats.org/officeDocument/2006/relationships/sharedStrings" Target="/xl/sharedStrings.xml" Id="R02131907f3134962" /><Relationship Type="http://schemas.openxmlformats.org/officeDocument/2006/relationships/worksheet" Target="/xl/worksheets/sheet1.xml" Id="R5f2466954cfb4d15" /><Relationship Type="http://schemas.openxmlformats.org/officeDocument/2006/relationships/worksheet" Target="/xl/worksheets/sheet2.xml" Id="Re27fb55c821b4a9f" /><Relationship Type="http://schemas.openxmlformats.org/officeDocument/2006/relationships/worksheet" Target="/xl/worksheets/sheet3.xml" Id="R2d725ed38edf4b8d" /><Relationship Type="http://schemas.openxmlformats.org/officeDocument/2006/relationships/worksheet" Target="/xl/worksheets/sheet4.xml" Id="Rd57030a5bd054e70" /><Relationship Type="http://schemas.openxmlformats.org/officeDocument/2006/relationships/worksheet" Target="/xl/worksheets/sheet5.xml" Id="R06b92f34bd4d48d3" /><Relationship Type="http://schemas.openxmlformats.org/officeDocument/2006/relationships/worksheet" Target="/xl/worksheets/sheet6.xml" Id="R325d416b22af40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5SpeciesTable" displayName="EEZ925SpeciesTable" ref="A1:U27" headerRowCount="1" totalsRowCount="0" totalsRowShown="0">
  <x:autoFilter ref="A1:U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5CommercialTable" displayName="EEZ925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5FunctionalTable" displayName="EEZ925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5ValidationTable" displayName="EEZ92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12388efdae4f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c5ffa1a2ce4e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12694ec7d943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ab06db6abd49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EEZ_925</x:v>
      </x:c>
      <x:c r="B2" s="24" t="str">
        <x:v>Canada (Pacific)</x:v>
      </x:c>
      <x:c r="C2" s="24" t="str">
        <x:v>EEZ</x:v>
      </x:c>
      <x:c r="D2" s="30" t="n">
        <x:v>2019</x:v>
      </x:c>
      <x:c r="E2" s="24" t="str">
        <x:v>Merluccius productus</x:v>
      </x:c>
      <x:c r="F2" s="24" t="str">
        <x:v>North Pacific hake</x:v>
      </x:c>
      <x:c r="G2" s="24" t="str">
        <x:v>Medium benthopelagics (30 - 89 cm)</x:v>
      </x:c>
      <x:c r="H2" s="24" t="str">
        <x:v>Cod-likes</x:v>
      </x:c>
      <x:c r="I2" s="31" t="n">
        <x:v>99685</x:v>
      </x:c>
      <x:c r="J2" s="31" t="n">
        <x:v>99685</x:v>
      </x:c>
      <x:c r="K2" s="31" t="n">
        <x:v>0</x:v>
      </x:c>
      <x:c r="L2" s="31" t="n">
        <x:v>99685</x:v>
      </x:c>
      <x:c r="M2" s="31" t="n">
        <x:v>0</x:v>
      </x:c>
      <x:c r="N2" s="24" t="str">
        <x:v>merluccius productus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productus</x:v>
      </x:c>
      <x:c r="T2" s="32" t="n">
        <x:f>IF(O2="","",(1/'Metadata'!$B$5)^(O2-1))</x:f>
        <x:v>2238.7211385683377</x:v>
      </x:c>
      <x:c r="U2" s="31" t="n">
        <x:f>IF(T2="","",I2*T2)</x:f>
        <x:v>223166916.69818473</x:v>
      </x:c>
    </x:row>
    <x:row r="3" ht="18" customHeight="1">
      <x:c r="A3" s="24" t="str">
        <x:v>EEZ_925</x:v>
      </x:c>
      <x:c r="B3" s="24" t="str">
        <x:v>Canada (Pacific)</x:v>
      </x:c>
      <x:c r="C3" s="24" t="str">
        <x:v>EEZ</x:v>
      </x:c>
      <x:c r="D3" s="30" t="n">
        <x:v>2019</x:v>
      </x:c>
      <x:c r="E3" s="24" t="str">
        <x:v>Clupea pallasii</x:v>
      </x:c>
      <x:c r="F3" s="24" t="str">
        <x:v>Pacific herring</x:v>
      </x:c>
      <x:c r="G3" s="24" t="str">
        <x:v>Medium pelagics (30 - 89 cm)</x:v>
      </x:c>
      <x:c r="H3" s="24" t="str">
        <x:v>Herring-likes</x:v>
      </x:c>
      <x:c r="I3" s="31" t="n">
        <x:v>18903.0000000002</x:v>
      </x:c>
      <x:c r="J3" s="31" t="n">
        <x:v>18903.0000000002</x:v>
      </x:c>
      <x:c r="K3" s="31" t="n">
        <x:v>0</x:v>
      </x:c>
      <x:c r="L3" s="31" t="n">
        <x:v>18903.0000000002</x:v>
      </x:c>
      <x:c r="M3" s="31" t="n">
        <x:v>0</x:v>
      </x:c>
      <x:c r="N3" s="24" t="str">
        <x:v>clupea pallasii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Clupea pallasii</x:v>
      </x:c>
      <x:c r="T3" s="32" t="n">
        <x:f>IF(O3="","",(1/'Metadata'!$B$5)^(O3-1))</x:f>
        <x:v>144.5439770745928</x:v>
      </x:c>
      <x:c r="U3" s="31" t="n">
        <x:f>IF(T3="","",I3*T3)</x:f>
        <x:v>2732314.7986410563</x:v>
      </x:c>
    </x:row>
    <x:row r="4" ht="18" customHeight="1">
      <x:c r="A4" s="24" t="str">
        <x:v>EEZ_925</x:v>
      </x:c>
      <x:c r="B4" s="24" t="str">
        <x:v>Canada (Pacific)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14748.0000000001</x:v>
      </x:c>
      <x:c r="J4" s="31" t="n">
        <x:v>14748.0000000001</x:v>
      </x:c>
      <x:c r="K4" s="31" t="n">
        <x:v>0</x:v>
      </x:c>
      <x:c r="L4" s="31" t="n">
        <x:v>14748.0000000001</x:v>
      </x:c>
      <x:c r="M4" s="31" t="n">
        <x:v>0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2810173.4668522147</x:v>
      </x:c>
    </x:row>
    <x:row r="5" ht="18" customHeight="1">
      <x:c r="A5" s="24" t="str">
        <x:v>EEZ_925</x:v>
      </x:c>
      <x:c r="B5" s="24" t="str">
        <x:v>Canada (Pacific)</x:v>
      </x:c>
      <x:c r="C5" s="24" t="str">
        <x:v>EEZ</x:v>
      </x:c>
      <x:c r="D5" s="30" t="n">
        <x:v>2019</x:v>
      </x:c>
      <x:c r="E5" s="24" t="str">
        <x:v>Sebastidae</x:v>
      </x:c>
      <x:c r="F5" s="24" t="str">
        <x:v>Rockfishes, rockcods, thornyheads</x:v>
      </x:c>
      <x:c r="G5" s="24" t="str">
        <x:v>Medium demersals (30 - 89 cm)</x:v>
      </x:c>
      <x:c r="H5" s="24" t="str">
        <x:v>Scorpionfishes</x:v>
      </x:c>
      <x:c r="I5" s="31" t="n">
        <x:v>11731.6627505031</x:v>
      </x:c>
      <x:c r="J5" s="31" t="n">
        <x:v>11731.6627505031</x:v>
      </x:c>
      <x:c r="K5" s="31" t="n">
        <x:v>0</x:v>
      </x:c>
      <x:c r="L5" s="31" t="n">
        <x:v>11647.5861745566</x:v>
      </x:c>
      <x:c r="M5" s="31" t="n">
        <x:v>84.0765759465</x:v>
      </x:c>
      <x:c r="N5" s="24" t="str">
        <x:v>sebastidae</x:v>
      </x:c>
      <x:c r="O5" s="32" t="n">
        <x:v>3.74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Sebastidae</x:v>
      </x:c>
      <x:c r="T5" s="32" t="n">
        <x:f>IF(O5="","",(1/'Metadata'!$B$5)^(O5-1))</x:f>
        <x:v>549.5408738576248</x:v>
      </x:c>
      <x:c r="U5" s="31" t="n">
        <x:f>IF(T5="","",I5*T5)</x:f>
        <x:v>6447028.1997144185</x:v>
      </x:c>
    </x:row>
    <x:row r="6" ht="18" customHeight="1">
      <x:c r="A6" s="24" t="str">
        <x:v>EEZ_925</x:v>
      </x:c>
      <x:c r="B6" s="24" t="str">
        <x:v>Canada (Pacific)</x:v>
      </x:c>
      <x:c r="C6" s="24" t="str">
        <x:v>EEZ</x:v>
      </x:c>
      <x:c r="D6" s="30" t="n">
        <x:v>2019</x:v>
      </x:c>
      <x:c r="E6" s="24" t="str">
        <x:v>Metacarcinus magister</x:v>
      </x:c>
      <x:c r="F6" s="24" t="str">
        <x:v>Dungeness crab</x:v>
      </x:c>
      <x:c r="G6" s="24" t="str">
        <x:v>Lobsters, crabs</x:v>
      </x:c>
      <x:c r="H6" s="24" t="str">
        <x:v>Crustaceans</x:v>
      </x:c>
      <x:c r="I6" s="31" t="n">
        <x:v>8335.7291557258</x:v>
      </x:c>
      <x:c r="J6" s="31" t="n">
        <x:v>8335.7291557258</x:v>
      </x:c>
      <x:c r="K6" s="31" t="n">
        <x:v>0</x:v>
      </x:c>
      <x:c r="L6" s="31" t="n">
        <x:v>8287</x:v>
      </x:c>
      <x:c r="M6" s="31" t="n">
        <x:v>48.7291557258</x:v>
      </x:c>
      <x:c r="N6" s="24" t="str">
        <x:v>metacarcinus magister</x:v>
      </x:c>
      <x:c r="O6" s="32" t="n">
        <x:v>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Metacarcinus magister</x:v>
      </x:c>
      <x:c r="T6" s="32" t="n">
        <x:f>IF(O6="","",(1/'Metadata'!$B$5)^(O6-1))</x:f>
        <x:v>1000</x:v>
      </x:c>
      <x:c r="U6" s="31" t="n">
        <x:f>IF(T6="","",I6*T6)</x:f>
        <x:v>8335729.1557257995</x:v>
      </x:c>
    </x:row>
    <x:row r="7" ht="18" customHeight="1">
      <x:c r="A7" s="24" t="str">
        <x:v>EEZ_925</x:v>
      </x:c>
      <x:c r="B7" s="24" t="str">
        <x:v>Canada (Pacific)</x:v>
      </x:c>
      <x:c r="C7" s="24" t="str">
        <x:v>EEZ</x:v>
      </x:c>
      <x:c r="D7" s="30" t="n">
        <x:v>2019</x:v>
      </x:c>
      <x:c r="E7" s="24" t="str">
        <x:v>Marine groundfishes not identified</x:v>
      </x:c>
      <x:c r="F7" s="24" t="str">
        <x:v>Groundfishes</x:v>
      </x:c>
      <x:c r="G7" s="24" t="str">
        <x:v>Medium demersals (30 - 89 cm)</x:v>
      </x:c>
      <x:c r="H7" s="24" t="str">
        <x:v>Other fishes &amp; inverts</x:v>
      </x:c>
      <x:c r="I7" s="31" t="n">
        <x:v>8022.5185328087</x:v>
      </x:c>
      <x:c r="J7" s="31" t="n">
        <x:v>0</x:v>
      </x:c>
      <x:c r="K7" s="31" t="n">
        <x:v>8022.5185328087</x:v>
      </x:c>
      <x:c r="L7" s="31" t="n">
        <x:v>0</x:v>
      </x:c>
      <x:c r="M7" s="31" t="n">
        <x:v>8022.5185328087</x:v>
      </x:c>
      <x:c r="N7" s="24" t="str">
        <x:v>marine groundfishes not identified</x:v>
      </x:c>
      <x:c r="O7" s="32" t="n">
        <x:v>3.22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groundfishes not identified</x:v>
      </x:c>
      <x:c r="T7" s="32" t="n">
        <x:f>IF(O7="","",(1/'Metadata'!$B$5)^(O7-1))</x:f>
        <x:v>165.95869074375614</x:v>
      </x:c>
      <x:c r="U7" s="31" t="n">
        <x:f>IF(T7="","",I7*T7)</x:f>
        <x:v>1331406.6721724512</x:v>
      </x:c>
    </x:row>
    <x:row r="8" ht="18" customHeight="1">
      <x:c r="A8" s="24" t="str">
        <x:v>EEZ_925</x:v>
      </x:c>
      <x:c r="B8" s="24" t="str">
        <x:v>Canada (Pacific)</x:v>
      </x:c>
      <x:c r="C8" s="24" t="str">
        <x:v>EEZ</x:v>
      </x:c>
      <x:c r="D8" s="30" t="n">
        <x:v>2019</x:v>
      </x:c>
      <x:c r="E8" s="24" t="str">
        <x:v>Hippoglossus stenolepis</x:v>
      </x:c>
      <x:c r="F8" s="24" t="str">
        <x:v>Pacific halibut</x:v>
      </x:c>
      <x:c r="G8" s="24" t="str">
        <x:v>Large flatfishes (&gt;=90 cm)</x:v>
      </x:c>
      <x:c r="H8" s="24" t="str">
        <x:v>Flatfishes</x:v>
      </x:c>
      <x:c r="I8" s="31" t="n">
        <x:v>7799.3640497357</x:v>
      </x:c>
      <x:c r="J8" s="31" t="n">
        <x:v>5811.240314478</x:v>
      </x:c>
      <x:c r="K8" s="31" t="n">
        <x:v>1988.1237352577</x:v>
      </x:c>
      <x:c r="L8" s="31" t="n">
        <x:v>3163.0000000001</x:v>
      </x:c>
      <x:c r="M8" s="31" t="n">
        <x:v>4636.3640497356</x:v>
      </x:c>
      <x:c r="N8" s="24" t="str">
        <x:v>hippoglossus stenolepis</x:v>
      </x:c>
      <x:c r="O8" s="32" t="n">
        <x:v>4.14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Hippoglossus stenolepis</x:v>
      </x:c>
      <x:c r="T8" s="32" t="n">
        <x:f>IF(O8="","",(1/'Metadata'!$B$5)^(O8-1))</x:f>
        <x:v>1380.3842646028838</x:v>
      </x:c>
      <x:c r="U8" s="31" t="n">
        <x:f>IF(T8="","",I8*T8)</x:f>
        <x:v>10766119.408164585</x:v>
      </x:c>
    </x:row>
    <x:row r="9" ht="18" customHeight="1">
      <x:c r="A9" s="24" t="str">
        <x:v>EEZ_925</x:v>
      </x:c>
      <x:c r="B9" s="24" t="str">
        <x:v>Canada (Pacific)</x:v>
      </x:c>
      <x:c r="C9" s="24" t="str">
        <x:v>EEZ</x:v>
      </x:c>
      <x:c r="D9" s="30" t="n">
        <x:v>2019</x:v>
      </x:c>
      <x:c r="E9" s="24" t="str">
        <x:v>Gadus chalcogrammus</x:v>
      </x:c>
      <x:c r="F9" s="24" t="str">
        <x:v>Alaska pollock</x:v>
      </x:c>
      <x:c r="G9" s="24" t="str">
        <x:v>Medium benthopelagics (30 - 89 cm)</x:v>
      </x:c>
      <x:c r="H9" s="24" t="str">
        <x:v>Cod-likes</x:v>
      </x:c>
      <x:c r="I9" s="31" t="n">
        <x:v>6248.0000000003</x:v>
      </x:c>
      <x:c r="J9" s="31" t="n">
        <x:v>6248.0000000003</x:v>
      </x:c>
      <x:c r="K9" s="31" t="n">
        <x:v>0</x:v>
      </x:c>
      <x:c r="L9" s="31" t="n">
        <x:v>6248.0000000003</x:v>
      </x:c>
      <x:c r="M9" s="31" t="n">
        <x:v>0</x:v>
      </x:c>
      <x:c r="N9" s="24" t="str">
        <x:v>gadus chalcogrammus</x:v>
      </x:c>
      <x:c r="O9" s="32" t="n">
        <x:v>3.57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Gadus chalcogrammus</x:v>
      </x:c>
      <x:c r="T9" s="32" t="n">
        <x:f>IF(O9="","",(1/'Metadata'!$B$5)^(O9-1))</x:f>
        <x:v>371.5352290971724</x:v>
      </x:c>
      <x:c r="U9" s="31" t="n">
        <x:f>IF(T9="","",I9*T9)</x:f>
        <x:v>2321352.111399245</x:v>
      </x:c>
    </x:row>
    <x:row r="10" ht="18" customHeight="1">
      <x:c r="A10" s="24" t="str">
        <x:v>EEZ_925</x:v>
      </x:c>
      <x:c r="B10" s="24" t="str">
        <x:v>Canada (Pacific)</x:v>
      </x:c>
      <x:c r="C10" s="24" t="str">
        <x:v>EEZ</x:v>
      </x:c>
      <x:c r="D10" s="30" t="n">
        <x:v>2019</x:v>
      </x:c>
      <x:c r="E10" s="24" t="str">
        <x:v>Oncorhynchus</x:v>
      </x:c>
      <x:c r="F10" s="24" t="str">
        <x:v>Salmons, trouts</x:v>
      </x:c>
      <x:c r="G10" s="24" t="str">
        <x:v>Large benthopelagics (&gt;=90 cm)</x:v>
      </x:c>
      <x:c r="H10" s="24" t="str">
        <x:v>Salmon, smelts, etc</x:v>
      </x:c>
      <x:c r="I10" s="31" t="n">
        <x:v>4573</x:v>
      </x:c>
      <x:c r="J10" s="31" t="n">
        <x:v>4573</x:v>
      </x:c>
      <x:c r="K10" s="31" t="n">
        <x:v>0</x:v>
      </x:c>
      <x:c r="L10" s="31" t="n">
        <x:v>4573</x:v>
      </x:c>
      <x:c r="M10" s="31" t="n">
        <x:v>0</x:v>
      </x:c>
      <x:c r="N10" s="24" t="str">
        <x:v>oncorhynchus</x:v>
      </x:c>
      <x:c r="O10" s="32" t="n">
        <x:v>3.95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Oncorhynchus</x:v>
      </x:c>
      <x:c r="T10" s="32" t="n">
        <x:f>IF(O10="","",(1/'Metadata'!$B$5)^(O10-1))</x:f>
        <x:v>891.2509381337459</x:v>
      </x:c>
      <x:c r="U10" s="31" t="n">
        <x:f>IF(T10="","",I10*T10)</x:f>
        <x:v>4075690.54008562</x:v>
      </x:c>
    </x:row>
    <x:row r="11" ht="18" customHeight="1">
      <x:c r="A11" s="24" t="str">
        <x:v>EEZ_925</x:v>
      </x:c>
      <x:c r="B11" s="24" t="str">
        <x:v>Canada (Pacific)</x:v>
      </x:c>
      <x:c r="C11" s="24" t="str">
        <x:v>EEZ</x:v>
      </x:c>
      <x:c r="D11" s="30" t="n">
        <x:v>2019</x:v>
      </x:c>
      <x:c r="E11" s="24" t="str">
        <x:v>Oncorhynchus tshawytscha</x:v>
      </x:c>
      <x:c r="F11" s="24" t="str">
        <x:v>Chinook salmon</x:v>
      </x:c>
      <x:c r="G11" s="24" t="str">
        <x:v>Large benthopelagics (&gt;=90 cm)</x:v>
      </x:c>
      <x:c r="H11" s="24" t="str">
        <x:v>Salmon, smelts, etc</x:v>
      </x:c>
      <x:c r="I11" s="31" t="n">
        <x:v>3297.2712808315</x:v>
      </x:c>
      <x:c r="J11" s="31" t="n">
        <x:v>3294.5971974814</x:v>
      </x:c>
      <x:c r="K11" s="31" t="n">
        <x:v>2.6740833501</x:v>
      </x:c>
      <x:c r="L11" s="31" t="n">
        <x:v>0</x:v>
      </x:c>
      <x:c r="M11" s="31" t="n">
        <x:v>3297.2712808315</x:v>
      </x:c>
      <x:c r="N11" s="24" t="str">
        <x:v>oncorhynchus tshawytscha</x:v>
      </x:c>
      <x:c r="O11" s="32" t="n">
        <x:v>4.4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Oncorhynchus tshawytscha</x:v>
      </x:c>
      <x:c r="T11" s="32" t="n">
        <x:f>IF(O11="","",(1/'Metadata'!$B$5)^(O11-1))</x:f>
        <x:v>2511.886431509582</x:v>
      </x:c>
      <x:c r="U11" s="31" t="n">
        <x:f>IF(T11="","",I11*T11)</x:f>
        <x:v>8282370.991326866</x:v>
      </x:c>
    </x:row>
    <x:row r="12" ht="18" customHeight="1">
      <x:c r="A12" s="24" t="str">
        <x:v>EEZ_925</x:v>
      </x:c>
      <x:c r="B12" s="24" t="str">
        <x:v>Canada (Pacific)</x:v>
      </x:c>
      <x:c r="C12" s="24" t="str">
        <x:v>EEZ</x:v>
      </x:c>
      <x:c r="D12" s="30" t="n">
        <x:v>2019</x:v>
      </x:c>
      <x:c r="E12" s="24" t="str">
        <x:v>Mesocentrotus franciscanus</x:v>
      </x:c>
      <x:c r="F12" s="24" t="str">
        <x:v>Red sea urchin</x:v>
      </x:c>
      <x:c r="G12" s="24" t="str">
        <x:v>Other demersal invertebrates</x:v>
      </x:c>
      <x:c r="H12" s="24" t="str">
        <x:v>Other fishes &amp; inverts</x:v>
      </x:c>
      <x:c r="I12" s="31" t="n">
        <x:v>3041.6770150733</x:v>
      </x:c>
      <x:c r="J12" s="31" t="n">
        <x:v>3041.6770150733</x:v>
      </x:c>
      <x:c r="K12" s="31" t="n">
        <x:v>0</x:v>
      </x:c>
      <x:c r="L12" s="31" t="n">
        <x:v>3041.6770150733</x:v>
      </x:c>
      <x:c r="M12" s="31" t="n">
        <x:v>0</x:v>
      </x:c>
      <x:c r="N12" s="24" t="str">
        <x:v>mesocentrotus franciscanus</x:v>
      </x:c>
      <x:c r="O12" s="32" t="n">
        <x:v>2.4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Mesocentrotus franciscanus</x:v>
      </x:c>
      <x:c r="T12" s="32" t="n">
        <x:f>IF(O12="","",(1/'Metadata'!$B$5)^(O12-1))</x:f>
        <x:v>25.118864315095795</x:v>
      </x:c>
      <x:c r="U12" s="31" t="n">
        <x:f>IF(T12="","",I12*T12)</x:f>
        <x:v>76403.47223197181</x:v>
      </x:c>
    </x:row>
    <x:row r="13" ht="18" customHeight="1">
      <x:c r="A13" s="24" t="str">
        <x:v>EEZ_925</x:v>
      </x:c>
      <x:c r="B13" s="24" t="str">
        <x:v>Canada (Pacific)</x:v>
      </x:c>
      <x:c r="C13" s="24" t="str">
        <x:v>EEZ</x:v>
      </x:c>
      <x:c r="D13" s="30" t="n">
        <x:v>2019</x:v>
      </x:c>
      <x:c r="E13" s="24" t="str">
        <x:v>Sebastes</x:v>
      </x:c>
      <x:c r="F13" s="24" t="str">
        <x:v>Redfishes</x:v>
      </x:c>
      <x:c r="G13" s="24" t="str">
        <x:v>Large reef assoc. fish (&gt;=90 cm)</x:v>
      </x:c>
      <x:c r="H13" s="24" t="str">
        <x:v>Scorpionfishes</x:v>
      </x:c>
      <x:c r="I13" s="31" t="n">
        <x:v>2759.5369715936</x:v>
      </x:c>
      <x:c r="J13" s="31" t="n">
        <x:v>2759.5369715936</x:v>
      </x:c>
      <x:c r="K13" s="31" t="n">
        <x:v>0</x:v>
      </x:c>
      <x:c r="L13" s="31" t="n">
        <x:v>2759.5369715936</x:v>
      </x:c>
      <x:c r="M13" s="31" t="n">
        <x:v>0</x:v>
      </x:c>
      <x:c r="N13" s="24" t="str">
        <x:v>sebastes</x:v>
      </x:c>
      <x:c r="O13" s="32" t="n">
        <x:v>3.79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Sebastes</x:v>
      </x:c>
      <x:c r="T13" s="32" t="n">
        <x:f>IF(O13="","",(1/'Metadata'!$B$5)^(O13-1))</x:f>
        <x:v>616.5950018614822</x:v>
      </x:c>
      <x:c r="U13" s="31" t="n">
        <x:f>IF(T13="","",I13*T13)</x:f>
        <x:v>1701516.7041365847</x:v>
      </x:c>
    </x:row>
    <x:row r="14" ht="18" customHeight="1">
      <x:c r="A14" s="24" t="str">
        <x:v>EEZ_925</x:v>
      </x:c>
      <x:c r="B14" s="24" t="str">
        <x:v>Canada (Pacific)</x:v>
      </x:c>
      <x:c r="C14" s="24" t="str">
        <x:v>EEZ</x:v>
      </x:c>
      <x:c r="D14" s="30" t="n">
        <x:v>2019</x:v>
      </x:c>
      <x:c r="E14" s="24" t="str">
        <x:v>Dendrobranchiata</x:v>
      </x:c>
      <x:c r="F14" s="24" t="str">
        <x:v>Shrimps and prawns</x:v>
      </x:c>
      <x:c r="G14" s="24" t="str">
        <x:v>Shrimps</x:v>
      </x:c>
      <x:c r="H14" s="24" t="str">
        <x:v>Crustaceans</x:v>
      </x:c>
      <x:c r="I14" s="31" t="n">
        <x:v>2693</x:v>
      </x:c>
      <x:c r="J14" s="31" t="n">
        <x:v>2693</x:v>
      </x:c>
      <x:c r="K14" s="31" t="n">
        <x:v>0</x:v>
      </x:c>
      <x:c r="L14" s="31" t="n">
        <x:v>2693</x:v>
      </x:c>
      <x:c r="M14" s="31" t="n">
        <x:v>0</x:v>
      </x:c>
      <x:c r="N14" s="24" t="str">
        <x:v>dendrobranchiata</x:v>
      </x:c>
      <x:c r="O14" s="32" t="n">
        <x:v>3.24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Dendrobranchiata</x:v>
      </x:c>
      <x:c r="T14" s="32" t="n">
        <x:f>IF(O14="","",(1/'Metadata'!$B$5)^(O14-1))</x:f>
        <x:v>173.78008287493762</x:v>
      </x:c>
      <x:c r="U14" s="31" t="n">
        <x:f>IF(T14="","",I14*T14)</x:f>
        <x:v>467989.763182207</x:v>
      </x:c>
    </x:row>
    <x:row r="15" ht="18" customHeight="1">
      <x:c r="A15" s="24" t="str">
        <x:v>EEZ_925</x:v>
      </x:c>
      <x:c r="B15" s="24" t="str">
        <x:v>Canada (Pacific)</x:v>
      </x:c>
      <x:c r="C15" s="24" t="str">
        <x:v>EEZ</x:v>
      </x:c>
      <x:c r="D15" s="30" t="n">
        <x:v>2019</x:v>
      </x:c>
      <x:c r="E15" s="24" t="str">
        <x:v>Bivalvia</x:v>
      </x:c>
      <x:c r="F15" s="24" t="str">
        <x:v>Clams</x:v>
      </x:c>
      <x:c r="G15" s="24" t="str">
        <x:v>Other demersal invertebrates</x:v>
      </x:c>
      <x:c r="H15" s="24" t="str">
        <x:v>Molluscs</x:v>
      </x:c>
      <x:c r="I15" s="31" t="n">
        <x:v>1727.4493450554</x:v>
      </x:c>
      <x:c r="J15" s="31" t="n">
        <x:v>1727.4493450554</x:v>
      </x:c>
      <x:c r="K15" s="31" t="n">
        <x:v>0</x:v>
      </x:c>
      <x:c r="L15" s="31" t="n">
        <x:v>1613</x:v>
      </x:c>
      <x:c r="M15" s="31" t="n">
        <x:v>114.4493450554</x:v>
      </x:c>
      <x:c r="N15" s="24" t="str">
        <x:v>bivalvia</x:v>
      </x:c>
      <x:c r="O15" s="32" t="n">
        <x:v>2.23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Bivalvia</x:v>
      </x:c>
      <x:c r="T15" s="32" t="n">
        <x:f>IF(O15="","",(1/'Metadata'!$B$5)^(O15-1))</x:f>
        <x:v>16.982436524617444</x:v>
      </x:c>
      <x:c r="U15" s="31" t="n">
        <x:f>IF(T15="","",I15*T15)</x:f>
        <x:v>29336.29885189531</x:v>
      </x:c>
    </x:row>
    <x:row r="16" ht="18" customHeight="1">
      <x:c r="A16" s="24" t="str">
        <x:v>EEZ_925</x:v>
      </x:c>
      <x:c r="B16" s="24" t="str">
        <x:v>Canada (Pacific)</x:v>
      </x:c>
      <x:c r="C16" s="24" t="str">
        <x:v>EEZ</x:v>
      </x:c>
      <x:c r="D16" s="30" t="n">
        <x:v>2019</x:v>
      </x:c>
      <x:c r="E16" s="24" t="str">
        <x:v>Sebastes pinniger</x:v>
      </x:c>
      <x:c r="F16" s="24" t="str">
        <x:v>Canary rockfish</x:v>
      </x:c>
      <x:c r="G16" s="24" t="str">
        <x:v>Medium reef assoc. fish (30 - 89 cm)</x:v>
      </x:c>
      <x:c r="H16" s="24" t="str">
        <x:v>Scorpionfishes</x:v>
      </x:c>
      <x:c r="I16" s="31" t="n">
        <x:v>984.6584615919</x:v>
      </x:c>
      <x:c r="J16" s="31" t="n">
        <x:v>984.6584615919</x:v>
      </x:c>
      <x:c r="K16" s="31" t="n">
        <x:v>0</x:v>
      </x:c>
      <x:c r="L16" s="31" t="n">
        <x:v>984.6584615919</x:v>
      </x:c>
      <x:c r="M16" s="31" t="n">
        <x:v>0</x:v>
      </x:c>
      <x:c r="N16" s="24" t="str">
        <x:v>sebastes pinniger</x:v>
      </x:c>
      <x:c r="O16" s="32" t="n">
        <x:v>3.8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Sebastes pinniger</x:v>
      </x:c>
      <x:c r="T16" s="32" t="n">
        <x:f>IF(O16="","",(1/'Metadata'!$B$5)^(O16-1))</x:f>
        <x:v>630.957344480193</x:v>
      </x:c>
      <x:c r="U16" s="31" t="n">
        <x:f>IF(T16="","",I16*T16)</x:f>
        <x:v>621277.4881459774</x:v>
      </x:c>
    </x:row>
    <x:row r="17" ht="18" customHeight="1">
      <x:c r="A17" s="24" t="str">
        <x:v>EEZ_925</x:v>
      </x:c>
      <x:c r="B17" s="24" t="str">
        <x:v>Canada (Pacific)</x:v>
      </x:c>
      <x:c r="C17" s="24" t="str">
        <x:v>EEZ</x:v>
      </x:c>
      <x:c r="D17" s="30" t="n">
        <x:v>2019</x:v>
      </x:c>
      <x:c r="E17" s="24" t="str">
        <x:v>Oncorhynchus keta</x:v>
      </x:c>
      <x:c r="F17" s="24" t="str">
        <x:v>Chum salmon</x:v>
      </x:c>
      <x:c r="G17" s="24" t="str">
        <x:v>Large benthopelagics (&gt;=90 cm)</x:v>
      </x:c>
      <x:c r="H17" s="24" t="str">
        <x:v>Salmon, smelts, etc</x:v>
      </x:c>
      <x:c r="I17" s="31" t="n">
        <x:v>722.1411356686001</x:v>
      </x:c>
      <x:c r="J17" s="31" t="n">
        <x:v>696.3415767267</x:v>
      </x:c>
      <x:c r="K17" s="31" t="n">
        <x:v>25.799558941899996</x:v>
      </x:c>
      <x:c r="L17" s="31" t="n">
        <x:v>0</x:v>
      </x:c>
      <x:c r="M17" s="31" t="n">
        <x:v>722.1411356686001</x:v>
      </x:c>
      <x:c r="N17" s="24" t="str">
        <x:v>oncorhynchus keta</x:v>
      </x:c>
      <x:c r="O17" s="32" t="n">
        <x:v>3.74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Oncorhynchus keta</x:v>
      </x:c>
      <x:c r="T17" s="32" t="n">
        <x:f>IF(O17="","",(1/'Metadata'!$B$5)^(O17-1))</x:f>
        <x:v>549.5408738576248</x:v>
      </x:c>
      <x:c r="U17" s="31" t="n">
        <x:f>IF(T17="","",I17*T17)</x:f>
        <x:v>396846.0707438601</x:v>
      </x:c>
    </x:row>
    <x:row r="18" ht="18" customHeight="1">
      <x:c r="A18" s="24" t="str">
        <x:v>EEZ_925</x:v>
      </x:c>
      <x:c r="B18" s="24" t="str">
        <x:v>Canada (Pacific)</x:v>
      </x:c>
      <x:c r="C18" s="24" t="str">
        <x:v>EEZ</x:v>
      </x:c>
      <x:c r="D18" s="30" t="n">
        <x:v>2019</x:v>
      </x:c>
      <x:c r="E18" s="24" t="str">
        <x:v>Oncorhynchus kisutch</x:v>
      </x:c>
      <x:c r="F18" s="24" t="str">
        <x:v>Coho salmon</x:v>
      </x:c>
      <x:c r="G18" s="24" t="str">
        <x:v>Large demersals (&gt;=90 cm)</x:v>
      </x:c>
      <x:c r="H18" s="24" t="str">
        <x:v>Salmon, smelts, etc</x:v>
      </x:c>
      <x:c r="I18" s="31" t="n">
        <x:v>649.0781246762999</x:v>
      </x:c>
      <x:c r="J18" s="31" t="n">
        <x:v>647.8160097458999</x:v>
      </x:c>
      <x:c r="K18" s="31" t="n">
        <x:v>1.2621149304</x:v>
      </x:c>
      <x:c r="L18" s="31" t="n">
        <x:v>0</x:v>
      </x:c>
      <x:c r="M18" s="31" t="n">
        <x:v>649.0781246762999</x:v>
      </x:c>
      <x:c r="N18" s="24" t="str">
        <x:v>oncorhynchus kisutch</x:v>
      </x:c>
      <x:c r="O18" s="32" t="n">
        <x:v>4.22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Oncorhynchus kisutch</x:v>
      </x:c>
      <x:c r="T18" s="32" t="n">
        <x:f>IF(O18="","",(1/'Metadata'!$B$5)^(O18-1))</x:f>
        <x:v>1659.5869074375596</x:v>
      </x:c>
      <x:c r="U18" s="31" t="n">
        <x:f>IF(T18="","",I18*T18)</x:f>
        <x:v>1077201.5576169114</x:v>
      </x:c>
    </x:row>
    <x:row r="19" ht="18" customHeight="1">
      <x:c r="A19" s="24" t="str">
        <x:v>EEZ_925</x:v>
      </x:c>
      <x:c r="B19" s="24" t="str">
        <x:v>Canada (Pacific)</x:v>
      </x:c>
      <x:c r="C19" s="24" t="str">
        <x:v>EEZ</x:v>
      </x:c>
      <x:c r="D19" s="30" t="n">
        <x:v>2019</x:v>
      </x:c>
      <x:c r="E19" s="24" t="str">
        <x:v>Gadus macrocephalus</x:v>
      </x:c>
      <x:c r="F19" s="24" t="str">
        <x:v>Pacific cod</x:v>
      </x:c>
      <x:c r="G19" s="24" t="str">
        <x:v>Large demersals (&gt;=90 cm)</x:v>
      </x:c>
      <x:c r="H19" s="24" t="str">
        <x:v>Cod-likes</x:v>
      </x:c>
      <x:c r="I19" s="31" t="n">
        <x:v>492.0000000003</x:v>
      </x:c>
      <x:c r="J19" s="31" t="n">
        <x:v>492.0000000003</x:v>
      </x:c>
      <x:c r="K19" s="31" t="n">
        <x:v>0</x:v>
      </x:c>
      <x:c r="L19" s="31" t="n">
        <x:v>492.0000000003</x:v>
      </x:c>
      <x:c r="M19" s="31" t="n">
        <x:v>0</x:v>
      </x:c>
      <x:c r="N19" s="24" t="str">
        <x:v>gadus macrocephalus</x:v>
      </x:c>
      <x:c r="O19" s="32" t="n">
        <x:v>4.16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Gadus macrocephalus</x:v>
      </x:c>
      <x:c r="T19" s="32" t="n">
        <x:f>IF(O19="","",(1/'Metadata'!$B$5)^(O19-1))</x:f>
        <x:v>1445.439770745928</x:v>
      </x:c>
      <x:c r="U19" s="31" t="n">
        <x:f>IF(T19="","",I19*T19)</x:f>
        <x:v>711156.3672074302</x:v>
      </x:c>
    </x:row>
    <x:row r="20" ht="18" customHeight="1">
      <x:c r="A20" s="24" t="str">
        <x:v>EEZ_925</x:v>
      </x:c>
      <x:c r="B20" s="24" t="str">
        <x:v>Canada (Pacific)</x:v>
      </x:c>
      <x:c r="C20" s="24" t="str">
        <x:v>EEZ</x:v>
      </x:c>
      <x:c r="D20" s="30" t="n">
        <x:v>2019</x:v>
      </x:c>
      <x:c r="E20" s="24" t="str">
        <x:v>Oncorhynchus nerka</x:v>
      </x:c>
      <x:c r="F20" s="24" t="str">
        <x:v>Sockeye salmon</x:v>
      </x:c>
      <x:c r="G20" s="24" t="str">
        <x:v>Medium pelagics (30 - 89 cm)</x:v>
      </x:c>
      <x:c r="H20" s="24" t="str">
        <x:v>Salmon, smelts, etc</x:v>
      </x:c>
      <x:c r="I20" s="31" t="n">
        <x:v>467.56356878739996</x:v>
      </x:c>
      <x:c r="J20" s="31" t="n">
        <x:v>467.56356878739996</x:v>
      </x:c>
      <x:c r="K20" s="31" t="n">
        <x:v>0</x:v>
      </x:c>
      <x:c r="L20" s="31" t="n">
        <x:v>0</x:v>
      </x:c>
      <x:c r="M20" s="31" t="n">
        <x:v>467.56356878739996</x:v>
      </x:c>
      <x:c r="N20" s="24" t="str">
        <x:v>oncorhynchus nerka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Oncorhynchus nerka</x:v>
      </x:c>
      <x:c r="T20" s="32" t="n">
        <x:f>IF(O20="","",(1/'Metadata'!$B$5)^(O20-1))</x:f>
        <x:v>346.73685045253166</x:v>
      </x:c>
      <x:c r="U20" s="31" t="n">
        <x:f>IF(T20="","",I20*T20)</x:f>
        <x:v>162121.5192276887</x:v>
      </x:c>
    </x:row>
    <x:row r="21" ht="18" customHeight="1">
      <x:c r="A21" s="24" t="str">
        <x:v>EEZ_925</x:v>
      </x:c>
      <x:c r="B21" s="24" t="str">
        <x:v>Canada (Pacific)</x:v>
      </x:c>
      <x:c r="C21" s="24" t="str">
        <x:v>EEZ</x:v>
      </x:c>
      <x:c r="D21" s="30" t="n">
        <x:v>2019</x:v>
      </x:c>
      <x:c r="E21" s="24" t="str">
        <x:v>Rajiformes</x:v>
      </x:c>
      <x:c r="F21" s="24" t="str">
        <x:v>Skates and rays</x:v>
      </x:c>
      <x:c r="G21" s="24" t="str">
        <x:v>Large rays (&gt;=90 cm)</x:v>
      </x:c>
      <x:c r="H21" s="24" t="str">
        <x:v>Sharks &amp; rays</x:v>
      </x:c>
      <x:c r="I21" s="31" t="n">
        <x:v>322</x:v>
      </x:c>
      <x:c r="J21" s="31" t="n">
        <x:v>322</x:v>
      </x:c>
      <x:c r="K21" s="31" t="n">
        <x:v>0</x:v>
      </x:c>
      <x:c r="L21" s="31" t="n">
        <x:v>322</x:v>
      </x:c>
      <x:c r="M21" s="31" t="n">
        <x:v>0</x:v>
      </x:c>
      <x:c r="N21" s="24" t="str">
        <x:v>rajiformes</x:v>
      </x:c>
      <x:c r="O21" s="32" t="n">
        <x:v>3.61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Rajiformes</x:v>
      </x:c>
      <x:c r="T21" s="32" t="n">
        <x:f>IF(O21="","",(1/'Metadata'!$B$5)^(O21-1))</x:f>
        <x:v>407.3802778041126</x:v>
      </x:c>
      <x:c r="U21" s="31" t="n">
        <x:f>IF(T21="","",I21*T21)</x:f>
        <x:v>131176.44945292425</x:v>
      </x:c>
    </x:row>
    <x:row r="22" ht="18" customHeight="1">
      <x:c r="A22" s="24" t="str">
        <x:v>EEZ_925</x:v>
      </x:c>
      <x:c r="B22" s="24" t="str">
        <x:v>Canada (Pacific)</x:v>
      </x:c>
      <x:c r="C22" s="24" t="str">
        <x:v>EEZ</x:v>
      </x:c>
      <x:c r="D22" s="30" t="n">
        <x:v>2019</x:v>
      </x:c>
      <x:c r="E22" s="24" t="str">
        <x:v>Oncorhynchus gorbuscha</x:v>
      </x:c>
      <x:c r="F22" s="24" t="str">
        <x:v>Pink salmon</x:v>
      </x:c>
      <x:c r="G22" s="24" t="str">
        <x:v>Medium demersals (30 - 89 cm)</x:v>
      </x:c>
      <x:c r="H22" s="24" t="str">
        <x:v>Salmon, smelts, etc</x:v>
      </x:c>
      <x:c r="I22" s="31" t="n">
        <x:v>208.27052481479998</x:v>
      </x:c>
      <x:c r="J22" s="31" t="n">
        <x:v>207.2832938501</x:v>
      </x:c>
      <x:c r="K22" s="31" t="n">
        <x:v>0.9872309646999999</x:v>
      </x:c>
      <x:c r="L22" s="31" t="n">
        <x:v>0</x:v>
      </x:c>
      <x:c r="M22" s="31" t="n">
        <x:v>208.27052481479998</x:v>
      </x:c>
      <x:c r="N22" s="24" t="str">
        <x:v>oncorhynchus gorbuscha</x:v>
      </x:c>
      <x:c r="O22" s="32" t="n">
        <x:v>4.49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Oncorhynchus gorbuscha</x:v>
      </x:c>
      <x:c r="T22" s="32" t="n">
        <x:f>IF(O22="","",(1/'Metadata'!$B$5)^(O22-1))</x:f>
        <x:v>3090.295432513592</x:v>
      </x:c>
      <x:c r="U22" s="31" t="n">
        <x:f>IF(T22="","",I22*T22)</x:f>
        <x:v>643617.4515623851</x:v>
      </x:c>
    </x:row>
    <x:row r="23" ht="18" customHeight="1">
      <x:c r="A23" s="24" t="str">
        <x:v>EEZ_925</x:v>
      </x:c>
      <x:c r="B23" s="24" t="str">
        <x:v>Canada (Pacific)</x:v>
      </x:c>
      <x:c r="C23" s="24" t="str">
        <x:v>EEZ</x:v>
      </x:c>
      <x:c r="D23" s="30" t="n">
        <x:v>2019</x:v>
      </x:c>
      <x:c r="E23" s="24" t="str">
        <x:v>Squalus suckleyi</x:v>
      </x:c>
      <x:c r="F23" s="24" t="str">
        <x:v>Pacific spiny dogfish</x:v>
      </x:c>
      <x:c r="G23" s="24" t="str">
        <x:v>Large sharks (&gt;=90 cm)</x:v>
      </x:c>
      <x:c r="H23" s="24" t="str">
        <x:v>Sharks &amp; rays</x:v>
      </x:c>
      <x:c r="I23" s="31" t="n">
        <x:v>182</x:v>
      </x:c>
      <x:c r="J23" s="31" t="n">
        <x:v>182</x:v>
      </x:c>
      <x:c r="K23" s="31" t="n">
        <x:v>0</x:v>
      </x:c>
      <x:c r="L23" s="31" t="n">
        <x:v>182</x:v>
      </x:c>
      <x:c r="M23" s="31" t="n">
        <x:v>0</x:v>
      </x:c>
      <x:c r="N23" s="24" t="str">
        <x:v>squalus suckleyi</x:v>
      </x:c>
      <x:c r="O23" s="32" t="n">
        <x:v>3.82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Squalus suckleyi</x:v>
      </x:c>
      <x:c r="T23" s="32" t="n">
        <x:f>IF(O23="","",(1/'Metadata'!$B$5)^(O23-1))</x:f>
        <x:v>660.6934480075957</x:v>
      </x:c>
      <x:c r="U23" s="31" t="n">
        <x:f>IF(T23="","",I23*T23)</x:f>
        <x:v>120246.20753738242</x:v>
      </x:c>
    </x:row>
    <x:row r="24" ht="18" customHeight="1">
      <x:c r="A24" s="24" t="str">
        <x:v>EEZ_925</x:v>
      </x:c>
      <x:c r="B24" s="24" t="str">
        <x:v>Canada (Pacific)</x:v>
      </x:c>
      <x:c r="C24" s="24" t="str">
        <x:v>EEZ</x:v>
      </x:c>
      <x:c r="D24" s="30" t="n">
        <x:v>2019</x:v>
      </x:c>
      <x:c r="E24" s="24" t="str">
        <x:v>Sebastes paucispinis</x:v>
      </x:c>
      <x:c r="F24" s="24" t="str">
        <x:v>Bocaccio rockfish</x:v>
      </x:c>
      <x:c r="G24" s="24" t="str">
        <x:v>Medium reef assoc. fish (30 - 89 cm)</x:v>
      </x:c>
      <x:c r="H24" s="24" t="str">
        <x:v>Scorpionfishes</x:v>
      </x:c>
      <x:c r="I24" s="31" t="n">
        <x:v>180.2183922579</x:v>
      </x:c>
      <x:c r="J24" s="31" t="n">
        <x:v>180.2183922579</x:v>
      </x:c>
      <x:c r="K24" s="31" t="n">
        <x:v>0</x:v>
      </x:c>
      <x:c r="L24" s="31" t="n">
        <x:v>180.2183922579</x:v>
      </x:c>
      <x:c r="M24" s="31" t="n">
        <x:v>0</x:v>
      </x:c>
      <x:c r="N24" s="24" t="str">
        <x:v>sebastes paucispinis</x:v>
      </x:c>
      <x:c r="O24" s="32" t="n">
        <x:v>3.51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Sebastes paucispinis</x:v>
      </x:c>
      <x:c r="T24" s="32" t="n">
        <x:f>IF(O24="","",(1/'Metadata'!$B$5)^(O24-1))</x:f>
        <x:v>323.5936569296281</x:v>
      </x:c>
      <x:c r="U24" s="31" t="n">
        <x:f>IF(T24="","",I24*T24)</x:f>
        <x:v>58317.528596712036</x:v>
      </x:c>
    </x:row>
    <x:row r="25" ht="18" customHeight="1">
      <x:c r="A25" s="24" t="str">
        <x:v>EEZ_925</x:v>
      </x:c>
      <x:c r="B25" s="24" t="str">
        <x:v>Canada (Pacific)</x:v>
      </x:c>
      <x:c r="C25" s="24" t="str">
        <x:v>EEZ</x:v>
      </x:c>
      <x:c r="D25" s="30" t="n">
        <x:v>2019</x:v>
      </x:c>
      <x:c r="E25" s="24" t="str">
        <x:v>Ophiodon elongatus</x:v>
      </x:c>
      <x:c r="F25" s="24" t="str">
        <x:v>Lingcod</x:v>
      </x:c>
      <x:c r="G25" s="24" t="str">
        <x:v>Large demersals (&gt;=90 cm)</x:v>
      </x:c>
      <x:c r="H25" s="24" t="str">
        <x:v>Scorpionfishes</x:v>
      </x:c>
      <x:c r="I25" s="31" t="n">
        <x:v>154.14053575920002</x:v>
      </x:c>
      <x:c r="J25" s="31" t="n">
        <x:v>154.14053575920002</x:v>
      </x:c>
      <x:c r="K25" s="31" t="n">
        <x:v>0</x:v>
      </x:c>
      <x:c r="L25" s="31" t="n">
        <x:v>0</x:v>
      </x:c>
      <x:c r="M25" s="31" t="n">
        <x:v>154.14053575920002</x:v>
      </x:c>
      <x:c r="N25" s="24" t="str">
        <x:v>ophiodon elongatus</x:v>
      </x:c>
      <x:c r="O25" s="32" t="n">
        <x:v>4.32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Ophiodon elongatus</x:v>
      </x:c>
      <x:c r="T25" s="32" t="n">
        <x:f>IF(O25="","",(1/'Metadata'!$B$5)^(O25-1))</x:f>
        <x:v>2089.2961308540407</x:v>
      </x:c>
      <x:c r="U25" s="31" t="n">
        <x:f>IF(T25="","",I25*T25)</x:f>
        <x:v>322045.2249694655</x:v>
      </x:c>
    </x:row>
    <x:row r="26" ht="18" customHeight="1">
      <x:c r="A26" s="24" t="str">
        <x:v>EEZ_925</x:v>
      </x:c>
      <x:c r="B26" s="24" t="str">
        <x:v>Canada (Pacific)</x:v>
      </x:c>
      <x:c r="C26" s="24" t="str">
        <x:v>EEZ</x:v>
      </x:c>
      <x:c r="D26" s="30" t="n">
        <x:v>2019</x:v>
      </x:c>
      <x:c r="E26" s="24" t="str">
        <x:v>Strongylocentrotus droebachiensis</x:v>
      </x:c>
      <x:c r="F26" s="24" t="str">
        <x:v>Green sea urchin</x:v>
      </x:c>
      <x:c r="G26" s="24" t="str">
        <x:v>Other demersal invertebrates</x:v>
      </x:c>
      <x:c r="H26" s="24" t="str">
        <x:v>Other fishes &amp; inverts</x:v>
      </x:c>
      <x:c r="I26" s="31" t="n">
        <x:v>126.3229849267</x:v>
      </x:c>
      <x:c r="J26" s="31" t="n">
        <x:v>126.3229849267</x:v>
      </x:c>
      <x:c r="K26" s="31" t="n">
        <x:v>0</x:v>
      </x:c>
      <x:c r="L26" s="31" t="n">
        <x:v>126.3229849267</x:v>
      </x:c>
      <x:c r="M26" s="31" t="n">
        <x:v>0</x:v>
      </x:c>
      <x:c r="N26" s="24" t="str">
        <x:v>strongylocentrotus droebachiensis</x:v>
      </x:c>
      <x:c r="O26" s="32" t="n">
        <x:v>2.3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Strongylocentrotus droebachiensis</x:v>
      </x:c>
      <x:c r="T26" s="32" t="n">
        <x:f>IF(O26="","",(1/'Metadata'!$B$5)^(O26-1))</x:f>
        <x:v>19.952623149688787</x:v>
      </x:c>
      <x:c r="U26" s="31" t="n">
        <x:f>IF(T26="","",I26*T26)</x:f>
        <x:v>2520.474913386262</x:v>
      </x:c>
    </x:row>
    <x:row r="27" ht="18" customHeight="1">
      <x:c r="A27" s="24" t="str">
        <x:v>EEZ_925</x:v>
      </x:c>
      <x:c r="B27" s="24" t="str">
        <x:v>Canada (Pacific)</x:v>
      </x:c>
      <x:c r="C27" s="24" t="str">
        <x:v>EEZ</x:v>
      </x:c>
      <x:c r="D27" s="30" t="n">
        <x:v>2019</x:v>
      </x:c>
      <x:c r="E27" s="24" t="str">
        <x:v>Miscellaneous marine crustaceans</x:v>
      </x:c>
      <x:c r="F27" s="24" t="str">
        <x:v>Marine crabs, shrimps, lobsters nei</x:v>
      </x:c>
      <x:c r="G27" s="24" t="str">
        <x:v>Shrimps</x:v>
      </x:c>
      <x:c r="H27" s="24" t="str">
        <x:v>Crustaceans</x:v>
      </x:c>
      <x:c r="I27" s="31" t="n">
        <x:v>121</x:v>
      </x:c>
      <x:c r="J27" s="31" t="n">
        <x:v>121</x:v>
      </x:c>
      <x:c r="K27" s="31" t="n">
        <x:v>0</x:v>
      </x:c>
      <x:c r="L27" s="31" t="n">
        <x:v>121</x:v>
      </x:c>
      <x:c r="M27" s="31" t="n">
        <x:v>0</x:v>
      </x:c>
      <x:c r="N27" s="24" t="str">
        <x:v>miscellaneous marine crustaceans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Miscellaneous marine crustaceans</x:v>
      </x:c>
      <x:c r="T27" s="32" t="n">
        <x:f>IF(O27="","",(1/'Metadata'!$B$5)^(O27-1))</x:f>
        <x:v>50.11872336272725</x:v>
      </x:c>
      <x:c r="U27" s="31" t="n">
        <x:f>IF(T27="","",I27*T27)</x:f>
        <x:v>6064.365526889997</x:v>
      </x:c>
    </x:row>
  </x:sheetData>
  <x:conditionalFormatting sqref="R2:R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e12388efdae4fc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106425.00000000061</x:v>
      </x:c>
      <x:c r="C2" s="32" t="n">
        <x:v>4.303329386892174</x:v>
      </x:c>
      <x:c r="D2" s="32" t="n">
        <x:f>IF(C2="","",(1/'Metadata'!$B$5)^(C2-1))</x:f>
        <x:v>2010.617169663911</x:v>
      </x:c>
      <x:c r="E2" s="31" t="n">
        <x:f>IF(B2=0,"",B2*D2)</x:f>
        <x:v>213979932.28148296</x:v>
      </x:c>
    </x:row>
    <x:row r="3" ht="18" customHeight="1">
      <x:c r="A3" s="24" t="str">
        <x:v>Crustaceans</x:v>
      </x:c>
      <x:c r="B3" s="31" t="n">
        <x:v>11149.7291557258</x:v>
      </x:c>
      <x:c r="C3" s="32" t="n">
        <x:v>3.802328830663283</x:v>
      </x:c>
      <x:c r="D3" s="32" t="n">
        <x:f>IF(C3="","",(1/'Metadata'!$B$5)^(C3-1))</x:f>
        <x:v>634.3498341594297</x:v>
      </x:c>
      <x:c r="E3" s="31" t="n">
        <x:f>IF(B3=0,"",B3*D3)</x:f>
        <x:v>7072828.84085722</x:v>
      </x:c>
    </x:row>
    <x:row r="4" ht="18" customHeight="1">
      <x:c r="A4" s="24" t="str">
        <x:v>Flatfishes</x:v>
      </x:c>
      <x:c r="B4" s="31" t="n">
        <x:v>7799.3640497357</x:v>
      </x:c>
      <x:c r="C4" s="32" t="n">
        <x:v>4.14</x:v>
      </x:c>
      <x:c r="D4" s="32" t="n">
        <x:f>IF(C4="","",(1/'Metadata'!$B$5)^(C4-1))</x:f>
        <x:v>1380.3842646028838</x:v>
      </x:c>
      <x:c r="E4" s="31" t="n">
        <x:f>IF(B4=0,"",B4*D4)</x:f>
        <x:v>10766119.408164585</x:v>
      </x:c>
    </x:row>
    <x:row r="5" ht="18" customHeight="1">
      <x:c r="A5" s="24" t="str">
        <x:v>Herring-likes</x:v>
      </x:c>
      <x:c r="B5" s="31" t="n">
        <x:v>18903.0000000002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2732314.7986410563</x:v>
      </x:c>
    </x:row>
    <x:row r="6" ht="18" customHeight="1">
      <x:c r="A6" s="24" t="str">
        <x:v>Molluscs</x:v>
      </x:c>
      <x:c r="B6" s="31" t="n">
        <x:v>1727.4493450554</x:v>
      </x:c>
      <x:c r="C6" s="32" t="n">
        <x:v>2.23</x:v>
      </x:c>
      <x:c r="D6" s="32" t="n">
        <x:f>IF(C6="","",(1/'Metadata'!$B$5)^(C6-1))</x:f>
        <x:v>16.982436524617444</x:v>
      </x:c>
      <x:c r="E6" s="31" t="n">
        <x:f>IF(B6=0,"",B6*D6)</x:f>
        <x:v>29336.29885189531</x:v>
      </x:c>
    </x:row>
    <x:row r="7" ht="18" customHeight="1">
      <x:c r="A7" s="24" t="str">
        <x:v>Other fishes &amp; inverts</x:v>
      </x:c>
      <x:c r="B7" s="31" t="n">
        <x:v>25938.5185328088</x:v>
      </x:c>
      <x:c r="C7" s="32" t="n">
        <x:v>3.153476836916876</x:v>
      </x:c>
      <x:c r="D7" s="32" t="n">
        <x:f>IF(C7="","",(1/'Metadata'!$B$5)^(C7-1))</x:f>
        <x:v>142.38913014212784</x:v>
      </x:c>
      <x:c r="E7" s="31" t="n">
        <x:f>IF(B7=0,"",B7*D7)</x:f>
        <x:v>3693363.091062107</x:v>
      </x:c>
    </x:row>
    <x:row r="8" ht="18" customHeight="1">
      <x:c r="A8" s="24" t="str">
        <x:v>Salmon, smelts, etc</x:v>
      </x:c>
      <x:c r="B8" s="31" t="n">
        <x:v>9917.324634778599</x:v>
      </x:c>
      <x:c r="C8" s="32" t="n">
        <x:v>4.094004416950844</x:v>
      </x:c>
      <x:c r="D8" s="32" t="n">
        <x:f>IF(C8="","",(1/'Metadata'!$B$5)^(C8-1))</x:f>
        <x:v>1241.664935763675</x:v>
      </x:c>
      <x:c r="E8" s="31" t="n">
        <x:f>IF(B8=0,"",B8*D8)</x:f>
        <x:v>12313994.25558988</x:v>
      </x:c>
    </x:row>
    <x:row r="9" ht="18" customHeight="1">
      <x:c r="A9" s="24" t="str">
        <x:v>Scorpionfishes</x:v>
      </x:c>
      <x:c r="B9" s="31" t="n">
        <x:v>15810.217111705699</x:v>
      </x:c>
      <x:c r="C9" s="32" t="n">
        <x:v>3.7554967914143838</x:v>
      </x:c>
      <x:c r="D9" s="32" t="n">
        <x:f>IF(C9="","",(1/'Metadata'!$B$5)^(C9-1))</x:f>
        <x:v>569.5040165931304</x:v>
      </x:c>
      <x:c r="E9" s="31" t="n">
        <x:f>IF(B9=0,"",B9*D9)</x:f>
        <x:v>9003982.148325836</x:v>
      </x:c>
    </x:row>
    <x:row r="10" ht="18" customHeight="1">
      <x:c r="A10" s="24" t="str">
        <x:v>Sharks &amp; rays</x:v>
      </x:c>
      <x:c r="B10" s="31" t="n">
        <x:v>504</x:v>
      </x:c>
      <x:c r="C10" s="32" t="n">
        <x:v>3.6858333333333335</x:v>
      </x:c>
      <x:c r="D10" s="32" t="n">
        <x:f>IF(C10="","",(1/'Metadata'!$B$5)^(C10-1))</x:f>
        <x:v>485.10229954859045</x:v>
      </x:c>
      <x:c r="E10" s="31" t="n">
        <x:f>IF(B10=0,"",B10*D10)</x:f>
        <x:v>244491.55897248958</x:v>
      </x:c>
    </x:row>
  </x:sheetData>
  <x:pageMargins left="0.7" right="0.7" top="0.75" bottom="0.75" header="0.3" footer="0.3"/>
  <x:tableParts count="1">
    <x:tablePart xmlns:r="http://schemas.openxmlformats.org/officeDocument/2006/relationships" r:id="R31c5ffa1a2ce4ee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8592.4124165001</x:v>
      </x:c>
      <x:c r="C2" s="32" t="n">
        <x:v>4.105034741503526</x:v>
      </x:c>
      <x:c r="D2" s="32" t="n">
        <x:f>IF(C2="","",(1/'Metadata'!$B$5)^(C2-1))</x:f>
        <x:v>1273.6049593119249</x:v>
      </x:c>
      <x:c r="E2" s="31" t="n">
        <x:f>IF(B2=0,"",B2*D2)</x:f>
        <x:v>10943339.066107888</x:v>
      </x:c>
    </x:row>
    <x:row r="3" ht="18" customHeight="1">
      <x:c r="A3" s="24" t="str">
        <x:v>Large demersals (&gt;=90 cm)</x:v>
      </x:c>
      <x:c r="B3" s="31" t="n">
        <x:v>1295.2186604358</x:v>
      </x:c>
      <x:c r="C3" s="32" t="n">
        <x:v>4.209109216184893</x:v>
      </x:c>
      <x:c r="D3" s="32" t="n">
        <x:f>IF(C3="","",(1/'Metadata'!$B$5)^(C3-1))</x:f>
        <x:v>1618.487002867333</x:v>
      </x:c>
      <x:c r="E3" s="31" t="n">
        <x:f>IF(B3=0,"",B3*D3)</x:f>
        <x:v>2096294.5677865802</x:v>
      </x:c>
    </x:row>
    <x:row r="4" ht="18" customHeight="1">
      <x:c r="A4" s="24" t="str">
        <x:v>Large flatfishes (&gt;=90 cm)</x:v>
      </x:c>
      <x:c r="B4" s="31" t="n">
        <x:v>7799.3640497357</x:v>
      </x:c>
      <x:c r="C4" s="32" t="n">
        <x:v>4.14</x:v>
      </x:c>
      <x:c r="D4" s="32" t="n">
        <x:f>IF(C4="","",(1/'Metadata'!$B$5)^(C4-1))</x:f>
        <x:v>1380.3842646028838</x:v>
      </x:c>
      <x:c r="E4" s="31" t="n">
        <x:f>IF(B4=0,"",B4*D4)</x:f>
        <x:v>10766119.408164585</x:v>
      </x:c>
    </x:row>
    <x:row r="5" ht="18" customHeight="1">
      <x:c r="A5" s="24" t="str">
        <x:v>Large rays (&gt;=90 cm)</x:v>
      </x:c>
      <x:c r="B5" s="31" t="n">
        <x:v>322</x:v>
      </x:c>
      <x:c r="C5" s="32" t="n">
        <x:v>3.6100000000000003</x:v>
      </x:c>
      <x:c r="D5" s="32" t="n">
        <x:f>IF(C5="","",(1/'Metadata'!$B$5)^(C5-1))</x:f>
        <x:v>407.380277804113</x:v>
      </x:c>
      <x:c r="E5" s="31" t="n">
        <x:f>IF(B5=0,"",B5*D5)</x:f>
        <x:v>131176.4494529244</x:v>
      </x:c>
    </x:row>
    <x:row r="6" ht="18" customHeight="1">
      <x:c r="A6" s="24" t="str">
        <x:v>Large reef assoc. fish (&gt;=90 cm)</x:v>
      </x:c>
      <x:c r="B6" s="31" t="n">
        <x:v>2759.5369715936</x:v>
      </x:c>
      <x:c r="C6" s="32" t="n">
        <x:v>3.79</x:v>
      </x:c>
      <x:c r="D6" s="32" t="n">
        <x:f>IF(C6="","",(1/'Metadata'!$B$5)^(C6-1))</x:f>
        <x:v>616.5950018614822</x:v>
      </x:c>
      <x:c r="E6" s="31" t="n">
        <x:f>IF(B6=0,"",B6*D6)</x:f>
        <x:v>1701516.7041365847</x:v>
      </x:c>
    </x:row>
    <x:row r="7" ht="18" customHeight="1">
      <x:c r="A7" s="24" t="str">
        <x:v>Large sharks (&gt;=90 cm)</x:v>
      </x:c>
      <x:c r="B7" s="31" t="n">
        <x:v>182</x:v>
      </x:c>
      <x:c r="C7" s="32" t="n">
        <x:v>3.82</x:v>
      </x:c>
      <x:c r="D7" s="32" t="n">
        <x:f>IF(C7="","",(1/'Metadata'!$B$5)^(C7-1))</x:f>
        <x:v>660.6934480075957</x:v>
      </x:c>
      <x:c r="E7" s="31" t="n">
        <x:f>IF(B7=0,"",B7*D7)</x:f>
        <x:v>120246.20753738242</x:v>
      </x:c>
    </x:row>
    <x:row r="8" ht="18" customHeight="1">
      <x:c r="A8" s="24" t="str">
        <x:v>Lobsters, crabs</x:v>
      </x:c>
      <x:c r="B8" s="31" t="n">
        <x:v>8335.7291557258</x:v>
      </x:c>
      <x:c r="C8" s="32" t="n">
        <x:v>4</x:v>
      </x:c>
      <x:c r="D8" s="32" t="n">
        <x:f>IF(C8="","",(1/'Metadata'!$B$5)^(C8-1))</x:f>
        <x:v>1000</x:v>
      </x:c>
      <x:c r="E8" s="31" t="n">
        <x:f>IF(B8=0,"",B8*D8)</x:f>
        <x:v>8335729.1557257995</x:v>
      </x:c>
    </x:row>
    <x:row r="9" ht="18" customHeight="1">
      <x:c r="A9" s="24" t="str">
        <x:v>Medium benthopelagics (30 - 89 cm)</x:v>
      </x:c>
      <x:c r="B9" s="31" t="n">
        <x:v>105933.0000000003</x:v>
      </x:c>
      <x:c r="C9" s="32" t="n">
        <x:v>4.303995072357053</x:v>
      </x:c>
      <x:c r="D9" s="32" t="n">
        <x:f>IF(C9="","",(1/'Metadata'!$B$5)^(C9-1))</x:f>
        <x:v>2013.7014016379323</x:v>
      </x:c>
      <x:c r="E9" s="31" t="n">
        <x:f>IF(B9=0,"",B9*D9)</x:f>
        <x:v>213317430.5797117</x:v>
      </x:c>
    </x:row>
    <x:row r="10" ht="18" customHeight="1">
      <x:c r="A10" s="24" t="str">
        <x:v>Medium demersals (30 - 89 cm)</x:v>
      </x:c>
      <x:c r="B10" s="31" t="n">
        <x:v>34710.4518081267</x:v>
      </x:c>
      <x:c r="C10" s="32" t="n">
        <x:v>3.4288664312654964</x:v>
      </x:c>
      <x:c r="D10" s="32" t="n">
        <x:f>IF(C10="","",(1/'Metadata'!$B$5)^(C10-1))</x:f>
        <x:v>268.45186858950603</x:v>
      </x:c>
      <x:c r="E10" s="31" t="n">
        <x:f>IF(B10=0,"",B10*D10)</x:f>
        <x:v>9318085.647477612</x:v>
      </x:c>
    </x:row>
    <x:row r="11" ht="18" customHeight="1">
      <x:c r="A11" s="24" t="str">
        <x:v>Medium pelagics (30 - 89 cm)</x:v>
      </x:c>
      <x:c r="B11" s="31" t="n">
        <x:v>19370.5635687876</x:v>
      </x:c>
      <x:c r="C11" s="32" t="n">
        <x:v>3.1691723792913034</x:v>
      </x:c>
      <x:c r="D11" s="32" t="n">
        <x:f>IF(C11="","",(1/'Metadata'!$B$5)^(C11-1))</x:f>
        <x:v>147.6292384001395</x:v>
      </x:c>
      <x:c r="E11" s="31" t="n">
        <x:f>IF(B11=0,"",B11*D11)</x:f>
        <x:v>2859661.5470416015</x:v>
      </x:c>
    </x:row>
    <x:row r="12" ht="18" customHeight="1">
      <x:c r="A12" s="24" t="str">
        <x:v>Medium reef assoc. fish (30 - 89 cm)</x:v>
      </x:c>
      <x:c r="B12" s="31" t="n">
        <x:v>1164.8768538498</x:v>
      </x:c>
      <x:c r="C12" s="32" t="n">
        <x:v>3.7551340267582227</x:v>
      </x:c>
      <x:c r="D12" s="32" t="n">
        <x:f>IF(C12="","",(1/'Metadata'!$B$5)^(C12-1))</x:f>
        <x:v>569.0285105092192</x:v>
      </x:c>
      <x:c r="E12" s="31" t="n">
        <x:f>IF(B12=0,"",B12*D12)</x:f>
        <x:v>662848.1410728171</x:v>
      </x:c>
    </x:row>
    <x:row r="13" ht="18" customHeight="1">
      <x:c r="A13" s="24" t="str">
        <x:v>Other demersal invertebrates</x:v>
      </x:c>
      <x:c r="B13" s="31" t="n">
        <x:v>4895.4493450554</x:v>
      </x:c>
      <x:c r="C13" s="32" t="n">
        <x:v>2.3374319565860766</x:v>
      </x:c>
      <x:c r="D13" s="32" t="n">
        <x:f>IF(C13="","",(1/'Metadata'!$B$5)^(C13-1))</x:f>
        <x:v>21.748632589911246</x:v>
      </x:c>
      <x:c r="E13" s="31" t="n">
        <x:f>IF(B13=0,"",B13*D13)</x:f>
        <x:v>106469.32916813153</x:v>
      </x:c>
    </x:row>
    <x:row r="14" ht="18" customHeight="1">
      <x:c r="A14" s="24" t="str">
        <x:v>Shrimps</x:v>
      </x:c>
      <x:c r="B14" s="31" t="n">
        <x:v>2814</x:v>
      </x:c>
      <x:c r="C14" s="32" t="n">
        <x:v>3.2167803837953093</x:v>
      </x:c>
      <x:c r="D14" s="32" t="n">
        <x:f>IF(C14="","",(1/'Metadata'!$B$5)^(C14-1))</x:f>
        <x:v>164.73291512243483</x:v>
      </x:c>
      <x:c r="E14" s="31" t="n">
        <x:f>IF(B14=0,"",B14*D14)</x:f>
        <x:v>463558.4231545316</x:v>
      </x:c>
    </x:row>
  </x:sheetData>
  <x:pageMargins left="0.7" right="0.7" top="0.75" bottom="0.75" header="0.3" footer="0.3"/>
  <x:tableParts count="1">
    <x:tablePart xmlns:r="http://schemas.openxmlformats.org/officeDocument/2006/relationships" r:id="R8b12694ec7d943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EEZ_925</x:v>
      </x:c>
      <x:c r="B2" s="24" t="str">
        <x:v>raw_filtered_tonnes</x:v>
      </x:c>
      <x:c r="C2" s="24" t="n">
        <x:v>198174.6028298108</x:v>
      </x:c>
      <x:c r="D2" s="24" t="str">
        <x:v>tonnes</x:v>
      </x:c>
    </x:row>
    <x:row r="3" ht="18" customHeight="1">
      <x:c r="A3" s="24" t="str">
        <x:v>EEZ_925</x:v>
      </x:c>
      <x:c r="B3" s="24" t="str">
        <x:v>species_catch_tonnes</x:v>
      </x:c>
      <x:c r="C3" s="24" t="n">
        <x:v>198174.6028298108</x:v>
      </x:c>
      <x:c r="D3" s="24" t="str">
        <x:v>tonnes</x:v>
      </x:c>
    </x:row>
    <x:row r="4" ht="18" customHeight="1">
      <x:c r="A4" s="24" t="str">
        <x:v>EEZ_925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EEZ_925</x:v>
      </x:c>
      <x:c r="B6" s="24" t="str">
        <x:v>matched_catch_tonnes</x:v>
      </x:c>
      <x:c r="C6" s="24" t="n">
        <x:v>198174.6028298108</x:v>
      </x:c>
      <x:c r="D6" s="24" t="str">
        <x:v>tonnes</x:v>
      </x:c>
    </x:row>
    <x:row r="7" ht="18" customHeight="1">
      <x:c r="A7" s="24" t="str">
        <x:v>EEZ_925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EEZ_925</x:v>
      </x:c>
      <x:c r="B8" s="24" t="str">
        <x:v>taxa_count</x:v>
      </x:c>
      <x:c r="C8" s="24" t="n">
        <x:v>26</x:v>
      </x:c>
      <x:c r="D8" s="24" t="str">
        <x:v>count</x:v>
      </x:c>
    </x:row>
    <x:row r="9" ht="18" customHeight="1">
      <x:c r="A9" s="24" t="str">
        <x:v>EEZ_925</x:v>
      </x:c>
      <x:c r="B9" s="24" t="str">
        <x:v>matched_taxa_count</x:v>
      </x:c>
      <x:c r="C9" s="24" t="n">
        <x:v>26</x:v>
      </x:c>
      <x:c r="D9" s="24" t="str">
        <x:v>count</x:v>
      </x:c>
    </x:row>
    <x:row r="10" ht="18" customHeight="1">
      <x:c r="A10" s="24" t="str">
        <x:v>EEZ_925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EEZ_925</x:v>
      </x:c>
      <x:c r="B11" s="24" t="str">
        <x:v>species_ppr</x:v>
      </x:c>
      <x:c r="C11" s="24" t="n">
        <x:v>276796938.98617065</x:v>
      </x:c>
      <x:c r="D11" s="24" t="str">
        <x:v>tonnes_primary_production_equivalent</x:v>
      </x:c>
    </x:row>
    <x:row r="12" ht="18" customHeight="1">
      <x:c r="A12" s="24" t="str">
        <x:v>EEZ_925</x:v>
      </x:c>
      <x:c r="B12" s="24" t="str">
        <x:v>commercial_ppr</x:v>
      </x:c>
      <x:c r="C12" s="24" t="n">
        <x:v>259836362.681948</x:v>
      </x:c>
      <x:c r="D12" s="24" t="str">
        <x:v>tonnes_primary_production_equivalent</x:v>
      </x:c>
    </x:row>
    <x:row r="13" ht="18" customHeight="1">
      <x:c r="A13" s="24" t="str">
        <x:v>EEZ_925</x:v>
      </x:c>
      <x:c r="B13" s="24" t="str">
        <x:v>functional_ppr</x:v>
      </x:c>
      <x:c r="C13" s="24" t="n">
        <x:v>260822475.22653812</x:v>
      </x:c>
      <x:c r="D13" s="24" t="str">
        <x:v>tonnes_primary_production_equivalent</x:v>
      </x:c>
    </x:row>
    <x:row r="14" ht="18" customHeight="1">
      <x:c r="A14" s="24" t="str">
        <x:v>EEZ_925</x:v>
      </x:c>
      <x:c r="B14" s="24" t="str">
        <x:v>commercial_ppr_difference</x:v>
      </x:c>
      <x:c r="C14" s="24" t="n">
        <x:v>-16960576.304222643</x:v>
      </x:c>
      <x:c r="D14" s="24" t="str">
        <x:v>tonnes_primary_production_equivalent</x:v>
      </x:c>
    </x:row>
    <x:row r="15" ht="18" customHeight="1">
      <x:c r="A15" s="24" t="str">
        <x:v>EEZ_925</x:v>
      </x:c>
      <x:c r="B15" s="24" t="str">
        <x:v>functional_ppr_difference</x:v>
      </x:c>
      <x:c r="C15" s="24" t="n">
        <x:v>-15974463.759632528</x:v>
      </x:c>
      <x:c r="D15" s="24" t="str">
        <x:v>tonnes_primary_production_equivalent</x:v>
      </x:c>
    </x:row>
    <x:row r="16" ht="18" customHeight="1">
      <x:c r="A16" s="24" t="str">
        <x:v>EEZ_925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9ab06db6abd49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EEZ_925 - Canada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