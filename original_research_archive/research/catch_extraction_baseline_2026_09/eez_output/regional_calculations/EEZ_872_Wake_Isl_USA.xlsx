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af9b1b755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77e03af3f2146ec"/>
    <x:sheet xmlns:r="http://schemas.openxmlformats.org/officeDocument/2006/relationships" name="Commercial" sheetId="2" r:id="Rbe2b168657a24356"/>
    <x:sheet xmlns:r="http://schemas.openxmlformats.org/officeDocument/2006/relationships" name="Functional" sheetId="3" r:id="R403010f4eeb94c3b"/>
    <x:sheet xmlns:r="http://schemas.openxmlformats.org/officeDocument/2006/relationships" name="Missing TL" sheetId="4" r:id="R3f250476a761498b"/>
    <x:sheet xmlns:r="http://schemas.openxmlformats.org/officeDocument/2006/relationships" name="Validation" sheetId="5" r:id="Rd6f701da37c641d4"/>
    <x:sheet xmlns:r="http://schemas.openxmlformats.org/officeDocument/2006/relationships" name="Metadata" sheetId="6" r:id="R17ba6fda5f71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7393fd99c488c" /><Relationship Type="http://schemas.openxmlformats.org/officeDocument/2006/relationships/theme" Target="/xl/theme/theme1.xml" Id="R619a8a9e41d54526" /><Relationship Type="http://schemas.microsoft.com/office/2022/11/relationships/FeaturePropertyBag" Target="/xl/featurePropertyBag/featurePropertyBag.xml" Id="R9bd0d59ce534494a" /><Relationship Type="http://schemas.openxmlformats.org/officeDocument/2006/relationships/sharedStrings" Target="/xl/sharedStrings.xml" Id="R17c12777c64b488c" /><Relationship Type="http://schemas.openxmlformats.org/officeDocument/2006/relationships/worksheet" Target="/xl/worksheets/sheet1.xml" Id="R277e03af3f2146ec" /><Relationship Type="http://schemas.openxmlformats.org/officeDocument/2006/relationships/worksheet" Target="/xl/worksheets/sheet2.xml" Id="Rbe2b168657a24356" /><Relationship Type="http://schemas.openxmlformats.org/officeDocument/2006/relationships/worksheet" Target="/xl/worksheets/sheet3.xml" Id="R403010f4eeb94c3b" /><Relationship Type="http://schemas.openxmlformats.org/officeDocument/2006/relationships/worksheet" Target="/xl/worksheets/sheet4.xml" Id="R3f250476a761498b" /><Relationship Type="http://schemas.openxmlformats.org/officeDocument/2006/relationships/worksheet" Target="/xl/worksheets/sheet5.xml" Id="Rd6f701da37c641d4" /><Relationship Type="http://schemas.openxmlformats.org/officeDocument/2006/relationships/worksheet" Target="/xl/worksheets/sheet6.xml" Id="R17ba6fda5f7149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72SpeciesTable" displayName="EEZ872SpeciesTable" ref="A1:U14" headerRowCount="1" totalsRowCount="0" totalsRowShown="0">
  <x:autoFilter ref="A1:U1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72CommercialTable" displayName="EEZ872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72FunctionalTable" displayName="EEZ872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72ValidationTable" displayName="EEZ87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4a7feb52e847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8f3555c1f842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c4a954f24a4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16823388d443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EEZ_872</x:v>
      </x:c>
      <x:c r="B2" s="24" t="str">
        <x:v>Wake Isl. (USA)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7.4307246621</x:v>
      </x:c>
      <x:c r="J2" s="31" t="n">
        <x:v>0</x:v>
      </x:c>
      <x:c r="K2" s="31" t="n">
        <x:v>7.4307246621</x:v>
      </x:c>
      <x:c r="L2" s="31" t="n">
        <x:v>0</x:v>
      </x:c>
      <x:c r="M2" s="31" t="n">
        <x:v>7.4307246621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16635.320375924337</x:v>
      </x:c>
    </x:row>
    <x:row r="3" ht="18" customHeight="1">
      <x:c r="A3" s="24" t="str">
        <x:v>EEZ_872</x:v>
      </x:c>
      <x:c r="B3" s="24" t="str">
        <x:v>Wake Isl. (USA)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6.2071162749</x:v>
      </x:c>
      <x:c r="J3" s="31" t="n">
        <x:v>6.2071162749</x:v>
      </x:c>
      <x:c r="K3" s="31" t="n">
        <x:v>0</x:v>
      </x:c>
      <x:c r="L3" s="31" t="n">
        <x:v>6.2071162749</x:v>
      </x:c>
      <x:c r="M3" s="31" t="n">
        <x:v>0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12384.825187937977</x:v>
      </x:c>
    </x:row>
    <x:row r="4" ht="18" customHeight="1">
      <x:c r="A4" s="24" t="str">
        <x:v>EEZ_872</x:v>
      </x:c>
      <x:c r="B4" s="24" t="str">
        <x:v>Wake Isl. (USA)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5.6702775814</x:v>
      </x:c>
      <x:c r="J4" s="31" t="n">
        <x:v>5.4882838158</x:v>
      </x:c>
      <x:c r="K4" s="31" t="n">
        <x:v>0.1819937656</x:v>
      </x:c>
      <x:c r="L4" s="31" t="n">
        <x:v>5.4882838158</x:v>
      </x:c>
      <x:c r="M4" s="31" t="n">
        <x:v>0.1819937656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17522.832910884637</x:v>
      </x:c>
    </x:row>
    <x:row r="5" ht="18" customHeight="1">
      <x:c r="A5" s="24" t="str">
        <x:v>EEZ_872</x:v>
      </x:c>
      <x:c r="B5" s="24" t="str">
        <x:v>Wake Isl. (USA)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4.0166901407</x:v>
      </x:c>
      <x:c r="J5" s="31" t="n">
        <x:v>0.445629222</x:v>
      </x:c>
      <x:c r="K5" s="31" t="n">
        <x:v>3.5710609187</x:v>
      </x:c>
      <x:c r="L5" s="31" t="n">
        <x:v>0</x:v>
      </x:c>
      <x:c r="M5" s="31" t="n">
        <x:v>4.0166901407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765.3645279334115</x:v>
      </x:c>
    </x:row>
    <x:row r="6" ht="18" customHeight="1">
      <x:c r="A6" s="24" t="str">
        <x:v>EEZ_872</x:v>
      </x:c>
      <x:c r="B6" s="24" t="str">
        <x:v>Wake Isl. (USA)</x:v>
      </x:c>
      <x:c r="C6" s="24" t="str">
        <x:v>EEZ</x:v>
      </x:c>
      <x:c r="D6" s="30" t="n">
        <x:v>2019</x:v>
      </x:c>
      <x:c r="E6" s="24" t="str">
        <x:v>Marine pelagic fishes not identified</x:v>
      </x:c>
      <x:c r="F6" s="24" t="str">
        <x:v>Pelagic fishes</x:v>
      </x:c>
      <x:c r="G6" s="24" t="str">
        <x:v>Medium pelagics (30 - 89 cm)</x:v>
      </x:c>
      <x:c r="H6" s="24" t="str">
        <x:v>Other fishes &amp; inverts</x:v>
      </x:c>
      <x:c r="I6" s="31" t="n">
        <x:v>3.8243988398999997</x:v>
      </x:c>
      <x:c r="J6" s="31" t="n">
        <x:v>3.7111309549</x:v>
      </x:c>
      <x:c r="K6" s="31" t="n">
        <x:v>0.113267885</x:v>
      </x:c>
      <x:c r="L6" s="31" t="n">
        <x:v>3.7111309549</x:v>
      </x:c>
      <x:c r="M6" s="31" t="n">
        <x:v>0.113267885</x:v>
      </x:c>
      <x:c r="N6" s="24" t="str">
        <x:v>marine pelagic fishes not identified</x:v>
      </x:c>
      <x:c r="O6" s="32" t="n">
        <x:v>3.35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pelagic fishes not identified</x:v>
      </x:c>
      <x:c r="T6" s="32" t="n">
        <x:f>IF(O6="","",(1/'Metadata'!$B$5)^(O6-1))</x:f>
        <x:v>223.872113856834</x:v>
      </x:c>
      <x:c r="U6" s="31" t="n">
        <x:f>IF(T6="","",I6*T6)</x:f>
        <x:v>856.1762525200367</x:v>
      </x:c>
    </x:row>
    <x:row r="7" ht="18" customHeight="1">
      <x:c r="A7" s="24" t="str">
        <x:v>EEZ_872</x:v>
      </x:c>
      <x:c r="B7" s="24" t="str">
        <x:v>Wake Isl. (USA)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3.5363596958000003</x:v>
      </x:c>
      <x:c r="J7" s="31" t="n">
        <x:v>3.5155841469</x:v>
      </x:c>
      <x:c r="K7" s="31" t="n">
        <x:v>0.0207755489</x:v>
      </x:c>
      <x:c r="L7" s="31" t="n">
        <x:v>3.5155841469</x:v>
      </x:c>
      <x:c r="M7" s="31" t="n">
        <x:v>0.0207755489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9089.844048438106</x:v>
      </x:c>
    </x:row>
    <x:row r="8" ht="18" customHeight="1">
      <x:c r="A8" s="24" t="str">
        <x:v>EEZ_872</x:v>
      </x:c>
      <x:c r="B8" s="24" t="str">
        <x:v>Wake Isl. (USA)</x:v>
      </x:c>
      <x:c r="C8" s="24" t="str">
        <x:v>EEZ</x:v>
      </x:c>
      <x:c r="D8" s="30" t="n">
        <x:v>2019</x:v>
      </x:c>
      <x:c r="E8" s="24" t="str">
        <x:v>Kajikia audax</x:v>
      </x:c>
      <x:c r="F8" s="24" t="str">
        <x:v>Striped marlin</x:v>
      </x:c>
      <x:c r="G8" s="24" t="str">
        <x:v>Large pelagics (&gt;=90 cm)</x:v>
      </x:c>
      <x:c r="H8" s="24" t="str">
        <x:v>Tuna &amp; billfishes</x:v>
      </x:c>
      <x:c r="I8" s="31" t="n">
        <x:v>1.4784064521</x:v>
      </x:c>
      <x:c r="J8" s="31" t="n">
        <x:v>1.4784064521</x:v>
      </x:c>
      <x:c r="K8" s="31" t="n">
        <x:v>0</x:v>
      </x:c>
      <x:c r="L8" s="31" t="n">
        <x:v>1.4784064521</x:v>
      </x:c>
      <x:c r="M8" s="31" t="n">
        <x:v>0</x:v>
      </x:c>
      <x:c r="N8" s="24" t="str">
        <x:v>kajikia audax</x:v>
      </x:c>
      <x:c r="O8" s="32" t="n">
        <x:v>4.58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Kajikia audax</x:v>
      </x:c>
      <x:c r="T8" s="32" t="n">
        <x:f>IF(O8="","",(1/'Metadata'!$B$5)^(O8-1))</x:f>
        <x:v>3801.8939632056126</x:v>
      </x:c>
      <x:c r="U8" s="31" t="n">
        <x:f>IF(T8="","",I8*T8)</x:f>
        <x:v>5620.744565403218</x:v>
      </x:c>
    </x:row>
    <x:row r="9" ht="18" customHeight="1">
      <x:c r="A9" s="24" t="str">
        <x:v>EEZ_872</x:v>
      </x:c>
      <x:c r="B9" s="24" t="str">
        <x:v>Wake Isl. (USA)</x:v>
      </x:c>
      <x:c r="C9" s="24" t="str">
        <x:v>EEZ</x:v>
      </x:c>
      <x:c r="D9" s="30" t="n">
        <x:v>2019</x:v>
      </x:c>
      <x:c r="E9" s="24" t="str">
        <x:v>Carangidae</x:v>
      </x:c>
      <x:c r="F9" s="24" t="str">
        <x:v>Jacks, pompanos</x:v>
      </x:c>
      <x:c r="G9" s="24" t="str">
        <x:v>Medium pelagics (30 - 89 cm)</x:v>
      </x:c>
      <x:c r="H9" s="24" t="str">
        <x:v>Perch-likes</x:v>
      </x:c>
      <x:c r="I9" s="31" t="n">
        <x:v>0.891258442</x:v>
      </x:c>
      <x:c r="J9" s="31" t="n">
        <x:v>0.891258442</x:v>
      </x:c>
      <x:c r="K9" s="31" t="n">
        <x:v>0</x:v>
      </x:c>
      <x:c r="L9" s="31" t="n">
        <x:v>0</x:v>
      </x:c>
      <x:c r="M9" s="31" t="n">
        <x:v>0.891258442</x:v>
      </x:c>
      <x:c r="N9" s="24" t="str">
        <x:v>carangidae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Carangidae</x:v>
      </x:c>
      <x:c r="T9" s="32" t="n">
        <x:f>IF(O9="","",(1/'Metadata'!$B$5)^(O9-1))</x:f>
        <x:v>1122.018454301963</x:v>
      </x:c>
      <x:c r="U9" s="31" t="n">
        <x:f>IF(T9="","",I9*T9)</x:f>
        <x:v>1000.0084194764157</x:v>
      </x:c>
    </x:row>
    <x:row r="10" ht="18" customHeight="1">
      <x:c r="A10" s="24" t="str">
        <x:v>EEZ_872</x:v>
      </x:c>
      <x:c r="B10" s="24" t="str">
        <x:v>Wake Isl. (USA)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0.7678239916</x:v>
      </x:c>
      <x:c r="J10" s="31" t="n">
        <x:v>0.2216137754</x:v>
      </x:c>
      <x:c r="K10" s="31" t="n">
        <x:v>0.5462102162</x:v>
      </x:c>
      <x:c r="L10" s="31" t="n">
        <x:v>0.2216137754</x:v>
      </x:c>
      <x:c r="M10" s="31" t="n">
        <x:v>0.5462102162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2601.726724971363</x:v>
      </x:c>
    </x:row>
    <x:row r="11" ht="18" customHeight="1">
      <x:c r="A11" s="24" t="str">
        <x:v>EEZ_872</x:v>
      </x:c>
      <x:c r="B11" s="24" t="str">
        <x:v>Wake Isl. (USA)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0.3411288187</x:v>
      </x:c>
      <x:c r="J11" s="31" t="n">
        <x:v>0</x:v>
      </x:c>
      <x:c r="K11" s="31" t="n">
        <x:v>0.3411288187</x:v>
      </x:c>
      <x:c r="L11" s="31" t="n">
        <x:v>0</x:v>
      </x:c>
      <x:c r="M11" s="31" t="n">
        <x:v>0.3411288187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620.7524042849991</x:v>
      </x:c>
    </x:row>
    <x:row r="12" ht="18" customHeight="1">
      <x:c r="A12" s="24" t="str">
        <x:v>EEZ_872</x:v>
      </x:c>
      <x:c r="B12" s="24" t="str">
        <x:v>Wake Isl. (USA)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0.3202105081</x:v>
      </x:c>
      <x:c r="J12" s="31" t="n">
        <x:v>0</x:v>
      </x:c>
      <x:c r="K12" s="31" t="n">
        <x:v>0.3202105081</x:v>
      </x:c>
      <x:c r="L12" s="31" t="n">
        <x:v>0</x:v>
      </x:c>
      <x:c r="M12" s="31" t="n">
        <x:v>0.3202105081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1012.594536315796</x:v>
      </x:c>
    </x:row>
    <x:row r="13" ht="18" customHeight="1">
      <x:c r="A13" s="24" t="str">
        <x:v>EEZ_872</x:v>
      </x:c>
      <x:c r="B13" s="24" t="str">
        <x:v>Wake Isl. (USA)</x:v>
      </x:c>
      <x:c r="C13" s="24" t="str">
        <x:v>EEZ</x:v>
      </x:c>
      <x:c r="D13" s="30" t="n">
        <x:v>2019</x:v>
      </x:c>
      <x:c r="E13" s="24" t="str">
        <x:v>Acanthuridae</x:v>
      </x:c>
      <x:c r="F13" s="24" t="str">
        <x:v>Surgeons, tangs, unicornfishes</x:v>
      </x:c>
      <x:c r="G13" s="24" t="str">
        <x:v>Small reef assoc. fish (&lt;30 cm)</x:v>
      </x:c>
      <x:c r="H13" s="24" t="str">
        <x:v>Perch-likes</x:v>
      </x:c>
      <x:c r="I13" s="31" t="n">
        <x:v>0.1485430739</x:v>
      </x:c>
      <x:c r="J13" s="31" t="n">
        <x:v>0.1485430739</x:v>
      </x:c>
      <x:c r="K13" s="31" t="n">
        <x:v>0</x:v>
      </x:c>
      <x:c r="L13" s="31" t="n">
        <x:v>0</x:v>
      </x:c>
      <x:c r="M13" s="31" t="n">
        <x:v>0.1485430739</x:v>
      </x:c>
      <x:c r="N13" s="24" t="str">
        <x:v>acanthuridae</x:v>
      </x:c>
      <x:c r="O13" s="32" t="n">
        <x:v>2.28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Acanthuridae</x:v>
      </x:c>
      <x:c r="T13" s="32" t="n">
        <x:f>IF(O13="","",(1/'Metadata'!$B$5)^(O13-1))</x:f>
        <x:v>19.054607179632463</x:v>
      </x:c>
      <x:c r="U13" s="31" t="n">
        <x:f>IF(T13="","",I13*T13)</x:f>
        <x:v>2.8304299224196154</x:v>
      </x:c>
    </x:row>
    <x:row r="14" ht="18" customHeight="1">
      <x:c r="A14" s="24" t="str">
        <x:v>EEZ_872</x:v>
      </x:c>
      <x:c r="B14" s="24" t="str">
        <x:v>Wake Isl. (USA)</x:v>
      </x:c>
      <x:c r="C14" s="24" t="str">
        <x:v>EEZ</x:v>
      </x:c>
      <x:c r="D14" s="30" t="n">
        <x:v>2019</x:v>
      </x:c>
      <x:c r="E14" s="24" t="str">
        <x:v>Istiompax indica</x:v>
      </x:c>
      <x:c r="F14" s="24" t="str">
        <x:v>Black marlin</x:v>
      </x:c>
      <x:c r="G14" s="24" t="str">
        <x:v>Large pelagics (&gt;=90 cm)</x:v>
      </x:c>
      <x:c r="H14" s="24" t="str">
        <x:v>Tuna &amp; billfishes</x:v>
      </x:c>
      <x:c r="I14" s="31" t="n">
        <x:v>0.000848908</x:v>
      </x:c>
      <x:c r="J14" s="31" t="n">
        <x:v>0.000848908</x:v>
      </x:c>
      <x:c r="K14" s="31" t="n">
        <x:v>0</x:v>
      </x:c>
      <x:c r="L14" s="31" t="n">
        <x:v>0.000848908</x:v>
      </x:c>
      <x:c r="M14" s="31" t="n">
        <x:v>0</x:v>
      </x:c>
      <x:c r="N14" s="24" t="str">
        <x:v>istiompax indica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Istiompax indica</x:v>
      </x:c>
      <x:c r="T14" s="32" t="n">
        <x:f>IF(O14="","",(1/'Metadata'!$B$5)^(O14-1))</x:f>
        <x:v>3162.2776601683795</x:v>
      </x:c>
      <x:c r="U14" s="31" t="n">
        <x:f>IF(T14="","",I14*T14)</x:f>
        <x:v>2.6844828039382187</x:v>
      </x:c>
    </x:row>
  </x:sheetData>
  <x:conditionalFormatting sqref="R2:R1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e4a7feb52e8475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7.8410889805999995</x:v>
      </x:c>
      <x:c r="C2" s="32" t="n">
        <x:v>3.314141675914576</x:v>
      </x:c>
      <x:c r="D2" s="32" t="n">
        <x:f>IF(C2="","",(1/'Metadata'!$B$5)^(C2-1))</x:f>
        <x:v>206.13022433677418</x:v>
      </x:c>
      <x:c r="E2" s="31" t="n">
        <x:f>IF(B2=0,"",B2*D2)</x:f>
        <x:v>1616.2854306156858</x:v>
      </x:c>
    </x:row>
    <x:row r="3" ht="18" customHeight="1">
      <x:c r="A3" s="24" t="str">
        <x:v>Perch-likes</x:v>
      </x:c>
      <x:c r="B3" s="31" t="n">
        <x:v>1.3809303346</x:v>
      </x:c>
      <x:c r="C3" s="32" t="n">
        <x:v>3.9114816518377036</x:v>
      </x:c>
      <x:c r="D3" s="32" t="n">
        <x:f>IF(C3="","",(1/'Metadata'!$B$5)^(C3-1))</x:f>
        <x:v>815.6083284170344</x:v>
      </x:c>
      <x:c r="E3" s="31" t="n">
        <x:f>IF(B3=0,"",B3*D3)</x:f>
        <x:v>1126.2982818634819</x:v>
      </x:c>
    </x:row>
    <x:row r="4" ht="18" customHeight="1">
      <x:c r="A4" s="24" t="str">
        <x:v>Sharks &amp; rays</x:v>
      </x:c>
      <x:c r="B4" s="31" t="n">
        <x:v>7.7509351702</x:v>
      </x:c>
      <x:c r="C4" s="32" t="n">
        <x:v>4.356196874978346</x:v>
      </x:c>
      <x:c r="D4" s="32" t="n">
        <x:f>IF(C4="","",(1/'Metadata'!$B$5)^(C4-1))</x:f>
        <x:v>2270.8940634385067</x:v>
      </x:c>
      <x:c r="E4" s="31" t="n">
        <x:f>IF(B4=0,"",B4*D4)</x:f>
        <x:v>17601.55266410391</x:v>
      </x:c>
    </x:row>
    <x:row r="5" ht="18" customHeight="1">
      <x:c r="A5" s="24" t="str">
        <x:v>Tuna &amp; billfishes</x:v>
      </x:c>
      <x:c r="B5" s="31" t="n">
        <x:v>17.6608329038</x:v>
      </x:c>
      <x:c r="C5" s="32" t="n">
        <x:v>4.4164766930566115</x:v>
      </x:c>
      <x:c r="D5" s="32" t="n">
        <x:f>IF(C5="","",(1/'Metadata'!$B$5)^(C5-1))</x:f>
        <x:v>2609.0157032452203</x:v>
      </x:c>
      <x:c r="E5" s="31" t="n">
        <x:f>IF(B5=0,"",B5*D5)</x:f>
        <x:v>46077.39037840408</x:v>
      </x:c>
    </x:row>
  </x:sheetData>
  <x:pageMargins left="0.7" right="0.7" top="0.75" bottom="0.75" header="0.3" footer="0.3"/>
  <x:tableParts count="1">
    <x:tablePart xmlns:r="http://schemas.openxmlformats.org/officeDocument/2006/relationships" r:id="R5f8f3555c1f842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17.6608329038</x:v>
      </x:c>
      <x:c r="C2" s="32" t="n">
        <x:v>4.4164766930566115</x:v>
      </x:c>
      <x:c r="D2" s="32" t="n">
        <x:f>IF(C2="","",(1/'Metadata'!$B$5)^(C2-1))</x:f>
        <x:v>2609.0157032452203</x:v>
      </x:c>
      <x:c r="E2" s="31" t="n">
        <x:f>IF(B2=0,"",B2*D2)</x:f>
        <x:v>46077.39037840408</x:v>
      </x:c>
    </x:row>
    <x:row r="3" ht="18" customHeight="1">
      <x:c r="A3" s="24" t="str">
        <x:v>Large sharks (&gt;=90 cm)</x:v>
      </x:c>
      <x:c r="B3" s="31" t="n">
        <x:v>7.7509351702</x:v>
      </x:c>
      <x:c r="C3" s="32" t="n">
        <x:v>4.356196874978346</x:v>
      </x:c>
      <x:c r="D3" s="32" t="n">
        <x:f>IF(C3="","",(1/'Metadata'!$B$5)^(C3-1))</x:f>
        <x:v>2270.8940634385067</x:v>
      </x:c>
      <x:c r="E3" s="31" t="n">
        <x:f>IF(B3=0,"",B3*D3)</x:f>
        <x:v>17601.55266410391</x:v>
      </x:c>
    </x:row>
    <x:row r="4" ht="18" customHeight="1">
      <x:c r="A4" s="24" t="str">
        <x:v>Medium demersals (30 - 89 cm)</x:v>
      </x:c>
      <x:c r="B4" s="31" t="n">
        <x:v>4.0166901407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765.3645279334115</x:v>
      </x:c>
    </x:row>
    <x:row r="5" ht="18" customHeight="1">
      <x:c r="A5" s="24" t="str">
        <x:v>Medium pelagics (30 - 89 cm)</x:v>
      </x:c>
      <x:c r="B5" s="31" t="n">
        <x:v>5.056786100599999</x:v>
      </x:c>
      <x:c r="C5" s="32" t="n">
        <x:v>3.5347632302078478</x:v>
      </x:c>
      <x:c r="D5" s="32" t="n">
        <x:f>IF(C5="","",(1/'Metadata'!$B$5)^(C5-1))</x:f>
        <x:v>342.58096644564296</x:v>
      </x:c>
      <x:c r="E5" s="31" t="n">
        <x:f>IF(B5=0,"",B5*D5)</x:f>
        <x:v>1732.358669452442</x:v>
      </x:c>
    </x:row>
    <x:row r="6" ht="18" customHeight="1">
      <x:c r="A6" s="24" t="str">
        <x:v>Small reef assoc. fish (&lt;30 cm)</x:v>
      </x:c>
      <x:c r="B6" s="31" t="n">
        <x:v>0.1485430739</x:v>
      </x:c>
      <x:c r="C6" s="32" t="n">
        <x:v>2.28</x:v>
      </x:c>
      <x:c r="D6" s="32" t="n">
        <x:f>IF(C6="","",(1/'Metadata'!$B$5)^(C6-1))</x:f>
        <x:v>19.054607179632463</x:v>
      </x:c>
      <x:c r="E6" s="31" t="n">
        <x:f>IF(B6=0,"",B6*D6)</x:f>
        <x:v>2.8304299224196154</x:v>
      </x:c>
    </x:row>
  </x:sheetData>
  <x:pageMargins left="0.7" right="0.7" top="0.75" bottom="0.75" header="0.3" footer="0.3"/>
  <x:tableParts count="1">
    <x:tablePart xmlns:r="http://schemas.openxmlformats.org/officeDocument/2006/relationships" r:id="R4bc4a954f24a4d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EEZ_872</x:v>
      </x:c>
      <x:c r="B2" s="24" t="str">
        <x:v>raw_filtered_tonnes</x:v>
      </x:c>
      <x:c r="C2" s="24" t="n">
        <x:v>34.633787389199995</x:v>
      </x:c>
      <x:c r="D2" s="24" t="str">
        <x:v>tonnes</x:v>
      </x:c>
    </x:row>
    <x:row r="3" ht="18" customHeight="1">
      <x:c r="A3" s="24" t="str">
        <x:v>EEZ_872</x:v>
      </x:c>
      <x:c r="B3" s="24" t="str">
        <x:v>species_catch_tonnes</x:v>
      </x:c>
      <x:c r="C3" s="24" t="n">
        <x:v>34.633787389199995</x:v>
      </x:c>
      <x:c r="D3" s="24" t="str">
        <x:v>tonnes</x:v>
      </x:c>
    </x:row>
    <x:row r="4" ht="18" customHeight="1">
      <x:c r="A4" s="24" t="str">
        <x:v>EEZ_872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EEZ_872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EEZ_872</x:v>
      </x:c>
      <x:c r="B6" s="24" t="str">
        <x:v>matched_catch_tonnes</x:v>
      </x:c>
      <x:c r="C6" s="24" t="n">
        <x:v>34.633787389199995</x:v>
      </x:c>
      <x:c r="D6" s="24" t="str">
        <x:v>tonnes</x:v>
      </x:c>
    </x:row>
    <x:row r="7" ht="18" customHeight="1">
      <x:c r="A7" s="24" t="str">
        <x:v>EEZ_872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EEZ_872</x:v>
      </x:c>
      <x:c r="B8" s="24" t="str">
        <x:v>taxa_count</x:v>
      </x:c>
      <x:c r="C8" s="24" t="n">
        <x:v>13</x:v>
      </x:c>
      <x:c r="D8" s="24" t="str">
        <x:v>count</x:v>
      </x:c>
    </x:row>
    <x:row r="9" ht="18" customHeight="1">
      <x:c r="A9" s="24" t="str">
        <x:v>EEZ_872</x:v>
      </x:c>
      <x:c r="B9" s="24" t="str">
        <x:v>matched_taxa_count</x:v>
      </x:c>
      <x:c r="C9" s="24" t="n">
        <x:v>13</x:v>
      </x:c>
      <x:c r="D9" s="24" t="str">
        <x:v>count</x:v>
      </x:c>
    </x:row>
    <x:row r="10" ht="18" customHeight="1">
      <x:c r="A10" s="24" t="str">
        <x:v>EEZ_872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EEZ_872</x:v>
      </x:c>
      <x:c r="B11" s="24" t="str">
        <x:v>species_ppr</x:v>
      </x:c>
      <x:c r="C11" s="24" t="n">
        <x:v>68115.70486681667</x:v>
      </x:c>
      <x:c r="D11" s="24" t="str">
        <x:v>tonnes_primary_production_equivalent</x:v>
      </x:c>
    </x:row>
    <x:row r="12" ht="18" customHeight="1">
      <x:c r="A12" s="24" t="str">
        <x:v>EEZ_872</x:v>
      </x:c>
      <x:c r="B12" s="24" t="str">
        <x:v>commercial_ppr</x:v>
      </x:c>
      <x:c r="C12" s="24" t="n">
        <x:v>66421.52675498716</x:v>
      </x:c>
      <x:c r="D12" s="24" t="str">
        <x:v>tonnes_primary_production_equivalent</x:v>
      </x:c>
    </x:row>
    <x:row r="13" ht="18" customHeight="1">
      <x:c r="A13" s="24" t="str">
        <x:v>EEZ_872</x:v>
      </x:c>
      <x:c r="B13" s="24" t="str">
        <x:v>functional_ppr</x:v>
      </x:c>
      <x:c r="C13" s="24" t="n">
        <x:v>66179.49666981628</x:v>
      </x:c>
      <x:c r="D13" s="24" t="str">
        <x:v>tonnes_primary_production_equivalent</x:v>
      </x:c>
    </x:row>
    <x:row r="14" ht="18" customHeight="1">
      <x:c r="A14" s="24" t="str">
        <x:v>EEZ_872</x:v>
      </x:c>
      <x:c r="B14" s="24" t="str">
        <x:v>commercial_ppr_difference</x:v>
      </x:c>
      <x:c r="C14" s="24" t="n">
        <x:v>-1694.178111829504</x:v>
      </x:c>
      <x:c r="D14" s="24" t="str">
        <x:v>tonnes_primary_production_equivalent</x:v>
      </x:c>
    </x:row>
    <x:row r="15" ht="18" customHeight="1">
      <x:c r="A15" s="24" t="str">
        <x:v>EEZ_872</x:v>
      </x:c>
      <x:c r="B15" s="24" t="str">
        <x:v>functional_ppr_difference</x:v>
      </x:c>
      <x:c r="C15" s="24" t="n">
        <x:v>-1936.2081970003928</x:v>
      </x:c>
      <x:c r="D15" s="24" t="str">
        <x:v>tonnes_primary_production_equivalent</x:v>
      </x:c>
    </x:row>
    <x:row r="16" ht="18" customHeight="1">
      <x:c r="A16" s="24" t="str">
        <x:v>EEZ_872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EEZ_872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b16823388d443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EEZ_872 - Wake Isl.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EEZ_872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raw_data/SAU_downloads/EEZ_872-catch.zip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