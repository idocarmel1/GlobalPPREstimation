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a6c17812d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562e91b6a9247f3"/>
    <x:sheet xmlns:r="http://schemas.openxmlformats.org/officeDocument/2006/relationships" name="Commercial" sheetId="2" r:id="R92427f0c55954b0e"/>
    <x:sheet xmlns:r="http://schemas.openxmlformats.org/officeDocument/2006/relationships" name="Functional" sheetId="3" r:id="R4ba7c4585e24457f"/>
    <x:sheet xmlns:r="http://schemas.openxmlformats.org/officeDocument/2006/relationships" name="Missing TL" sheetId="4" r:id="R190f95990b4b4232"/>
    <x:sheet xmlns:r="http://schemas.openxmlformats.org/officeDocument/2006/relationships" name="Validation" sheetId="5" r:id="R6285d659f9514393"/>
    <x:sheet xmlns:r="http://schemas.openxmlformats.org/officeDocument/2006/relationships" name="Metadata" sheetId="6" r:id="Rde8a648c4124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9f3a24ec84c2b" /><Relationship Type="http://schemas.openxmlformats.org/officeDocument/2006/relationships/theme" Target="/xl/theme/theme1.xml" Id="R07a4f25ea8ef4c6b" /><Relationship Type="http://schemas.microsoft.com/office/2022/11/relationships/FeaturePropertyBag" Target="/xl/featurePropertyBag/featurePropertyBag.xml" Id="Rf6734905e77e4df8" /><Relationship Type="http://schemas.openxmlformats.org/officeDocument/2006/relationships/sharedStrings" Target="/xl/sharedStrings.xml" Id="Rd31ece17a86a44f9" /><Relationship Type="http://schemas.openxmlformats.org/officeDocument/2006/relationships/worksheet" Target="/xl/worksheets/sheet1.xml" Id="R0562e91b6a9247f3" /><Relationship Type="http://schemas.openxmlformats.org/officeDocument/2006/relationships/worksheet" Target="/xl/worksheets/sheet2.xml" Id="R92427f0c55954b0e" /><Relationship Type="http://schemas.openxmlformats.org/officeDocument/2006/relationships/worksheet" Target="/xl/worksheets/sheet3.xml" Id="R4ba7c4585e24457f" /><Relationship Type="http://schemas.openxmlformats.org/officeDocument/2006/relationships/worksheet" Target="/xl/worksheets/sheet4.xml" Id="R190f95990b4b4232" /><Relationship Type="http://schemas.openxmlformats.org/officeDocument/2006/relationships/worksheet" Target="/xl/worksheets/sheet5.xml" Id="R6285d659f9514393" /><Relationship Type="http://schemas.openxmlformats.org/officeDocument/2006/relationships/worksheet" Target="/xl/worksheets/sheet6.xml" Id="Rde8a648c41244e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8SpeciesTable" displayName="EEZ938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8CommercialTable" displayName="EEZ93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8FunctionalTable" displayName="EEZ938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8ValidationTable" displayName="EEZ93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d8b9712f14c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b8fc14d7034c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9f50055bde44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4ebc2bc5f349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EEZ_938</x:v>
      </x:c>
      <x:c r="B2" s="24" t="str">
        <x:v>Indonesia (Indian Ocean)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495132.28763436346</x:v>
      </x:c>
      <x:c r="J2" s="31" t="n">
        <x:v>474563.55873122567</x:v>
      </x:c>
      <x:c r="K2" s="31" t="n">
        <x:v>20568.7289031378</x:v>
      </x:c>
      <x:c r="L2" s="31" t="n">
        <x:v>453615.24682198616</x:v>
      </x:c>
      <x:c r="M2" s="31" t="n">
        <x:v>41517.0408123773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94345512.42825589</x:v>
      </x:c>
    </x:row>
    <x:row r="3" ht="18" customHeight="1">
      <x:c r="A3" s="24" t="str">
        <x:v>EEZ_938</x:v>
      </x:c>
      <x:c r="B3" s="24" t="str">
        <x:v>Indonesia (Indian Ocean)</x:v>
      </x:c>
      <x:c r="C3" s="24" t="str">
        <x:v>EEZ</x:v>
      </x:c>
      <x:c r="D3" s="30" t="n">
        <x:v>2019</x:v>
      </x:c>
      <x:c r="E3" s="24" t="str">
        <x:v>Rastrelliger brachysoma</x:v>
      </x:c>
      <x:c r="F3" s="24" t="str">
        <x:v>Short mackerel</x:v>
      </x:c>
      <x:c r="G3" s="24" t="str">
        <x:v>Medium pelagics (30 - 89 cm)</x:v>
      </x:c>
      <x:c r="H3" s="24" t="str">
        <x:v>Perch-likes</x:v>
      </x:c>
      <x:c r="I3" s="31" t="n">
        <x:v>112538.73628230109</x:v>
      </x:c>
      <x:c r="J3" s="31" t="n">
        <x:v>112538.73628230109</x:v>
      </x:c>
      <x:c r="K3" s="31" t="n">
        <x:v>0</x:v>
      </x:c>
      <x:c r="L3" s="31" t="n">
        <x:v>108428.9344781814</x:v>
      </x:c>
      <x:c r="M3" s="31" t="n">
        <x:v>4109.8018041197</x:v>
      </x:c>
      <x:c r="N3" s="24" t="str">
        <x:v>rastrelliger brachysoma</x:v>
      </x:c>
      <x:c r="O3" s="32" t="n">
        <x:v>2.72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Rastrelliger brachysoma</x:v>
      </x:c>
      <x:c r="T3" s="32" t="n">
        <x:f>IF(O3="","",(1/'Metadata'!$B$5)^(O3-1))</x:f>
        <x:v>52.480746024977286</x:v>
      </x:c>
      <x:c r="U3" s="31" t="n">
        <x:f>IF(T3="","",I3*T3)</x:f>
        <x:v>5906116.83680334</x:v>
      </x:c>
    </x:row>
    <x:row r="4" ht="18" customHeight="1">
      <x:c r="A4" s="24" t="str">
        <x:v>EEZ_938</x:v>
      </x:c>
      <x:c r="B4" s="24" t="str">
        <x:v>Indonesia (Indian Ocean)</x:v>
      </x:c>
      <x:c r="C4" s="24" t="str">
        <x:v>EEZ</x:v>
      </x:c>
      <x:c r="D4" s="30" t="n">
        <x:v>2019</x:v>
      </x:c>
      <x:c r="E4" s="24" t="str">
        <x:v>Stolephorus</x:v>
      </x:c>
      <x:c r="F4" s="24" t="str">
        <x:v>Garment anchovies</x:v>
      </x:c>
      <x:c r="G4" s="24" t="str">
        <x:v>Small pelagics (&lt;30 cm)</x:v>
      </x:c>
      <x:c r="H4" s="24" t="str">
        <x:v>Anchovies</x:v>
      </x:c>
      <x:c r="I4" s="31" t="n">
        <x:v>102012.5435952329</x:v>
      </x:c>
      <x:c r="J4" s="31" t="n">
        <x:v>102012.5435952329</x:v>
      </x:c>
      <x:c r="K4" s="31" t="n">
        <x:v>0</x:v>
      </x:c>
      <x:c r="L4" s="31" t="n">
        <x:v>99438.8030508937</x:v>
      </x:c>
      <x:c r="M4" s="31" t="n">
        <x:v>2573.7405443392</x:v>
      </x:c>
      <x:c r="N4" s="24" t="str">
        <x:v>stolephorus</x:v>
      </x:c>
      <x:c r="O4" s="32" t="n">
        <x:v>3.44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Stolephorus</x:v>
      </x:c>
      <x:c r="T4" s="32" t="n">
        <x:f>IF(O4="","",(1/'Metadata'!$B$5)^(O4-1))</x:f>
        <x:v>275.4228703338166</x:v>
      </x:c>
      <x:c r="U4" s="31" t="n">
        <x:f>IF(T4="","",I4*T4)</x:f>
        <x:v>28096587.567052644</x:v>
      </x:c>
    </x:row>
    <x:row r="5" ht="18" customHeight="1">
      <x:c r="A5" s="24" t="str">
        <x:v>EEZ_938</x:v>
      </x:c>
      <x:c r="B5" s="24" t="str">
        <x:v>Indonesia (Indian Ocean)</x:v>
      </x:c>
      <x:c r="C5" s="24" t="str">
        <x:v>EEZ</x:v>
      </x:c>
      <x:c r="D5" s="30" t="n">
        <x:v>2019</x:v>
      </x:c>
      <x:c r="E5" s="24" t="str">
        <x:v>Selaroides leptolepis</x:v>
      </x:c>
      <x:c r="F5" s="24" t="str">
        <x:v>Yellowstripe scad</x:v>
      </x:c>
      <x:c r="G5" s="24" t="str">
        <x:v>Small pelagics (&lt;30 cm)</x:v>
      </x:c>
      <x:c r="H5" s="24" t="str">
        <x:v>Perch-likes</x:v>
      </x:c>
      <x:c r="I5" s="31" t="n">
        <x:v>101369.94964301119</x:v>
      </x:c>
      <x:c r="J5" s="31" t="n">
        <x:v>90607.73996786399</x:v>
      </x:c>
      <x:c r="K5" s="31" t="n">
        <x:v>10762.2096751472</x:v>
      </x:c>
      <x:c r="L5" s="31" t="n">
        <x:v>87587.7625278528</x:v>
      </x:c>
      <x:c r="M5" s="31" t="n">
        <x:v>13782.187115158398</x:v>
      </x:c>
      <x:c r="N5" s="24" t="str">
        <x:v>selaroides leptolepis</x:v>
      </x:c>
      <x:c r="O5" s="32" t="n">
        <x:v>3.84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Selaroides leptolepis</x:v>
      </x:c>
      <x:c r="T5" s="32" t="n">
        <x:f>IF(O5="","",(1/'Metadata'!$B$5)^(O5-1))</x:f>
        <x:v>691.8309709189363</x:v>
      </x:c>
      <x:c r="U5" s="31" t="n">
        <x:f>IF(T5="","",I5*T5)</x:f>
        <x:v>70130870.68352811</x:v>
      </x:c>
    </x:row>
    <x:row r="6" ht="18" customHeight="1">
      <x:c r="A6" s="24" t="str">
        <x:v>EEZ_938</x:v>
      </x:c>
      <x:c r="B6" s="24" t="str">
        <x:v>Indonesia (Indian Ocean)</x:v>
      </x:c>
      <x:c r="C6" s="24" t="str">
        <x:v>EEZ</x:v>
      </x:c>
      <x:c r="D6" s="30" t="n">
        <x:v>2019</x:v>
      </x:c>
      <x:c r="E6" s="24" t="str">
        <x:v>Decapterus</x:v>
      </x:c>
      <x:c r="F6" s="24" t="str">
        <x:v>Scads</x:v>
      </x:c>
      <x:c r="G6" s="24" t="str">
        <x:v>Medium pelagics (30 - 89 cm)</x:v>
      </x:c>
      <x:c r="H6" s="24" t="str">
        <x:v>Perch-likes</x:v>
      </x:c>
      <x:c r="I6" s="31" t="n">
        <x:v>92371.0393718058</x:v>
      </x:c>
      <x:c r="J6" s="31" t="n">
        <x:v>92371.0393718058</x:v>
      </x:c>
      <x:c r="K6" s="31" t="n">
        <x:v>0</x:v>
      </x:c>
      <x:c r="L6" s="31" t="n">
        <x:v>89735.3146461812</x:v>
      </x:c>
      <x:c r="M6" s="31" t="n">
        <x:v>2635.7247256246</x:v>
      </x:c>
      <x:c r="N6" s="24" t="str">
        <x:v>decapterus</x:v>
      </x:c>
      <x:c r="O6" s="32" t="n">
        <x:v>3.63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Decapterus</x:v>
      </x:c>
      <x:c r="T6" s="32" t="n">
        <x:f>IF(O6="","",(1/'Metadata'!$B$5)^(O6-1))</x:f>
        <x:v>426.57951880159254</x:v>
      </x:c>
      <x:c r="U6" s="31" t="n">
        <x:f>IF(T6="","",I6*T6)</x:f>
        <x:v>39403593.52642788</x:v>
      </x:c>
    </x:row>
    <x:row r="7" ht="18" customHeight="1">
      <x:c r="A7" s="24" t="str">
        <x:v>EEZ_938</x:v>
      </x:c>
      <x:c r="B7" s="24" t="str">
        <x:v>Indonesia (Indian Ocean)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88647.1309512641</x:v>
      </x:c>
      <x:c r="J7" s="31" t="n">
        <x:v>88611.1716951606</x:v>
      </x:c>
      <x:c r="K7" s="31" t="n">
        <x:v>35.9592561035</x:v>
      </x:c>
      <x:c r="L7" s="31" t="n">
        <x:v>88611.1716951606</x:v>
      </x:c>
      <x:c r="M7" s="31" t="n">
        <x:v>35.9592561035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238596838.22359407</x:v>
      </x:c>
    </x:row>
    <x:row r="8" ht="18" customHeight="1">
      <x:c r="A8" s="24" t="str">
        <x:v>EEZ_938</x:v>
      </x:c>
      <x:c r="B8" s="24" t="str">
        <x:v>Indonesia (Indian Ocean)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87122.8168793737</x:v>
      </x:c>
      <x:c r="J8" s="31" t="n">
        <x:v>87122.8168793737</x:v>
      </x:c>
      <x:c r="K8" s="31" t="n">
        <x:v>0</x:v>
      </x:c>
      <x:c r="L8" s="31" t="n">
        <x:v>84602.0266751223</x:v>
      </x:c>
      <x:c r="M8" s="31" t="n">
        <x:v>2520.7902042514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5130171.795612602</x:v>
      </x:c>
    </x:row>
    <x:row r="9" ht="18" customHeight="1">
      <x:c r="A9" s="24" t="str">
        <x:v>EEZ_938</x:v>
      </x:c>
      <x:c r="B9" s="24" t="str">
        <x:v>Indonesia (Indian Ocean)</x:v>
      </x:c>
      <x:c r="C9" s="24" t="str">
        <x:v>EEZ</x:v>
      </x:c>
      <x:c r="D9" s="30" t="n">
        <x:v>2019</x:v>
      </x:c>
      <x:c r="E9" s="24" t="str">
        <x:v>Leiognathus</x:v>
      </x:c>
      <x:c r="F9" s="24" t="str">
        <x:v>Ponyfishes</x:v>
      </x:c>
      <x:c r="G9" s="24" t="str">
        <x:v>Small benthopelagics (&lt;30 cm)</x:v>
      </x:c>
      <x:c r="H9" s="24" t="str">
        <x:v>Perch-likes</x:v>
      </x:c>
      <x:c r="I9" s="31" t="n">
        <x:v>62948.125491062296</x:v>
      </x:c>
      <x:c r="J9" s="31" t="n">
        <x:v>55409.9785653725</x:v>
      </x:c>
      <x:c r="K9" s="31" t="n">
        <x:v>7538.1469256898</x:v>
      </x:c>
      <x:c r="L9" s="31" t="n">
        <x:v>52723.6021840534</x:v>
      </x:c>
      <x:c r="M9" s="31" t="n">
        <x:v>10224.5233070089</x:v>
      </x:c>
      <x:c r="N9" s="24" t="str">
        <x:v>leiognathus</x:v>
      </x:c>
      <x:c r="O9" s="32" t="n">
        <x:v>3.22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Leiognathus</x:v>
      </x:c>
      <x:c r="T9" s="32" t="n">
        <x:f>IF(O9="","",(1/'Metadata'!$B$5)^(O9-1))</x:f>
        <x:v>165.95869074375614</x:v>
      </x:c>
      <x:c r="U9" s="31" t="n">
        <x:f>IF(T9="","",I9*T9)</x:f>
        <x:v>10446788.49127036</x:v>
      </x:c>
    </x:row>
    <x:row r="10" ht="18" customHeight="1">
      <x:c r="A10" s="24" t="str">
        <x:v>EEZ_938</x:v>
      </x:c>
      <x:c r="B10" s="24" t="str">
        <x:v>Indonesia (Indian Ocean)</x:v>
      </x:c>
      <x:c r="C10" s="24" t="str">
        <x:v>EEZ</x:v>
      </x:c>
      <x:c r="D10" s="30" t="n">
        <x:v>2019</x:v>
      </x:c>
      <x:c r="E10" s="24" t="str">
        <x:v>Auxis thazard</x:v>
      </x:c>
      <x:c r="F10" s="24" t="str">
        <x:v>Frigate tuna</x:v>
      </x:c>
      <x:c r="G10" s="24" t="str">
        <x:v>Medium pelagics (30 - 89 cm)</x:v>
      </x:c>
      <x:c r="H10" s="24" t="str">
        <x:v>Tuna &amp; billfishes</x:v>
      </x:c>
      <x:c r="I10" s="31" t="n">
        <x:v>55992.7242806925</x:v>
      </x:c>
      <x:c r="J10" s="31" t="n">
        <x:v>55992.7242806925</x:v>
      </x:c>
      <x:c r="K10" s="31" t="n">
        <x:v>0</x:v>
      </x:c>
      <x:c r="L10" s="31" t="n">
        <x:v>54335.1879668725</x:v>
      </x:c>
      <x:c r="M10" s="31" t="n">
        <x:v>1657.53631382</x:v>
      </x:c>
      <x:c r="N10" s="24" t="str">
        <x:v>auxis thazard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Auxis thazard</x:v>
      </x:c>
      <x:c r="T10" s="32" t="n">
        <x:f>IF(O10="","",(1/'Metadata'!$B$5)^(O10-1))</x:f>
        <x:v>2344.228815319923</x:v>
      </x:c>
      <x:c r="U10" s="31" t="n">
        <x:f>IF(T10="","",I10*T10)</x:f>
        <x:v>131259757.70706286</x:v>
      </x:c>
    </x:row>
    <x:row r="11" ht="18" customHeight="1">
      <x:c r="A11" s="24" t="str">
        <x:v>EEZ_938</x:v>
      </x:c>
      <x:c r="B11" s="24" t="str">
        <x:v>Indonesia (Indian Ocean)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48948.7346079343</x:v>
      </x:c>
      <x:c r="J11" s="31" t="n">
        <x:v>48948.7346079343</x:v>
      </x:c>
      <x:c r="K11" s="31" t="n">
        <x:v>0</x:v>
      </x:c>
      <x:c r="L11" s="31" t="n">
        <x:v>47574.2037716278</x:v>
      </x:c>
      <x:c r="M11" s="31" t="n">
        <x:v>1374.5308363065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154789489.94418144</x:v>
      </x:c>
    </x:row>
    <x:row r="12" ht="18" customHeight="1">
      <x:c r="A12" s="24" t="str">
        <x:v>EEZ_938</x:v>
      </x:c>
      <x:c r="B12" s="24" t="str">
        <x:v>Indonesia (Indian Ocean)</x:v>
      </x:c>
      <x:c r="C12" s="24" t="str">
        <x:v>EEZ</x:v>
      </x:c>
      <x:c r="D12" s="30" t="n">
        <x:v>2019</x:v>
      </x:c>
      <x:c r="E12" s="24" t="str">
        <x:v>Tegillarca granosa</x:v>
      </x:c>
      <x:c r="F12" s="24" t="str">
        <x:v>Granular ark</x:v>
      </x:c>
      <x:c r="G12" s="24" t="str">
        <x:v>Other demersal invertebrates</x:v>
      </x:c>
      <x:c r="H12" s="24" t="str">
        <x:v>Molluscs</x:v>
      </x:c>
      <x:c r="I12" s="31" t="n">
        <x:v>48047.5964344056</x:v>
      </x:c>
      <x:c r="J12" s="31" t="n">
        <x:v>41857.0899141656</x:v>
      </x:c>
      <x:c r="K12" s="31" t="n">
        <x:v>6190.50652024</x:v>
      </x:c>
      <x:c r="L12" s="31" t="n">
        <x:v>41751.4484559299</x:v>
      </x:c>
      <x:c r="M12" s="31" t="n">
        <x:v>6296.1479784757</x:v>
      </x:c>
      <x:c r="N12" s="24" t="str">
        <x:v>tegillarca granosa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Tegillarca granosa</x:v>
      </x:c>
      <x:c r="T12" s="32" t="n">
        <x:f>IF(O12="","",(1/'Metadata'!$B$5)^(O12-1))</x:f>
        <x:v>10</x:v>
      </x:c>
      <x:c r="U12" s="31" t="n">
        <x:f>IF(T12="","",I12*T12)</x:f>
        <x:v>480475.964344056</x:v>
      </x:c>
    </x:row>
    <x:row r="13" ht="18" customHeight="1">
      <x:c r="A13" s="24" t="str">
        <x:v>EEZ_938</x:v>
      </x:c>
      <x:c r="B13" s="24" t="str">
        <x:v>Indonesia (Indian Ocean)</x:v>
      </x:c>
      <x:c r="C13" s="24" t="str">
        <x:v>EEZ</x:v>
      </x:c>
      <x:c r="D13" s="30" t="n">
        <x:v>2019</x:v>
      </x:c>
      <x:c r="E13" s="24" t="str">
        <x:v>Sardinella lemuru</x:v>
      </x:c>
      <x:c r="F13" s="24" t="str">
        <x:v>Bali sardinella</x:v>
      </x:c>
      <x:c r="G13" s="24" t="str">
        <x:v>Small pelagics (&lt;30 cm)</x:v>
      </x:c>
      <x:c r="H13" s="24" t="str">
        <x:v>Herring-likes</x:v>
      </x:c>
      <x:c r="I13" s="31" t="n">
        <x:v>47099.7581853762</x:v>
      </x:c>
      <x:c r="J13" s="31" t="n">
        <x:v>47099.7581853762</x:v>
      </x:c>
      <x:c r="K13" s="31" t="n">
        <x:v>0</x:v>
      </x:c>
      <x:c r="L13" s="31" t="n">
        <x:v>45592.054899367206</x:v>
      </x:c>
      <x:c r="M13" s="31" t="n">
        <x:v>1507.703286009</x:v>
      </x:c>
      <x:c r="N13" s="24" t="str">
        <x:v>sardinella lemuru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lemuru</x:v>
      </x:c>
      <x:c r="T13" s="32" t="n">
        <x:f>IF(O13="","",(1/'Metadata'!$B$5)^(O13-1))</x:f>
        <x:v>30.19951720402016</x:v>
      </x:c>
      <x:c r="U13" s="31" t="n">
        <x:f>IF(T13="","",I13*T13)</x:f>
        <x:v>1422389.957624458</x:v>
      </x:c>
    </x:row>
    <x:row r="14" ht="18" customHeight="1">
      <x:c r="A14" s="24" t="str">
        <x:v>EEZ_938</x:v>
      </x:c>
      <x:c r="B14" s="24" t="str">
        <x:v>Indonesia (Indian Ocean)</x:v>
      </x:c>
      <x:c r="C14" s="24" t="str">
        <x:v>EEZ</x:v>
      </x:c>
      <x:c r="D14" s="30" t="n">
        <x:v>2019</x:v>
      </x:c>
      <x:c r="E14" s="24" t="str">
        <x:v>Carcharhinus</x:v>
      </x:c>
      <x:c r="F14" s="24" t="str">
        <x:v>Sharp-nosed sharks</x:v>
      </x:c>
      <x:c r="G14" s="24" t="str">
        <x:v>Large sharks (&gt;=90 cm)</x:v>
      </x:c>
      <x:c r="H14" s="24" t="str">
        <x:v>Sharks &amp; rays</x:v>
      </x:c>
      <x:c r="I14" s="31" t="n">
        <x:v>44836.8475967974</x:v>
      </x:c>
      <x:c r="J14" s="31" t="n">
        <x:v>9588.7203505585</x:v>
      </x:c>
      <x:c r="K14" s="31" t="n">
        <x:v>35248.1272462389</x:v>
      </x:c>
      <x:c r="L14" s="31" t="n">
        <x:v>9215.300530526101</x:v>
      </x:c>
      <x:c r="M14" s="31" t="n">
        <x:v>35621.5470662713</x:v>
      </x:c>
      <x:c r="N14" s="24" t="str">
        <x:v>carcharhinus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Carcharhinus</x:v>
      </x:c>
      <x:c r="T14" s="32" t="n">
        <x:f>IF(O14="","",(1/'Metadata'!$B$5)^(O14-1))</x:f>
        <x:v>1819.7008586099826</x:v>
      </x:c>
      <x:c r="U14" s="31" t="n">
        <x:f>IF(T14="","",I14*T14)</x:f>
        <x:v>81589650.06925717</x:v>
      </x:c>
    </x:row>
    <x:row r="15" ht="18" customHeight="1">
      <x:c r="A15" s="24" t="str">
        <x:v>EEZ_938</x:v>
      </x:c>
      <x:c r="B15" s="24" t="str">
        <x:v>Indonesia (Indian Ocean)</x:v>
      </x:c>
      <x:c r="C15" s="24" t="str">
        <x:v>EEZ</x:v>
      </x:c>
      <x:c r="D15" s="30" t="n">
        <x:v>2019</x:v>
      </x:c>
      <x:c r="E15" s="24" t="str">
        <x:v>Netuma thalassina</x:v>
      </x:c>
      <x:c r="F15" s="24" t="str">
        <x:v>Giant catfish</x:v>
      </x:c>
      <x:c r="G15" s="24" t="str">
        <x:v>Large demersals (&gt;=90 cm)</x:v>
      </x:c>
      <x:c r="H15" s="24" t="str">
        <x:v>Other fishes &amp; inverts</x:v>
      </x:c>
      <x:c r="I15" s="31" t="n">
        <x:v>43345.005681498</x:v>
      </x:c>
      <x:c r="J15" s="31" t="n">
        <x:v>38803.6264261128</x:v>
      </x:c>
      <x:c r="K15" s="31" t="n">
        <x:v>4541.3792553852</x:v>
      </x:c>
      <x:c r="L15" s="31" t="n">
        <x:v>37478.0426959575</x:v>
      </x:c>
      <x:c r="M15" s="31" t="n">
        <x:v>5866.9629855405</x:v>
      </x:c>
      <x:c r="N15" s="24" t="str">
        <x:v>netuma thalassina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Netuma thalassina</x:v>
      </x:c>
      <x:c r="T15" s="32" t="n">
        <x:f>IF(O15="","",(1/'Metadata'!$B$5)^(O15-1))</x:f>
        <x:v>346.73685045253166</x:v>
      </x:c>
      <x:c r="U15" s="31" t="n">
        <x:f>IF(T15="","",I15*T15)</x:f>
        <x:v>15029310.752849706</x:v>
      </x:c>
    </x:row>
    <x:row r="16" ht="18" customHeight="1">
      <x:c r="A16" s="24" t="str">
        <x:v>EEZ_938</x:v>
      </x:c>
      <x:c r="B16" s="24" t="str">
        <x:v>Indonesia (Indian Ocean)</x:v>
      </x:c>
      <x:c r="C16" s="24" t="str">
        <x:v>EEZ</x:v>
      </x:c>
      <x:c r="D16" s="30" t="n">
        <x:v>2019</x:v>
      </x:c>
      <x:c r="E16" s="24" t="str">
        <x:v>Penaeidae</x:v>
      </x:c>
      <x:c r="F16" s="24" t="str">
        <x:v>Commercial shrimps and prawns</x:v>
      </x:c>
      <x:c r="G16" s="24" t="str">
        <x:v>Shrimps</x:v>
      </x:c>
      <x:c r="H16" s="24" t="str">
        <x:v>Crustaceans</x:v>
      </x:c>
      <x:c r="I16" s="31" t="n">
        <x:v>40054.232319288</x:v>
      </x:c>
      <x:c r="J16" s="31" t="n">
        <x:v>40054.232319288</x:v>
      </x:c>
      <x:c r="K16" s="31" t="n">
        <x:v>0</x:v>
      </x:c>
      <x:c r="L16" s="31" t="n">
        <x:v>39011.6038308031</x:v>
      </x:c>
      <x:c r="M16" s="31" t="n">
        <x:v>1042.6284884849</x:v>
      </x:c>
      <x:c r="N16" s="24" t="str">
        <x:v>penaeidae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Penaeidae</x:v>
      </x:c>
      <x:c r="T16" s="32" t="n">
        <x:f>IF(O16="","",(1/'Metadata'!$B$5)^(O16-1))</x:f>
        <x:v>204.17379446695296</x:v>
      </x:c>
      <x:c r="U16" s="31" t="n">
        <x:f>IF(T16="","",I16*T16)</x:f>
        <x:v>8178024.597089892</x:v>
      </x:c>
    </x:row>
    <x:row r="17" ht="18" customHeight="1">
      <x:c r="A17" s="24" t="str">
        <x:v>EEZ_938</x:v>
      </x:c>
      <x:c r="B17" s="24" t="str">
        <x:v>Indonesia (Indian Ocean)</x:v>
      </x:c>
      <x:c r="C17" s="24" t="str">
        <x:v>EEZ</x:v>
      </x:c>
      <x:c r="D17" s="30" t="n">
        <x:v>2019</x:v>
      </x:c>
      <x:c r="E17" s="24" t="str">
        <x:v>Miscellaneous marine crustaceans</x:v>
      </x:c>
      <x:c r="F17" s="24" t="str">
        <x:v>Marine crabs, shrimps, lobsters nei</x:v>
      </x:c>
      <x:c r="G17" s="24" t="str">
        <x:v>Shrimps</x:v>
      </x:c>
      <x:c r="H17" s="24" t="str">
        <x:v>Crustaceans</x:v>
      </x:c>
      <x:c r="I17" s="31" t="n">
        <x:v>36851.6332251772</x:v>
      </x:c>
      <x:c r="J17" s="31" t="n">
        <x:v>35495.579382179996</x:v>
      </x:c>
      <x:c r="K17" s="31" t="n">
        <x:v>1356.0538429971998</x:v>
      </x:c>
      <x:c r="L17" s="31" t="n">
        <x:v>33999.633251510095</x:v>
      </x:c>
      <x:c r="M17" s="31" t="n">
        <x:v>2851.9999736670998</x:v>
      </x:c>
      <x:c r="N17" s="24" t="str">
        <x:v>miscellaneous marine crustaceans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Miscellaneous marine crustaceans</x:v>
      </x:c>
      <x:c r="T17" s="32" t="n">
        <x:f>IF(O17="","",(1/'Metadata'!$B$5)^(O17-1))</x:f>
        <x:v>50.11872336272725</x:v>
      </x:c>
      <x:c r="U17" s="31" t="n">
        <x:f>IF(T17="","",I17*T17)</x:f>
        <x:v>1846956.8110773442</x:v>
      </x:c>
    </x:row>
    <x:row r="18" ht="18" customHeight="1">
      <x:c r="A18" s="24" t="str">
        <x:v>EEZ_938</x:v>
      </x:c>
      <x:c r="B18" s="24" t="str">
        <x:v>Indonesia (Indian Ocean)</x:v>
      </x:c>
      <x:c r="C18" s="24" t="str">
        <x:v>EEZ</x:v>
      </x:c>
      <x:c r="D18" s="30" t="n">
        <x:v>2019</x:v>
      </x:c>
      <x:c r="E18" s="24" t="str">
        <x:v>Decapoda</x:v>
      </x:c>
      <x:c r="F18" s="24" t="str">
        <x:v>Crabs, lobsters, shrimps</x:v>
      </x:c>
      <x:c r="G18" s="24" t="str">
        <x:v>Lobsters, crabs</x:v>
      </x:c>
      <x:c r="H18" s="24" t="str">
        <x:v>Crustaceans</x:v>
      </x:c>
      <x:c r="I18" s="31" t="n">
        <x:v>35355.412753870005</x:v>
      </x:c>
      <x:c r="J18" s="31" t="n">
        <x:v>35355.412753870005</x:v>
      </x:c>
      <x:c r="K18" s="31" t="n">
        <x:v>0</x:v>
      </x:c>
      <x:c r="L18" s="31" t="n">
        <x:v>34520.9312391442</x:v>
      </x:c>
      <x:c r="M18" s="31" t="n">
        <x:v>834.4815147258</x:v>
      </x:c>
      <x:c r="N18" s="24" t="str">
        <x:v>decapoda</x:v>
      </x:c>
      <x:c r="O18" s="32" t="n">
        <x:v>3.43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Decapoda</x:v>
      </x:c>
      <x:c r="T18" s="32" t="n">
        <x:f>IF(O18="","",(1/'Metadata'!$B$5)^(O18-1))</x:f>
        <x:v>269.1534803926917</x:v>
      </x:c>
      <x:c r="U18" s="31" t="n">
        <x:f>IF(T18="","",I18*T18)</x:f>
        <x:v>9516032.393424273</x:v>
      </x:c>
    </x:row>
    <x:row r="19" ht="18" customHeight="1">
      <x:c r="A19" s="24" t="str">
        <x:v>EEZ_938</x:v>
      </x:c>
      <x:c r="B19" s="24" t="str">
        <x:v>Indonesia (Indian Ocean)</x:v>
      </x:c>
      <x:c r="C19" s="24" t="str">
        <x:v>EEZ</x:v>
      </x:c>
      <x:c r="D19" s="30" t="n">
        <x:v>2019</x:v>
      </x:c>
      <x:c r="E19" s="24" t="str">
        <x:v>Caranx</x:v>
      </x:c>
      <x:c r="F19" s="24" t="str">
        <x:v>Jacks</x:v>
      </x:c>
      <x:c r="G19" s="24" t="str">
        <x:v>Medium reef assoc. fish (30 - 89 cm)</x:v>
      </x:c>
      <x:c r="H19" s="24" t="str">
        <x:v>Perch-likes</x:v>
      </x:c>
      <x:c r="I19" s="31" t="n">
        <x:v>32980.8026763105</x:v>
      </x:c>
      <x:c r="J19" s="31" t="n">
        <x:v>29917.156554192497</x:v>
      </x:c>
      <x:c r="K19" s="31" t="n">
        <x:v>3063.646122118</x:v>
      </x:c>
      <x:c r="L19" s="31" t="n">
        <x:v>28850.1955649261</x:v>
      </x:c>
      <x:c r="M19" s="31" t="n">
        <x:v>4130.6071113844</x:v>
      </x:c>
      <x:c r="N19" s="24" t="str">
        <x:v>caranx</x:v>
      </x:c>
      <x:c r="O19" s="32" t="n">
        <x:v>4.12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Caranx</x:v>
      </x:c>
      <x:c r="T19" s="32" t="n">
        <x:f>IF(O19="","",(1/'Metadata'!$B$5)^(O19-1))</x:f>
        <x:v>1318.2567385564075</x:v>
      </x:c>
      <x:c r="U19" s="31" t="n">
        <x:f>IF(T19="","",I19*T19)</x:f>
        <x:v>43477165.371045515</x:v>
      </x:c>
    </x:row>
    <x:row r="20" ht="18" customHeight="1">
      <x:c r="A20" s="24" t="str">
        <x:v>EEZ_938</x:v>
      </x:c>
      <x:c r="B20" s="24" t="str">
        <x:v>Indonesia (Indian Ocean)</x:v>
      </x:c>
      <x:c r="C20" s="24" t="str">
        <x:v>EEZ</x:v>
      </x:c>
      <x:c r="D20" s="30" t="n">
        <x:v>2019</x:v>
      </x:c>
      <x:c r="E20" s="24" t="str">
        <x:v>Trichiurus</x:v>
      </x:c>
      <x:c r="F20" s="24" t="str">
        <x:v>Hairtails</x:v>
      </x:c>
      <x:c r="G20" s="24" t="str">
        <x:v>Large benthopelagics (&gt;=90 cm)</x:v>
      </x:c>
      <x:c r="H20" s="24" t="str">
        <x:v>Perch-likes</x:v>
      </x:c>
      <x:c r="I20" s="31" t="n">
        <x:v>30535.4496568295</x:v>
      </x:c>
      <x:c r="J20" s="31" t="n">
        <x:v>26139.9127869456</x:v>
      </x:c>
      <x:c r="K20" s="31" t="n">
        <x:v>4395.5368698839</x:v>
      </x:c>
      <x:c r="L20" s="31" t="n">
        <x:v>25270.6538560454</x:v>
      </x:c>
      <x:c r="M20" s="31" t="n">
        <x:v>5264.7958007841</x:v>
      </x:c>
      <x:c r="N20" s="24" t="str">
        <x:v>trichiurus</x:v>
      </x:c>
      <x:c r="O20" s="32" t="n">
        <x:v>4.42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Trichiurus</x:v>
      </x:c>
      <x:c r="T20" s="32" t="n">
        <x:f>IF(O20="","",(1/'Metadata'!$B$5)^(O20-1))</x:f>
        <x:v>2630.2679918953813</x:v>
      </x:c>
      <x:c r="U20" s="31" t="n">
        <x:f>IF(T20="","",I20*T20)</x:f>
        <x:v>80316415.85049143</x:v>
      </x:c>
    </x:row>
    <x:row r="21" ht="18" customHeight="1">
      <x:c r="A21" s="24" t="str">
        <x:v>EEZ_938</x:v>
      </x:c>
      <x:c r="B21" s="24" t="str">
        <x:v>Indonesia (Indian Ocean)</x:v>
      </x:c>
      <x:c r="C21" s="24" t="str">
        <x:v>EEZ</x:v>
      </x:c>
      <x:c r="D21" s="30" t="n">
        <x:v>2019</x:v>
      </x:c>
      <x:c r="E21" s="24" t="str">
        <x:v>Megalaspis cordyla</x:v>
      </x:c>
      <x:c r="F21" s="24" t="str">
        <x:v>Torpedo scad</x:v>
      </x:c>
      <x:c r="G21" s="24" t="str">
        <x:v>Medium pelagics (30 - 89 cm)</x:v>
      </x:c>
      <x:c r="H21" s="24" t="str">
        <x:v>Perch-likes</x:v>
      </x:c>
      <x:c r="I21" s="31" t="n">
        <x:v>30491.708734013402</x:v>
      </x:c>
      <x:c r="J21" s="31" t="n">
        <x:v>30491.708734013402</x:v>
      </x:c>
      <x:c r="K21" s="31" t="n">
        <x:v>0</x:v>
      </x:c>
      <x:c r="L21" s="31" t="n">
        <x:v>28758.216724148602</x:v>
      </x:c>
      <x:c r="M21" s="31" t="n">
        <x:v>1733.4920098648</x:v>
      </x:c>
      <x:c r="N21" s="24" t="str">
        <x:v>megalaspis cordyla</x:v>
      </x:c>
      <x:c r="O21" s="32" t="n">
        <x:v>4.24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Megalaspis cordyla</x:v>
      </x:c>
      <x:c r="T21" s="32" t="n">
        <x:f>IF(O21="","",(1/'Metadata'!$B$5)^(O21-1))</x:f>
        <x:v>1737.8008287493763</x:v>
      </x:c>
      <x:c r="U21" s="31" t="n">
        <x:f>IF(T21="","",I21*T21)</x:f>
        <x:v>52988516.70795309</x:v>
      </x:c>
    </x:row>
    <x:row r="22" ht="18" customHeight="1">
      <x:c r="A22" s="24" t="str">
        <x:v>EEZ_938</x:v>
      </x:c>
      <x:c r="B22" s="24" t="str">
        <x:v>Indonesia (Indian Ocean)</x:v>
      </x:c>
      <x:c r="C22" s="24" t="str">
        <x:v>EEZ</x:v>
      </x:c>
      <x:c r="D22" s="30" t="n">
        <x:v>2019</x:v>
      </x:c>
      <x:c r="E22" s="24" t="str">
        <x:v>Metapenaeus</x:v>
      </x:c>
      <x:c r="F22" s="24" t="str">
        <x:v>Indo-Pacific prawns</x:v>
      </x:c>
      <x:c r="G22" s="24" t="str">
        <x:v>Shrimps</x:v>
      </x:c>
      <x:c r="H22" s="24" t="str">
        <x:v>Crustaceans</x:v>
      </x:c>
      <x:c r="I22" s="31" t="n">
        <x:v>29866.9565478835</x:v>
      </x:c>
      <x:c r="J22" s="31" t="n">
        <x:v>29866.9565478835</x:v>
      </x:c>
      <x:c r="K22" s="31" t="n">
        <x:v>0</x:v>
      </x:c>
      <x:c r="L22" s="31" t="n">
        <x:v>28962.3959584015</x:v>
      </x:c>
      <x:c r="M22" s="31" t="n">
        <x:v>904.5605894820001</x:v>
      </x:c>
      <x:c r="N22" s="24" t="str">
        <x:v>metapenaeus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Metapenaeus</x:v>
      </x:c>
      <x:c r="T22" s="32" t="n">
        <x:f>IF(O22="","",(1/'Metadata'!$B$5)^(O22-1))</x:f>
        <x:v>50.11872336272725</x:v>
      </x:c>
      <x:c r="U22" s="31" t="n">
        <x:f>IF(T22="","",I22*T22)</x:f>
        <x:v>1496893.7329099684</x:v>
      </x:c>
    </x:row>
    <x:row r="23" ht="18" customHeight="1">
      <x:c r="A23" s="24" t="str">
        <x:v>EEZ_938</x:v>
      </x:c>
      <x:c r="B23" s="24" t="str">
        <x:v>Indonesia (Indian Ocean)</x:v>
      </x:c>
      <x:c r="C23" s="24" t="str">
        <x:v>EEZ</x:v>
      </x:c>
      <x:c r="D23" s="30" t="n">
        <x:v>2019</x:v>
      </x:c>
      <x:c r="E23" s="24" t="str">
        <x:v>Scomberomorus guttatus</x:v>
      </x:c>
      <x:c r="F23" s="24" t="str">
        <x:v>Indo-Pacific king mackerel</x:v>
      </x:c>
      <x:c r="G23" s="24" t="str">
        <x:v>Medium pelagics (30 - 89 cm)</x:v>
      </x:c>
      <x:c r="H23" s="24" t="str">
        <x:v>Perch-likes</x:v>
      </x:c>
      <x:c r="I23" s="31" t="n">
        <x:v>27126.0890587029</x:v>
      </x:c>
      <x:c r="J23" s="31" t="n">
        <x:v>27126.0890587029</x:v>
      </x:c>
      <x:c r="K23" s="31" t="n">
        <x:v>0</x:v>
      </x:c>
      <x:c r="L23" s="31" t="n">
        <x:v>26482.8247287663</x:v>
      </x:c>
      <x:c r="M23" s="31" t="n">
        <x:v>643.2643299366</x:v>
      </x:c>
      <x:c r="N23" s="24" t="str">
        <x:v>scomberomorus guttatus</x:v>
      </x:c>
      <x:c r="O23" s="32" t="n">
        <x:v>4.28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Scomberomorus guttatus</x:v>
      </x:c>
      <x:c r="T23" s="32" t="n">
        <x:f>IF(O23="","",(1/'Metadata'!$B$5)^(O23-1))</x:f>
        <x:v>1905.4607179632483</x:v>
      </x:c>
      <x:c r="U23" s="31" t="n">
        <x:f>IF(T23="","",I23*T23)</x:f>
        <x:v>51687697.13333104</x:v>
      </x:c>
    </x:row>
    <x:row r="24" ht="18" customHeight="1">
      <x:c r="A24" s="24" t="str">
        <x:v>EEZ_938</x:v>
      </x:c>
      <x:c r="B24" s="24" t="str">
        <x:v>Indonesia (Indian Ocean)</x:v>
      </x:c>
      <x:c r="C24" s="24" t="str">
        <x:v>EEZ</x:v>
      </x:c>
      <x:c r="D24" s="30" t="n">
        <x:v>2019</x:v>
      </x:c>
      <x:c r="E24" s="24" t="str">
        <x:v>Lutjanus</x:v>
      </x:c>
      <x:c r="F24" s="24" t="str">
        <x:v>Snappers</x:v>
      </x:c>
      <x:c r="G24" s="24" t="str">
        <x:v>Medium reef assoc. fish (30 - 89 cm)</x:v>
      </x:c>
      <x:c r="H24" s="24" t="str">
        <x:v>Perch-likes</x:v>
      </x:c>
      <x:c r="I24" s="31" t="n">
        <x:v>26665.3037751639</x:v>
      </x:c>
      <x:c r="J24" s="31" t="n">
        <x:v>26665.3037751639</x:v>
      </x:c>
      <x:c r="K24" s="31" t="n">
        <x:v>0</x:v>
      </x:c>
      <x:c r="L24" s="31" t="n">
        <x:v>25706.1983526222</x:v>
      </x:c>
      <x:c r="M24" s="31" t="n">
        <x:v>959.1054225417</x:v>
      </x:c>
      <x:c r="N24" s="24" t="str">
        <x:v>lutjanus</x:v>
      </x:c>
      <x:c r="O24" s="32" t="n">
        <x:v>4.02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Lutjanus</x:v>
      </x:c>
      <x:c r="T24" s="32" t="n">
        <x:f>IF(O24="","",(1/'Metadata'!$B$5)^(O24-1))</x:f>
        <x:v>1047.1285480508984</x:v>
      </x:c>
      <x:c r="U24" s="31" t="n">
        <x:f>IF(T24="","",I24*T24)</x:f>
        <x:v>27922000.825423513</x:v>
      </x:c>
    </x:row>
    <x:row r="25" ht="18" customHeight="1">
      <x:c r="A25" s="24" t="str">
        <x:v>EEZ_938</x:v>
      </x:c>
      <x:c r="B25" s="24" t="str">
        <x:v>Indonesia (Indian Ocean)</x:v>
      </x:c>
      <x:c r="C25" s="24" t="str">
        <x:v>EEZ</x:v>
      </x:c>
      <x:c r="D25" s="30" t="n">
        <x:v>2019</x:v>
      </x:c>
      <x:c r="E25" s="24" t="str">
        <x:v>Lactarius lactarius</x:v>
      </x:c>
      <x:c r="F25" s="24" t="str">
        <x:v>False trevally</x:v>
      </x:c>
      <x:c r="G25" s="24" t="str">
        <x:v>Medium pelagics (30 - 89 cm)</x:v>
      </x:c>
      <x:c r="H25" s="24" t="str">
        <x:v>Perch-likes</x:v>
      </x:c>
      <x:c r="I25" s="31" t="n">
        <x:v>22308.8515678747</x:v>
      </x:c>
      <x:c r="J25" s="31" t="n">
        <x:v>22308.8515678747</x:v>
      </x:c>
      <x:c r="K25" s="31" t="n">
        <x:v>0</x:v>
      </x:c>
      <x:c r="L25" s="31" t="n">
        <x:v>21315.3427063972</x:v>
      </x:c>
      <x:c r="M25" s="31" t="n">
        <x:v>993.5088614775</x:v>
      </x:c>
      <x:c r="N25" s="24" t="str">
        <x:v>lactarius lactarius</x:v>
      </x:c>
      <x:c r="O25" s="32" t="n">
        <x:v>3.97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Lactarius lactarius</x:v>
      </x:c>
      <x:c r="T25" s="32" t="n">
        <x:f>IF(O25="","",(1/'Metadata'!$B$5)^(O25-1))</x:f>
        <x:v>933.2543007969915</x:v>
      </x:c>
      <x:c r="U25" s="31" t="n">
        <x:f>IF(T25="","",I25*T25)</x:f>
        <x:v>20819831.67156077</x:v>
      </x:c>
    </x:row>
    <x:row r="26" ht="18" customHeight="1">
      <x:c r="A26" s="24" t="str">
        <x:v>EEZ_938</x:v>
      </x:c>
      <x:c r="B26" s="24" t="str">
        <x:v>Indonesia (Indian Ocean)</x:v>
      </x:c>
      <x:c r="C26" s="24" t="str">
        <x:v>EEZ</x:v>
      </x:c>
      <x:c r="D26" s="30" t="n">
        <x:v>2019</x:v>
      </x:c>
      <x:c r="E26" s="24" t="str">
        <x:v>Pampus argenteus</x:v>
      </x:c>
      <x:c r="F26" s="24" t="str">
        <x:v>Silver pomfret</x:v>
      </x:c>
      <x:c r="G26" s="24" t="str">
        <x:v>Medium benthopelagics (30 - 89 cm)</x:v>
      </x:c>
      <x:c r="H26" s="24" t="str">
        <x:v>Perch-likes</x:v>
      </x:c>
      <x:c r="I26" s="31" t="n">
        <x:v>22292.6013723754</x:v>
      </x:c>
      <x:c r="J26" s="31" t="n">
        <x:v>22292.6013723754</x:v>
      </x:c>
      <x:c r="K26" s="31" t="n">
        <x:v>0</x:v>
      </x:c>
      <x:c r="L26" s="31" t="n">
        <x:v>21525.1894847814</x:v>
      </x:c>
      <x:c r="M26" s="31" t="n">
        <x:v>767.4118875940001</x:v>
      </x:c>
      <x:c r="N26" s="24" t="str">
        <x:v>pampus argenteus</x:v>
      </x:c>
      <x:c r="O26" s="32" t="n">
        <x:v>3.3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Pampus argenteus</x:v>
      </x:c>
      <x:c r="T26" s="32" t="n">
        <x:f>IF(O26="","",(1/'Metadata'!$B$5)^(O26-1))</x:f>
        <x:v>199.52623149688787</x:v>
      </x:c>
      <x:c r="U26" s="31" t="n">
        <x:f>IF(T26="","",I26*T26)</x:f>
        <x:v>4447958.742092415</x:v>
      </x:c>
    </x:row>
    <x:row r="27" ht="18" customHeight="1">
      <x:c r="A27" s="24" t="str">
        <x:v>EEZ_938</x:v>
      </x:c>
      <x:c r="B27" s="24" t="str">
        <x:v>Indonesia (Indian Ocean)</x:v>
      </x:c>
      <x:c r="C27" s="24" t="str">
        <x:v>EEZ</x:v>
      </x:c>
      <x:c r="D27" s="30" t="n">
        <x:v>2019</x:v>
      </x:c>
      <x:c r="E27" s="24" t="str">
        <x:v>Parastromateus niger</x:v>
      </x:c>
      <x:c r="F27" s="24" t="str">
        <x:v>Black pomfret</x:v>
      </x:c>
      <x:c r="G27" s="24" t="str">
        <x:v>Medium benthopelagics (30 - 89 cm)</x:v>
      </x:c>
      <x:c r="H27" s="24" t="str">
        <x:v>Perch-likes</x:v>
      </x:c>
      <x:c r="I27" s="31" t="n">
        <x:v>21921.9775164416</x:v>
      </x:c>
      <x:c r="J27" s="31" t="n">
        <x:v>21921.9775164416</x:v>
      </x:c>
      <x:c r="K27" s="31" t="n">
        <x:v>0</x:v>
      </x:c>
      <x:c r="L27" s="31" t="n">
        <x:v>21098.7659443274</x:v>
      </x:c>
      <x:c r="M27" s="31" t="n">
        <x:v>823.2115721142</x:v>
      </x:c>
      <x:c r="N27" s="24" t="str">
        <x:v>parastromateus niger</x:v>
      </x:c>
      <x:c r="O27" s="32" t="n">
        <x:v>2.93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Parastromateus niger</x:v>
      </x:c>
      <x:c r="T27" s="32" t="n">
        <x:f>IF(O27="","",(1/'Metadata'!$B$5)^(O27-1))</x:f>
        <x:v>85.11380382023768</x:v>
      </x:c>
      <x:c r="U27" s="31" t="n">
        <x:f>IF(T27="","",I27*T27)</x:f>
        <x:v>1865862.8936860715</x:v>
      </x:c>
    </x:row>
    <x:row r="28" ht="18" customHeight="1">
      <x:c r="A28" s="24" t="str">
        <x:v>EEZ_938</x:v>
      </x:c>
      <x:c r="B28" s="24" t="str">
        <x:v>Indonesia (Indian Ocean)</x:v>
      </x:c>
      <x:c r="C28" s="24" t="str">
        <x:v>EEZ</x:v>
      </x:c>
      <x:c r="D28" s="30" t="n">
        <x:v>2019</x:v>
      </x:c>
      <x:c r="E28" s="24" t="str">
        <x:v>Upeneus vittatus</x:v>
      </x:c>
      <x:c r="F28" s="24" t="str">
        <x:v>Yellowstriped goatfish</x:v>
      </x:c>
      <x:c r="G28" s="24" t="str">
        <x:v>Small reef assoc. fish (&lt;30 cm)</x:v>
      </x:c>
      <x:c r="H28" s="24" t="str">
        <x:v>Perch-likes</x:v>
      </x:c>
      <x:c r="I28" s="31" t="n">
        <x:v>20326.3907295274</x:v>
      </x:c>
      <x:c r="J28" s="31" t="n">
        <x:v>19230.0537235341</x:v>
      </x:c>
      <x:c r="K28" s="31" t="n">
        <x:v>1096.3370059933</x:v>
      </x:c>
      <x:c r="L28" s="31" t="n">
        <x:v>19230.0537235341</x:v>
      </x:c>
      <x:c r="M28" s="31" t="n">
        <x:v>1096.3370059933</x:v>
      </x:c>
      <x:c r="N28" s="24" t="str">
        <x:v>upeneus vittatus</x:v>
      </x:c>
      <x:c r="O28" s="32" t="n">
        <x:v>3.62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Upeneus vittatus</x:v>
      </x:c>
      <x:c r="T28" s="32" t="n">
        <x:f>IF(O28="","",(1/'Metadata'!$B$5)^(O28-1))</x:f>
        <x:v>416.8693834703355</x:v>
      </x:c>
      <x:c r="U28" s="31" t="n">
        <x:f>IF(T28="","",I28*T28)</x:f>
        <x:v>8473449.97159523</x:v>
      </x:c>
    </x:row>
    <x:row r="29" ht="18" customHeight="1">
      <x:c r="A29" s="24" t="str">
        <x:v>EEZ_938</x:v>
      </x:c>
      <x:c r="B29" s="24" t="str">
        <x:v>Indonesia (Indian Ocean)</x:v>
      </x:c>
      <x:c r="C29" s="24" t="str">
        <x:v>EEZ</x:v>
      </x:c>
      <x:c r="D29" s="30" t="n">
        <x:v>2019</x:v>
      </x:c>
      <x:c r="E29" s="24" t="str">
        <x:v>Sepia</x:v>
      </x:c>
      <x:c r="F29" s="24" t="str">
        <x:v>Sepia cuttlefishes</x:v>
      </x:c>
      <x:c r="G29" s="24" t="str">
        <x:v>Cephalopods</x:v>
      </x:c>
      <x:c r="H29" s="24" t="str">
        <x:v>Other fishes &amp; inverts</x:v>
      </x:c>
      <x:c r="I29" s="31" t="n">
        <x:v>20284.0383995414</x:v>
      </x:c>
      <x:c r="J29" s="31" t="n">
        <x:v>18904.9934078065</x:v>
      </x:c>
      <x:c r="K29" s="31" t="n">
        <x:v>1379.0449917349001</x:v>
      </x:c>
      <x:c r="L29" s="31" t="n">
        <x:v>18204.2029057217</x:v>
      </x:c>
      <x:c r="M29" s="31" t="n">
        <x:v>2079.8354938197</x:v>
      </x:c>
      <x:c r="N29" s="24" t="str">
        <x:v>sepia</x:v>
      </x:c>
      <x:c r="O29" s="32" t="n">
        <x:v>3.69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Sepia</x:v>
      </x:c>
      <x:c r="T29" s="32" t="n">
        <x:f>IF(O29="","",(1/'Metadata'!$B$5)^(O29-1))</x:f>
        <x:v>489.77881936844614</x:v>
      </x:c>
      <x:c r="U29" s="31" t="n">
        <x:f>IF(T29="","",I29*T29)</x:f>
        <x:v>9934692.379351614</x:v>
      </x:c>
    </x:row>
    <x:row r="30" ht="18" customHeight="1">
      <x:c r="A30" s="24" t="str">
        <x:v>EEZ_938</x:v>
      </x:c>
      <x:c r="B30" s="24" t="str">
        <x:v>Indonesia (Indian Ocean)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20114.770456621398</x:v>
      </x:c>
      <x:c r="J30" s="31" t="n">
        <x:v>17594.0727610792</x:v>
      </x:c>
      <x:c r="K30" s="31" t="n">
        <x:v>2520.6976955422</x:v>
      </x:c>
      <x:c r="L30" s="31" t="n">
        <x:v>16896.9234593071</x:v>
      </x:c>
      <x:c r="M30" s="31" t="n">
        <x:v>3217.8469973143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681577.2421307636</x:v>
      </x:c>
    </x:row>
    <x:row r="31" ht="18" customHeight="1">
      <x:c r="A31" s="24" t="str">
        <x:v>EEZ_938</x:v>
      </x:c>
      <x:c r="B31" s="24" t="str">
        <x:v>Indonesia (Indian Ocean)</x:v>
      </x:c>
      <x:c r="C31" s="24" t="str">
        <x:v>EEZ</x:v>
      </x:c>
      <x:c r="D31" s="30" t="n">
        <x:v>2019</x:v>
      </x:c>
      <x:c r="E31" s="24" t="str">
        <x:v>Cephalopholis boenak</x:v>
      </x:c>
      <x:c r="F31" s="24" t="str">
        <x:v>Chocolate hind</x:v>
      </x:c>
      <x:c r="G31" s="24" t="str">
        <x:v>Small reef assoc. fish (&lt;30 cm)</x:v>
      </x:c>
      <x:c r="H31" s="24" t="str">
        <x:v>Perch-likes</x:v>
      </x:c>
      <x:c r="I31" s="31" t="n">
        <x:v>19432.713888691098</x:v>
      </x:c>
      <x:c r="J31" s="31" t="n">
        <x:v>16851.2004175314</x:v>
      </x:c>
      <x:c r="K31" s="31" t="n">
        <x:v>2581.5134711597</x:v>
      </x:c>
      <x:c r="L31" s="31" t="n">
        <x:v>16383.968651141899</x:v>
      </x:c>
      <x:c r="M31" s="31" t="n">
        <x:v>3048.7452375492</x:v>
      </x:c>
      <x:c r="N31" s="24" t="str">
        <x:v>cephalopholis boenak</x:v>
      </x:c>
      <x:c r="O31" s="32" t="n">
        <x:v>4.07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Cephalopholis boenak</x:v>
      </x:c>
      <x:c r="T31" s="32" t="n">
        <x:f>IF(O31="","",(1/'Metadata'!$B$5)^(O31-1))</x:f>
        <x:v>1174.8975549395302</x:v>
      </x:c>
      <x:c r="U31" s="31" t="n">
        <x:f>IF(T31="","",I31*T31)</x:f>
        <x:v>22831448.03366262</x:v>
      </x:c>
    </x:row>
    <x:row r="32" ht="18" customHeight="1">
      <x:c r="A32" s="24" t="str">
        <x:v>EEZ_938</x:v>
      </x:c>
      <x:c r="B32" s="24" t="str">
        <x:v>Indonesia (Indian Ocean)</x:v>
      </x:c>
      <x:c r="C32" s="24" t="str">
        <x:v>EEZ</x:v>
      </x:c>
      <x:c r="D32" s="30" t="n">
        <x:v>2019</x:v>
      </x:c>
      <x:c r="E32" s="24" t="str">
        <x:v>Lates calcarifer</x:v>
      </x:c>
      <x:c r="F32" s="24" t="str">
        <x:v>Barramundi</x:v>
      </x:c>
      <x:c r="G32" s="24" t="str">
        <x:v>Large demersals (&gt;=90 cm)</x:v>
      </x:c>
      <x:c r="H32" s="24" t="str">
        <x:v>Perch-likes</x:v>
      </x:c>
      <x:c r="I32" s="31" t="n">
        <x:v>18851.3097871217</x:v>
      </x:c>
      <x:c r="J32" s="31" t="n">
        <x:v>18851.3097871217</x:v>
      </x:c>
      <x:c r="K32" s="31" t="n">
        <x:v>0</x:v>
      </x:c>
      <x:c r="L32" s="31" t="n">
        <x:v>18183.2584686966</x:v>
      </x:c>
      <x:c r="M32" s="31" t="n">
        <x:v>668.0513184251</x:v>
      </x:c>
      <x:c r="N32" s="24" t="str">
        <x:v>lates calcarifer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Lates calcarifer</x:v>
      </x:c>
      <x:c r="T32" s="32" t="n">
        <x:f>IF(O32="","",(1/'Metadata'!$B$5)^(O32-1))</x:f>
        <x:v>2238.7211385683377</x:v>
      </x:c>
      <x:c r="U32" s="31" t="n">
        <x:f>IF(T32="","",I32*T32)</x:f>
        <x:v>42202825.71012954</x:v>
      </x:c>
    </x:row>
    <x:row r="33" ht="18" customHeight="1">
      <x:c r="A33" s="24" t="str">
        <x:v>EEZ_938</x:v>
      </x:c>
      <x:c r="B33" s="24" t="str">
        <x:v>Indonesia (Indian Ocean)</x:v>
      </x:c>
      <x:c r="C33" s="24" t="str">
        <x:v>EEZ</x:v>
      </x:c>
      <x:c r="D33" s="30" t="n">
        <x:v>2019</x:v>
      </x:c>
      <x:c r="E33" s="24" t="str">
        <x:v>Prionace glauca</x:v>
      </x:c>
      <x:c r="F33" s="24" t="str">
        <x:v>Blue shark</x:v>
      </x:c>
      <x:c r="G33" s="24" t="str">
        <x:v>Large sharks (&gt;=90 cm)</x:v>
      </x:c>
      <x:c r="H33" s="24" t="str">
        <x:v>Sharks &amp; rays</x:v>
      </x:c>
      <x:c r="I33" s="31" t="n">
        <x:v>17585.1636209422</x:v>
      </x:c>
      <x:c r="J33" s="31" t="n">
        <x:v>17585.1636209422</x:v>
      </x:c>
      <x:c r="K33" s="31" t="n">
        <x:v>0</x:v>
      </x:c>
      <x:c r="L33" s="31" t="n">
        <x:v>17585.1636209422</x:v>
      </x:c>
      <x:c r="M33" s="31" t="n">
        <x:v>0</x:v>
      </x:c>
      <x:c r="N33" s="24" t="str">
        <x:v>prionace glauca</x:v>
      </x:c>
      <x:c r="O33" s="32" t="n">
        <x:v>4.35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Prionace glauca</x:v>
      </x:c>
      <x:c r="T33" s="32" t="n">
        <x:f>IF(O33="","",(1/'Metadata'!$B$5)^(O33-1))</x:f>
        <x:v>2238.7211385683377</x:v>
      </x:c>
      <x:c r="U33" s="31" t="n">
        <x:f>IF(T33="","",I33*T33)</x:f>
        <x:v>39368277.52338623</x:v>
      </x:c>
    </x:row>
    <x:row r="34" ht="18" customHeight="1">
      <x:c r="A34" s="24" t="str">
        <x:v>EEZ_938</x:v>
      </x:c>
      <x:c r="B34" s="24" t="str">
        <x:v>Indonesia (Indian Ocean)</x:v>
      </x:c>
      <x:c r="C34" s="24" t="str">
        <x:v>EEZ</x:v>
      </x:c>
      <x:c r="D34" s="30" t="n">
        <x:v>2019</x:v>
      </x:c>
      <x:c r="E34" s="24" t="str">
        <x:v>Thunnus albacares</x:v>
      </x:c>
      <x:c r="F34" s="24" t="str">
        <x:v>Yellowfin tuna</x:v>
      </x:c>
      <x:c r="G34" s="24" t="str">
        <x:v>Large pelagics (&gt;=90 cm)</x:v>
      </x:c>
      <x:c r="H34" s="24" t="str">
        <x:v>Tuna &amp; billfishes</x:v>
      </x:c>
      <x:c r="I34" s="31" t="n">
        <x:v>17491.202346666698</x:v>
      </x:c>
      <x:c r="J34" s="31" t="n">
        <x:v>17491.202346666698</x:v>
      </x:c>
      <x:c r="K34" s="31" t="n">
        <x:v>0</x:v>
      </x:c>
      <x:c r="L34" s="31" t="n">
        <x:v>17491.202346666698</x:v>
      </x:c>
      <x:c r="M34" s="31" t="n">
        <x:v>0</x:v>
      </x:c>
      <x:c r="N34" s="24" t="str">
        <x:v>thunnus albacares</x:v>
      </x:c>
      <x:c r="O34" s="32" t="n">
        <x:v>4.41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albacares</x:v>
      </x:c>
      <x:c r="T34" s="32" t="n">
        <x:f>IF(O34="","",(1/'Metadata'!$B$5)^(O34-1))</x:f>
        <x:v>2570.3957827688646</x:v>
      </x:c>
      <x:c r="U34" s="31" t="n">
        <x:f>IF(T34="","",I34*T34)</x:f>
        <x:v>44959312.747428946</x:v>
      </x:c>
    </x:row>
    <x:row r="35" ht="18" customHeight="1">
      <x:c r="A35" s="24" t="str">
        <x:v>EEZ_938</x:v>
      </x:c>
      <x:c r="B35" s="24" t="str">
        <x:v>Indonesia (Indian Ocean)</x:v>
      </x:c>
      <x:c r="C35" s="24" t="str">
        <x:v>EEZ</x:v>
      </x:c>
      <x:c r="D35" s="30" t="n">
        <x:v>2019</x:v>
      </x:c>
      <x:c r="E35" s="24" t="str">
        <x:v>Euthynnus affinis</x:v>
      </x:c>
      <x:c r="F35" s="24" t="str">
        <x:v>Kawakawa</x:v>
      </x:c>
      <x:c r="G35" s="24" t="str">
        <x:v>Large pelagics (&gt;=90 cm)</x:v>
      </x:c>
      <x:c r="H35" s="24" t="str">
        <x:v>Tuna &amp; billfishes</x:v>
      </x:c>
      <x:c r="I35" s="31" t="n">
        <x:v>16346.885169270601</x:v>
      </x:c>
      <x:c r="J35" s="31" t="n">
        <x:v>16346.885169270601</x:v>
      </x:c>
      <x:c r="K35" s="31" t="n">
        <x:v>0</x:v>
      </x:c>
      <x:c r="L35" s="31" t="n">
        <x:v>16346.885169270601</x:v>
      </x:c>
      <x:c r="M35" s="31" t="n">
        <x:v>0</x:v>
      </x:c>
      <x:c r="N35" s="24" t="str">
        <x:v>euthynnus affinis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Euthynnus affinis</x:v>
      </x:c>
      <x:c r="T35" s="32" t="n">
        <x:f>IF(O35="","",(1/'Metadata'!$B$5)^(O35-1))</x:f>
        <x:v>3162.2776601683795</x:v>
      </x:c>
      <x:c r="U35" s="31" t="n">
        <x:f>IF(T35="","",I35*T35)</x:f>
        <x:v>51693389.78412222</x:v>
      </x:c>
    </x:row>
    <x:row r="36" ht="18" customHeight="1">
      <x:c r="A36" s="24" t="str">
        <x:v>EEZ_938</x:v>
      </x:c>
      <x:c r="B36" s="24" t="str">
        <x:v>Indonesia (Indian Ocean)</x:v>
      </x:c>
      <x:c r="C36" s="24" t="str">
        <x:v>EEZ</x:v>
      </x:c>
      <x:c r="D36" s="30" t="n">
        <x:v>2019</x:v>
      </x:c>
      <x:c r="E36" s="24" t="str">
        <x:v>Nemipterus hexodon</x:v>
      </x:c>
      <x:c r="F36" s="24" t="str">
        <x:v>Ornate threadfin bream</x:v>
      </x:c>
      <x:c r="G36" s="24" t="str">
        <x:v>Small demersals (&lt;30 cm)</x:v>
      </x:c>
      <x:c r="H36" s="24" t="str">
        <x:v>Perch-likes</x:v>
      </x:c>
      <x:c r="I36" s="31" t="n">
        <x:v>14362.763030703101</x:v>
      </x:c>
      <x:c r="J36" s="31" t="n">
        <x:v>11984.128921294101</x:v>
      </x:c>
      <x:c r="K36" s="31" t="n">
        <x:v>2378.634109409</x:v>
      </x:c>
      <x:c r="L36" s="31" t="n">
        <x:v>11363.7485006157</x:v>
      </x:c>
      <x:c r="M36" s="31" t="n">
        <x:v>2999.0145300874</x:v>
      </x:c>
      <x:c r="N36" s="24" t="str">
        <x:v>nemipterus hexodon</x:v>
      </x:c>
      <x:c r="O36" s="32" t="n">
        <x:v>3.93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Nemipterus hexodon</x:v>
      </x:c>
      <x:c r="T36" s="32" t="n">
        <x:f>IF(O36="","",(1/'Metadata'!$B$5)^(O36-1))</x:f>
        <x:v>851.1380382023768</x:v>
      </x:c>
      <x:c r="U36" s="31" t="n">
        <x:f>IF(T36="","",I36*T36)</x:f>
        <x:v>12224693.949118262</x:v>
      </x:c>
    </x:row>
    <x:row r="37" ht="18" customHeight="1">
      <x:c r="A37" s="24" t="str">
        <x:v>EEZ_938</x:v>
      </x:c>
      <x:c r="B37" s="24" t="str">
        <x:v>Indonesia (Indian Ocean)</x:v>
      </x:c>
      <x:c r="C37" s="24" t="str">
        <x:v>EEZ</x:v>
      </x:c>
      <x:c r="D37" s="30" t="n">
        <x:v>2019</x:v>
      </x:c>
      <x:c r="E37" s="24" t="str">
        <x:v>Chirocentrus dorab</x:v>
      </x:c>
      <x:c r="F37" s="24" t="str">
        <x:v>Dorab wolf-herring</x:v>
      </x:c>
      <x:c r="G37" s="24" t="str">
        <x:v>Large benthopelagics (&gt;=90 cm)</x:v>
      </x:c>
      <x:c r="H37" s="24" t="str">
        <x:v>Herring-likes</x:v>
      </x:c>
      <x:c r="I37" s="31" t="n">
        <x:v>11269.4749167485</x:v>
      </x:c>
      <x:c r="J37" s="31" t="n">
        <x:v>9008.3681575735</x:v>
      </x:c>
      <x:c r="K37" s="31" t="n">
        <x:v>2261.106759175</x:v>
      </x:c>
      <x:c r="L37" s="31" t="n">
        <x:v>8625.2610868181</x:v>
      </x:c>
      <x:c r="M37" s="31" t="n">
        <x:v>2644.2138299304</x:v>
      </x:c>
      <x:c r="N37" s="24" t="str">
        <x:v>chirocentrus dorab</x:v>
      </x:c>
      <x:c r="O37" s="32" t="n">
        <x:v>4.2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Chirocentrus dorab</x:v>
      </x:c>
      <x:c r="T37" s="32" t="n">
        <x:f>IF(O37="","",(1/'Metadata'!$B$5)^(O37-1))</x:f>
        <x:v>1584.893192461114</x:v>
      </x:c>
      <x:c r="U37" s="31" t="n">
        <x:f>IF(T37="","",I37*T37)</x:f>
        <x:v>17860914.07816598</x:v>
      </x:c>
    </x:row>
    <x:row r="38" ht="18" customHeight="1">
      <x:c r="A38" s="24" t="str">
        <x:v>EEZ_938</x:v>
      </x:c>
      <x:c r="B38" s="24" t="str">
        <x:v>Indonesia (Indian Ocean)</x:v>
      </x:c>
      <x:c r="C38" s="24" t="str">
        <x:v>EEZ</x:v>
      </x:c>
      <x:c r="D38" s="30" t="n">
        <x:v>2019</x:v>
      </x:c>
      <x:c r="E38" s="24" t="str">
        <x:v>Psettodidae</x:v>
      </x:c>
      <x:c r="F38" s="24" t="str">
        <x:v>Turbots, Indian halibuts</x:v>
      </x:c>
      <x:c r="G38" s="24" t="str">
        <x:v>Small to medium flatfishes (&lt;90 cm)</x:v>
      </x:c>
      <x:c r="H38" s="24" t="str">
        <x:v>Flatfishes</x:v>
      </x:c>
      <x:c r="I38" s="31" t="n">
        <x:v>10771.1163782619</x:v>
      </x:c>
      <x:c r="J38" s="31" t="n">
        <x:v>9535.9751232882</x:v>
      </x:c>
      <x:c r="K38" s="31" t="n">
        <x:v>1235.1412549737</x:v>
      </x:c>
      <x:c r="L38" s="31" t="n">
        <x:v>9099.7642113602</x:v>
      </x:c>
      <x:c r="M38" s="31" t="n">
        <x:v>1671.3521669017</x:v>
      </x:c>
      <x:c r="N38" s="24" t="str">
        <x:v>psettodidae</x:v>
      </x:c>
      <x:c r="O38" s="32" t="n">
        <x:v>3.83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Psettodidae</x:v>
      </x:c>
      <x:c r="T38" s="32" t="n">
        <x:f>IF(O38="","",(1/'Metadata'!$B$5)^(O38-1))</x:f>
        <x:v>676.0829753919819</x:v>
      </x:c>
      <x:c r="U38" s="31" t="n">
        <x:f>IF(T38="","",I38*T38)</x:f>
        <x:v>7282168.409308614</x:v>
      </x:c>
    </x:row>
    <x:row r="39" ht="18" customHeight="1">
      <x:c r="A39" s="24" t="str">
        <x:v>EEZ_938</x:v>
      </x:c>
      <x:c r="B39" s="24" t="str">
        <x:v>Indonesia (Indian Ocean)</x:v>
      </x:c>
      <x:c r="C39" s="24" t="str">
        <x:v>EEZ</x:v>
      </x:c>
      <x:c r="D39" s="30" t="n">
        <x:v>2019</x:v>
      </x:c>
      <x:c r="E39" s="24" t="str">
        <x:v>Acetes</x:v>
      </x:c>
      <x:c r="F39" s="24" t="str">
        <x:v>Acetes shrimps</x:v>
      </x:c>
      <x:c r="G39" s="24" t="str">
        <x:v>Shrimps</x:v>
      </x:c>
      <x:c r="H39" s="24" t="str">
        <x:v>Crustaceans</x:v>
      </x:c>
      <x:c r="I39" s="31" t="n">
        <x:v>9414.2845862261</x:v>
      </x:c>
      <x:c r="J39" s="31" t="n">
        <x:v>9414.2845862261</x:v>
      </x:c>
      <x:c r="K39" s="31" t="n">
        <x:v>0</x:v>
      </x:c>
      <x:c r="L39" s="31" t="n">
        <x:v>9414.2157373428</x:v>
      </x:c>
      <x:c r="M39" s="31" t="n">
        <x:v>0.0688488833</x:v>
      </x:c>
      <x:c r="N39" s="24" t="str">
        <x:v>acetes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Acetes</x:v>
      </x:c>
      <x:c r="T39" s="32" t="n">
        <x:f>IF(O39="","",(1/'Metadata'!$B$5)^(O39-1))</x:f>
        <x:v>50.11872336272725</x:v>
      </x:c>
      <x:c r="U39" s="31" t="n">
        <x:f>IF(T39="","",I39*T39)</x:f>
        <x:v>471831.9248350531</x:v>
      </x:c>
    </x:row>
    <x:row r="40" ht="18" customHeight="1">
      <x:c r="A40" s="24" t="str">
        <x:v>EEZ_938</x:v>
      </x:c>
      <x:c r="B40" s="24" t="str">
        <x:v>Indonesia (Indian Ocean)</x:v>
      </x:c>
      <x:c r="C40" s="24" t="str">
        <x:v>EEZ</x:v>
      </x:c>
      <x:c r="D40" s="30" t="n">
        <x:v>2019</x:v>
      </x:c>
      <x:c r="E40" s="24" t="str">
        <x:v>Caesio</x:v>
      </x:c>
      <x:c r="F40" s="24" t="str">
        <x:v>Caesios</x:v>
      </x:c>
      <x:c r="G40" s="24" t="str">
        <x:v>Medium reef assoc. fish (30 - 89 cm)</x:v>
      </x:c>
      <x:c r="H40" s="24" t="str">
        <x:v>Perch-likes</x:v>
      </x:c>
      <x:c r="I40" s="31" t="n">
        <x:v>9007.584225210901</x:v>
      </x:c>
      <x:c r="J40" s="31" t="n">
        <x:v>9007.584225210901</x:v>
      </x:c>
      <x:c r="K40" s="31" t="n">
        <x:v>0</x:v>
      </x:c>
      <x:c r="L40" s="31" t="n">
        <x:v>9007.584225210901</x:v>
      </x:c>
      <x:c r="M40" s="31" t="n">
        <x:v>0</x:v>
      </x:c>
      <x:c r="N40" s="24" t="str">
        <x:v>caesio</x:v>
      </x:c>
      <x:c r="O40" s="32" t="n">
        <x:v>3.4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Caesio</x:v>
      </x:c>
      <x:c r="T40" s="32" t="n">
        <x:f>IF(O40="","",(1/'Metadata'!$B$5)^(O40-1))</x:f>
        <x:v>251.18864315095797</x:v>
      </x:c>
      <x:c r="U40" s="31" t="n">
        <x:f>IF(T40="","",I40*T40)</x:f>
        <x:v>2262602.8595986995</x:v>
      </x:c>
    </x:row>
    <x:row r="41" ht="18" customHeight="1">
      <x:c r="A41" s="24" t="str">
        <x:v>EEZ_938</x:v>
      </x:c>
      <x:c r="B41" s="24" t="str">
        <x:v>Indonesia (Indian Ocean)</x:v>
      </x:c>
      <x:c r="C41" s="24" t="str">
        <x:v>EEZ</x:v>
      </x:c>
      <x:c r="D41" s="30" t="n">
        <x:v>2019</x:v>
      </x:c>
      <x:c r="E41" s="24" t="str">
        <x:v>Mollusca</x:v>
      </x:c>
      <x:c r="F41" s="24" t="str">
        <x:v>Clams, seasnails, squids, octopuses</x:v>
      </x:c>
      <x:c r="G41" s="24" t="str">
        <x:v>Other demersal invertebrates</x:v>
      </x:c>
      <x:c r="H41" s="24" t="str">
        <x:v>Molluscs</x:v>
      </x:c>
      <x:c r="I41" s="31" t="n">
        <x:v>8713.600547308699</x:v>
      </x:c>
      <x:c r="J41" s="31" t="n">
        <x:v>8354.9816061968</x:v>
      </x:c>
      <x:c r="K41" s="31" t="n">
        <x:v>358.61894111189997</x:v>
      </x:c>
      <x:c r="L41" s="31" t="n">
        <x:v>8075.759118227999</x:v>
      </x:c>
      <x:c r="M41" s="31" t="n">
        <x:v>637.8414290807</x:v>
      </x:c>
      <x:c r="N41" s="24" t="str">
        <x:v>mollusca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Mollusca</x:v>
      </x:c>
      <x:c r="T41" s="32" t="n">
        <x:f>IF(O41="","",(1/'Metadata'!$B$5)^(O41-1))</x:f>
        <x:v>12.589254117941675</x:v>
      </x:c>
      <x:c r="U41" s="31" t="n">
        <x:f>IF(T41="","",I41*T41)</x:f>
        <x:v>109697.73157230487</x:v>
      </x:c>
    </x:row>
    <x:row r="42" ht="18" customHeight="1">
      <x:c r="A42" s="24" t="str">
        <x:v>EEZ_938</x:v>
      </x:c>
      <x:c r="B42" s="24" t="str">
        <x:v>Indonesia (Indian Ocean)</x:v>
      </x:c>
      <x:c r="C42" s="24" t="str">
        <x:v>EEZ</x:v>
      </x:c>
      <x:c r="D42" s="30" t="n">
        <x:v>2019</x:v>
      </x:c>
      <x:c r="E42" s="24" t="str">
        <x:v>Rhizostomeae</x:v>
      </x:c>
      <x:c r="F42" s="24" t="str">
        <x:v>Oral arm jellyfishes</x:v>
      </x:c>
      <x:c r="G42" s="24" t="str">
        <x:v>Jellyfish</x:v>
      </x:c>
      <x:c r="H42" s="24" t="str">
        <x:v>Other fishes &amp; inverts</x:v>
      </x:c>
      <x:c r="I42" s="31" t="n">
        <x:v>8600</x:v>
      </x:c>
      <x:c r="J42" s="31" t="n">
        <x:v>8600</x:v>
      </x:c>
      <x:c r="K42" s="31" t="n">
        <x:v>0</x:v>
      </x:c>
      <x:c r="L42" s="31" t="n">
        <x:v>8600</x:v>
      </x:c>
      <x:c r="M42" s="31" t="n">
        <x:v>0</x:v>
      </x:c>
      <x:c r="N42" s="24" t="str">
        <x:v>rhizostomeae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Rhizostomeae</x:v>
      </x:c>
      <x:c r="T42" s="32" t="n">
        <x:f>IF(O42="","",(1/'Metadata'!$B$5)^(O42-1))</x:f>
        <x:v>288.40315031266056</x:v>
      </x:c>
      <x:c r="U42" s="31" t="n">
        <x:f>IF(T42="","",I42*T42)</x:f>
        <x:v>2480267.092688881</x:v>
      </x:c>
    </x:row>
    <x:row r="43" ht="18" customHeight="1">
      <x:c r="A43" s="24" t="str">
        <x:v>EEZ_938</x:v>
      </x:c>
      <x:c r="B43" s="24" t="str">
        <x:v>Indonesia (Indian Ocean)</x:v>
      </x:c>
      <x:c r="C43" s="24" t="str">
        <x:v>EEZ</x:v>
      </x:c>
      <x:c r="D43" s="30" t="n">
        <x:v>2019</x:v>
      </x:c>
      <x:c r="E43" s="24" t="str">
        <x:v>Penaeus</x:v>
      </x:c>
      <x:c r="F43" s="24" t="str">
        <x:v>Tiger prawns</x:v>
      </x:c>
      <x:c r="G43" s="24" t="str">
        <x:v>Shrimps</x:v>
      </x:c>
      <x:c r="H43" s="24" t="str">
        <x:v>Crustaceans</x:v>
      </x:c>
      <x:c r="I43" s="31" t="n">
        <x:v>8476.3243263226</x:v>
      </x:c>
      <x:c r="J43" s="31" t="n">
        <x:v>8476.3243263226</x:v>
      </x:c>
      <x:c r="K43" s="31" t="n">
        <x:v>0</x:v>
      </x:c>
      <x:c r="L43" s="31" t="n">
        <x:v>8154.2936077055</x:v>
      </x:c>
      <x:c r="M43" s="31" t="n">
        <x:v>322.0307186171</x:v>
      </x:c>
      <x:c r="N43" s="24" t="str">
        <x:v>penaeus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Penaeus</x:v>
      </x:c>
      <x:c r="T43" s="32" t="n">
        <x:f>IF(O43="","",(1/'Metadata'!$B$5)^(O43-1))</x:f>
        <x:v>50.11872336272725</x:v>
      </x:c>
      <x:c r="U43" s="31" t="n">
        <x:f>IF(T43="","",I43*T43)</x:f>
        <x:v>424822.5540437178</x:v>
      </x:c>
    </x:row>
    <x:row r="44" ht="18" customHeight="1">
      <x:c r="A44" s="24" t="str">
        <x:v>EEZ_938</x:v>
      </x:c>
      <x:c r="B44" s="24" t="str">
        <x:v>Indonesia (Indian Ocean)</x:v>
      </x:c>
      <x:c r="C44" s="24" t="str">
        <x:v>EEZ</x:v>
      </x:c>
      <x:c r="D44" s="30" t="n">
        <x:v>2019</x:v>
      </x:c>
      <x:c r="E44" s="24" t="str">
        <x:v>Nemipterus</x:v>
      </x:c>
      <x:c r="F44" s="24" t="str">
        <x:v>Threadfin breams</x:v>
      </x:c>
      <x:c r="G44" s="24" t="str">
        <x:v>Small demersals (&lt;30 cm)</x:v>
      </x:c>
      <x:c r="H44" s="24" t="str">
        <x:v>Perch-likes</x:v>
      </x:c>
      <x:c r="I44" s="31" t="n">
        <x:v>7506.065081766599</x:v>
      </x:c>
      <x:c r="J44" s="31" t="n">
        <x:v>7506.065081766599</x:v>
      </x:c>
      <x:c r="K44" s="31" t="n">
        <x:v>0</x:v>
      </x:c>
      <x:c r="L44" s="31" t="n">
        <x:v>7506.065081766599</x:v>
      </x:c>
      <x:c r="M44" s="31" t="n">
        <x:v>0</x:v>
      </x:c>
      <x:c r="N44" s="24" t="str">
        <x:v>nemipterus</x:v>
      </x:c>
      <x:c r="O44" s="32" t="n">
        <x:v>3.72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Nemipterus</x:v>
      </x:c>
      <x:c r="T44" s="32" t="n">
        <x:f>IF(O44="","",(1/'Metadata'!$B$5)^(O44-1))</x:f>
        <x:v>524.8074602497728</x:v>
      </x:c>
      <x:c r="U44" s="31" t="n">
        <x:f>IF(T44="","",I44*T44)</x:f>
        <x:v>3939238.952031432</x:v>
      </x:c>
    </x:row>
    <x:row r="45" ht="18" customHeight="1">
      <x:c r="A45" s="24" t="str">
        <x:v>EEZ_938</x:v>
      </x:c>
      <x:c r="B45" s="24" t="str">
        <x:v>Indonesia (Indian Ocean)</x:v>
      </x:c>
      <x:c r="C45" s="24" t="str">
        <x:v>EEZ</x:v>
      </x:c>
      <x:c r="D45" s="30" t="n">
        <x:v>2019</x:v>
      </x:c>
      <x:c r="E45" s="24" t="str">
        <x:v>Caesio cuning</x:v>
      </x:c>
      <x:c r="F45" s="24" t="str">
        <x:v>Redbelly yellowtail fusilier</x:v>
      </x:c>
      <x:c r="G45" s="24" t="str">
        <x:v>Medium reef assoc. fish (30 - 89 cm)</x:v>
      </x:c>
      <x:c r="H45" s="24" t="str">
        <x:v>Perch-likes</x:v>
      </x:c>
      <x:c r="I45" s="31" t="n">
        <x:v>7447.005257219701</x:v>
      </x:c>
      <x:c r="J45" s="31" t="n">
        <x:v>5861.7448482847</x:v>
      </x:c>
      <x:c r="K45" s="31" t="n">
        <x:v>1585.260408935</x:v>
      </x:c>
      <x:c r="L45" s="31" t="n">
        <x:v>5556.8505284836</x:v>
      </x:c>
      <x:c r="M45" s="31" t="n">
        <x:v>1890.1547287361</x:v>
      </x:c>
      <x:c r="N45" s="24" t="str">
        <x:v>caesio cuning</x:v>
      </x:c>
      <x:c r="O45" s="32" t="n">
        <x:v>3.4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Caesio cuning</x:v>
      </x:c>
      <x:c r="T45" s="32" t="n">
        <x:f>IF(O45="","",(1/'Metadata'!$B$5)^(O45-1))</x:f>
        <x:v>251.18864315095797</x:v>
      </x:c>
      <x:c r="U45" s="31" t="n">
        <x:f>IF(T45="","",I45*T45)</x:f>
        <x:v>1870603.1460990675</x:v>
      </x:c>
    </x:row>
    <x:row r="46" ht="18" customHeight="1">
      <x:c r="A46" s="24" t="str">
        <x:v>EEZ_938</x:v>
      </x:c>
      <x:c r="B46" s="24" t="str">
        <x:v>Indonesia (Indian Ocean)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6950.0041274574005</x:v>
      </x:c>
      <x:c r="J46" s="31" t="n">
        <x:v>6949.0053477805</x:v>
      </x:c>
      <x:c r="K46" s="31" t="n">
        <x:v>0.9987796769</x:v>
      </x:c>
      <x:c r="L46" s="31" t="n">
        <x:v>6949.0053477805</x:v>
      </x:c>
      <x:c r="M46" s="31" t="n">
        <x:v>0.9987796769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21477566.011032216</x:v>
      </x:c>
    </x:row>
    <x:row r="47" ht="18" customHeight="1">
      <x:c r="A47" s="24" t="str">
        <x:v>EEZ_938</x:v>
      </x:c>
      <x:c r="B47" s="24" t="str">
        <x:v>Indonesia (Indian Ocean)</x:v>
      </x:c>
      <x:c r="C47" s="24" t="str">
        <x:v>EEZ</x:v>
      </x:c>
      <x:c r="D47" s="30" t="n">
        <x:v>2019</x:v>
      </x:c>
      <x:c r="E47" s="24" t="str">
        <x:v>Carangidae</x:v>
      </x:c>
      <x:c r="F47" s="24" t="str">
        <x:v>Jacks, pompanos</x:v>
      </x:c>
      <x:c r="G47" s="24" t="str">
        <x:v>Medium pelagics (30 - 89 cm)</x:v>
      </x:c>
      <x:c r="H47" s="24" t="str">
        <x:v>Perch-likes</x:v>
      </x:c>
      <x:c r="I47" s="31" t="n">
        <x:v>5407.457356858</x:v>
      </x:c>
      <x:c r="J47" s="31" t="n">
        <x:v>5384.6012657352</x:v>
      </x:c>
      <x:c r="K47" s="31" t="n">
        <x:v>22.856091122800002</x:v>
      </x:c>
      <x:c r="L47" s="31" t="n">
        <x:v>2753.491432969</x:v>
      </x:c>
      <x:c r="M47" s="31" t="n">
        <x:v>2653.965923889</x:v>
      </x:c>
      <x:c r="N47" s="24" t="str">
        <x:v>carangidae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Carangidae</x:v>
      </x:c>
      <x:c r="T47" s="32" t="n">
        <x:f>IF(O47="","",(1/'Metadata'!$B$5)^(O47-1))</x:f>
        <x:v>1122.018454301963</x:v>
      </x:c>
      <x:c r="U47" s="31" t="n">
        <x:f>IF(T47="","",I47*T47)</x:f>
        <x:v>6067266.945245591</x:v>
      </x:c>
    </x:row>
    <x:row r="48" ht="18" customHeight="1">
      <x:c r="A48" s="24" t="str">
        <x:v>EEZ_938</x:v>
      </x:c>
      <x:c r="B48" s="24" t="str">
        <x:v>Indonesia (Indian Ocean)</x:v>
      </x:c>
      <x:c r="C48" s="24" t="str">
        <x:v>EEZ</x:v>
      </x:c>
      <x:c r="D48" s="30" t="n">
        <x:v>2019</x:v>
      </x:c>
      <x:c r="E48" s="24" t="str">
        <x:v>Leiognathidae</x:v>
      </x:c>
      <x:c r="F48" s="24" t="str">
        <x:v>Slipmouths, ponyfishes</x:v>
      </x:c>
      <x:c r="G48" s="24" t="str">
        <x:v>Small benthopelagics (&lt;30 cm)</x:v>
      </x:c>
      <x:c r="H48" s="24" t="str">
        <x:v>Perch-likes</x:v>
      </x:c>
      <x:c r="I48" s="31" t="n">
        <x:v>5011.959321383</x:v>
      </x:c>
      <x:c r="J48" s="31" t="n">
        <x:v>4988.9329024007</x:v>
      </x:c>
      <x:c r="K48" s="31" t="n">
        <x:v>23.0264189823</x:v>
      </x:c>
      <x:c r="L48" s="31" t="n">
        <x:v>2802.6301565897</x:v>
      </x:c>
      <x:c r="M48" s="31" t="n">
        <x:v>2209.3291647933</x:v>
      </x:c>
      <x:c r="N48" s="24" t="str">
        <x:v>leiognathidae</x:v>
      </x:c>
      <x:c r="O48" s="32" t="n">
        <x:v>3.24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Leiognathidae</x:v>
      </x:c>
      <x:c r="T48" s="32" t="n">
        <x:f>IF(O48="","",(1/'Metadata'!$B$5)^(O48-1))</x:f>
        <x:v>173.78008287493762</x:v>
      </x:c>
      <x:c r="U48" s="31" t="n">
        <x:f>IF(T48="","",I48*T48)</x:f>
        <x:v>870978.706235754</x:v>
      </x:c>
    </x:row>
    <x:row r="49" ht="18" customHeight="1">
      <x:c r="A49" s="24" t="str">
        <x:v>EEZ_938</x:v>
      </x:c>
      <x:c r="B49" s="24" t="str">
        <x:v>Indonesia (Indian Ocean)</x:v>
      </x:c>
      <x:c r="C49" s="24" t="str">
        <x:v>EEZ</x:v>
      </x:c>
      <x:c r="D49" s="30" t="n">
        <x:v>2019</x:v>
      </x:c>
      <x:c r="E49" s="24" t="str">
        <x:v>Thunnus tonggol</x:v>
      </x:c>
      <x:c r="F49" s="24" t="str">
        <x:v>Longtail tuna</x:v>
      </x:c>
      <x:c r="G49" s="24" t="str">
        <x:v>Large pelagics (&gt;=90 cm)</x:v>
      </x:c>
      <x:c r="H49" s="24" t="str">
        <x:v>Tuna &amp; billfishes</x:v>
      </x:c>
      <x:c r="I49" s="31" t="n">
        <x:v>4679.7549211216</x:v>
      </x:c>
      <x:c r="J49" s="31" t="n">
        <x:v>4679.7549211216</x:v>
      </x:c>
      <x:c r="K49" s="31" t="n">
        <x:v>0</x:v>
      </x:c>
      <x:c r="L49" s="31" t="n">
        <x:v>4679.7549211216</x:v>
      </x:c>
      <x:c r="M49" s="31" t="n">
        <x:v>0</x:v>
      </x:c>
      <x:c r="N49" s="24" t="str">
        <x:v>thunnus tonggol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tonggol</x:v>
      </x:c>
      <x:c r="T49" s="32" t="n">
        <x:f>IF(O49="","",(1/'Metadata'!$B$5)^(O49-1))</x:f>
        <x:v>3162.2776601683795</x:v>
      </x:c>
      <x:c r="U49" s="31" t="n">
        <x:f>IF(T49="","",I49*T49)</x:f>
        <x:v>14798684.442125874</x:v>
      </x:c>
    </x:row>
    <x:row r="50" ht="18" customHeight="1">
      <x:c r="A50" s="24" t="str">
        <x:v>EEZ_938</x:v>
      </x:c>
      <x:c r="B50" s="24" t="str">
        <x:v>Indonesia (Indian Ocean)</x:v>
      </x:c>
      <x:c r="C50" s="24" t="str">
        <x:v>EEZ</x:v>
      </x:c>
      <x:c r="D50" s="30" t="n">
        <x:v>2019</x:v>
      </x:c>
      <x:c r="E50" s="24" t="str">
        <x:v>Alopias</x:v>
      </x:c>
      <x:c r="F50" s="24" t="str">
        <x:v>Thresher sharks</x:v>
      </x:c>
      <x:c r="G50" s="24" t="str">
        <x:v>Large sharks (&gt;=90 cm)</x:v>
      </x:c>
      <x:c r="H50" s="24" t="str">
        <x:v>Sharks &amp; rays</x:v>
      </x:c>
      <x:c r="I50" s="31" t="n">
        <x:v>4333.5629711639</x:v>
      </x:c>
      <x:c r="J50" s="31" t="n">
        <x:v>4333.5629711639</x:v>
      </x:c>
      <x:c r="K50" s="31" t="n">
        <x:v>0</x:v>
      </x:c>
      <x:c r="L50" s="31" t="n">
        <x:v>4333.5629711639</x:v>
      </x:c>
      <x:c r="M50" s="31" t="n">
        <x:v>0</x:v>
      </x:c>
      <x:c r="N50" s="24" t="str">
        <x:v>alopias</x:v>
      </x:c>
      <x:c r="O50" s="32" t="n">
        <x:v>4.5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Alopias</x:v>
      </x:c>
      <x:c r="T50" s="32" t="n">
        <x:f>IF(O50="","",(1/'Metadata'!$B$5)^(O50-1))</x:f>
        <x:v>3162.2776601683795</x:v>
      </x:c>
      <x:c r="U50" s="31" t="n">
        <x:f>IF(T50="","",I50*T50)</x:f>
        <x:v>13703929.37264451</x:v>
      </x:c>
    </x:row>
    <x:row r="51" ht="18" customHeight="1">
      <x:c r="A51" s="24" t="str">
        <x:v>EEZ_938</x:v>
      </x:c>
      <x:c r="B51" s="24" t="str">
        <x:v>Indonesia (Indian Ocean)</x:v>
      </x:c>
      <x:c r="C51" s="24" t="str">
        <x:v>EEZ</x:v>
      </x:c>
      <x:c r="D51" s="30" t="n">
        <x:v>2019</x:v>
      </x:c>
      <x:c r="E51" s="24" t="str">
        <x:v>Auxis rochei</x:v>
      </x:c>
      <x:c r="F51" s="24" t="str">
        <x:v>Bullet tuna</x:v>
      </x:c>
      <x:c r="G51" s="24" t="str">
        <x:v>Medium pelagics (30 - 89 cm)</x:v>
      </x:c>
      <x:c r="H51" s="24" t="str">
        <x:v>Tuna &amp; billfishes</x:v>
      </x:c>
      <x:c r="I51" s="31" t="n">
        <x:v>4161.961247896</x:v>
      </x:c>
      <x:c r="J51" s="31" t="n">
        <x:v>4161.961247896</x:v>
      </x:c>
      <x:c r="K51" s="31" t="n">
        <x:v>0</x:v>
      </x:c>
      <x:c r="L51" s="31" t="n">
        <x:v>4161.961247896</x:v>
      </x:c>
      <x:c r="M51" s="31" t="n">
        <x:v>0</x:v>
      </x:c>
      <x:c r="N51" s="24" t="str">
        <x:v>auxis rochei</x:v>
      </x:c>
      <x:c r="O51" s="32" t="n">
        <x:v>4.13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rochei</x:v>
      </x:c>
      <x:c r="T51" s="32" t="n">
        <x:f>IF(O51="","",(1/'Metadata'!$B$5)^(O51-1))</x:f>
        <x:v>1348.9628825916532</x:v>
      </x:c>
      <x:c r="U51" s="31" t="n">
        <x:f>IF(T51="","",I51*T51)</x:f>
        <x:v>5614331.242196542</x:v>
      </x:c>
    </x:row>
    <x:row r="52" ht="18" customHeight="1">
      <x:c r="A52" s="24" t="str">
        <x:v>EEZ_938</x:v>
      </x:c>
      <x:c r="B52" s="24" t="str">
        <x:v>Indonesia (Indian Ocean)</x:v>
      </x:c>
      <x:c r="C52" s="24" t="str">
        <x:v>EEZ</x:v>
      </x:c>
      <x:c r="D52" s="30" t="n">
        <x:v>2019</x:v>
      </x:c>
      <x:c r="E52" s="24" t="str">
        <x:v>Coryphaena hippurus</x:v>
      </x:c>
      <x:c r="F52" s="24" t="str">
        <x:v>Common dolphinfish</x:v>
      </x:c>
      <x:c r="G52" s="24" t="str">
        <x:v>Large pelagics (&gt;=90 cm)</x:v>
      </x:c>
      <x:c r="H52" s="24" t="str">
        <x:v>Perch-likes</x:v>
      </x:c>
      <x:c r="I52" s="31" t="n">
        <x:v>4144.3219465627</x:v>
      </x:c>
      <x:c r="J52" s="31" t="n">
        <x:v>4140.6887514866</x:v>
      </x:c>
      <x:c r="K52" s="31" t="n">
        <x:v>3.6331950761</x:v>
      </x:c>
      <x:c r="L52" s="31" t="n">
        <x:v>4140.6887514866</x:v>
      </x:c>
      <x:c r="M52" s="31" t="n">
        <x:v>3.6331950761</x:v>
      </x:c>
      <x:c r="N52" s="24" t="str">
        <x:v>coryphaena hippurus</x:v>
      </x:c>
      <x:c r="O52" s="32" t="n">
        <x:v>4.37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Coryphaena hippurus</x:v>
      </x:c>
      <x:c r="T52" s="32" t="n">
        <x:f>IF(O52="","",(1/'Metadata'!$B$5)^(O52-1))</x:f>
        <x:v>2344.228815319923</x:v>
      </x:c>
      <x:c r="U52" s="31" t="n">
        <x:f>IF(T52="","",I52*T52)</x:f>
        <x:v>9715238.927095035</x:v>
      </x:c>
    </x:row>
    <x:row r="53" ht="18" customHeight="1">
      <x:c r="A53" s="24" t="str">
        <x:v>EEZ_938</x:v>
      </x:c>
      <x:c r="B53" s="24" t="str">
        <x:v>Indonesia (Indian Ocean)</x:v>
      </x:c>
      <x:c r="C53" s="24" t="str">
        <x:v>EEZ</x:v>
      </x:c>
      <x:c r="D53" s="30" t="n">
        <x:v>2019</x:v>
      </x:c>
      <x:c r="E53" s="24" t="str">
        <x:v>Decapterus russelli</x:v>
      </x:c>
      <x:c r="F53" s="24" t="str">
        <x:v>Indian scad</x:v>
      </x:c>
      <x:c r="G53" s="24" t="str">
        <x:v>Medium pelagics (30 - 89 cm)</x:v>
      </x:c>
      <x:c r="H53" s="24" t="str">
        <x:v>Perch-likes</x:v>
      </x:c>
      <x:c r="I53" s="31" t="n">
        <x:v>4019.2340912034997</x:v>
      </x:c>
      <x:c r="J53" s="31" t="n">
        <x:v>4019.2340912034997</x:v>
      </x:c>
      <x:c r="K53" s="31" t="n">
        <x:v>0</x:v>
      </x:c>
      <x:c r="L53" s="31" t="n">
        <x:v>1662.3655523502998</x:v>
      </x:c>
      <x:c r="M53" s="31" t="n">
        <x:v>2356.8685388532</x:v>
      </x:c>
      <x:c r="N53" s="24" t="str">
        <x:v>decapterus russelli</x:v>
      </x:c>
      <x:c r="O53" s="32" t="n">
        <x:v>3.68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Decapterus russelli</x:v>
      </x:c>
      <x:c r="T53" s="32" t="n">
        <x:f>IF(O53="","",(1/'Metadata'!$B$5)^(O53-1))</x:f>
        <x:v>478.6300923226385</x:v>
      </x:c>
      <x:c r="U53" s="31" t="n">
        <x:f>IF(T53="","",I53*T53)</x:f>
        <x:v>1923726.3841390272</x:v>
      </x:c>
    </x:row>
    <x:row r="54" ht="18" customHeight="1">
      <x:c r="A54" s="24" t="str">
        <x:v>EEZ_938</x:v>
      </x:c>
      <x:c r="B54" s="24" t="str">
        <x:v>Indonesia (Indian Ocean)</x:v>
      </x:c>
      <x:c r="C54" s="24" t="str">
        <x:v>EEZ</x:v>
      </x:c>
      <x:c r="D54" s="30" t="n">
        <x:v>2019</x:v>
      </x:c>
      <x:c r="E54" s="24" t="str">
        <x:v>Nemipteridae</x:v>
      </x:c>
      <x:c r="F54" s="24" t="str">
        <x:v>Threadfins, whiptail breams</x:v>
      </x:c>
      <x:c r="G54" s="24" t="str">
        <x:v>Small demersals (&lt;30 cm)</x:v>
      </x:c>
      <x:c r="H54" s="24" t="str">
        <x:v>Perch-likes</x:v>
      </x:c>
      <x:c r="I54" s="31" t="n">
        <x:v>3336.8722498091997</x:v>
      </x:c>
      <x:c r="J54" s="31" t="n">
        <x:v>3306.2465411857997</x:v>
      </x:c>
      <x:c r="K54" s="31" t="n">
        <x:v>30.6257086234</x:v>
      </x:c>
      <x:c r="L54" s="31" t="n">
        <x:v>2460.8628225914</x:v>
      </x:c>
      <x:c r="M54" s="31" t="n">
        <x:v>876.0094272178</x:v>
      </x:c>
      <x:c r="N54" s="24" t="str">
        <x:v>nemipteridae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Nemipteridae</x:v>
      </x:c>
      <x:c r="T54" s="32" t="n">
        <x:f>IF(O54="","",(1/'Metadata'!$B$5)^(O54-1))</x:f>
        <x:v>323.5936569296281</x:v>
      </x:c>
      <x:c r="U54" s="31" t="n">
        <x:f>IF(T54="","",I54*T54)</x:f>
        <x:v>1079790.6940227544</x:v>
      </x:c>
    </x:row>
    <x:row r="55" ht="18" customHeight="1">
      <x:c r="A55" s="24" t="str">
        <x:v>EEZ_938</x:v>
      </x:c>
      <x:c r="B55" s="24" t="str">
        <x:v>Indonesia (Indian Ocean)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3001.4605347587003</x:v>
      </x:c>
      <x:c r="J55" s="31" t="n">
        <x:v>3001.4605347587003</x:v>
      </x:c>
      <x:c r="K55" s="31" t="n">
        <x:v>0</x:v>
      </x:c>
      <x:c r="L55" s="31" t="n">
        <x:v>3001.4605347587003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671943.3145742937</x:v>
      </x:c>
    </x:row>
    <x:row r="56" ht="18" customHeight="1">
      <x:c r="A56" s="24" t="str">
        <x:v>EEZ_938</x:v>
      </x:c>
      <x:c r="B56" s="24" t="str">
        <x:v>Indonesia (Indian Ocean)</x:v>
      </x:c>
      <x:c r="C56" s="24" t="str">
        <x:v>EEZ</x:v>
      </x:c>
      <x:c r="D56" s="30" t="n">
        <x:v>2019</x:v>
      </x:c>
      <x:c r="E56" s="24" t="str">
        <x:v>Hemiramphus</x:v>
      </x:c>
      <x:c r="F56" s="24" t="str">
        <x:v>Halfbeaks</x:v>
      </x:c>
      <x:c r="G56" s="24" t="str">
        <x:v>Medium pelagics (30 - 89 cm)</x:v>
      </x:c>
      <x:c r="H56" s="24" t="str">
        <x:v>Other fishes &amp; inverts</x:v>
      </x:c>
      <x:c r="I56" s="31" t="n">
        <x:v>2873.9132894606</x:v>
      </x:c>
      <x:c r="J56" s="31" t="n">
        <x:v>2097.183931279</x:v>
      </x:c>
      <x:c r="K56" s="31" t="n">
        <x:v>776.7293581816</x:v>
      </x:c>
      <x:c r="L56" s="31" t="n">
        <x:v>2015.1436017746</x:v>
      </x:c>
      <x:c r="M56" s="31" t="n">
        <x:v>858.769687686</x:v>
      </x:c>
      <x:c r="N56" s="24" t="str">
        <x:v>hemiramphus</x:v>
      </x:c>
      <x:c r="O56" s="32" t="n">
        <x:v>3.05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Hemiramphus</x:v>
      </x:c>
      <x:c r="T56" s="32" t="n">
        <x:f>IF(O56="","",(1/'Metadata'!$B$5)^(O56-1))</x:f>
        <x:v>112.2018454301963</x:v>
      </x:c>
      <x:c r="U56" s="31" t="n">
        <x:f>IF(T56="","",I56*T56)</x:f>
        <x:v>322458.37468384526</x:v>
      </x:c>
    </x:row>
    <x:row r="57" ht="18" customHeight="1">
      <x:c r="A57" s="24" t="str">
        <x:v>EEZ_938</x:v>
      </x:c>
      <x:c r="B57" s="24" t="str">
        <x:v>Indonesia (Indian Ocean)</x:v>
      </x:c>
      <x:c r="C57" s="24" t="str">
        <x:v>EEZ</x:v>
      </x:c>
      <x:c r="D57" s="30" t="n">
        <x:v>2019</x:v>
      </x:c>
      <x:c r="E57" s="24" t="str">
        <x:v>Engraulidae</x:v>
      </x:c>
      <x:c r="F57" s="24" t="str">
        <x:v>Anchovies, round herrings</x:v>
      </x:c>
      <x:c r="G57" s="24" t="str">
        <x:v>Small pelagics (&lt;30 cm)</x:v>
      </x:c>
      <x:c r="H57" s="24" t="str">
        <x:v>Anchovies</x:v>
      </x:c>
      <x:c r="I57" s="31" t="n">
        <x:v>2211.2394856658</x:v>
      </x:c>
      <x:c r="J57" s="31" t="n">
        <x:v>2211.2394856658</x:v>
      </x:c>
      <x:c r="K57" s="31" t="n">
        <x:v>0</x:v>
      </x:c>
      <x:c r="L57" s="31" t="n">
        <x:v>1820.8024932990002</x:v>
      </x:c>
      <x:c r="M57" s="31" t="n">
        <x:v>390.4369923668</x:v>
      </x:c>
      <x:c r="N57" s="24" t="str">
        <x:v>engraulidae</x:v>
      </x:c>
      <x:c r="O57" s="32" t="n">
        <x:v>3.2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Engraulidae</x:v>
      </x:c>
      <x:c r="T57" s="32" t="n">
        <x:f>IF(O57="","",(1/'Metadata'!$B$5)^(O57-1))</x:f>
        <x:v>158.48931924611142</x:v>
      </x:c>
      <x:c r="U57" s="31" t="n">
        <x:f>IF(T57="","",I57*T57)</x:f>
        <x:v>350457.8407732942</x:v>
      </x:c>
    </x:row>
    <x:row r="58" ht="18" customHeight="1">
      <x:c r="A58" s="24" t="str">
        <x:v>EEZ_938</x:v>
      </x:c>
      <x:c r="B58" s="24" t="str">
        <x:v>Indonesia (Indian Ocean)</x:v>
      </x:c>
      <x:c r="C58" s="24" t="str">
        <x:v>EEZ</x:v>
      </x:c>
      <x:c r="D58" s="30" t="n">
        <x:v>2019</x:v>
      </x:c>
      <x:c r="E58" s="24" t="str">
        <x:v>Rastrelliger kanagurta</x:v>
      </x:c>
      <x:c r="F58" s="24" t="str">
        <x:v>Indian mackerel</x:v>
      </x:c>
      <x:c r="G58" s="24" t="str">
        <x:v>Medium pelagics (30 - 89 cm)</x:v>
      </x:c>
      <x:c r="H58" s="24" t="str">
        <x:v>Perch-likes</x:v>
      </x:c>
      <x:c r="I58" s="31" t="n">
        <x:v>2022.4553854412</x:v>
      </x:c>
      <x:c r="J58" s="31" t="n">
        <x:v>2022.4553854412</x:v>
      </x:c>
      <x:c r="K58" s="31" t="n">
        <x:v>0</x:v>
      </x:c>
      <x:c r="L58" s="31" t="n">
        <x:v>1581.9829603407</x:v>
      </x:c>
      <x:c r="M58" s="31" t="n">
        <x:v>440.4724251005</x:v>
      </x:c>
      <x:c r="N58" s="24" t="str">
        <x:v>rastrelliger kanagurta</x:v>
      </x:c>
      <x:c r="O58" s="32" t="n">
        <x:v>3.19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Rastrelliger kanagurta</x:v>
      </x:c>
      <x:c r="T58" s="32" t="n">
        <x:f>IF(O58="","",(1/'Metadata'!$B$5)^(O58-1))</x:f>
        <x:v>154.88166189124811</x:v>
      </x:c>
      <x:c r="U58" s="31" t="n">
        <x:f>IF(T58="","",I58*T58)</x:f>
        <x:v>313241.2511980378</x:v>
      </x:c>
    </x:row>
    <x:row r="59" ht="18" customHeight="1">
      <x:c r="A59" s="24" t="str">
        <x:v>EEZ_938</x:v>
      </x:c>
      <x:c r="B59" s="24" t="str">
        <x:v>Indonesia (Indian Ocean)</x:v>
      </x:c>
      <x:c r="C59" s="24" t="str">
        <x:v>EEZ</x:v>
      </x:c>
      <x:c r="D59" s="30" t="n">
        <x:v>2019</x:v>
      </x:c>
      <x:c r="E59" s="24" t="str">
        <x:v>Selar crumenophthalmus</x:v>
      </x:c>
      <x:c r="F59" s="24" t="str">
        <x:v>Bigeye scad</x:v>
      </x:c>
      <x:c r="G59" s="24" t="str">
        <x:v>Medium pelagics (30 - 89 cm)</x:v>
      </x:c>
      <x:c r="H59" s="24" t="str">
        <x:v>Perch-likes</x:v>
      </x:c>
      <x:c r="I59" s="31" t="n">
        <x:v>1782.6302932503002</x:v>
      </x:c>
      <x:c r="J59" s="31" t="n">
        <x:v>1782.6302932503002</x:v>
      </x:c>
      <x:c r="K59" s="31" t="n">
        <x:v>0</x:v>
      </x:c>
      <x:c r="L59" s="31" t="n">
        <x:v>1016.3363063582001</x:v>
      </x:c>
      <x:c r="M59" s="31" t="n">
        <x:v>766.2939868921</x:v>
      </x:c>
      <x:c r="N59" s="24" t="str">
        <x:v>selar crumenophthalmus</x:v>
      </x:c>
      <x:c r="O59" s="32" t="n">
        <x:v>3.81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Selar crumenophthalmus</x:v>
      </x:c>
      <x:c r="T59" s="32" t="n">
        <x:f>IF(O59="","",(1/'Metadata'!$B$5)^(O59-1))</x:f>
        <x:v>645.6542290346556</x:v>
      </x:c>
      <x:c r="U59" s="31" t="n">
        <x:f>IF(T59="","",I59*T59)</x:f>
        <x:v>1150962.7876423446</x:v>
      </x:c>
    </x:row>
    <x:row r="60" ht="18" customHeight="1">
      <x:c r="A60" s="24" t="str">
        <x:v>EEZ_938</x:v>
      </x:c>
      <x:c r="B60" s="24" t="str">
        <x:v>Indonesia (Indian Ocean)</x:v>
      </x:c>
      <x:c r="C60" s="24" t="str">
        <x:v>EEZ</x:v>
      </x:c>
      <x:c r="D60" s="30" t="n">
        <x:v>2019</x:v>
      </x:c>
      <x:c r="E60" s="24" t="str">
        <x:v>Cephea</x:v>
      </x:c>
      <x:c r="F60" s="24" t="str">
        <x:v>Cepheid jellyfishes</x:v>
      </x:c>
      <x:c r="G60" s="24" t="str">
        <x:v>Jellyfish</x:v>
      </x:c>
      <x:c r="H60" s="24" t="str">
        <x:v>Other fishes &amp; inverts</x:v>
      </x:c>
      <x:c r="I60" s="31" t="n">
        <x:v>1738.3368432905002</x:v>
      </x:c>
      <x:c r="J60" s="31" t="n">
        <x:v>1738.3368432905002</x:v>
      </x:c>
      <x:c r="K60" s="31" t="n">
        <x:v>0</x:v>
      </x:c>
      <x:c r="L60" s="31" t="n">
        <x:v>357.036074864</x:v>
      </x:c>
      <x:c r="M60" s="31" t="n">
        <x:v>1381.3007684265</x:v>
      </x:c>
      <x:c r="N60" s="24" t="str">
        <x:v>cephea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Cephea</x:v>
      </x:c>
      <x:c r="T60" s="32" t="n">
        <x:f>IF(O60="","",(1/'Metadata'!$B$5)^(O60-1))</x:f>
        <x:v>288.40315031266056</x:v>
      </x:c>
      <x:c r="U60" s="31" t="n">
        <x:f>IF(T60="","",I60*T60)</x:f>
        <x:v>501341.821909546</x:v>
      </x:c>
    </x:row>
    <x:row r="61" ht="18" customHeight="1">
      <x:c r="A61" s="24" t="str">
        <x:v>EEZ_938</x:v>
      </x:c>
      <x:c r="B61" s="24" t="str">
        <x:v>Indonesia (Indian Ocean)</x:v>
      </x:c>
      <x:c r="C61" s="24" t="str">
        <x:v>EEZ</x:v>
      </x:c>
      <x:c r="D61" s="30" t="n">
        <x:v>2019</x:v>
      </x:c>
      <x:c r="E61" s="24" t="str">
        <x:v>Loliginidae</x:v>
      </x:c>
      <x:c r="F61" s="24" t="str">
        <x:v>Common pencil squids</x:v>
      </x:c>
      <x:c r="G61" s="24" t="str">
        <x:v>Cephalopods</x:v>
      </x:c>
      <x:c r="H61" s="24" t="str">
        <x:v>Other fishes &amp; inverts</x:v>
      </x:c>
      <x:c r="I61" s="31" t="n">
        <x:v>1734.4810815181</x:v>
      </x:c>
      <x:c r="J61" s="31" t="n">
        <x:v>1734.4810815181</x:v>
      </x:c>
      <x:c r="K61" s="31" t="n">
        <x:v>0</x:v>
      </x:c>
      <x:c r="L61" s="31" t="n">
        <x:v>1081.2360819489</x:v>
      </x:c>
      <x:c r="M61" s="31" t="n">
        <x:v>653.2449995692</x:v>
      </x:c>
      <x:c r="N61" s="24" t="str">
        <x:v>loliginidae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Loliginidae</x:v>
      </x:c>
      <x:c r="T61" s="32" t="n">
        <x:f>IF(O61="","",(1/'Metadata'!$B$5)^(O61-1))</x:f>
        <x:v>794.3282347242813</x:v>
      </x:c>
      <x:c r="U61" s="31" t="n">
        <x:f>IF(T61="","",I61*T61)</x:f>
        <x:v>1377747.2956449345</x:v>
      </x:c>
    </x:row>
    <x:row r="62" ht="18" customHeight="1">
      <x:c r="A62" s="24" t="str">
        <x:v>EEZ_938</x:v>
      </x:c>
      <x:c r="B62" s="24" t="str">
        <x:v>Indonesia (Indian Ocean)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1638.8996311829999</x:v>
      </x:c>
      <x:c r="J62" s="31" t="n">
        <x:v>1493.4952809142999</x:v>
      </x:c>
      <x:c r="K62" s="31" t="n">
        <x:v>145.4043502687</x:v>
      </x:c>
      <x:c r="L62" s="31" t="n">
        <x:v>718.5075401624</x:v>
      </x:c>
      <x:c r="M62" s="31" t="n">
        <x:v>920.3920910206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943088.3010698345</x:v>
      </x:c>
    </x:row>
    <x:row r="63" ht="18" customHeight="1">
      <x:c r="A63" s="24" t="str">
        <x:v>EEZ_938</x:v>
      </x:c>
      <x:c r="B63" s="24" t="str">
        <x:v>Indonesia (Indian Ocean)</x:v>
      </x:c>
      <x:c r="C63" s="24" t="str">
        <x:v>EEZ</x:v>
      </x:c>
      <x:c r="D63" s="30" t="n">
        <x:v>2019</x:v>
      </x:c>
      <x:c r="E63" s="24" t="str">
        <x:v>Sphyrnidae</x:v>
      </x:c>
      <x:c r="F63" s="24" t="str">
        <x:v>Hammer, bonnet, scoophead sharks</x:v>
      </x:c>
      <x:c r="G63" s="24" t="str">
        <x:v>Large sharks (&gt;=90 cm)</x:v>
      </x:c>
      <x:c r="H63" s="24" t="str">
        <x:v>Sharks &amp; rays</x:v>
      </x:c>
      <x:c r="I63" s="31" t="n">
        <x:v>1612.5129102987</x:v>
      </x:c>
      <x:c r="J63" s="31" t="n">
        <x:v>1612.5129102987</x:v>
      </x:c>
      <x:c r="K63" s="31" t="n">
        <x:v>0</x:v>
      </x:c>
      <x:c r="L63" s="31" t="n">
        <x:v>1612.5129102987</x:v>
      </x:c>
      <x:c r="M63" s="31" t="n">
        <x:v>0</x:v>
      </x:c>
      <x:c r="N63" s="24" t="str">
        <x:v>sphyrnidae</x:v>
      </x:c>
      <x:c r="O63" s="32" t="n">
        <x:v>4.19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Sphyrnidae</x:v>
      </x:c>
      <x:c r="T63" s="32" t="n">
        <x:f>IF(O63="","",(1/'Metadata'!$B$5)^(O63-1))</x:f>
        <x:v>1548.8166189124827</x:v>
      </x:c>
      <x:c r="U63" s="31" t="n">
        <x:f>IF(T63="","",I63*T63)</x:f>
        <x:v>2497486.79368156</x:v>
      </x:c>
    </x:row>
    <x:row r="64" ht="18" customHeight="1">
      <x:c r="A64" s="24" t="str">
        <x:v>EEZ_938</x:v>
      </x:c>
      <x:c r="B64" s="24" t="str">
        <x:v>Indonesia (Indian Ocean)</x:v>
      </x:c>
      <x:c r="C64" s="24" t="str">
        <x:v>EEZ</x:v>
      </x:c>
      <x:c r="D64" s="30" t="n">
        <x:v>2019</x:v>
      </x:c>
      <x:c r="E64" s="24" t="str">
        <x:v>Rastrelliger</x:v>
      </x:c>
      <x:c r="F64" s="24" t="str">
        <x:v>Indian mackerels</x:v>
      </x:c>
      <x:c r="G64" s="24" t="str">
        <x:v>Medium pelagics (30 - 89 cm)</x:v>
      </x:c>
      <x:c r="H64" s="24" t="str">
        <x:v>Perch-likes</x:v>
      </x:c>
      <x:c r="I64" s="31" t="n">
        <x:v>1294.9922636541999</x:v>
      </x:c>
      <x:c r="J64" s="31" t="n">
        <x:v>1294.9922636541999</x:v>
      </x:c>
      <x:c r="K64" s="31" t="n">
        <x:v>0</x:v>
      </x:c>
      <x:c r="L64" s="31" t="n">
        <x:v>1294.9922636541999</x:v>
      </x:c>
      <x:c r="M64" s="31" t="n">
        <x:v>0</x:v>
      </x:c>
      <x:c r="N64" s="24" t="str">
        <x:v>rastrelliger</x:v>
      </x:c>
      <x:c r="O64" s="32" t="n">
        <x:v>3.1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Rastrelliger</x:v>
      </x:c>
      <x:c r="T64" s="32" t="n">
        <x:f>IF(O64="","",(1/'Metadata'!$B$5)^(O64-1))</x:f>
        <x:v>125.89254117941675</x:v>
      </x:c>
      <x:c r="U64" s="31" t="n">
        <x:f>IF(T64="","",I64*T64)</x:f>
        <x:v>163029.86687911247</x:v>
      </x:c>
    </x:row>
    <x:row r="65" ht="18" customHeight="1">
      <x:c r="A65" s="24" t="str">
        <x:v>EEZ_938</x:v>
      </x:c>
      <x:c r="B65" s="24" t="str">
        <x:v>Indonesia (Indian Ocean)</x:v>
      </x:c>
      <x:c r="C65" s="24" t="str">
        <x:v>EEZ</x:v>
      </x:c>
      <x:c r="D65" s="30" t="n">
        <x:v>2019</x:v>
      </x:c>
      <x:c r="E65" s="24" t="str">
        <x:v>Synodontidae</x:v>
      </x:c>
      <x:c r="F65" s="24" t="str">
        <x:v>Lizardfishes, sauries</x:v>
      </x:c>
      <x:c r="G65" s="24" t="str">
        <x:v>Medium demersals (30 - 89 cm)</x:v>
      </x:c>
      <x:c r="H65" s="24" t="str">
        <x:v>Other fishes &amp; inverts</x:v>
      </x:c>
      <x:c r="I65" s="31" t="n">
        <x:v>1257.8678537039002</x:v>
      </x:c>
      <x:c r="J65" s="31" t="n">
        <x:v>1024.8922958857002</x:v>
      </x:c>
      <x:c r="K65" s="31" t="n">
        <x:v>232.9755578182</x:v>
      </x:c>
      <x:c r="L65" s="31" t="n">
        <x:v>986.6929289372</x:v>
      </x:c>
      <x:c r="M65" s="31" t="n">
        <x:v>271.17492476670003</x:v>
      </x:c>
      <x:c r="N65" s="24" t="str">
        <x:v>synodontidae</x:v>
      </x:c>
      <x:c r="O65" s="32" t="n">
        <x:v>4.3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Synodontidae</x:v>
      </x:c>
      <x:c r="T65" s="32" t="n">
        <x:f>IF(O65="","",(1/'Metadata'!$B$5)^(O65-1))</x:f>
        <x:v>1995.2623149688789</x:v>
      </x:c>
      <x:c r="U65" s="31" t="n">
        <x:f>IF(T65="","",I65*T65)</x:f>
        <x:v>2509776.325706179</x:v>
      </x:c>
    </x:row>
    <x:row r="66" ht="18" customHeight="1">
      <x:c r="A66" s="24" t="str">
        <x:v>EEZ_938</x:v>
      </x:c>
      <x:c r="B66" s="24" t="str">
        <x:v>Indonesia (Indian Ocean)</x:v>
      </x:c>
      <x:c r="C66" s="24" t="str">
        <x:v>EEZ</x:v>
      </x:c>
      <x:c r="D66" s="30" t="n">
        <x:v>2019</x:v>
      </x:c>
      <x:c r="E66" s="24" t="str">
        <x:v>Upeneus</x:v>
      </x:c>
      <x:c r="F66" s="24" t="str">
        <x:v>Upeneid goatfishes</x:v>
      </x:c>
      <x:c r="G66" s="24" t="str">
        <x:v>Small reef assoc. fish (&lt;30 cm)</x:v>
      </x:c>
      <x:c r="H66" s="24" t="str">
        <x:v>Perch-likes</x:v>
      </x:c>
      <x:c r="I66" s="31" t="n">
        <x:v>1180.5270094778</x:v>
      </x:c>
      <x:c r="J66" s="31" t="n">
        <x:v>431.0311887153</x:v>
      </x:c>
      <x:c r="K66" s="31" t="n">
        <x:v>749.4958207625</x:v>
      </x:c>
      <x:c r="L66" s="31" t="n">
        <x:v>0</x:v>
      </x:c>
      <x:c r="M66" s="31" t="n">
        <x:v>1180.5270094778</x:v>
      </x:c>
      <x:c r="N66" s="24" t="str">
        <x:v>upeneus</x:v>
      </x:c>
      <x:c r="O66" s="32" t="n">
        <x:v>3.54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Upeneus</x:v>
      </x:c>
      <x:c r="T66" s="32" t="n">
        <x:f>IF(O66="","",(1/'Metadata'!$B$5)^(O66-1))</x:f>
        <x:v>346.73685045253166</x:v>
      </x:c>
      <x:c r="U66" s="31" t="n">
        <x:f>IF(T66="","",I66*T66)</x:f>
        <x:v>409332.2171404784</x:v>
      </x:c>
    </x:row>
    <x:row r="67" ht="18" customHeight="1">
      <x:c r="A67" s="24" t="str">
        <x:v>EEZ_938</x:v>
      </x:c>
      <x:c r="B67" s="24" t="str">
        <x:v>Indonesia (Indian Ocean)</x:v>
      </x:c>
      <x:c r="C67" s="24" t="str">
        <x:v>EEZ</x:v>
      </x:c>
      <x:c r="D67" s="30" t="n">
        <x:v>2019</x:v>
      </x:c>
      <x:c r="E67" s="24" t="str">
        <x:v>Stichopus</x:v>
      </x:c>
      <x:c r="F67" s="24" t="str">
        <x:v>Boxed sea cucumbers</x:v>
      </x:c>
      <x:c r="G67" s="24" t="str">
        <x:v>Other demersal invertebrates</x:v>
      </x:c>
      <x:c r="H67" s="24" t="str">
        <x:v>Other fishes &amp; inverts</x:v>
      </x:c>
      <x:c r="I67" s="31" t="n">
        <x:v>1139.6198916269</x:v>
      </x:c>
      <x:c r="J67" s="31" t="n">
        <x:v>1077.5357995939</x:v>
      </x:c>
      <x:c r="K67" s="31" t="n">
        <x:v>62.084092033</x:v>
      </x:c>
      <x:c r="L67" s="31" t="n">
        <x:v>1047.9992843551</x:v>
      </x:c>
      <x:c r="M67" s="31" t="n">
        <x:v>91.6206072718</x:v>
      </x:c>
      <x:c r="N67" s="24" t="str">
        <x:v>stichopus</x:v>
      </x:c>
      <x:c r="O67" s="32" t="n">
        <x:v>2.3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Stichopus</x:v>
      </x:c>
      <x:c r="T67" s="32" t="n">
        <x:f>IF(O67="","",(1/'Metadata'!$B$5)^(O67-1))</x:f>
        <x:v>19.952623149688787</x:v>
      </x:c>
      <x:c r="U67" s="31" t="n">
        <x:f>IF(T67="","",I67*T67)</x:f>
        <x:v>22738.406231520712</x:v>
      </x:c>
    </x:row>
    <x:row r="68" ht="18" customHeight="1">
      <x:c r="A68" s="24" t="str">
        <x:v>EEZ_938</x:v>
      </x:c>
      <x:c r="B68" s="24" t="str">
        <x:v>Indonesia (Indian Ocean)</x:v>
      </x:c>
      <x:c r="C68" s="24" t="str">
        <x:v>EEZ</x:v>
      </x:c>
      <x:c r="D68" s="30" t="n">
        <x:v>2019</x:v>
      </x:c>
      <x:c r="E68" s="24" t="str">
        <x:v>Arcidae</x:v>
      </x:c>
      <x:c r="F68" s="24" t="str">
        <x:v>Ark clams</x:v>
      </x:c>
      <x:c r="G68" s="24" t="str">
        <x:v>Other demersal invertebrates</x:v>
      </x:c>
      <x:c r="H68" s="24" t="str">
        <x:v>Molluscs</x:v>
      </x:c>
      <x:c r="I68" s="31" t="n">
        <x:v>1074.5034192296</x:v>
      </x:c>
      <x:c r="J68" s="31" t="n">
        <x:v>1074.5034192296</x:v>
      </x:c>
      <x:c r="K68" s="31" t="n">
        <x:v>0</x:v>
      </x:c>
      <x:c r="L68" s="31" t="n">
        <x:v>0</x:v>
      </x:c>
      <x:c r="M68" s="31" t="n">
        <x:v>1074.5034192296</x:v>
      </x:c>
      <x:c r="N68" s="24" t="str">
        <x:v>arcidae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Arcidae</x:v>
      </x:c>
      <x:c r="T68" s="32" t="n">
        <x:f>IF(O68="","",(1/'Metadata'!$B$5)^(O68-1))</x:f>
        <x:v>10</x:v>
      </x:c>
      <x:c r="U68" s="31" t="n">
        <x:f>IF(T68="","",I68*T68)</x:f>
        <x:v>10745.034192296</x:v>
      </x:c>
    </x:row>
    <x:row r="69" ht="18" customHeight="1">
      <x:c r="A69" s="24" t="str">
        <x:v>EEZ_938</x:v>
      </x:c>
      <x:c r="B69" s="24" t="str">
        <x:v>Indonesia (Indian Ocean)</x:v>
      </x:c>
      <x:c r="C69" s="24" t="str">
        <x:v>EEZ</x:v>
      </x:c>
      <x:c r="D69" s="30" t="n">
        <x:v>2019</x:v>
      </x:c>
      <x:c r="E69" s="24" t="str">
        <x:v>Pellona ditchela</x:v>
      </x:c>
      <x:c r="F69" s="24" t="str">
        <x:v>Indian pellona</x:v>
      </x:c>
      <x:c r="G69" s="24" t="str">
        <x:v>Small pelagics (&lt;30 cm)</x:v>
      </x:c>
      <x:c r="H69" s="24" t="str">
        <x:v>Herring-likes</x:v>
      </x:c>
      <x:c r="I69" s="31" t="n">
        <x:v>966.7231856471</x:v>
      </x:c>
      <x:c r="J69" s="31" t="n">
        <x:v>966.7231856471</x:v>
      </x:c>
      <x:c r="K69" s="31" t="n">
        <x:v>0</x:v>
      </x:c>
      <x:c r="L69" s="31" t="n">
        <x:v>966.7231856471</x:v>
      </x:c>
      <x:c r="M69" s="31" t="n">
        <x:v>0</x:v>
      </x:c>
      <x:c r="N69" s="24" t="str">
        <x:v>pellona ditchela</x:v>
      </x:c>
      <x:c r="O69" s="32" t="n">
        <x:v>3.37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Pellona ditchela</x:v>
      </x:c>
      <x:c r="T69" s="32" t="n">
        <x:f>IF(O69="","",(1/'Metadata'!$B$5)^(O69-1))</x:f>
        <x:v>234.42288153199226</x:v>
      </x:c>
      <x:c r="U69" s="31" t="n">
        <x:f>IF(T69="","",I69*T69)</x:f>
        <x:v>226622.03482318026</x:v>
      </x:c>
    </x:row>
    <x:row r="70" ht="18" customHeight="1">
      <x:c r="A70" s="24" t="str">
        <x:v>EEZ_938</x:v>
      </x:c>
      <x:c r="B70" s="24" t="str">
        <x:v>Indonesia (Indian Ocean)</x:v>
      </x:c>
      <x:c r="C70" s="24" t="str">
        <x:v>EEZ</x:v>
      </x:c>
      <x:c r="D70" s="30" t="n">
        <x:v>2019</x:v>
      </x:c>
      <x:c r="E70" s="24" t="str">
        <x:v>Platycephalidae</x:v>
      </x:c>
      <x:c r="F70" s="24" t="str">
        <x:v>Flatheads</x:v>
      </x:c>
      <x:c r="G70" s="24" t="str">
        <x:v>Medium demersals (30 - 89 cm)</x:v>
      </x:c>
      <x:c r="H70" s="24" t="str">
        <x:v>Scorpionfishes</x:v>
      </x:c>
      <x:c r="I70" s="31" t="n">
        <x:v>887.9142537995</x:v>
      </x:c>
      <x:c r="J70" s="31" t="n">
        <x:v>723.4512541955</x:v>
      </x:c>
      <x:c r="K70" s="31" t="n">
        <x:v>164.462999604</x:v>
      </x:c>
      <x:c r="L70" s="31" t="n">
        <x:v>696.485410537</x:v>
      </x:c>
      <x:c r="M70" s="31" t="n">
        <x:v>191.4288432625</x:v>
      </x:c>
      <x:c r="N70" s="24" t="str">
        <x:v>platycephalidae</x:v>
      </x:c>
      <x:c r="O70" s="32" t="n">
        <x:v>3.9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Platycephalidae</x:v>
      </x:c>
      <x:c r="T70" s="32" t="n">
        <x:f>IF(O70="","",(1/'Metadata'!$B$5)^(O70-1))</x:f>
        <x:v>794.3282347242813</x:v>
      </x:c>
      <x:c r="U70" s="31" t="n">
        <x:f>IF(T70="","",I70*T70)</x:f>
        <x:v>705295.3618070843</x:v>
      </x:c>
    </x:row>
    <x:row r="71" ht="18" customHeight="1">
      <x:c r="A71" s="24" t="str">
        <x:v>EEZ_938</x:v>
      </x:c>
      <x:c r="B71" s="24" t="str">
        <x:v>Indonesia (Indian Ocean)</x:v>
      </x:c>
      <x:c r="C71" s="24" t="str">
        <x:v>EEZ</x:v>
      </x:c>
      <x:c r="D71" s="30" t="n">
        <x:v>2019</x:v>
      </x:c>
      <x:c r="E71" s="24" t="str">
        <x:v>Saurida</x:v>
      </x:c>
      <x:c r="F71" s="24" t="str">
        <x:v>Lizardfishes</x:v>
      </x:c>
      <x:c r="G71" s="24" t="str">
        <x:v>Medium demersals (30 - 89 cm)</x:v>
      </x:c>
      <x:c r="H71" s="24" t="str">
        <x:v>Other fishes &amp; inverts</x:v>
      </x:c>
      <x:c r="I71" s="31" t="n">
        <x:v>821.7506206779</x:v>
      </x:c>
      <x:c r="J71" s="31" t="n">
        <x:v>821.7506206779</x:v>
      </x:c>
      <x:c r="K71" s="31" t="n">
        <x:v>0</x:v>
      </x:c>
      <x:c r="L71" s="31" t="n">
        <x:v>769.2846067195</x:v>
      </x:c>
      <x:c r="M71" s="31" t="n">
        <x:v>52.4660139584</x:v>
      </x:c>
      <x:c r="N71" s="24" t="str">
        <x:v>saurida</x:v>
      </x:c>
      <x:c r="O71" s="32" t="n">
        <x:v>4.35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Saurida</x:v>
      </x:c>
      <x:c r="T71" s="32" t="n">
        <x:f>IF(O71="","",(1/'Metadata'!$B$5)^(O71-1))</x:f>
        <x:v>2238.7211385683377</x:v>
      </x:c>
      <x:c r="U71" s="31" t="n">
        <x:f>IF(T71="","",I71*T71)</x:f>
        <x:v>1839670.4851432664</x:v>
      </x:c>
    </x:row>
    <x:row r="72" ht="18" customHeight="1">
      <x:c r="A72" s="24" t="str">
        <x:v>EEZ_938</x:v>
      </x:c>
      <x:c r="B72" s="24" t="str">
        <x:v>Indonesia (Indian Ocean)</x:v>
      </x:c>
      <x:c r="C72" s="24" t="str">
        <x:v>EEZ</x:v>
      </x:c>
      <x:c r="D72" s="30" t="n">
        <x:v>2019</x:v>
      </x:c>
      <x:c r="E72" s="24" t="str">
        <x:v>Portunus pelagicus</x:v>
      </x:c>
      <x:c r="F72" s="24" t="str">
        <x:v>Blue swimming crab</x:v>
      </x:c>
      <x:c r="G72" s="24" t="str">
        <x:v>Lobsters, crabs</x:v>
      </x:c>
      <x:c r="H72" s="24" t="str">
        <x:v>Crustaceans</x:v>
      </x:c>
      <x:c r="I72" s="31" t="n">
        <x:v>762.3389991901</x:v>
      </x:c>
      <x:c r="J72" s="31" t="n">
        <x:v>762.3389991901</x:v>
      </x:c>
      <x:c r="K72" s="31" t="n">
        <x:v>0</x:v>
      </x:c>
      <x:c r="L72" s="31" t="n">
        <x:v>597.8783472032001</x:v>
      </x:c>
      <x:c r="M72" s="31" t="n">
        <x:v>164.4606519869</x:v>
      </x:c>
      <x:c r="N72" s="24" t="str">
        <x:v>portunus pelagicus</x:v>
      </x:c>
      <x:c r="O72" s="32" t="n">
        <x:v>2.48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Portunus pelagicus</x:v>
      </x:c>
      <x:c r="T72" s="32" t="n">
        <x:f>IF(O72="","",(1/'Metadata'!$B$5)^(O72-1))</x:f>
        <x:v>30.19951720402016</x:v>
      </x:c>
      <x:c r="U72" s="31" t="n">
        <x:f>IF(T72="","",I72*T72)</x:f>
        <x:v>23022.269721336936</x:v>
      </x:c>
    </x:row>
    <x:row r="73" ht="18" customHeight="1">
      <x:c r="A73" s="24" t="str">
        <x:v>EEZ_938</x:v>
      </x:c>
      <x:c r="B73" s="24" t="str">
        <x:v>Indonesia (Indian Ocean)</x:v>
      </x:c>
      <x:c r="C73" s="24" t="str">
        <x:v>EEZ</x:v>
      </x:c>
      <x:c r="D73" s="30" t="n">
        <x:v>2019</x:v>
      </x:c>
      <x:c r="E73" s="24" t="str">
        <x:v>Lutjanidae</x:v>
      </x:c>
      <x:c r="F73" s="24" t="str">
        <x:v>Snappers</x:v>
      </x:c>
      <x:c r="G73" s="24" t="str">
        <x:v>Medium reef assoc. fish (30 - 89 cm)</x:v>
      </x:c>
      <x:c r="H73" s="24" t="str">
        <x:v>Perch-likes</x:v>
      </x:c>
      <x:c r="I73" s="31" t="n">
        <x:v>688.5878513919</x:v>
      </x:c>
      <x:c r="J73" s="31" t="n">
        <x:v>688.5878513919</x:v>
      </x:c>
      <x:c r="K73" s="31" t="n">
        <x:v>0</x:v>
      </x:c>
      <x:c r="L73" s="31" t="n">
        <x:v>345.3366534346</x:v>
      </x:c>
      <x:c r="M73" s="31" t="n">
        <x:v>343.2511979573</x:v>
      </x:c>
      <x:c r="N73" s="24" t="str">
        <x:v>lutjanidae</x:v>
      </x:c>
      <x:c r="O73" s="32" t="n">
        <x:v>4.02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Lutjanidae</x:v>
      </x:c>
      <x:c r="T73" s="32" t="n">
        <x:f>IF(O73="","",(1/'Metadata'!$B$5)^(O73-1))</x:f>
        <x:v>1047.1285480508984</x:v>
      </x:c>
      <x:c r="U73" s="31" t="n">
        <x:f>IF(T73="","",I73*T73)</x:f>
        <x:v>721039.9970334881</x:v>
      </x:c>
    </x:row>
    <x:row r="74" ht="18" customHeight="1">
      <x:c r="A74" s="24" t="str">
        <x:v>EEZ_938</x:v>
      </x:c>
      <x:c r="B74" s="24" t="str">
        <x:v>Indonesia (Indian Ocean)</x:v>
      </x:c>
      <x:c r="C74" s="24" t="str">
        <x:v>EEZ</x:v>
      </x:c>
      <x:c r="D74" s="30" t="n">
        <x:v>2019</x:v>
      </x:c>
      <x:c r="E74" s="24" t="str">
        <x:v>Sphyraena</x:v>
      </x:c>
      <x:c r="F74" s="24" t="str">
        <x:v>Barracudas, sennets</x:v>
      </x:c>
      <x:c r="G74" s="24" t="str">
        <x:v>Large pelagics (&gt;=90 cm)</x:v>
      </x:c>
      <x:c r="H74" s="24" t="str">
        <x:v>Perch-likes</x:v>
      </x:c>
      <x:c r="I74" s="31" t="n">
        <x:v>647.3574699145</x:v>
      </x:c>
      <x:c r="J74" s="31" t="n">
        <x:v>647.3574699145</x:v>
      </x:c>
      <x:c r="K74" s="31" t="n">
        <x:v>0</x:v>
      </x:c>
      <x:c r="L74" s="31" t="n">
        <x:v>335.6371651225</x:v>
      </x:c>
      <x:c r="M74" s="31" t="n">
        <x:v>311.72030479200004</x:v>
      </x:c>
      <x:c r="N74" s="24" t="str">
        <x:v>sphyraena</x:v>
      </x:c>
      <x:c r="O74" s="32" t="n">
        <x:v>4.4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Sphyraena</x:v>
      </x:c>
      <x:c r="T74" s="32" t="n">
        <x:f>IF(O74="","",(1/'Metadata'!$B$5)^(O74-1))</x:f>
        <x:v>2511.886431509582</x:v>
      </x:c>
      <x:c r="U74" s="31" t="n">
        <x:f>IF(T74="","",I74*T74)</x:f>
        <x:v>1626088.445014605</x:v>
      </x:c>
    </x:row>
    <x:row r="75" ht="18" customHeight="1">
      <x:c r="A75" s="24" t="str">
        <x:v>EEZ_938</x:v>
      </x:c>
      <x:c r="B75" s="24" t="str">
        <x:v>Indonesia (Indian Ocean)</x:v>
      </x:c>
      <x:c r="C75" s="24" t="str">
        <x:v>EEZ</x:v>
      </x:c>
      <x:c r="D75" s="30" t="n">
        <x:v>2019</x:v>
      </x:c>
      <x:c r="E75" s="24" t="str">
        <x:v>Thunnus alalunga</x:v>
      </x:c>
      <x:c r="F75" s="24" t="str">
        <x:v>Albacore</x:v>
      </x:c>
      <x:c r="G75" s="24" t="str">
        <x:v>Large pelagics (&gt;=90 cm)</x:v>
      </x:c>
      <x:c r="H75" s="24" t="str">
        <x:v>Tuna &amp; billfishes</x:v>
      </x:c>
      <x:c r="I75" s="31" t="n">
        <x:v>584.278527425</x:v>
      </x:c>
      <x:c r="J75" s="31" t="n">
        <x:v>584.278527425</x:v>
      </x:c>
      <x:c r="K75" s="31" t="n">
        <x:v>0</x:v>
      </x:c>
      <x:c r="L75" s="31" t="n">
        <x:v>584.278527425</x:v>
      </x:c>
      <x:c r="M75" s="31" t="n">
        <x:v>0</x:v>
      </x:c>
      <x:c r="N75" s="24" t="str">
        <x:v>thunnus alalunga</x:v>
      </x:c>
      <x:c r="O75" s="32" t="n">
        <x:v>4.3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alalunga</x:v>
      </x:c>
      <x:c r="T75" s="32" t="n">
        <x:f>IF(O75="","",(1/'Metadata'!$B$5)^(O75-1))</x:f>
        <x:v>1995.2623149688789</x:v>
      </x:c>
      <x:c r="U75" s="31" t="n">
        <x:f>IF(T75="","",I75*T75)</x:f>
        <x:v>1165788.927216613</x:v>
      </x:c>
    </x:row>
    <x:row r="76" ht="18" customHeight="1">
      <x:c r="A76" s="24" t="str">
        <x:v>EEZ_938</x:v>
      </x:c>
      <x:c r="B76" s="24" t="str">
        <x:v>Indonesia (Indian Ocean)</x:v>
      </x:c>
      <x:c r="C76" s="24" t="str">
        <x:v>EEZ</x:v>
      </x:c>
      <x:c r="D76" s="30" t="n">
        <x:v>2019</x:v>
      </x:c>
      <x:c r="E76" s="24" t="str">
        <x:v>Veneridae</x:v>
      </x:c>
      <x:c r="F76" s="24" t="str">
        <x:v>Venus clams</x:v>
      </x:c>
      <x:c r="G76" s="24" t="str">
        <x:v>Other demersal invertebrates</x:v>
      </x:c>
      <x:c r="H76" s="24" t="str">
        <x:v>Molluscs</x:v>
      </x:c>
      <x:c r="I76" s="31" t="n">
        <x:v>522.3690365188</x:v>
      </x:c>
      <x:c r="J76" s="31" t="n">
        <x:v>522.3690365188</x:v>
      </x:c>
      <x:c r="K76" s="31" t="n">
        <x:v>0</x:v>
      </x:c>
      <x:c r="L76" s="31" t="n">
        <x:v>0</x:v>
      </x:c>
      <x:c r="M76" s="31" t="n">
        <x:v>522.3690365188</x:v>
      </x:c>
      <x:c r="N76" s="24" t="str">
        <x:v>veneridae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Veneridae</x:v>
      </x:c>
      <x:c r="T76" s="32" t="n">
        <x:f>IF(O76="","",(1/'Metadata'!$B$5)^(O76-1))</x:f>
        <x:v>10</x:v>
      </x:c>
      <x:c r="U76" s="31" t="n">
        <x:f>IF(T76="","",I76*T76)</x:f>
        <x:v>5223.690365188</x:v>
      </x:c>
    </x:row>
    <x:row r="77" ht="18" customHeight="1">
      <x:c r="A77" s="24" t="str">
        <x:v>EEZ_938</x:v>
      </x:c>
      <x:c r="B77" s="24" t="str">
        <x:v>Indonesia (Indian Ocean)</x:v>
      </x:c>
      <x:c r="C77" s="24" t="str">
        <x:v>EEZ</x:v>
      </x:c>
      <x:c r="D77" s="30" t="n">
        <x:v>2019</x:v>
      </x:c>
      <x:c r="E77" s="24" t="str">
        <x:v>Anodontostoma chacunda</x:v>
      </x:c>
      <x:c r="F77" s="24" t="str">
        <x:v>Chacunda gizzard shad</x:v>
      </x:c>
      <x:c r="G77" s="24" t="str">
        <x:v>Small pelagics (&lt;30 cm)</x:v>
      </x:c>
      <x:c r="H77" s="24" t="str">
        <x:v>Herring-likes</x:v>
      </x:c>
      <x:c r="I77" s="31" t="n">
        <x:v>514.9915209767</x:v>
      </x:c>
      <x:c r="J77" s="31" t="n">
        <x:v>514.9915209767</x:v>
      </x:c>
      <x:c r="K77" s="31" t="n">
        <x:v>0</x:v>
      </x:c>
      <x:c r="L77" s="31" t="n">
        <x:v>514.9915209767</x:v>
      </x:c>
      <x:c r="M77" s="31" t="n">
        <x:v>0</x:v>
      </x:c>
      <x:c r="N77" s="24" t="str">
        <x:v>anodontostoma chacunda</x:v>
      </x:c>
      <x:c r="O77" s="32" t="n">
        <x:v>2.84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Anodontostoma chacunda</x:v>
      </x:c>
      <x:c r="T77" s="32" t="n">
        <x:f>IF(O77="","",(1/'Metadata'!$B$5)^(O77-1))</x:f>
        <x:v>69.18309709189363</x:v>
      </x:c>
      <x:c r="U77" s="31" t="n">
        <x:f>IF(T77="","",I77*T77)</x:f>
        <x:v>35628.708397233015</x:v>
      </x:c>
    </x:row>
    <x:row r="78" ht="18" customHeight="1">
      <x:c r="A78" s="24" t="str">
        <x:v>EEZ_938</x:v>
      </x:c>
      <x:c r="B78" s="24" t="str">
        <x:v>Indonesia (Indian Ocean)</x:v>
      </x:c>
      <x:c r="C78" s="24" t="str">
        <x:v>EEZ</x:v>
      </x:c>
      <x:c r="D78" s="30" t="n">
        <x:v>2019</x:v>
      </x:c>
      <x:c r="E78" s="24" t="str">
        <x:v>Dendrobranchiata</x:v>
      </x:c>
      <x:c r="F78" s="24" t="str">
        <x:v>Shrimps and prawns</x:v>
      </x:c>
      <x:c r="G78" s="24" t="str">
        <x:v>Shrimps</x:v>
      </x:c>
      <x:c r="H78" s="24" t="str">
        <x:v>Crustaceans</x:v>
      </x:c>
      <x:c r="I78" s="31" t="n">
        <x:v>482.8165429883</x:v>
      </x:c>
      <x:c r="J78" s="31" t="n">
        <x:v>482.8165429883</x:v>
      </x:c>
      <x:c r="K78" s="31" t="n">
        <x:v>0</x:v>
      </x:c>
      <x:c r="L78" s="31" t="n">
        <x:v>482.8165429883</x:v>
      </x:c>
      <x:c r="M78" s="31" t="n">
        <x:v>0</x:v>
      </x:c>
      <x:c r="N78" s="24" t="str">
        <x:v>dendrobranchiata</x:v>
      </x:c>
      <x:c r="O78" s="32" t="n">
        <x:v>3.24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Dendrobranchiata</x:v>
      </x:c>
      <x:c r="T78" s="32" t="n">
        <x:f>IF(O78="","",(1/'Metadata'!$B$5)^(O78-1))</x:f>
        <x:v>173.78008287493762</x:v>
      </x:c>
      <x:c r="U78" s="31" t="n">
        <x:f>IF(T78="","",I78*T78)</x:f>
        <x:v>83903.89885389766</x:v>
      </x:c>
    </x:row>
    <x:row r="79" ht="18" customHeight="1">
      <x:c r="A79" s="24" t="str">
        <x:v>EEZ_938</x:v>
      </x:c>
      <x:c r="B79" s="24" t="str">
        <x:v>Indonesia (Indian Ocean)</x:v>
      </x:c>
      <x:c r="C79" s="24" t="str">
        <x:v>EEZ</x:v>
      </x:c>
      <x:c r="D79" s="30" t="n">
        <x:v>2019</x:v>
      </x:c>
      <x:c r="E79" s="24" t="str">
        <x:v>Sepiidae</x:v>
      </x:c>
      <x:c r="F79" s="24" t="str">
        <x:v>Cuttlefishes</x:v>
      </x:c>
      <x:c r="G79" s="24" t="str">
        <x:v>Cephalopods</x:v>
      </x:c>
      <x:c r="H79" s="24" t="str">
        <x:v>Other fishes &amp; inverts</x:v>
      </x:c>
      <x:c r="I79" s="31" t="n">
        <x:v>434.5281371174</x:v>
      </x:c>
      <x:c r="J79" s="31" t="n">
        <x:v>434.5281371174</x:v>
      </x:c>
      <x:c r="K79" s="31" t="n">
        <x:v>0</x:v>
      </x:c>
      <x:c r="L79" s="31" t="n">
        <x:v>166.3529673886</x:v>
      </x:c>
      <x:c r="M79" s="31" t="n">
        <x:v>268.1751697288</x:v>
      </x:c>
      <x:c r="N79" s="24" t="str">
        <x:v>sepiidae</x:v>
      </x:c>
      <x:c r="O79" s="32" t="n">
        <x:v>3.6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Sepiidae</x:v>
      </x:c>
      <x:c r="T79" s="32" t="n">
        <x:f>IF(O79="","",(1/'Metadata'!$B$5)^(O79-1))</x:f>
        <x:v>398.1071705534973</x:v>
      </x:c>
      <x:c r="U79" s="31" t="n">
        <x:f>IF(T79="","",I79*T79)</x:f>
        <x:v>172988.76719369023</x:v>
      </x:c>
    </x:row>
    <x:row r="80" ht="18" customHeight="1">
      <x:c r="A80" s="24" t="str">
        <x:v>EEZ_938</x:v>
      </x:c>
      <x:c r="B80" s="24" t="str">
        <x:v>Indonesia (Indian Ocean)</x:v>
      </x:c>
      <x:c r="C80" s="24" t="str">
        <x:v>EEZ</x:v>
      </x:c>
      <x:c r="D80" s="30" t="n">
        <x:v>2019</x:v>
      </x:c>
      <x:c r="E80" s="24" t="str">
        <x:v>Serranidae</x:v>
      </x:c>
      <x:c r="F80" s="24" t="str">
        <x:v>Basses, groupers, hinds</x:v>
      </x:c>
      <x:c r="G80" s="24" t="str">
        <x:v>Medium reef assoc. fish (30 - 89 cm)</x:v>
      </x:c>
      <x:c r="H80" s="24" t="str">
        <x:v>Perch-likes</x:v>
      </x:c>
      <x:c r="I80" s="31" t="n">
        <x:v>434.0639058193</x:v>
      </x:c>
      <x:c r="J80" s="31" t="n">
        <x:v>434.0639058193</x:v>
      </x:c>
      <x:c r="K80" s="31" t="n">
        <x:v>0</x:v>
      </x:c>
      <x:c r="L80" s="31" t="n">
        <x:v>116.3539474491</x:v>
      </x:c>
      <x:c r="M80" s="31" t="n">
        <x:v>317.7099583702</x:v>
      </x:c>
      <x:c r="N80" s="24" t="str">
        <x:v>serranidae</x:v>
      </x:c>
      <x:c r="O80" s="32" t="n">
        <x:v>3.98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Serranidae</x:v>
      </x:c>
      <x:c r="T80" s="32" t="n">
        <x:f>IF(O80="","",(1/'Metadata'!$B$5)^(O80-1))</x:f>
        <x:v>954.992586021436</x:v>
      </x:c>
      <x:c r="U80" s="31" t="n">
        <x:f>IF(T80="","",I80*T80)</x:f>
        <x:v>414527.8119169383</x:v>
      </x:c>
    </x:row>
    <x:row r="81" ht="18" customHeight="1">
      <x:c r="A81" s="24" t="str">
        <x:v>EEZ_938</x:v>
      </x:c>
      <x:c r="B81" s="24" t="str">
        <x:v>Indonesia (Indian Ocean)</x:v>
      </x:c>
      <x:c r="C81" s="24" t="str">
        <x:v>EEZ</x:v>
      </x:c>
      <x:c r="D81" s="30" t="n">
        <x:v>2019</x:v>
      </x:c>
      <x:c r="E81" s="24" t="str">
        <x:v>Ariidae</x:v>
      </x:c>
      <x:c r="F81" s="24" t="str">
        <x:v>Sea catfishes, coblers</x:v>
      </x:c>
      <x:c r="G81" s="24" t="str">
        <x:v>Medium demersals (30 - 89 cm)</x:v>
      </x:c>
      <x:c r="H81" s="24" t="str">
        <x:v>Other fishes &amp; inverts</x:v>
      </x:c>
      <x:c r="I81" s="31" t="n">
        <x:v>433.0381088304</x:v>
      </x:c>
      <x:c r="J81" s="31" t="n">
        <x:v>433.0381088304</x:v>
      </x:c>
      <x:c r="K81" s="31" t="n">
        <x:v>0</x:v>
      </x:c>
      <x:c r="L81" s="31" t="n">
        <x:v>21.1288058649</x:v>
      </x:c>
      <x:c r="M81" s="31" t="n">
        <x:v>411.9093029655</x:v>
      </x:c>
      <x:c r="N81" s="24" t="str">
        <x:v>ariidae</x:v>
      </x:c>
      <x:c r="O81" s="32" t="n">
        <x:v>3.48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Ariidae</x:v>
      </x:c>
      <x:c r="T81" s="32" t="n">
        <x:f>IF(O81="","",(1/'Metadata'!$B$5)^(O81-1))</x:f>
        <x:v>301.9951720402016</x:v>
      </x:c>
      <x:c r="U81" s="31" t="n">
        <x:f>IF(T81="","",I81*T81)</x:f>
        <x:v>130775.4181762002</x:v>
      </x:c>
    </x:row>
    <x:row r="82" ht="18" customHeight="1">
      <x:c r="A82" s="24" t="str">
        <x:v>EEZ_938</x:v>
      </x:c>
      <x:c r="B82" s="24" t="str">
        <x:v>Indonesia (Indian Ocean)</x:v>
      </x:c>
      <x:c r="C82" s="24" t="str">
        <x:v>EEZ</x:v>
      </x:c>
      <x:c r="D82" s="30" t="n">
        <x:v>2019</x:v>
      </x:c>
      <x:c r="E82" s="24" t="str">
        <x:v>Mullidae</x:v>
      </x:c>
      <x:c r="F82" s="24" t="str">
        <x:v>Goatfishes</x:v>
      </x:c>
      <x:c r="G82" s="24" t="str">
        <x:v>Medium reef assoc. fish (30 - 89 cm)</x:v>
      </x:c>
      <x:c r="H82" s="24" t="str">
        <x:v>Perch-likes</x:v>
      </x:c>
      <x:c r="I82" s="31" t="n">
        <x:v>409.500737146</x:v>
      </x:c>
      <x:c r="J82" s="31" t="n">
        <x:v>409.500737146</x:v>
      </x:c>
      <x:c r="K82" s="31" t="n">
        <x:v>0</x:v>
      </x:c>
      <x:c r="L82" s="31" t="n">
        <x:v>0</x:v>
      </x:c>
      <x:c r="M82" s="31" t="n">
        <x:v>409.500737146</x:v>
      </x:c>
      <x:c r="N82" s="24" t="str">
        <x:v>mullidae</x:v>
      </x:c>
      <x:c r="O82" s="32" t="n">
        <x:v>3.46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Mullidae</x:v>
      </x:c>
      <x:c r="T82" s="32" t="n">
        <x:f>IF(O82="","",(1/'Metadata'!$B$5)^(O82-1))</x:f>
        <x:v>288.40315031266056</x:v>
      </x:c>
      <x:c r="U82" s="31" t="n">
        <x:f>IF(T82="","",I82*T82)</x:f>
        <x:v>118101.30264826314</x:v>
      </x:c>
    </x:row>
    <x:row r="83" ht="18" customHeight="1">
      <x:c r="A83" s="24" t="str">
        <x:v>EEZ_938</x:v>
      </x:c>
      <x:c r="B83" s="24" t="str">
        <x:v>Indonesia (Indian Ocean)</x:v>
      </x:c>
      <x:c r="C83" s="24" t="str">
        <x:v>EEZ</x:v>
      </x:c>
      <x:c r="D83" s="30" t="n">
        <x:v>2019</x:v>
      </x:c>
      <x:c r="E83" s="24" t="str">
        <x:v>Trichiuridae</x:v>
      </x:c>
      <x:c r="F83" s="24" t="str">
        <x:v>Cutlassfishes</x:v>
      </x:c>
      <x:c r="G83" s="24" t="str">
        <x:v>Large benthopelagics (&gt;=90 cm)</x:v>
      </x:c>
      <x:c r="H83" s="24" t="str">
        <x:v>Perch-likes</x:v>
      </x:c>
      <x:c r="I83" s="31" t="n">
        <x:v>350.8719953781</x:v>
      </x:c>
      <x:c r="J83" s="31" t="n">
        <x:v>350.8719953781</x:v>
      </x:c>
      <x:c r="K83" s="31" t="n">
        <x:v>0</x:v>
      </x:c>
      <x:c r="L83" s="31" t="n">
        <x:v>0</x:v>
      </x:c>
      <x:c r="M83" s="31" t="n">
        <x:v>350.8719953781</x:v>
      </x:c>
      <x:c r="N83" s="24" t="str">
        <x:v>trichiuridae</x:v>
      </x:c>
      <x:c r="O83" s="32" t="n">
        <x:v>4.15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Trichiuridae</x:v>
      </x:c>
      <x:c r="T83" s="32" t="n">
        <x:f>IF(O83="","",(1/'Metadata'!$B$5)^(O83-1))</x:f>
        <x:v>1412.5375446227554</x:v>
      </x:c>
      <x:c r="U83" s="31" t="n">
        <x:f>IF(T83="","",I83*T83)</x:f>
        <x:v>495619.86682826816</x:v>
      </x:c>
    </x:row>
    <x:row r="84" ht="18" customHeight="1">
      <x:c r="A84" s="24" t="str">
        <x:v>EEZ_938</x:v>
      </x:c>
      <x:c r="B84" s="24" t="str">
        <x:v>Indonesia (Indian Ocean)</x:v>
      </x:c>
      <x:c r="C84" s="24" t="str">
        <x:v>EEZ</x:v>
      </x:c>
      <x:c r="D84" s="30" t="n">
        <x:v>2019</x:v>
      </x:c>
      <x:c r="E84" s="24" t="str">
        <x:v>Priacanthus</x:v>
      </x:c>
      <x:c r="F84" s="24" t="str">
        <x:v>Bigeyes</x:v>
      </x:c>
      <x:c r="G84" s="24" t="str">
        <x:v>Medium reef assoc. fish (30 - 89 cm)</x:v>
      </x:c>
      <x:c r="H84" s="24" t="str">
        <x:v>Perch-likes</x:v>
      </x:c>
      <x:c r="I84" s="31" t="n">
        <x:v>338.3445020022</x:v>
      </x:c>
      <x:c r="J84" s="31" t="n">
        <x:v>338.3445020022</x:v>
      </x:c>
      <x:c r="K84" s="31" t="n">
        <x:v>0</x:v>
      </x:c>
      <x:c r="L84" s="31" t="n">
        <x:v>330.83969960689996</x:v>
      </x:c>
      <x:c r="M84" s="31" t="n">
        <x:v>7.5048023953</x:v>
      </x:c>
      <x:c r="N84" s="24" t="str">
        <x:v>priacanthus</x:v>
      </x:c>
      <x:c r="O84" s="32" t="n">
        <x:v>3.81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Priacanthus</x:v>
      </x:c>
      <x:c r="T84" s="32" t="n">
        <x:f>IF(O84="","",(1/'Metadata'!$B$5)^(O84-1))</x:f>
        <x:v>645.6542290346556</x:v>
      </x:c>
      <x:c r="U84" s="31" t="n">
        <x:f>IF(T84="","",I84*T84)</x:f>
        <x:v>218453.55858834492</x:v>
      </x:c>
    </x:row>
    <x:row r="85" ht="18" customHeight="1">
      <x:c r="A85" s="24" t="str">
        <x:v>EEZ_938</x:v>
      </x:c>
      <x:c r="B85" s="24" t="str">
        <x:v>Indonesia (Indian Ocean)</x:v>
      </x:c>
      <x:c r="C85" s="24" t="str">
        <x:v>EEZ</x:v>
      </x:c>
      <x:c r="D85" s="30" t="n">
        <x:v>2019</x:v>
      </x:c>
      <x:c r="E85" s="24" t="str">
        <x:v>Stromateidae</x:v>
      </x:c>
      <x:c r="F85" s="24" t="str">
        <x:v>Butterfishes</x:v>
      </x:c>
      <x:c r="G85" s="24" t="str">
        <x:v>Small benthopelagics (&lt;30 cm)</x:v>
      </x:c>
      <x:c r="H85" s="24" t="str">
        <x:v>Perch-likes</x:v>
      </x:c>
      <x:c r="I85" s="31" t="n">
        <x:v>316.77414483</x:v>
      </x:c>
      <x:c r="J85" s="31" t="n">
        <x:v>316.77414483</x:v>
      </x:c>
      <x:c r="K85" s="31" t="n">
        <x:v>0</x:v>
      </x:c>
      <x:c r="L85" s="31" t="n">
        <x:v>92.4218225946</x:v>
      </x:c>
      <x:c r="M85" s="31" t="n">
        <x:v>224.3523222354</x:v>
      </x:c>
      <x:c r="N85" s="24" t="str">
        <x:v>stromateidae</x:v>
      </x:c>
      <x:c r="O85" s="32" t="n">
        <x:v>3.62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Stromateidae</x:v>
      </x:c>
      <x:c r="T85" s="32" t="n">
        <x:f>IF(O85="","",(1/'Metadata'!$B$5)^(O85-1))</x:f>
        <x:v>416.8693834703355</x:v>
      </x:c>
      <x:c r="U85" s="31" t="n">
        <x:f>IF(T85="","",I85*T85)</x:f>
        <x:v>132053.44245462486</x:v>
      </x:c>
    </x:row>
    <x:row r="86" ht="18" customHeight="1">
      <x:c r="A86" s="24" t="str">
        <x:v>EEZ_938</x:v>
      </x:c>
      <x:c r="B86" s="24" t="str">
        <x:v>Indonesia (Indian Ocean)</x:v>
      </x:c>
      <x:c r="C86" s="24" t="str">
        <x:v>EEZ</x:v>
      </x:c>
      <x:c r="D86" s="30" t="n">
        <x:v>2019</x:v>
      </x:c>
      <x:c r="E86" s="24" t="str">
        <x:v>Caesionidae</x:v>
      </x:c>
      <x:c r="F86" s="24" t="str">
        <x:v>Fusiliers</x:v>
      </x:c>
      <x:c r="G86" s="24" t="str">
        <x:v>Medium reef assoc. fish (30 - 89 cm)</x:v>
      </x:c>
      <x:c r="H86" s="24" t="str">
        <x:v>Perch-likes</x:v>
      </x:c>
      <x:c r="I86" s="31" t="n">
        <x:v>307.5712520578</x:v>
      </x:c>
      <x:c r="J86" s="31" t="n">
        <x:v>307.5712520578</x:v>
      </x:c>
      <x:c r="K86" s="31" t="n">
        <x:v>0</x:v>
      </x:c>
      <x:c r="L86" s="31" t="n">
        <x:v>0</x:v>
      </x:c>
      <x:c r="M86" s="31" t="n">
        <x:v>307.5712520578</x:v>
      </x:c>
      <x:c r="N86" s="24" t="str">
        <x:v>caesionidae</x:v>
      </x:c>
      <x:c r="O86" s="32" t="n">
        <x:v>3.39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Caesionidae</x:v>
      </x:c>
      <x:c r="T86" s="32" t="n">
        <x:f>IF(O86="","",(1/'Metadata'!$B$5)^(O86-1))</x:f>
        <x:v>245.4708915685031</x:v>
      </x:c>
      <x:c r="U86" s="31" t="n">
        <x:f>IF(T86="","",I86*T86)</x:f>
        <x:v>75499.78946346896</x:v>
      </x:c>
    </x:row>
    <x:row r="87" ht="18" customHeight="1">
      <x:c r="A87" s="24" t="str">
        <x:v>EEZ_938</x:v>
      </x:c>
      <x:c r="B87" s="24" t="str">
        <x:v>Indonesia (Indian Ocean)</x:v>
      </x:c>
      <x:c r="C87" s="24" t="str">
        <x:v>EEZ</x:v>
      </x:c>
      <x:c r="D87" s="30" t="n">
        <x:v>2019</x:v>
      </x:c>
      <x:c r="E87" s="24" t="str">
        <x:v>Istiompax indica</x:v>
      </x:c>
      <x:c r="F87" s="24" t="str">
        <x:v>Black marlin</x:v>
      </x:c>
      <x:c r="G87" s="24" t="str">
        <x:v>Large pelagics (&gt;=90 cm)</x:v>
      </x:c>
      <x:c r="H87" s="24" t="str">
        <x:v>Tuna &amp; billfishes</x:v>
      </x:c>
      <x:c r="I87" s="31" t="n">
        <x:v>292.6048785201</x:v>
      </x:c>
      <x:c r="J87" s="31" t="n">
        <x:v>292.6048785201</x:v>
      </x:c>
      <x:c r="K87" s="31" t="n">
        <x:v>0</x:v>
      </x:c>
      <x:c r="L87" s="31" t="n">
        <x:v>292.6048785201</x:v>
      </x:c>
      <x:c r="M87" s="31" t="n">
        <x:v>0</x:v>
      </x:c>
      <x:c r="N87" s="24" t="str">
        <x:v>istiompax indica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Istiompax indica</x:v>
      </x:c>
      <x:c r="T87" s="32" t="n">
        <x:f>IF(O87="","",(1/'Metadata'!$B$5)^(O87-1))</x:f>
        <x:v>3162.2776601683795</x:v>
      </x:c>
      <x:c r="U87" s="31" t="n">
        <x:f>IF(T87="","",I87*T87)</x:f>
        <x:v>925297.8706003947</x:v>
      </x:c>
    </x:row>
    <x:row r="88" ht="18" customHeight="1">
      <x:c r="A88" s="24" t="str">
        <x:v>EEZ_938</x:v>
      </x:c>
      <x:c r="B88" s="24" t="str">
        <x:v>Indonesia (Indian Ocean)</x:v>
      </x:c>
      <x:c r="C88" s="24" t="str">
        <x:v>EEZ</x:v>
      </x:c>
      <x:c r="D88" s="30" t="n">
        <x:v>2019</x:v>
      </x:c>
      <x:c r="E88" s="24" t="str">
        <x:v>Scolopsis</x:v>
      </x:c>
      <x:c r="F88" s="24" t="str">
        <x:v>Monocle breams</x:v>
      </x:c>
      <x:c r="G88" s="24" t="str">
        <x:v>Small reef assoc. fish (&lt;30 cm)</x:v>
      </x:c>
      <x:c r="H88" s="24" t="str">
        <x:v>Perch-likes</x:v>
      </x:c>
      <x:c r="I88" s="31" t="n">
        <x:v>213.94909934499998</x:v>
      </x:c>
      <x:c r="J88" s="31" t="n">
        <x:v>213.94909934499998</x:v>
      </x:c>
      <x:c r="K88" s="31" t="n">
        <x:v>0</x:v>
      </x:c>
      <x:c r="L88" s="31" t="n">
        <x:v>94.57932356789999</x:v>
      </x:c>
      <x:c r="M88" s="31" t="n">
        <x:v>119.36977577709999</x:v>
      </x:c>
      <x:c r="N88" s="24" t="str">
        <x:v>scolopsis</x:v>
      </x:c>
      <x:c r="O88" s="32" t="n">
        <x:v>3.3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Scolopsis</x:v>
      </x:c>
      <x:c r="T88" s="32" t="n">
        <x:f>IF(O88="","",(1/'Metadata'!$B$5)^(O88-1))</x:f>
        <x:v>199.52623149688787</x:v>
      </x:c>
      <x:c r="U88" s="31" t="n">
        <x:f>IF(T88="","",I88*T88)</x:f>
        <x:v>42688.457524461126</x:v>
      </x:c>
    </x:row>
    <x:row r="89" ht="18" customHeight="1">
      <x:c r="A89" s="24" t="str">
        <x:v>EEZ_938</x:v>
      </x:c>
      <x:c r="B89" s="24" t="str">
        <x:v>Indonesia (Indian Ocean)</x:v>
      </x:c>
      <x:c r="C89" s="24" t="str">
        <x:v>EEZ</x:v>
      </x:c>
      <x:c r="D89" s="30" t="n">
        <x:v>2019</x:v>
      </x:c>
      <x:c r="E89" s="24" t="str">
        <x:v>Latidae</x:v>
      </x:c>
      <x:c r="F89" s="24" t="str">
        <x:v>Lates perches</x:v>
      </x:c>
      <x:c r="G89" s="24" t="str">
        <x:v>Large demersals (&gt;=90 cm)</x:v>
      </x:c>
      <x:c r="H89" s="24" t="str">
        <x:v>Perch-likes</x:v>
      </x:c>
      <x:c r="I89" s="31" t="n">
        <x:v>198.5368159236</x:v>
      </x:c>
      <x:c r="J89" s="31" t="n">
        <x:v>198.5368159236</x:v>
      </x:c>
      <x:c r="K89" s="31" t="n">
        <x:v>0</x:v>
      </x:c>
      <x:c r="L89" s="31" t="n">
        <x:v>0</x:v>
      </x:c>
      <x:c r="M89" s="31" t="n">
        <x:v>198.5368159236</x:v>
      </x:c>
      <x:c r="N89" s="24" t="str">
        <x:v>latidae</x:v>
      </x:c>
      <x:c r="O89" s="32" t="n">
        <x:v>4.35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Latidae</x:v>
      </x:c>
      <x:c r="T89" s="32" t="n">
        <x:f>IF(O89="","",(1/'Metadata'!$B$5)^(O89-1))</x:f>
        <x:v>2238.7211385683377</x:v>
      </x:c>
      <x:c r="U89" s="31" t="n">
        <x:f>IF(T89="","",I89*T89)</x:f>
        <x:v>444468.5665922142</x:v>
      </x:c>
    </x:row>
    <x:row r="90" ht="18" customHeight="1">
      <x:c r="A90" s="24" t="str">
        <x:v>EEZ_938</x:v>
      </x:c>
      <x:c r="B90" s="24" t="str">
        <x:v>Indonesia (Indian Ocean)</x:v>
      </x:c>
      <x:c r="C90" s="24" t="str">
        <x:v>EEZ</x:v>
      </x:c>
      <x:c r="D90" s="30" t="n">
        <x:v>2019</x:v>
      </x:c>
      <x:c r="E90" s="24" t="str">
        <x:v>Polynemidae</x:v>
      </x:c>
      <x:c r="F90" s="24" t="str">
        <x:v>Threadfins</x:v>
      </x:c>
      <x:c r="G90" s="24" t="str">
        <x:v>Small demersals (&lt;30 cm)</x:v>
      </x:c>
      <x:c r="H90" s="24" t="str">
        <x:v>Perch-likes</x:v>
      </x:c>
      <x:c r="I90" s="31" t="n">
        <x:v>197.00380760020002</x:v>
      </x:c>
      <x:c r="J90" s="31" t="n">
        <x:v>197.00380760020002</x:v>
      </x:c>
      <x:c r="K90" s="31" t="n">
        <x:v>0</x:v>
      </x:c>
      <x:c r="L90" s="31" t="n">
        <x:v>15.5992285725</x:v>
      </x:c>
      <x:c r="M90" s="31" t="n">
        <x:v>181.4045790277</x:v>
      </x:c>
      <x:c r="N90" s="24" t="str">
        <x:v>polynemidae</x:v>
      </x:c>
      <x:c r="O90" s="32" t="n">
        <x:v>3.62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Polynemidae</x:v>
      </x:c>
      <x:c r="T90" s="32" t="n">
        <x:f>IF(O90="","",(1/'Metadata'!$B$5)^(O90-1))</x:f>
        <x:v>416.8693834703355</x:v>
      </x:c>
      <x:c r="U90" s="31" t="n">
        <x:f>IF(T90="","",I90*T90)</x:f>
        <x:v>82124.85581560398</x:v>
      </x:c>
    </x:row>
    <x:row r="91" ht="18" customHeight="1">
      <x:c r="A91" s="24" t="str">
        <x:v>EEZ_938</x:v>
      </x:c>
      <x:c r="B91" s="24" t="str">
        <x:v>Indonesia (Indian Ocean)</x:v>
      </x:c>
      <x:c r="C91" s="24" t="str">
        <x:v>EEZ</x:v>
      </x:c>
      <x:c r="D91" s="30" t="n">
        <x:v>2019</x:v>
      </x:c>
      <x:c r="E91" s="24" t="str">
        <x:v>Pennahia</x:v>
      </x:c>
      <x:c r="F91" s="24" t="str">
        <x:v>Pennah croakers</x:v>
      </x:c>
      <x:c r="G91" s="24" t="str">
        <x:v>Medium benthopelagics (30 - 89 cm)</x:v>
      </x:c>
      <x:c r="H91" s="24" t="str">
        <x:v>Perch-likes</x:v>
      </x:c>
      <x:c r="I91" s="31" t="n">
        <x:v>191.90511479909998</x:v>
      </x:c>
      <x:c r="J91" s="31" t="n">
        <x:v>191.90511479909998</x:v>
      </x:c>
      <x:c r="K91" s="31" t="n">
        <x:v>0</x:v>
      </x:c>
      <x:c r="L91" s="31" t="n">
        <x:v>191.90511479909998</x:v>
      </x:c>
      <x:c r="M91" s="31" t="n">
        <x:v>0</x:v>
      </x:c>
      <x:c r="N91" s="24" t="str">
        <x:v>pennahia</x:v>
      </x:c>
      <x:c r="O91" s="32" t="n">
        <x:v>3.73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Pennahia</x:v>
      </x:c>
      <x:c r="T91" s="32" t="n">
        <x:f>IF(O91="","",(1/'Metadata'!$B$5)^(O91-1))</x:f>
        <x:v>537.0317963702527</x:v>
      </x:c>
      <x:c r="U91" s="31" t="n">
        <x:f>IF(T91="","",I91*T91)</x:f>
        <x:v>103059.14853320022</x:v>
      </x:c>
    </x:row>
    <x:row r="92" ht="18" customHeight="1">
      <x:c r="A92" s="24" t="str">
        <x:v>EEZ_938</x:v>
      </x:c>
      <x:c r="B92" s="24" t="str">
        <x:v>Indonesia (Indian Ocean)</x:v>
      </x:c>
      <x:c r="C92" s="24" t="str">
        <x:v>EEZ</x:v>
      </x:c>
      <x:c r="D92" s="30" t="n">
        <x:v>2019</x:v>
      </x:c>
      <x:c r="E92" s="24" t="str">
        <x:v>Bivalvia</x:v>
      </x:c>
      <x:c r="F92" s="24" t="str">
        <x:v>Clams</x:v>
      </x:c>
      <x:c r="G92" s="24" t="str">
        <x:v>Other demersal invertebrates</x:v>
      </x:c>
      <x:c r="H92" s="24" t="str">
        <x:v>Molluscs</x:v>
      </x:c>
      <x:c r="I92" s="31" t="n">
        <x:v>187.86517170980002</x:v>
      </x:c>
      <x:c r="J92" s="31" t="n">
        <x:v>187.86517170980002</x:v>
      </x:c>
      <x:c r="K92" s="31" t="n">
        <x:v>0</x:v>
      </x:c>
      <x:c r="L92" s="31" t="n">
        <x:v>187.86517170980002</x:v>
      </x:c>
      <x:c r="M92" s="31" t="n">
        <x:v>0</x:v>
      </x:c>
      <x:c r="N92" s="24" t="str">
        <x:v>bivalvia</x:v>
      </x:c>
      <x:c r="O92" s="32" t="n">
        <x:v>2.23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Bivalvia</x:v>
      </x:c>
      <x:c r="T92" s="32" t="n">
        <x:f>IF(O92="","",(1/'Metadata'!$B$5)^(O92-1))</x:f>
        <x:v>16.982436524617444</x:v>
      </x:c>
      <x:c r="U92" s="31" t="n">
        <x:f>IF(T92="","",I92*T92)</x:f>
        <x:v>3190.4083537480356</x:v>
      </x:c>
    </x:row>
    <x:row r="93" ht="18" customHeight="1">
      <x:c r="A93" s="24" t="str">
        <x:v>EEZ_938</x:v>
      </x:c>
      <x:c r="B93" s="24" t="str">
        <x:v>Indonesia (Indian Ocean)</x:v>
      </x:c>
      <x:c r="C93" s="24" t="str">
        <x:v>EEZ</x:v>
      </x:c>
      <x:c r="D93" s="30" t="n">
        <x:v>2019</x:v>
      </x:c>
      <x:c r="E93" s="24" t="str">
        <x:v>Dasyatidae</x:v>
      </x:c>
      <x:c r="F93" s="24" t="str">
        <x:v>Whiptail stingrays</x:v>
      </x:c>
      <x:c r="G93" s="24" t="str">
        <x:v>Large rays (&gt;=90 cm)</x:v>
      </x:c>
      <x:c r="H93" s="24" t="str">
        <x:v>Sharks &amp; rays</x:v>
      </x:c>
      <x:c r="I93" s="31" t="n">
        <x:v>178.8587556075</x:v>
      </x:c>
      <x:c r="J93" s="31" t="n">
        <x:v>178.8587556075</x:v>
      </x:c>
      <x:c r="K93" s="31" t="n">
        <x:v>0</x:v>
      </x:c>
      <x:c r="L93" s="31" t="n">
        <x:v>0</x:v>
      </x:c>
      <x:c r="M93" s="31" t="n">
        <x:v>178.8587556075</x:v>
      </x:c>
      <x:c r="N93" s="24" t="str">
        <x:v>dasyatidae</x:v>
      </x:c>
      <x:c r="O93" s="32" t="n">
        <x:v>3.38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Dasyatidae</x:v>
      </x:c>
      <x:c r="T93" s="32" t="n">
        <x:f>IF(O93="","",(1/'Metadata'!$B$5)^(O93-1))</x:f>
        <x:v>239.88329190194898</x:v>
      </x:c>
      <x:c r="U93" s="31" t="n">
        <x:f>IF(T93="","",I93*T93)</x:f>
        <x:v>42905.22708061328</x:v>
      </x:c>
    </x:row>
    <x:row r="94" ht="18" customHeight="1">
      <x:c r="A94" s="24" t="str">
        <x:v>EEZ_938</x:v>
      </x:c>
      <x:c r="B94" s="24" t="str">
        <x:v>Indonesia (Indian Ocean)</x:v>
      </x:c>
      <x:c r="C94" s="24" t="str">
        <x:v>EEZ</x:v>
      </x:c>
      <x:c r="D94" s="30" t="n">
        <x:v>2019</x:v>
      </x:c>
      <x:c r="E94" s="24" t="str">
        <x:v>Scombridae</x:v>
      </x:c>
      <x:c r="F94" s="24" t="str">
        <x:v>Mackerels, tunas, bonitos</x:v>
      </x:c>
      <x:c r="G94" s="24" t="str">
        <x:v>Medium pelagics (30 - 89 cm)</x:v>
      </x:c>
      <x:c r="H94" s="24" t="str">
        <x:v>Perch-likes</x:v>
      </x:c>
      <x:c r="I94" s="31" t="n">
        <x:v>178.8381150882</x:v>
      </x:c>
      <x:c r="J94" s="31" t="n">
        <x:v>175.0563079479</x:v>
      </x:c>
      <x:c r="K94" s="31" t="n">
        <x:v>3.7818071403</x:v>
      </x:c>
      <x:c r="L94" s="31" t="n">
        <x:v>0</x:v>
      </x:c>
      <x:c r="M94" s="31" t="n">
        <x:v>178.8381150882</x:v>
      </x:c>
      <x:c r="N94" s="24" t="str">
        <x:v>scombridae</x:v>
      </x:c>
      <x:c r="O94" s="32" t="n">
        <x:v>4.26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Scombridae</x:v>
      </x:c>
      <x:c r="T94" s="32" t="n">
        <x:f>IF(O94="","",(1/'Metadata'!$B$5)^(O94-1))</x:f>
        <x:v>1819.7008586099826</x:v>
      </x:c>
      <x:c r="U94" s="31" t="n">
        <x:f>IF(T94="","",I94*T94)</x:f>
        <x:v>325431.87157818844</x:v>
      </x:c>
    </x:row>
    <x:row r="95" ht="18" customHeight="1">
      <x:c r="A95" s="24" t="str">
        <x:v>EEZ_938</x:v>
      </x:c>
      <x:c r="B95" s="24" t="str">
        <x:v>Indonesia (Indian Ocean)</x:v>
      </x:c>
      <x:c r="C95" s="24" t="str">
        <x:v>EEZ</x:v>
      </x:c>
      <x:c r="D95" s="30" t="n">
        <x:v>2019</x:v>
      </x:c>
      <x:c r="E95" s="24" t="str">
        <x:v>Xiphias gladius</x:v>
      </x:c>
      <x:c r="F95" s="24" t="str">
        <x:v>Swordfish</x:v>
      </x:c>
      <x:c r="G95" s="24" t="str">
        <x:v>Large pelagics (&gt;=90 cm)</x:v>
      </x:c>
      <x:c r="H95" s="24" t="str">
        <x:v>Tuna &amp; billfishes</x:v>
      </x:c>
      <x:c r="I95" s="31" t="n">
        <x:v>150.4953743319</x:v>
      </x:c>
      <x:c r="J95" s="31" t="n">
        <x:v>150.4953743319</x:v>
      </x:c>
      <x:c r="K95" s="31" t="n">
        <x:v>0</x:v>
      </x:c>
      <x:c r="L95" s="31" t="n">
        <x:v>150.4953743319</x:v>
      </x:c>
      <x:c r="M95" s="31" t="n">
        <x:v>0</x:v>
      </x:c>
      <x:c r="N95" s="24" t="str">
        <x:v>xiphias gladius</x:v>
      </x:c>
      <x:c r="O95" s="32" t="n">
        <x:v>4.53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Xiphias gladius</x:v>
      </x:c>
      <x:c r="T95" s="32" t="n">
        <x:f>IF(O95="","",(1/'Metadata'!$B$5)^(O95-1))</x:f>
        <x:v>3388.4415613920273</x:v>
      </x:c>
      <x:c r="U95" s="31" t="n">
        <x:f>IF(T95="","",I95*T95)</x:f>
        <x:v>509944.78118346084</x:v>
      </x:c>
    </x:row>
    <x:row r="96" ht="18" customHeight="1">
      <x:c r="A96" s="24" t="str">
        <x:v>EEZ_938</x:v>
      </x:c>
      <x:c r="B96" s="24" t="str">
        <x:v>Indonesia (Indian Ocean)</x:v>
      </x:c>
      <x:c r="C96" s="24" t="str">
        <x:v>EEZ</x:v>
      </x:c>
      <x:c r="D96" s="30" t="n">
        <x:v>2019</x:v>
      </x:c>
      <x:c r="E96" s="24" t="str">
        <x:v>Carcharhinidae</x:v>
      </x:c>
      <x:c r="F96" s="24" t="str">
        <x:v>Requiem sharks</x:v>
      </x:c>
      <x:c r="G96" s="24" t="str">
        <x:v>Large sharks (&gt;=90 cm)</x:v>
      </x:c>
      <x:c r="H96" s="24" t="str">
        <x:v>Sharks &amp; rays</x:v>
      </x:c>
      <x:c r="I96" s="31" t="n">
        <x:v>130.0234383757</x:v>
      </x:c>
      <x:c r="J96" s="31" t="n">
        <x:v>130.0234383757</x:v>
      </x:c>
      <x:c r="K96" s="31" t="n">
        <x:v>0</x:v>
      </x:c>
      <x:c r="L96" s="31" t="n">
        <x:v>0</x:v>
      </x:c>
      <x:c r="M96" s="31" t="n">
        <x:v>130.0234383757</x:v>
      </x:c>
      <x:c r="N96" s="24" t="str">
        <x:v>carcharhinidae</x:v>
      </x:c>
      <x:c r="O96" s="32" t="n">
        <x:v>4.24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Carcharhinidae</x:v>
      </x:c>
      <x:c r="T96" s="32" t="n">
        <x:f>IF(O96="","",(1/'Metadata'!$B$5)^(O96-1))</x:f>
        <x:v>1737.8008287493763</x:v>
      </x:c>
      <x:c r="U96" s="31" t="n">
        <x:f>IF(T96="","",I96*T96)</x:f>
        <x:v>225954.83896613494</x:v>
      </x:c>
    </x:row>
    <x:row r="97" ht="18" customHeight="1">
      <x:c r="A97" s="24" t="str">
        <x:v>EEZ_938</x:v>
      </x:c>
      <x:c r="B97" s="24" t="str">
        <x:v>Indonesia (Indian Ocean)</x:v>
      </x:c>
      <x:c r="C97" s="24" t="str">
        <x:v>EEZ</x:v>
      </x:c>
      <x:c r="D97" s="30" t="n">
        <x:v>2019</x:v>
      </x:c>
      <x:c r="E97" s="24" t="str">
        <x:v>Trichiurus lepturus</x:v>
      </x:c>
      <x:c r="F97" s="24" t="str">
        <x:v>Largehead hairtail</x:v>
      </x:c>
      <x:c r="G97" s="24" t="str">
        <x:v>Large benthopelagics (&gt;=90 cm)</x:v>
      </x:c>
      <x:c r="H97" s="24" t="str">
        <x:v>Perch-likes</x:v>
      </x:c>
      <x:c r="I97" s="31" t="n">
        <x:v>129.0703006777</x:v>
      </x:c>
      <x:c r="J97" s="31" t="n">
        <x:v>129.0703006777</x:v>
      </x:c>
      <x:c r="K97" s="31" t="n">
        <x:v>0</x:v>
      </x:c>
      <x:c r="L97" s="31" t="n">
        <x:v>116.4703596027</x:v>
      </x:c>
      <x:c r="M97" s="31" t="n">
        <x:v>12.599941075</x:v>
      </x:c>
      <x:c r="N97" s="24" t="str">
        <x:v>trichiurus lepturus</x:v>
      </x:c>
      <x:c r="O97" s="32" t="n">
        <x:v>4.42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Trichiurus lepturus</x:v>
      </x:c>
      <x:c r="T97" s="32" t="n">
        <x:f>IF(O97="","",(1/'Metadata'!$B$5)^(O97-1))</x:f>
        <x:v>2630.2679918953813</x:v>
      </x:c>
      <x:c r="U97" s="31" t="n">
        <x:f>IF(T97="","",I97*T97)</x:f>
        <x:v>339489.48057686706</x:v>
      </x:c>
    </x:row>
    <x:row r="98" ht="18" customHeight="1">
      <x:c r="A98" s="24" t="str">
        <x:v>EEZ_938</x:v>
      </x:c>
      <x:c r="B98" s="24" t="str">
        <x:v>Indonesia (Indian Ocean)</x:v>
      </x:c>
      <x:c r="C98" s="24" t="str">
        <x:v>EEZ</x:v>
      </x:c>
      <x:c r="D98" s="30" t="n">
        <x:v>2019</x:v>
      </x:c>
      <x:c r="E98" s="24" t="str">
        <x:v>Auxis</x:v>
      </x:c>
      <x:c r="F98" s="24" t="str">
        <x:v>Bullet and frigate tunas</x:v>
      </x:c>
      <x:c r="G98" s="24" t="str">
        <x:v>Medium pelagics (30 - 89 cm)</x:v>
      </x:c>
      <x:c r="H98" s="24" t="str">
        <x:v>Tuna &amp; billfishes</x:v>
      </x:c>
      <x:c r="I98" s="31" t="n">
        <x:v>114.9159634909</x:v>
      </x:c>
      <x:c r="J98" s="31" t="n">
        <x:v>114.9159634909</x:v>
      </x:c>
      <x:c r="K98" s="31" t="n">
        <x:v>0</x:v>
      </x:c>
      <x:c r="L98" s="31" t="n">
        <x:v>50.2900503233</x:v>
      </x:c>
      <x:c r="M98" s="31" t="n">
        <x:v>64.6259131676</x:v>
      </x:c>
      <x:c r="N98" s="24" t="str">
        <x:v>auxis</x:v>
      </x:c>
      <x:c r="O98" s="32" t="n">
        <x:v>4.24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Auxis</x:v>
      </x:c>
      <x:c r="T98" s="32" t="n">
        <x:f>IF(O98="","",(1/'Metadata'!$B$5)^(O98-1))</x:f>
        <x:v>1737.8008287493763</x:v>
      </x:c>
      <x:c r="U98" s="31" t="n">
        <x:f>IF(T98="","",I98*T98)</x:f>
        <x:v>199701.0565910191</x:v>
      </x:c>
    </x:row>
    <x:row r="99" ht="18" customHeight="1">
      <x:c r="A99" s="24" t="str">
        <x:v>EEZ_938</x:v>
      </x:c>
      <x:c r="B99" s="24" t="str">
        <x:v>Indonesia (Indian Ocean)</x:v>
      </x:c>
      <x:c r="C99" s="24" t="str">
        <x:v>EEZ</x:v>
      </x:c>
      <x:c r="D99" s="30" t="n">
        <x:v>2019</x:v>
      </x:c>
      <x:c r="E99" s="24" t="str">
        <x:v>Scombroidei</x:v>
      </x:c>
      <x:c r="F99" s="24" t="str">
        <x:v>Tunas, bonitos, billfishes</x:v>
      </x:c>
      <x:c r="G99" s="24" t="str">
        <x:v>Large pelagics (&gt;=90 cm)</x:v>
      </x:c>
      <x:c r="H99" s="24" t="str">
        <x:v>Tuna &amp; billfishes</x:v>
      </x:c>
      <x:c r="I99" s="31" t="n">
        <x:v>113.719945201</x:v>
      </x:c>
      <x:c r="J99" s="31" t="n">
        <x:v>113.719945201</x:v>
      </x:c>
      <x:c r="K99" s="31" t="n">
        <x:v>0</x:v>
      </x:c>
      <x:c r="L99" s="31" t="n">
        <x:v>113.719945201</x:v>
      </x:c>
      <x:c r="M99" s="31" t="n">
        <x:v>0</x:v>
      </x:c>
      <x:c r="N99" s="24" t="str">
        <x:v>scombroidei</x:v>
      </x:c>
      <x:c r="O99" s="32" t="n">
        <x:v>4.2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Scombroidei</x:v>
      </x:c>
      <x:c r="T99" s="32" t="n">
        <x:f>IF(O99="","",(1/'Metadata'!$B$5)^(O99-1))</x:f>
        <x:v>1584.893192461114</x:v>
      </x:c>
      <x:c r="U99" s="31" t="n">
        <x:f>IF(T99="","",I99*T99)</x:f>
        <x:v>180233.96699611584</x:v>
      </x:c>
    </x:row>
    <x:row r="100" ht="18" customHeight="1">
      <x:c r="A100" s="24" t="str">
        <x:v>EEZ_938</x:v>
      </x:c>
      <x:c r="B100" s="24" t="str">
        <x:v>Indonesia (Indian Ocean)</x:v>
      </x:c>
      <x:c r="C100" s="24" t="str">
        <x:v>EEZ</x:v>
      </x:c>
      <x:c r="D100" s="30" t="n">
        <x:v>2019</x:v>
      </x:c>
      <x:c r="E100" s="24" t="str">
        <x:v>Sepioteuthis lessoniana</x:v>
      </x:c>
      <x:c r="F100" s="24" t="str">
        <x:v>Bigfin reef squid</x:v>
      </x:c>
      <x:c r="G100" s="24" t="str">
        <x:v>Cephalopods</x:v>
      </x:c>
      <x:c r="H100" s="24" t="str">
        <x:v>Other fishes &amp; inverts</x:v>
      </x:c>
      <x:c r="I100" s="31" t="n">
        <x:v>112.8154797044</x:v>
      </x:c>
      <x:c r="J100" s="31" t="n">
        <x:v>112.8154797044</x:v>
      </x:c>
      <x:c r="K100" s="31" t="n">
        <x:v>0</x:v>
      </x:c>
      <x:c r="L100" s="31" t="n">
        <x:v>45.400739875</x:v>
      </x:c>
      <x:c r="M100" s="31" t="n">
        <x:v>67.4147398294</x:v>
      </x:c>
      <x:c r="N100" s="24" t="str">
        <x:v>sepioteuthis lessoniana</x:v>
      </x:c>
      <x:c r="O100" s="32" t="n">
        <x:v>3.98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Sepioteuthis lessoniana</x:v>
      </x:c>
      <x:c r="T100" s="32" t="n">
        <x:f>IF(O100="","",(1/'Metadata'!$B$5)^(O100-1))</x:f>
        <x:v>954.992586021436</x:v>
      </x:c>
      <x:c r="U100" s="31" t="n">
        <x:f>IF(T100="","",I100*T100)</x:f>
        <x:v>107737.94670615379</x:v>
      </x:c>
    </x:row>
    <x:row r="101" ht="18" customHeight="1">
      <x:c r="A101" s="24" t="str">
        <x:v>EEZ_938</x:v>
      </x:c>
      <x:c r="B101" s="24" t="str">
        <x:v>Indonesia (Indian Ocean)</x:v>
      </x:c>
      <x:c r="C101" s="24" t="str">
        <x:v>EEZ</x:v>
      </x:c>
      <x:c r="D101" s="30" t="n">
        <x:v>2019</x:v>
      </x:c>
      <x:c r="E101" s="24" t="str">
        <x:v>Penaeus merguiensis</x:v>
      </x:c>
      <x:c r="F101" s="24" t="str">
        <x:v>Banana prawn</x:v>
      </x:c>
      <x:c r="G101" s="24" t="str">
        <x:v>Shrimps</x:v>
      </x:c>
      <x:c r="H101" s="24" t="str">
        <x:v>Crustaceans</x:v>
      </x:c>
      <x:c r="I101" s="31" t="n">
        <x:v>100.1144520323</x:v>
      </x:c>
      <x:c r="J101" s="31" t="n">
        <x:v>100.1144520323</x:v>
      </x:c>
      <x:c r="K101" s="31" t="n">
        <x:v>0</x:v>
      </x:c>
      <x:c r="L101" s="31" t="n">
        <x:v>100.1144520323</x:v>
      </x:c>
      <x:c r="M101" s="31" t="n">
        <x:v>0</x:v>
      </x:c>
      <x:c r="N101" s="24" t="str">
        <x:v>penaeus merguiensis</x:v>
      </x:c>
      <x:c r="O101" s="32" t="n">
        <x:v>3.77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Penaeus merguiensis</x:v>
      </x:c>
      <x:c r="T101" s="32" t="n">
        <x:f>IF(O101="","",(1/'Metadata'!$B$5)^(O101-1))</x:f>
        <x:v>588.843655355589</x:v>
      </x:c>
      <x:c r="U101" s="31" t="n">
        <x:f>IF(T101="","",I101*T101)</x:f>
        <x:v>58951.75988862131</x:v>
      </x:c>
    </x:row>
    <x:row r="102" ht="18" customHeight="1">
      <x:c r="A102" s="24" t="str">
        <x:v>EEZ_938</x:v>
      </x:c>
      <x:c r="B102" s="24" t="str">
        <x:v>Indonesia (Indian Ocean)</x:v>
      </x:c>
      <x:c r="C102" s="24" t="str">
        <x:v>EEZ</x:v>
      </x:c>
      <x:c r="D102" s="30" t="n">
        <x:v>2019</x:v>
      </x:c>
      <x:c r="E102" s="24" t="str">
        <x:v>Istiophorus platypterus</x:v>
      </x:c>
      <x:c r="F102" s="24" t="str">
        <x:v>Indo-Pacific sailfish</x:v>
      </x:c>
      <x:c r="G102" s="24" t="str">
        <x:v>Large pelagics (&gt;=90 cm)</x:v>
      </x:c>
      <x:c r="H102" s="24" t="str">
        <x:v>Tuna &amp; billfishes</x:v>
      </x:c>
      <x:c r="I102" s="31" t="n">
        <x:v>94.0220341965</x:v>
      </x:c>
      <x:c r="J102" s="31" t="n">
        <x:v>94.0220341965</x:v>
      </x:c>
      <x:c r="K102" s="31" t="n">
        <x:v>0</x:v>
      </x:c>
      <x:c r="L102" s="31" t="n">
        <x:v>94.0220341965</x:v>
      </x:c>
      <x:c r="M102" s="31" t="n">
        <x:v>0</x:v>
      </x:c>
      <x:c r="N102" s="24" t="str">
        <x:v>istiophorus platypterus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Istiophorus platypterus</x:v>
      </x:c>
      <x:c r="T102" s="32" t="n">
        <x:f>IF(O102="","",(1/'Metadata'!$B$5)^(O102-1))</x:f>
        <x:v>3162.2776601683795</x:v>
      </x:c>
      <x:c r="U102" s="31" t="n">
        <x:f>IF(T102="","",I102*T102)</x:f>
        <x:v>297323.77830317937</x:v>
      </x:c>
    </x:row>
    <x:row r="103" ht="18" customHeight="1">
      <x:c r="A103" s="24" t="str">
        <x:v>EEZ_938</x:v>
      </x:c>
      <x:c r="B103" s="24" t="str">
        <x:v>Indonesia (Indian Ocean)</x:v>
      </x:c>
      <x:c r="C103" s="24" t="str">
        <x:v>EEZ</x:v>
      </x:c>
      <x:c r="D103" s="30" t="n">
        <x:v>2019</x:v>
      </x:c>
      <x:c r="E103" s="24" t="str">
        <x:v>Chirocentrus</x:v>
      </x:c>
      <x:c r="F103" s="24" t="str">
        <x:v>Wolf herrings</x:v>
      </x:c>
      <x:c r="G103" s="24" t="str">
        <x:v>Large pelagics (&gt;=90 cm)</x:v>
      </x:c>
      <x:c r="H103" s="24" t="str">
        <x:v>Herring-likes</x:v>
      </x:c>
      <x:c r="I103" s="31" t="n">
        <x:v>80.6234327263</x:v>
      </x:c>
      <x:c r="J103" s="31" t="n">
        <x:v>80.6234327263</x:v>
      </x:c>
      <x:c r="K103" s="31" t="n">
        <x:v>0</x:v>
      </x:c>
      <x:c r="L103" s="31" t="n">
        <x:v>0.3137032306</x:v>
      </x:c>
      <x:c r="M103" s="31" t="n">
        <x:v>80.3097294957</x:v>
      </x:c>
      <x:c r="N103" s="24" t="str">
        <x:v>chirocentrus</x:v>
      </x:c>
      <x:c r="O103" s="32" t="n">
        <x:v>4.3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Chirocentrus</x:v>
      </x:c>
      <x:c r="T103" s="32" t="n">
        <x:f>IF(O103="","",(1/'Metadata'!$B$5)^(O103-1))</x:f>
        <x:v>1995.2623149688789</x:v>
      </x:c>
      <x:c r="U103" s="31" t="n">
        <x:f>IF(T103="","",I103*T103)</x:f>
        <x:v>160864.897022215</x:v>
      </x:c>
    </x:row>
    <x:row r="104" ht="18" customHeight="1">
      <x:c r="A104" s="24" t="str">
        <x:v>EEZ_938</x:v>
      </x:c>
      <x:c r="B104" s="24" t="str">
        <x:v>Indonesia (Indian Ocean)</x:v>
      </x:c>
      <x:c r="C104" s="24" t="str">
        <x:v>EEZ</x:v>
      </x:c>
      <x:c r="D104" s="30" t="n">
        <x:v>2019</x:v>
      </x:c>
      <x:c r="E104" s="24" t="str">
        <x:v>Scomberomorus</x:v>
      </x:c>
      <x:c r="F104" s="24" t="str">
        <x:v>Spanish mackerels</x:v>
      </x:c>
      <x:c r="G104" s="24" t="str">
        <x:v>Large pelagics (&gt;=90 cm)</x:v>
      </x:c>
      <x:c r="H104" s="24" t="str">
        <x:v>Perch-likes</x:v>
      </x:c>
      <x:c r="I104" s="31" t="n">
        <x:v>77.92057539759999</x:v>
      </x:c>
      <x:c r="J104" s="31" t="n">
        <x:v>77.92057539759999</x:v>
      </x:c>
      <x:c r="K104" s="31" t="n">
        <x:v>0</x:v>
      </x:c>
      <x:c r="L104" s="31" t="n">
        <x:v>26.0181163131</x:v>
      </x:c>
      <x:c r="M104" s="31" t="n">
        <x:v>51.902459084499995</x:v>
      </x:c>
      <x:c r="N104" s="24" t="str">
        <x:v>scomberomorus</x:v>
      </x:c>
      <x:c r="O104" s="32" t="n">
        <x:v>4.35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Scomberomorus</x:v>
      </x:c>
      <x:c r="T104" s="32" t="n">
        <x:f>IF(O104="","",(1/'Metadata'!$B$5)^(O104-1))</x:f>
        <x:v>2238.7211385683377</x:v>
      </x:c>
      <x:c r="U104" s="31" t="n">
        <x:f>IF(T104="","",I104*T104)</x:f>
        <x:v>174442.43927201504</x:v>
      </x:c>
    </x:row>
    <x:row r="105" ht="18" customHeight="1">
      <x:c r="A105" s="24" t="str">
        <x:v>EEZ_938</x:v>
      </x:c>
      <x:c r="B105" s="24" t="str">
        <x:v>Indonesia (Indian Ocean)</x:v>
      </x:c>
      <x:c r="C105" s="24" t="str">
        <x:v>EEZ</x:v>
      </x:c>
      <x:c r="D105" s="30" t="n">
        <x:v>2019</x:v>
      </x:c>
      <x:c r="E105" s="24" t="str">
        <x:v>Octopodidae</x:v>
      </x:c>
      <x:c r="F105" s="24" t="str">
        <x:v>Octopuses</x:v>
      </x:c>
      <x:c r="G105" s="24" t="str">
        <x:v>Cephalopods</x:v>
      </x:c>
      <x:c r="H105" s="24" t="str">
        <x:v>Other fishes &amp; inverts</x:v>
      </x:c>
      <x:c r="I105" s="31" t="n">
        <x:v>63.2629315568</x:v>
      </x:c>
      <x:c r="J105" s="31" t="n">
        <x:v>63.2629315568</x:v>
      </x:c>
      <x:c r="K105" s="31" t="n">
        <x:v>0</x:v>
      </x:c>
      <x:c r="L105" s="31" t="n">
        <x:v>60.708938063699996</x:v>
      </x:c>
      <x:c r="M105" s="31" t="n">
        <x:v>2.5539934930999997</x:v>
      </x:c>
      <x:c r="N105" s="24" t="str">
        <x:v>octopodidae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Octopodidae</x:v>
      </x:c>
      <x:c r="T105" s="32" t="n">
        <x:f>IF(O105="","",(1/'Metadata'!$B$5)^(O105-1))</x:f>
        <x:v>389.04514499428046</x:v>
      </x:c>
      <x:c r="U105" s="31" t="n">
        <x:f>IF(T105="","",I105*T105)</x:f>
        <x:v>24612.136380278498</x:v>
      </x:c>
    </x:row>
    <x:row r="106" ht="18" customHeight="1">
      <x:c r="A106" s="24" t="str">
        <x:v>EEZ_938</x:v>
      </x:c>
      <x:c r="B106" s="24" t="str">
        <x:v>Indonesia (Indian Ocean)</x:v>
      </x:c>
      <x:c r="C106" s="24" t="str">
        <x:v>EEZ</x:v>
      </x:c>
      <x:c r="D106" s="30" t="n">
        <x:v>2019</x:v>
      </x:c>
      <x:c r="E106" s="24" t="str">
        <x:v>Plotosidae</x:v>
      </x:c>
      <x:c r="F106" s="24" t="str">
        <x:v>Eeltail catfishes</x:v>
      </x:c>
      <x:c r="G106" s="24" t="str">
        <x:v>Medium reef assoc. fish (30 - 89 cm)</x:v>
      </x:c>
      <x:c r="H106" s="24" t="str">
        <x:v>Other fishes &amp; inverts</x:v>
      </x:c>
      <x:c r="I106" s="31" t="n">
        <x:v>56.7750597189</x:v>
      </x:c>
      <x:c r="J106" s="31" t="n">
        <x:v>56.7750597189</x:v>
      </x:c>
      <x:c r="K106" s="31" t="n">
        <x:v>0</x:v>
      </x:c>
      <x:c r="L106" s="31" t="n">
        <x:v>53.5938310868</x:v>
      </x:c>
      <x:c r="M106" s="31" t="n">
        <x:v>3.1812286321</x:v>
      </x:c>
      <x:c r="N106" s="24" t="str">
        <x:v>plotosidae</x:v>
      </x:c>
      <x:c r="O106" s="32" t="n">
        <x:v>3.49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Plotosidae</x:v>
      </x:c>
      <x:c r="T106" s="32" t="n">
        <x:f>IF(O106="","",(1/'Metadata'!$B$5)^(O106-1))</x:f>
        <x:v>309.0295432513592</x:v>
      </x:c>
      <x:c r="U106" s="31" t="n">
        <x:f>IF(T106="","",I106*T106)</x:f>
        <x:v>17545.17077300031</x:v>
      </x:c>
    </x:row>
    <x:row r="107" ht="18" customHeight="1">
      <x:c r="A107" s="24" t="str">
        <x:v>EEZ_938</x:v>
      </x:c>
      <x:c r="B107" s="24" t="str">
        <x:v>Indonesia (Indian Ocean)</x:v>
      </x:c>
      <x:c r="C107" s="24" t="str">
        <x:v>EEZ</x:v>
      </x:c>
      <x:c r="D107" s="30" t="n">
        <x:v>2019</x:v>
      </x:c>
      <x:c r="E107" s="24" t="str">
        <x:v>Sillago</x:v>
      </x:c>
      <x:c r="F107" s="24" t="str">
        <x:v>Smelt-whitings</x:v>
      </x:c>
      <x:c r="G107" s="24" t="str">
        <x:v>Medium demersals (30 - 89 cm)</x:v>
      </x:c>
      <x:c r="H107" s="24" t="str">
        <x:v>Perch-likes</x:v>
      </x:c>
      <x:c r="I107" s="31" t="n">
        <x:v>49.1023892197</x:v>
      </x:c>
      <x:c r="J107" s="31" t="n">
        <x:v>49.1023892197</x:v>
      </x:c>
      <x:c r="K107" s="31" t="n">
        <x:v>0</x:v>
      </x:c>
      <x:c r="L107" s="31" t="n">
        <x:v>48.1851761278</x:v>
      </x:c>
      <x:c r="M107" s="31" t="n">
        <x:v>0.9172130919</x:v>
      </x:c>
      <x:c r="N107" s="24" t="str">
        <x:v>sillago</x:v>
      </x:c>
      <x:c r="O107" s="32" t="n">
        <x:v>3.33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Sillago</x:v>
      </x:c>
      <x:c r="T107" s="32" t="n">
        <x:f>IF(O107="","",(1/'Metadata'!$B$5)^(O107-1))</x:f>
        <x:v>213.79620895022325</x:v>
      </x:c>
      <x:c r="U107" s="31" t="n">
        <x:f>IF(T107="","",I107*T107)</x:f>
        <x:v>10497.904665570171</x:v>
      </x:c>
    </x:row>
    <x:row r="108" ht="18" customHeight="1">
      <x:c r="A108" s="24" t="str">
        <x:v>EEZ_938</x:v>
      </x:c>
      <x:c r="B108" s="24" t="str">
        <x:v>Indonesia (Indian Ocean)</x:v>
      </x:c>
      <x:c r="C108" s="24" t="str">
        <x:v>EEZ</x:v>
      </x:c>
      <x:c r="D108" s="30" t="n">
        <x:v>2019</x:v>
      </x:c>
      <x:c r="E108" s="24" t="str">
        <x:v>Cynoglossus</x:v>
      </x:c>
      <x:c r="F108" s="24" t="str">
        <x:v>Tonguesoles</x:v>
      </x:c>
      <x:c r="G108" s="24" t="str">
        <x:v>Small to medium flatfishes (&lt;90 cm)</x:v>
      </x:c>
      <x:c r="H108" s="24" t="str">
        <x:v>Flatfishes</x:v>
      </x:c>
      <x:c r="I108" s="31" t="n">
        <x:v>46.598450155500004</x:v>
      </x:c>
      <x:c r="J108" s="31" t="n">
        <x:v>46.598450155500004</x:v>
      </x:c>
      <x:c r="K108" s="31" t="n">
        <x:v>0</x:v>
      </x:c>
      <x:c r="L108" s="31" t="n">
        <x:v>46.598450155500004</x:v>
      </x:c>
      <x:c r="M108" s="31" t="n">
        <x:v>0</x:v>
      </x:c>
      <x:c r="N108" s="24" t="str">
        <x:v>cynoglossus</x:v>
      </x:c>
      <x:c r="O108" s="32" t="n">
        <x:v>3.36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Cynoglossus</x:v>
      </x:c>
      <x:c r="T108" s="32" t="n">
        <x:f>IF(O108="","",(1/'Metadata'!$B$5)^(O108-1))</x:f>
        <x:v>229.08676527677724</x:v>
      </x:c>
      <x:c r="U108" s="31" t="n">
        <x:f>IF(T108="","",I108*T108)</x:f>
        <x:v>10675.088213034633</x:v>
      </x:c>
    </x:row>
    <x:row r="109" ht="18" customHeight="1">
      <x:c r="A109" s="24" t="str">
        <x:v>EEZ_938</x:v>
      </x:c>
      <x:c r="B109" s="24" t="str">
        <x:v>Indonesia (Indian Ocean)</x:v>
      </x:c>
      <x:c r="C109" s="24" t="str">
        <x:v>EEZ</x:v>
      </x:c>
      <x:c r="D109" s="30" t="n">
        <x:v>2019</x:v>
      </x:c>
      <x:c r="E109" s="24" t="str">
        <x:v>Miscellaneous aquatic invertebrates</x:v>
      </x:c>
      <x:c r="F109" s="24" t="str">
        <x:v>Aquatic invertebrates</x:v>
      </x:c>
      <x:c r="G109" s="24" t="str">
        <x:v>Other demersal invertebrates</x:v>
      </x:c>
      <x:c r="H109" s="24" t="str">
        <x:v>Other fishes &amp; inverts</x:v>
      </x:c>
      <x:c r="I109" s="31" t="n">
        <x:v>39.1417896854</x:v>
      </x:c>
      <x:c r="J109" s="31" t="n">
        <x:v>39.1417896854</x:v>
      </x:c>
      <x:c r="K109" s="31" t="n">
        <x:v>0</x:v>
      </x:c>
      <x:c r="L109" s="31" t="n">
        <x:v>17.8692655663</x:v>
      </x:c>
      <x:c r="M109" s="31" t="n">
        <x:v>21.2725241191</x:v>
      </x:c>
      <x:c r="N109" s="24" t="str">
        <x:v>miscellaneous aquatic invertebrates</x:v>
      </x:c>
      <x:c r="O109" s="32" t="n">
        <x:v>2.43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Miscellaneous aquatic invertebrates</x:v>
      </x:c>
      <x:c r="T109" s="32" t="n">
        <x:f>IF(O109="","",(1/'Metadata'!$B$5)^(O109-1))</x:f>
        <x:v>26.915348039269166</x:v>
      </x:c>
      <x:c r="U109" s="31" t="n">
        <x:f>IF(T109="","",I109*T109)</x:f>
        <x:v>1053.5148922624169</x:v>
      </x:c>
    </x:row>
    <x:row r="110" ht="18" customHeight="1">
      <x:c r="A110" s="24" t="str">
        <x:v>EEZ_938</x:v>
      </x:c>
      <x:c r="B110" s="24" t="str">
        <x:v>Indonesia (Indian Ocean)</x:v>
      </x:c>
      <x:c r="C110" s="24" t="str">
        <x:v>EEZ</x:v>
      </x:c>
      <x:c r="D110" s="30" t="n">
        <x:v>2019</x:v>
      </x:c>
      <x:c r="E110" s="24" t="str">
        <x:v>Penaeus semisulcatus</x:v>
      </x:c>
      <x:c r="F110" s="24" t="str">
        <x:v>Green tiger prawn</x:v>
      </x:c>
      <x:c r="G110" s="24" t="str">
        <x:v>Shrimps</x:v>
      </x:c>
      <x:c r="H110" s="24" t="str">
        <x:v>Crustaceans</x:v>
      </x:c>
      <x:c r="I110" s="31" t="n">
        <x:v>36.2389291542</x:v>
      </x:c>
      <x:c r="J110" s="31" t="n">
        <x:v>36.2389291542</x:v>
      </x:c>
      <x:c r="K110" s="31" t="n">
        <x:v>0</x:v>
      </x:c>
      <x:c r="L110" s="31" t="n">
        <x:v>31.314869298399998</x:v>
      </x:c>
      <x:c r="M110" s="31" t="n">
        <x:v>4.9240598558</x:v>
      </x:c>
      <x:c r="N110" s="24" t="str">
        <x:v>penaeus semisulcatus</x:v>
      </x:c>
      <x:c r="O110" s="32" t="n">
        <x:v>2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Penaeus semisulcatus</x:v>
      </x:c>
      <x:c r="T110" s="32" t="n">
        <x:f>IF(O110="","",(1/'Metadata'!$B$5)^(O110-1))</x:f>
        <x:v>10</x:v>
      </x:c>
      <x:c r="U110" s="31" t="n">
        <x:f>IF(T110="","",I110*T110)</x:f>
        <x:v>362.389291542</x:v>
      </x:c>
    </x:row>
    <x:row r="111" ht="18" customHeight="1">
      <x:c r="A111" s="24" t="str">
        <x:v>EEZ_938</x:v>
      </x:c>
      <x:c r="B111" s="24" t="str">
        <x:v>Indonesia (Indian Ocean)</x:v>
      </x:c>
      <x:c r="C111" s="24" t="str">
        <x:v>EEZ</x:v>
      </x:c>
      <x:c r="D111" s="30" t="n">
        <x:v>2019</x:v>
      </x:c>
      <x:c r="E111" s="24" t="str">
        <x:v>Isurus oxyrinchus</x:v>
      </x:c>
      <x:c r="F111" s="24" t="str">
        <x:v>Shortfin mako</x:v>
      </x:c>
      <x:c r="G111" s="24" t="str">
        <x:v>Large sharks (&gt;=90 cm)</x:v>
      </x:c>
      <x:c r="H111" s="24" t="str">
        <x:v>Sharks &amp; rays</x:v>
      </x:c>
      <x:c r="I111" s="31" t="n">
        <x:v>30.1868685172</x:v>
      </x:c>
      <x:c r="J111" s="31" t="n">
        <x:v>30.1868685172</x:v>
      </x:c>
      <x:c r="K111" s="31" t="n">
        <x:v>0</x:v>
      </x:c>
      <x:c r="L111" s="31" t="n">
        <x:v>30.1868685172</x:v>
      </x:c>
      <x:c r="M111" s="31" t="n">
        <x:v>0</x:v>
      </x:c>
      <x:c r="N111" s="24" t="str">
        <x:v>isurus oxyrinchus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oxyrinchus</x:v>
      </x:c>
      <x:c r="T111" s="32" t="n">
        <x:f>IF(O111="","",(1/'Metadata'!$B$5)^(O111-1))</x:f>
        <x:v>3162.2776601683795</x:v>
      </x:c>
      <x:c r="U111" s="31" t="n">
        <x:f>IF(T111="","",I111*T111)</x:f>
        <x:v>95459.25994238174</x:v>
      </x:c>
    </x:row>
    <x:row r="112" ht="18" customHeight="1">
      <x:c r="A112" s="24" t="str">
        <x:v>EEZ_938</x:v>
      </x:c>
      <x:c r="B112" s="24" t="str">
        <x:v>Indonesia (Indian Ocean)</x:v>
      </x:c>
      <x:c r="C112" s="24" t="str">
        <x:v>EEZ</x:v>
      </x:c>
      <x:c r="D112" s="30" t="n">
        <x:v>2019</x:v>
      </x:c>
      <x:c r="E112" s="24" t="str">
        <x:v>Batoidea</x:v>
      </x:c>
      <x:c r="F112" s="24" t="str">
        <x:v>Batoids, skates, rays, sawfishes</x:v>
      </x:c>
      <x:c r="G112" s="24" t="str">
        <x:v>Large rays (&gt;=90 cm)</x:v>
      </x:c>
      <x:c r="H112" s="24" t="str">
        <x:v>Sharks &amp; rays</x:v>
      </x:c>
      <x:c r="I112" s="31" t="n">
        <x:v>29.1337025385</x:v>
      </x:c>
      <x:c r="J112" s="31" t="n">
        <x:v>29.1337025385</x:v>
      </x:c>
      <x:c r="K112" s="31" t="n">
        <x:v>0</x:v>
      </x:c>
      <x:c r="L112" s="31" t="n">
        <x:v>25.901704159599998</x:v>
      </x:c>
      <x:c r="M112" s="31" t="n">
        <x:v>3.2319983789</x:v>
      </x:c>
      <x:c r="N112" s="24" t="str">
        <x:v>batoidea</x:v>
      </x:c>
      <x:c r="O112" s="32" t="n">
        <x:v>3.72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Batoidea</x:v>
      </x:c>
      <x:c r="T112" s="32" t="n">
        <x:f>IF(O112="","",(1/'Metadata'!$B$5)^(O112-1))</x:f>
        <x:v>524.8074602497728</x:v>
      </x:c>
      <x:c r="U112" s="31" t="n">
        <x:f>IF(T112="","",I112*T112)</x:f>
        <x:v>15289.584436902544</x:v>
      </x:c>
    </x:row>
    <x:row r="113" ht="18" customHeight="1">
      <x:c r="A113" s="24" t="str">
        <x:v>EEZ_938</x:v>
      </x:c>
      <x:c r="B113" s="24" t="str">
        <x:v>Indonesia (Indian Ocean)</x:v>
      </x:c>
      <x:c r="C113" s="24" t="str">
        <x:v>EEZ</x:v>
      </x:c>
      <x:c r="D113" s="30" t="n">
        <x:v>2019</x:v>
      </x:c>
      <x:c r="E113" s="24" t="str">
        <x:v>Hemiramphidae</x:v>
      </x:c>
      <x:c r="F113" s="24" t="str">
        <x:v>Halfbeaks, garfishes</x:v>
      </x:c>
      <x:c r="G113" s="24" t="str">
        <x:v>Medium pelagics (30 - 89 cm)</x:v>
      </x:c>
      <x:c r="H113" s="24" t="str">
        <x:v>Other fishes &amp; inverts</x:v>
      </x:c>
      <x:c r="I113" s="31" t="n">
        <x:v>26.227935667</x:v>
      </x:c>
      <x:c r="J113" s="31" t="n">
        <x:v>26.227935667</x:v>
      </x:c>
      <x:c r="K113" s="31" t="n">
        <x:v>0</x:v>
      </x:c>
      <x:c r="L113" s="31" t="n">
        <x:v>0</x:v>
      </x:c>
      <x:c r="M113" s="31" t="n">
        <x:v>26.227935667</x:v>
      </x:c>
      <x:c r="N113" s="24" t="str">
        <x:v>hemiramphidae</x:v>
      </x:c>
      <x:c r="O113" s="32" t="n">
        <x:v>2.82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Hemiramphidae</x:v>
      </x:c>
      <x:c r="T113" s="32" t="n">
        <x:f>IF(O113="","",(1/'Metadata'!$B$5)^(O113-1))</x:f>
        <x:v>66.06934480075958</x:v>
      </x:c>
      <x:c r="U113" s="31" t="n">
        <x:f>IF(T113="","",I113*T113)</x:f>
        <x:v>1732.8625249951633</x:v>
      </x:c>
    </x:row>
    <x:row r="114" ht="18" customHeight="1">
      <x:c r="A114" s="24" t="str">
        <x:v>EEZ_938</x:v>
      </x:c>
      <x:c r="B114" s="24" t="str">
        <x:v>Indonesia (Indian Ocean)</x:v>
      </x:c>
      <x:c r="C114" s="24" t="str">
        <x:v>EEZ</x:v>
      </x:c>
      <x:c r="D114" s="30" t="n">
        <x:v>2019</x:v>
      </x:c>
      <x:c r="E114" s="24" t="str">
        <x:v>Mugil</x:v>
      </x:c>
      <x:c r="F114" s="24" t="str">
        <x:v>Grey mullets</x:v>
      </x:c>
      <x:c r="G114" s="24" t="str">
        <x:v>Medium demersals (30 - 89 cm)</x:v>
      </x:c>
      <x:c r="H114" s="24" t="str">
        <x:v>Perch-likes</x:v>
      </x:c>
      <x:c r="I114" s="31" t="n">
        <x:v>25.3879193045</x:v>
      </x:c>
      <x:c r="J114" s="31" t="n">
        <x:v>25.3879193045</x:v>
      </x:c>
      <x:c r="K114" s="31" t="n">
        <x:v>0</x:v>
      </x:c>
      <x:c r="L114" s="31" t="n">
        <x:v>25.3879193045</x:v>
      </x:c>
      <x:c r="M114" s="31" t="n">
        <x:v>0</x:v>
      </x:c>
      <x:c r="N114" s="24" t="str">
        <x:v>mugil</x:v>
      </x:c>
      <x:c r="O114" s="32" t="n">
        <x:v>2.26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Mugil</x:v>
      </x:c>
      <x:c r="T114" s="32" t="n">
        <x:f>IF(O114="","",(1/'Metadata'!$B$5)^(O114-1))</x:f>
        <x:v>18.197008586099827</x:v>
      </x:c>
      <x:c r="U114" s="31" t="n">
        <x:f>IF(T114="","",I114*T114)</x:f>
        <x:v>461.984185567196</x:v>
      </x:c>
    </x:row>
    <x:row r="115" ht="18" customHeight="1">
      <x:c r="A115" s="24" t="str">
        <x:v>EEZ_938</x:v>
      </x:c>
      <x:c r="B115" s="24" t="str">
        <x:v>Indonesia (Indian Ocean)</x:v>
      </x:c>
      <x:c r="C115" s="24" t="str">
        <x:v>EEZ</x:v>
      </x:c>
      <x:c r="D115" s="30" t="n">
        <x:v>2019</x:v>
      </x:c>
      <x:c r="E115" s="24" t="str">
        <x:v>Chondrichthyes</x:v>
      </x:c>
      <x:c r="F115" s="24" t="str">
        <x:v>Sharks, rays, chimaeras</x:v>
      </x:c>
      <x:c r="G115" s="24" t="str">
        <x:v>Large sharks (&gt;=90 cm)</x:v>
      </x:c>
      <x:c r="H115" s="24" t="str">
        <x:v>Sharks &amp; rays</x:v>
      </x:c>
      <x:c r="I115" s="31" t="n">
        <x:v>24.4198941309</x:v>
      </x:c>
      <x:c r="J115" s="31" t="n">
        <x:v>24.4198941309</x:v>
      </x:c>
      <x:c r="K115" s="31" t="n">
        <x:v>0</x:v>
      </x:c>
      <x:c r="L115" s="31" t="n">
        <x:v>24.4198941309</x:v>
      </x:c>
      <x:c r="M115" s="31" t="n">
        <x:v>0</x:v>
      </x:c>
      <x:c r="N115" s="24" t="str">
        <x:v>chondrichthyes</x:v>
      </x:c>
      <x:c r="O115" s="32" t="n">
        <x:v>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Chondrichthyes</x:v>
      </x:c>
      <x:c r="T115" s="32" t="n">
        <x:f>IF(O115="","",(1/'Metadata'!$B$5)^(O115-1))</x:f>
        <x:v>1000</x:v>
      </x:c>
      <x:c r="U115" s="31" t="n">
        <x:f>IF(T115="","",I115*T115)</x:f>
        <x:v>24419.8941309</x:v>
      </x:c>
    </x:row>
    <x:row r="116" ht="18" customHeight="1">
      <x:c r="A116" s="24" t="str">
        <x:v>EEZ_938</x:v>
      </x:c>
      <x:c r="B116" s="24" t="str">
        <x:v>Indonesia (Indian Ocean)</x:v>
      </x:c>
      <x:c r="C116" s="24" t="str">
        <x:v>EEZ</x:v>
      </x:c>
      <x:c r="D116" s="30" t="n">
        <x:v>2019</x:v>
      </x:c>
      <x:c r="E116" s="24" t="str">
        <x:v>Scylla serrata</x:v>
      </x:c>
      <x:c r="F116" s="24" t="str">
        <x:v>Indo-Pacific swamp crab</x:v>
      </x:c>
      <x:c r="G116" s="24" t="str">
        <x:v>Lobsters, crabs</x:v>
      </x:c>
      <x:c r="H116" s="24" t="str">
        <x:v>Crustaceans</x:v>
      </x:c>
      <x:c r="I116" s="31" t="n">
        <x:v>22.2929274002</x:v>
      </x:c>
      <x:c r="J116" s="31" t="n">
        <x:v>22.2929274002</x:v>
      </x:c>
      <x:c r="K116" s="31" t="n">
        <x:v>0</x:v>
      </x:c>
      <x:c r="L116" s="31" t="n">
        <x:v>22.2929274002</x:v>
      </x:c>
      <x:c r="M116" s="31" t="n">
        <x:v>0</x:v>
      </x:c>
      <x:c r="N116" s="24" t="str">
        <x:v>scylla serrata</x:v>
      </x:c>
      <x:c r="O116" s="32" t="n">
        <x:v>3.17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Scylla serrata</x:v>
      </x:c>
      <x:c r="T116" s="32" t="n">
        <x:f>IF(O116="","",(1/'Metadata'!$B$5)^(O116-1))</x:f>
        <x:v>147.91083881682073</x:v>
      </x:c>
      <x:c r="U116" s="31" t="n">
        <x:f>IF(T116="","",I116*T116)</x:f>
        <x:v>3297.3655914460687</x:v>
      </x:c>
    </x:row>
    <x:row r="117" ht="18" customHeight="1">
      <x:c r="A117" s="24" t="str">
        <x:v>EEZ_938</x:v>
      </x:c>
      <x:c r="B117" s="24" t="str">
        <x:v>Indonesia (Indian Ocean)</x:v>
      </x:c>
      <x:c r="C117" s="24" t="str">
        <x:v>EEZ</x:v>
      </x:c>
      <x:c r="D117" s="30" t="n">
        <x:v>2019</x:v>
      </x:c>
      <x:c r="E117" s="24" t="str">
        <x:v>Siganus</x:v>
      </x:c>
      <x:c r="F117" s="24" t="str">
        <x:v>Spinefoots</x:v>
      </x:c>
      <x:c r="G117" s="24" t="str">
        <x:v>Medium reef assoc. fish (30 - 89 cm)</x:v>
      </x:c>
      <x:c r="H117" s="24" t="str">
        <x:v>Perch-likes</x:v>
      </x:c>
      <x:c r="I117" s="31" t="n">
        <x:v>20.8712743607</x:v>
      </x:c>
      <x:c r="J117" s="31" t="n">
        <x:v>20.8712743607</x:v>
      </x:c>
      <x:c r="K117" s="31" t="n">
        <x:v>0</x:v>
      </x:c>
      <x:c r="L117" s="31" t="n">
        <x:v>20.8712743607</x:v>
      </x:c>
      <x:c r="M117" s="31" t="n">
        <x:v>0</x:v>
      </x:c>
      <x:c r="N117" s="24" t="str">
        <x:v>siganus</x:v>
      </x:c>
      <x:c r="O117" s="32" t="n">
        <x:v>2.11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Siganus</x:v>
      </x:c>
      <x:c r="T117" s="32" t="n">
        <x:f>IF(O117="","",(1/'Metadata'!$B$5)^(O117-1))</x:f>
        <x:v>12.882495516931336</x:v>
      </x:c>
      <x:c r="U117" s="31" t="n">
        <x:f>IF(T117="","",I117*T117)</x:f>
        <x:v>268.8740983843617</x:v>
      </x:c>
    </x:row>
    <x:row r="118" ht="18" customHeight="1">
      <x:c r="A118" s="24" t="str">
        <x:v>EEZ_938</x:v>
      </x:c>
      <x:c r="B118" s="24" t="str">
        <x:v>Indonesia (Indian Ocean)</x:v>
      </x:c>
      <x:c r="C118" s="24" t="str">
        <x:v>EEZ</x:v>
      </x:c>
      <x:c r="D118" s="30" t="n">
        <x:v>2019</x:v>
      </x:c>
      <x:c r="E118" s="24" t="str">
        <x:v>Elasmobranchii</x:v>
      </x:c>
      <x:c r="F118" s="24" t="str">
        <x:v>Sharks, rays, skates</x:v>
      </x:c>
      <x:c r="G118" s="24" t="str">
        <x:v>Large sharks (&gt;=90 cm)</x:v>
      </x:c>
      <x:c r="H118" s="24" t="str">
        <x:v>Sharks &amp; rays</x:v>
      </x:c>
      <x:c r="I118" s="31" t="n">
        <x:v>20.8262413132</x:v>
      </x:c>
      <x:c r="J118" s="31" t="n">
        <x:v>15.2030968879</x:v>
      </x:c>
      <x:c r="K118" s="31" t="n">
        <x:v>5.6231444253</x:v>
      </x:c>
      <x:c r="L118" s="31" t="n">
        <x:v>14.9232764796</x:v>
      </x:c>
      <x:c r="M118" s="31" t="n">
        <x:v>5.9029648336</x:v>
      </x:c>
      <x:c r="N118" s="24" t="str">
        <x:v>elasmobranchii</x:v>
      </x:c>
      <x:c r="O118" s="32" t="n">
        <x:v>4.05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Elasmobranchii</x:v>
      </x:c>
      <x:c r="T118" s="32" t="n">
        <x:f>IF(O118="","",(1/'Metadata'!$B$5)^(O118-1))</x:f>
        <x:v>1122.018454301963</x:v>
      </x:c>
      <x:c r="U118" s="31" t="n">
        <x:f>IF(T118="","",I118*T118)</x:f>
        <x:v>23367.42708715635</x:v>
      </x:c>
    </x:row>
    <x:row r="119" ht="18" customHeight="1">
      <x:c r="A119" s="24" t="str">
        <x:v>EEZ_938</x:v>
      </x:c>
      <x:c r="B119" s="24" t="str">
        <x:v>Indonesia (Indian Ocean)</x:v>
      </x:c>
      <x:c r="C119" s="24" t="str">
        <x:v>EEZ</x:v>
      </x:c>
      <x:c r="D119" s="30" t="n">
        <x:v>2019</x:v>
      </x:c>
      <x:c r="E119" s="24" t="str">
        <x:v>Muraenesox cinereus</x:v>
      </x:c>
      <x:c r="F119" s="24" t="str">
        <x:v>Daggertooth pike conger</x:v>
      </x:c>
      <x:c r="G119" s="24" t="str">
        <x:v>Large demersals (&gt;=90 cm)</x:v>
      </x:c>
      <x:c r="H119" s="24" t="str">
        <x:v>Other fishes &amp; inverts</x:v>
      </x:c>
      <x:c r="I119" s="31" t="n">
        <x:v>16.0825003302</x:v>
      </x:c>
      <x:c r="J119" s="31" t="n">
        <x:v>16.0825003302</x:v>
      </x:c>
      <x:c r="K119" s="31" t="n">
        <x:v>0</x:v>
      </x:c>
      <x:c r="L119" s="31" t="n">
        <x:v>14.0276644998</x:v>
      </x:c>
      <x:c r="M119" s="31" t="n">
        <x:v>2.0548358304</x:v>
      </x:c>
      <x:c r="N119" s="24" t="str">
        <x:v>muraenesox cinereus</x:v>
      </x:c>
      <x:c r="O119" s="32" t="n">
        <x:v>4.38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Muraenesox cinereus</x:v>
      </x:c>
      <x:c r="T119" s="32" t="n">
        <x:f>IF(O119="","",(1/'Metadata'!$B$5)^(O119-1))</x:f>
        <x:v>2398.83291901949</x:v>
      </x:c>
      <x:c r="U119" s="31" t="n">
        <x:f>IF(T119="","",I119*T119)</x:f>
        <x:v>38579.231212225575</x:v>
      </x:c>
    </x:row>
    <x:row r="120" ht="18" customHeight="1">
      <x:c r="A120" s="24" t="str">
        <x:v>EEZ_938</x:v>
      </x:c>
      <x:c r="B120" s="24" t="str">
        <x:v>Indonesia (Indian Ocean)</x:v>
      </x:c>
      <x:c r="C120" s="24" t="str">
        <x:v>EEZ</x:v>
      </x:c>
      <x:c r="D120" s="30" t="n">
        <x:v>2019</x:v>
      </x:c>
      <x:c r="E120" s="24" t="str">
        <x:v>Labridae</x:v>
      </x:c>
      <x:c r="F120" s="24" t="str">
        <x:v>Wrasses, gropers, tuskfishes</x:v>
      </x:c>
      <x:c r="G120" s="24" t="str">
        <x:v>Medium reef assoc. fish (30 - 89 cm)</x:v>
      </x:c>
      <x:c r="H120" s="24" t="str">
        <x:v>Perch-likes</x:v>
      </x:c>
      <x:c r="I120" s="31" t="n">
        <x:v>14.087287109799998</x:v>
      </x:c>
      <x:c r="J120" s="31" t="n">
        <x:v>14.087287109799998</x:v>
      </x:c>
      <x:c r="K120" s="31" t="n">
        <x:v>0</x:v>
      </x:c>
      <x:c r="L120" s="31" t="n">
        <x:v>14.087287109799998</x:v>
      </x:c>
      <x:c r="M120" s="31" t="n">
        <x:v>0</x:v>
      </x:c>
      <x:c r="N120" s="24" t="str">
        <x:v>labridae</x:v>
      </x:c>
      <x:c r="O120" s="32" t="n">
        <x:v>3.46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Labridae</x:v>
      </x:c>
      <x:c r="T120" s="32" t="n">
        <x:f>IF(O120="","",(1/'Metadata'!$B$5)^(O120-1))</x:f>
        <x:v>288.40315031266056</x:v>
      </x:c>
      <x:c r="U120" s="31" t="n">
        <x:f>IF(T120="","",I120*T120)</x:f>
        <x:v>4062.8179818252543</x:v>
      </x:c>
    </x:row>
    <x:row r="121" ht="18" customHeight="1">
      <x:c r="A121" s="24" t="str">
        <x:v>EEZ_938</x:v>
      </x:c>
      <x:c r="B121" s="24" t="str">
        <x:v>Indonesia (Indian Ocean)</x:v>
      </x:c>
      <x:c r="C121" s="24" t="str">
        <x:v>EEZ</x:v>
      </x:c>
      <x:c r="D121" s="30" t="n">
        <x:v>2019</x:v>
      </x:c>
      <x:c r="E121" s="24" t="str">
        <x:v>Carcharhinus falciformis</x:v>
      </x:c>
      <x:c r="F121" s="24" t="str">
        <x:v>Silky shark</x:v>
      </x:c>
      <x:c r="G121" s="24" t="str">
        <x:v>Large sharks (&gt;=90 cm)</x:v>
      </x:c>
      <x:c r="H121" s="24" t="str">
        <x:v>Sharks &amp; rays</x:v>
      </x:c>
      <x:c r="I121" s="31" t="n">
        <x:v>12.6237763672</x:v>
      </x:c>
      <x:c r="J121" s="31" t="n">
        <x:v>12.6237763672</x:v>
      </x:c>
      <x:c r="K121" s="31" t="n">
        <x:v>0</x:v>
      </x:c>
      <x:c r="L121" s="31" t="n">
        <x:v>12.6237763672</x:v>
      </x:c>
      <x:c r="M121" s="31" t="n">
        <x:v>0</x:v>
      </x:c>
      <x:c r="N121" s="24" t="str">
        <x:v>carcharhinus falciformis</x:v>
      </x:c>
      <x:c r="O121" s="32" t="n">
        <x:v>4.51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Carcharhinus falciformis</x:v>
      </x:c>
      <x:c r="T121" s="32" t="n">
        <x:f>IF(O121="","",(1/'Metadata'!$B$5)^(O121-1))</x:f>
        <x:v>3235.936569296281</x:v>
      </x:c>
      <x:c r="U121" s="31" t="n">
        <x:f>IF(T121="","",I121*T121)</x:f>
        <x:v>40849.739589240635</x:v>
      </x:c>
    </x:row>
    <x:row r="122" ht="18" customHeight="1">
      <x:c r="A122" s="24" t="str">
        <x:v>EEZ_938</x:v>
      </x:c>
      <x:c r="B122" s="24" t="str">
        <x:v>Indonesia (Indian Ocean)</x:v>
      </x:c>
      <x:c r="C122" s="24" t="str">
        <x:v>EEZ</x:v>
      </x:c>
      <x:c r="D122" s="30" t="n">
        <x:v>2019</x:v>
      </x:c>
      <x:c r="E122" s="24" t="str">
        <x:v>Seriolina nigrofasciata</x:v>
      </x:c>
      <x:c r="F122" s="24" t="str">
        <x:v>Blackbanded trevally</x:v>
      </x:c>
      <x:c r="G122" s="24" t="str">
        <x:v>Medium reef assoc. fish (30 - 89 cm)</x:v>
      </x:c>
      <x:c r="H122" s="24" t="str">
        <x:v>Perch-likes</x:v>
      </x:c>
      <x:c r="I122" s="31" t="n">
        <x:v>10.7632410655</x:v>
      </x:c>
      <x:c r="J122" s="31" t="n">
        <x:v>10.7632410655</x:v>
      </x:c>
      <x:c r="K122" s="31" t="n">
        <x:v>0</x:v>
      </x:c>
      <x:c r="L122" s="31" t="n">
        <x:v>6.868317058000001</x:v>
      </x:c>
      <x:c r="M122" s="31" t="n">
        <x:v>3.8949240075</x:v>
      </x:c>
      <x:c r="N122" s="24" t="str">
        <x:v>seriolina nigrofasciata</x:v>
      </x:c>
      <x:c r="O122" s="32" t="n">
        <x:v>4.17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Seriolina nigrofasciata</x:v>
      </x:c>
      <x:c r="T122" s="32" t="n">
        <x:f>IF(O122="","",(1/'Metadata'!$B$5)^(O122-1))</x:f>
        <x:v>1479.1083881682073</x:v>
      </x:c>
      <x:c r="U122" s="31" t="n">
        <x:f>IF(T122="","",I122*T122)</x:f>
        <x:v>15920.000143857564</x:v>
      </x:c>
    </x:row>
    <x:row r="123" ht="18" customHeight="1">
      <x:c r="A123" s="24" t="str">
        <x:v>EEZ_938</x:v>
      </x:c>
      <x:c r="B123" s="24" t="str">
        <x:v>Indonesia (Indian Ocean)</x:v>
      </x:c>
      <x:c r="C123" s="24" t="str">
        <x:v>EEZ</x:v>
      </x:c>
      <x:c r="D123" s="30" t="n">
        <x:v>2019</x:v>
      </x:c>
      <x:c r="E123" s="24" t="str">
        <x:v>Penaeus monodon</x:v>
      </x:c>
      <x:c r="F123" s="24" t="str">
        <x:v>Giant tiger prawn</x:v>
      </x:c>
      <x:c r="G123" s="24" t="str">
        <x:v>Shrimps</x:v>
      </x:c>
      <x:c r="H123" s="24" t="str">
        <x:v>Crustaceans</x:v>
      </x:c>
      <x:c r="I123" s="31" t="n">
        <x:v>6.7513725326</x:v>
      </x:c>
      <x:c r="J123" s="31" t="n">
        <x:v>6.7513725326</x:v>
      </x:c>
      <x:c r="K123" s="31" t="n">
        <x:v>0</x:v>
      </x:c>
      <x:c r="L123" s="31" t="n">
        <x:v>6.5190805975</x:v>
      </x:c>
      <x:c r="M123" s="31" t="n">
        <x:v>0.23229193509999999</x:v>
      </x:c>
      <x:c r="N123" s="24" t="str">
        <x:v>penaeus monodon</x:v>
      </x:c>
      <x:c r="O123" s="32" t="n">
        <x:v>2.6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Penaeus monodon</x:v>
      </x:c>
      <x:c r="T123" s="32" t="n">
        <x:f>IF(O123="","",(1/'Metadata'!$B$5)^(O123-1))</x:f>
        <x:v>39.810717055349734</x:v>
      </x:c>
      <x:c r="U123" s="31" t="n">
        <x:f>IF(T123="","",I123*T123)</x:f>
        <x:v>268.7769816305985</x:v>
      </x:c>
    </x:row>
    <x:row r="124" ht="18" customHeight="1">
      <x:c r="A124" s="24" t="str">
        <x:v>EEZ_938</x:v>
      </x:c>
      <x:c r="B124" s="24" t="str">
        <x:v>Indonesia (Indian Ocean)</x:v>
      </x:c>
      <x:c r="C124" s="24" t="str">
        <x:v>EEZ</x:v>
      </x:c>
      <x:c r="D124" s="30" t="n">
        <x:v>2019</x:v>
      </x:c>
      <x:c r="E124" s="24" t="str">
        <x:v>Psettodes erumei</x:v>
      </x:c>
      <x:c r="F124" s="24" t="str">
        <x:v>Indian halibut</x:v>
      </x:c>
      <x:c r="G124" s="24" t="str">
        <x:v>Small to medium flatfishes (&lt;90 cm)</x:v>
      </x:c>
      <x:c r="H124" s="24" t="str">
        <x:v>Flatfishes</x:v>
      </x:c>
      <x:c r="I124" s="31" t="n">
        <x:v>5.8776493964</x:v>
      </x:c>
      <x:c r="J124" s="31" t="n">
        <x:v>5.8776493964</x:v>
      </x:c>
      <x:c r="K124" s="31" t="n">
        <x:v>0</x:v>
      </x:c>
      <x:c r="L124" s="31" t="n">
        <x:v>5.5295772924</x:v>
      </x:c>
      <x:c r="M124" s="31" t="n">
        <x:v>0.348072104</x:v>
      </x:c>
      <x:c r="N124" s="24" t="str">
        <x:v>psettodes erumei</x:v>
      </x:c>
      <x:c r="O124" s="32" t="n">
        <x:v>4.39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Psettodes erumei</x:v>
      </x:c>
      <x:c r="T124" s="32" t="n">
        <x:f>IF(O124="","",(1/'Metadata'!$B$5)^(O124-1))</x:f>
        <x:v>2454.7089156850284</x:v>
      </x:c>
      <x:c r="U124" s="31" t="n">
        <x:f>IF(T124="","",I124*T124)</x:f>
        <x:v>14427.918376613805</x:v>
      </x:c>
    </x:row>
    <x:row r="125" ht="18" customHeight="1">
      <x:c r="A125" s="24" t="str">
        <x:v>EEZ_938</x:v>
      </x:c>
      <x:c r="B125" s="24" t="str">
        <x:v>Indonesia (Indian Ocean)</x:v>
      </x:c>
      <x:c r="C125" s="24" t="str">
        <x:v>EEZ</x:v>
      </x:c>
      <x:c r="D125" s="30" t="n">
        <x:v>2019</x:v>
      </x:c>
      <x:c r="E125" s="24" t="str">
        <x:v>Pomadasys argenteus</x:v>
      </x:c>
      <x:c r="F125" s="24" t="str">
        <x:v>Silver grunt</x:v>
      </x:c>
      <x:c r="G125" s="24" t="str">
        <x:v>Medium demersals (30 - 89 cm)</x:v>
      </x:c>
      <x:c r="H125" s="24" t="str">
        <x:v>Perch-likes</x:v>
      </x:c>
      <x:c r="I125" s="31" t="n">
        <x:v>5.8264646904</x:v>
      </x:c>
      <x:c r="J125" s="31" t="n">
        <x:v>5.8264646904</x:v>
      </x:c>
      <x:c r="K125" s="31" t="n">
        <x:v>0</x:v>
      </x:c>
      <x:c r="L125" s="31" t="n">
        <x:v>5.8264646904</x:v>
      </x:c>
      <x:c r="M125" s="31" t="n">
        <x:v>0</x:v>
      </x:c>
      <x:c r="N125" s="24" t="str">
        <x:v>pomadasys argenteus</x:v>
      </x:c>
      <x:c r="O125" s="32" t="n">
        <x:v>3.47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Pomadasys argenteus</x:v>
      </x:c>
      <x:c r="T125" s="32" t="n">
        <x:f>IF(O125="","",(1/'Metadata'!$B$5)^(O125-1))</x:f>
        <x:v>295.1209226666387</x:v>
      </x:c>
      <x:c r="U125" s="31" t="n">
        <x:f>IF(T125="","",I125*T125)</x:f>
        <x:v>1719.5116353154394</x:v>
      </x:c>
    </x:row>
    <x:row r="126" ht="18" customHeight="1">
      <x:c r="A126" s="24" t="str">
        <x:v>EEZ_938</x:v>
      </x:c>
      <x:c r="B126" s="24" t="str">
        <x:v>Indonesia (Indian Ocean)</x:v>
      </x:c>
      <x:c r="C126" s="24" t="str">
        <x:v>EEZ</x:v>
      </x:c>
      <x:c r="D126" s="30" t="n">
        <x:v>2019</x:v>
      </x:c>
      <x:c r="E126" s="24" t="str">
        <x:v>Thenus orientalis</x:v>
      </x:c>
      <x:c r="F126" s="24" t="str">
        <x:v>Flathead lobster</x:v>
      </x:c>
      <x:c r="G126" s="24" t="str">
        <x:v>Lobsters, crabs</x:v>
      </x:c>
      <x:c r="H126" s="24" t="str">
        <x:v>Crustaceans</x:v>
      </x:c>
      <x:c r="I126" s="31" t="n">
        <x:v>4.6564861411</x:v>
      </x:c>
      <x:c r="J126" s="31" t="n">
        <x:v>4.6564861411</x:v>
      </x:c>
      <x:c r="K126" s="31" t="n">
        <x:v>0</x:v>
      </x:c>
      <x:c r="L126" s="31" t="n">
        <x:v>4.6564861411</x:v>
      </x:c>
      <x:c r="M126" s="31" t="n">
        <x:v>0</x:v>
      </x:c>
      <x:c r="N126" s="24" t="str">
        <x:v>thenus orientalis</x:v>
      </x:c>
      <x:c r="O126" s="32" t="n">
        <x:v>2.5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Thenus orientalis</x:v>
      </x:c>
      <x:c r="T126" s="32" t="n">
        <x:f>IF(O126="","",(1/'Metadata'!$B$5)^(O126-1))</x:f>
        <x:v>31.622776601683793</x:v>
      </x:c>
      <x:c r="U126" s="31" t="n">
        <x:f>IF(T126="","",I126*T126)</x:f>
        <x:v>147.25102098884193</x:v>
      </x:c>
    </x:row>
    <x:row r="127" ht="18" customHeight="1">
      <x:c r="A127" s="24" t="str">
        <x:v>EEZ_938</x:v>
      </x:c>
      <x:c r="B127" s="24" t="str">
        <x:v>Indonesia (Indian Ocean)</x:v>
      </x:c>
      <x:c r="C127" s="24" t="str">
        <x:v>EEZ</x:v>
      </x:c>
      <x:c r="D127" s="30" t="n">
        <x:v>2019</x:v>
      </x:c>
      <x:c r="E127" s="24" t="str">
        <x:v>Penaeus latisulcatus</x:v>
      </x:c>
      <x:c r="F127" s="24" t="str">
        <x:v>Western king prawn</x:v>
      </x:c>
      <x:c r="G127" s="24" t="str">
        <x:v>Shrimps</x:v>
      </x:c>
      <x:c r="H127" s="24" t="str">
        <x:v>Crustaceans</x:v>
      </x:c>
      <x:c r="I127" s="31" t="n">
        <x:v>4.610211952</x:v>
      </x:c>
      <x:c r="J127" s="31" t="n">
        <x:v>4.610211952</x:v>
      </x:c>
      <x:c r="K127" s="31" t="n">
        <x:v>0</x:v>
      </x:c>
      <x:c r="L127" s="31" t="n">
        <x:v>4.3072496804</x:v>
      </x:c>
      <x:c r="M127" s="31" t="n">
        <x:v>0.3029622716</x:v>
      </x:c>
      <x:c r="N127" s="24" t="str">
        <x:v>penaeus latisulcatus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latisulcatus</x:v>
      </x:c>
      <x:c r="T127" s="32" t="n">
        <x:f>IF(O127="","",(1/'Metadata'!$B$5)^(O127-1))</x:f>
        <x:v>50.11872336272725</x:v>
      </x:c>
      <x:c r="U127" s="31" t="n">
        <x:f>IF(T127="","",I127*T127)</x:f>
        <x:v>231.05793746582683</x:v>
      </x:c>
    </x:row>
    <x:row r="128" ht="18" customHeight="1">
      <x:c r="A128" s="24" t="str">
        <x:v>EEZ_938</x:v>
      </x:c>
      <x:c r="B128" s="24" t="str">
        <x:v>Indonesia (Indian Ocean)</x:v>
      </x:c>
      <x:c r="C128" s="24" t="str">
        <x:v>EEZ</x:v>
      </x:c>
      <x:c r="D128" s="30" t="n">
        <x:v>2019</x:v>
      </x:c>
      <x:c r="E128" s="24" t="str">
        <x:v>Drepane</x:v>
      </x:c>
      <x:c r="F128" s="24" t="str">
        <x:v>Sicklefishes</x:v>
      </x:c>
      <x:c r="G128" s="24" t="str">
        <x:v>Medium benthopelagics (30 - 89 cm)</x:v>
      </x:c>
      <x:c r="H128" s="24" t="str">
        <x:v>Perch-likes</x:v>
      </x:c>
      <x:c r="I128" s="31" t="n">
        <x:v>2.9942485002</x:v>
      </x:c>
      <x:c r="J128" s="31" t="n">
        <x:v>2.9942485002</x:v>
      </x:c>
      <x:c r="K128" s="31" t="n">
        <x:v>0</x:v>
      </x:c>
      <x:c r="L128" s="31" t="n">
        <x:v>2.9942485002</x:v>
      </x:c>
      <x:c r="M128" s="31" t="n">
        <x:v>0</x:v>
      </x:c>
      <x:c r="N128" s="24" t="str">
        <x:v>drepane</x:v>
      </x:c>
      <x:c r="O128" s="32" t="n">
        <x:v>3.32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Drepane</x:v>
      </x:c>
      <x:c r="T128" s="32" t="n">
        <x:f>IF(O128="","",(1/'Metadata'!$B$5)^(O128-1))</x:f>
        <x:v>208.92961308540387</x:v>
      </x:c>
      <x:c r="U128" s="31" t="n">
        <x:f>IF(T128="","",I128*T128)</x:f>
        <x:v>625.5871806283368</x:v>
      </x:c>
    </x:row>
    <x:row r="129" ht="18" customHeight="1">
      <x:c r="A129" s="24" t="str">
        <x:v>EEZ_938</x:v>
      </x:c>
      <x:c r="B129" s="24" t="str">
        <x:v>Indonesia (Indian Ocean)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1.9429671799</x:v>
      </x:c>
      <x:c r="J129" s="31" t="n">
        <x:v>1.9429671799</x:v>
      </x:c>
      <x:c r="K129" s="31" t="n">
        <x:v>0</x:v>
      </x:c>
      <x:c r="L129" s="31" t="n">
        <x:v>1.9429671799</x:v>
      </x:c>
      <x:c r="M129" s="31" t="n">
        <x:v>0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1344.2048705338443</x:v>
      </x:c>
    </x:row>
    <x:row r="130" ht="18" customHeight="1">
      <x:c r="A130" s="24" t="str">
        <x:v>EEZ_938</x:v>
      </x:c>
      <x:c r="B130" s="24" t="str">
        <x:v>Indonesia (Indian Ocean)</x:v>
      </x:c>
      <x:c r="C130" s="24" t="str">
        <x:v>EEZ</x:v>
      </x:c>
      <x:c r="D130" s="30" t="n">
        <x:v>2019</x:v>
      </x:c>
      <x:c r="E130" s="24" t="str">
        <x:v>Kajikia audax</x:v>
      </x:c>
      <x:c r="F130" s="24" t="str">
        <x:v>Striped marlin</x:v>
      </x:c>
      <x:c r="G130" s="24" t="str">
        <x:v>Large pelagics (&gt;=90 cm)</x:v>
      </x:c>
      <x:c r="H130" s="24" t="str">
        <x:v>Tuna &amp; billfishes</x:v>
      </x:c>
      <x:c r="I130" s="31" t="n">
        <x:v>1.6015735078</x:v>
      </x:c>
      <x:c r="J130" s="31" t="n">
        <x:v>1.6015735078</x:v>
      </x:c>
      <x:c r="K130" s="31" t="n">
        <x:v>0</x:v>
      </x:c>
      <x:c r="L130" s="31" t="n">
        <x:v>1.6015735078</x:v>
      </x:c>
      <x:c r="M130" s="31" t="n">
        <x:v>0</x:v>
      </x:c>
      <x:c r="N130" s="24" t="str">
        <x:v>kajikia audax</x:v>
      </x:c>
      <x:c r="O130" s="32" t="n">
        <x:v>4.58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Kajikia audax</x:v>
      </x:c>
      <x:c r="T130" s="32" t="n">
        <x:f>IF(O130="","",(1/'Metadata'!$B$5)^(O130-1))</x:f>
        <x:v>3801.8939632056126</x:v>
      </x:c>
      <x:c r="U130" s="31" t="n">
        <x:f>IF(T130="","",I130*T130)</x:f>
        <x:v>6089.012650934857</x:v>
      </x:c>
    </x:row>
    <x:row r="131" ht="18" customHeight="1">
      <x:c r="A131" s="24" t="str">
        <x:v>EEZ_938</x:v>
      </x:c>
      <x:c r="B131" s="24" t="str">
        <x:v>Indonesia (Indian Ocean)</x:v>
      </x:c>
      <x:c r="C131" s="24" t="str">
        <x:v>EEZ</x:v>
      </x:c>
      <x:c r="D131" s="30" t="n">
        <x:v>2019</x:v>
      </x:c>
      <x:c r="E131" s="24" t="str">
        <x:v>Tetrapturus angustirostris</x:v>
      </x:c>
      <x:c r="F131" s="24" t="str">
        <x:v>Shortbill spearfish</x:v>
      </x:c>
      <x:c r="G131" s="24" t="str">
        <x:v>Large pelagics (&gt;=90 cm)</x:v>
      </x:c>
      <x:c r="H131" s="24" t="str">
        <x:v>Tuna &amp; billfishes</x:v>
      </x:c>
      <x:c r="I131" s="31" t="n">
        <x:v>1.2228470094000001</x:v>
      </x:c>
      <x:c r="J131" s="31" t="n">
        <x:v>1.2228470094000001</x:v>
      </x:c>
      <x:c r="K131" s="31" t="n">
        <x:v>0</x:v>
      </x:c>
      <x:c r="L131" s="31" t="n">
        <x:v>1.2228470094000001</x:v>
      </x:c>
      <x:c r="M131" s="31" t="n">
        <x:v>0</x:v>
      </x:c>
      <x:c r="N131" s="24" t="str">
        <x:v>tetrapturus angustirostris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Tetrapturus angustirostris</x:v>
      </x:c>
      <x:c r="T131" s="32" t="n">
        <x:f>IF(O131="","",(1/'Metadata'!$B$5)^(O131-1))</x:f>
        <x:v>3162.2776601683795</x:v>
      </x:c>
      <x:c r="U131" s="31" t="n">
        <x:f>IF(T131="","",I131*T131)</x:f>
        <x:v>3866.981779629333</x:v>
      </x:c>
    </x:row>
    <x:row r="132" ht="18" customHeight="1">
      <x:c r="A132" s="24" t="str">
        <x:v>EEZ_938</x:v>
      </x:c>
      <x:c r="B132" s="24" t="str">
        <x:v>Indonesia (Indian Ocean)</x:v>
      </x:c>
      <x:c r="C132" s="24" t="str">
        <x:v>EEZ</x:v>
      </x:c>
      <x:c r="D132" s="30" t="n">
        <x:v>2019</x:v>
      </x:c>
      <x:c r="E132" s="24" t="str">
        <x:v>Gerres</x:v>
      </x:c>
      <x:c r="F132" s="24" t="str">
        <x:v>Silver biddies</x:v>
      </x:c>
      <x:c r="G132" s="24" t="str">
        <x:v>Small benthopelagics (&lt;30 cm)</x:v>
      </x:c>
      <x:c r="H132" s="24" t="str">
        <x:v>Perch-likes</x:v>
      </x:c>
      <x:c r="I132" s="31" t="n">
        <x:v>1.1817611473</x:v>
      </x:c>
      <x:c r="J132" s="31" t="n">
        <x:v>1.1817611473</x:v>
      </x:c>
      <x:c r="K132" s="31" t="n">
        <x:v>0</x:v>
      </x:c>
      <x:c r="L132" s="31" t="n">
        <x:v>1.1817611473</x:v>
      </x:c>
      <x:c r="M132" s="31" t="n">
        <x:v>0</x:v>
      </x:c>
      <x:c r="N132" s="24" t="str">
        <x:v>gerres</x:v>
      </x:c>
      <x:c r="O132" s="32" t="n">
        <x:v>3.27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Gerres</x:v>
      </x:c>
      <x:c r="T132" s="32" t="n">
        <x:f>IF(O132="","",(1/'Metadata'!$B$5)^(O132-1))</x:f>
        <x:v>186.20871366628674</x:v>
      </x:c>
      <x:c r="U132" s="31" t="n">
        <x:f>IF(T132="","",I132*T132)</x:f>
        <x:v>220.0542230995282</x:v>
      </x:c>
    </x:row>
    <x:row r="133" ht="18" customHeight="1">
      <x:c r="A133" s="24" t="str">
        <x:v>EEZ_938</x:v>
      </x:c>
      <x:c r="B133" s="24" t="str">
        <x:v>Indonesia (Indian Ocean)</x:v>
      </x:c>
      <x:c r="C133" s="24" t="str">
        <x:v>EEZ</x:v>
      </x:c>
      <x:c r="D133" s="30" t="n">
        <x:v>2019</x:v>
      </x:c>
      <x:c r="E133" s="24" t="str">
        <x:v>Scomberoides</x:v>
      </x:c>
      <x:c r="F133" s="24" t="str">
        <x:v>Queenfishes</x:v>
      </x:c>
      <x:c r="G133" s="24" t="str">
        <x:v>Medium pelagics (30 - 89 cm)</x:v>
      </x:c>
      <x:c r="H133" s="24" t="str">
        <x:v>Perch-likes</x:v>
      </x:c>
      <x:c r="I133" s="31" t="n">
        <x:v>0.9924824131000001</x:v>
      </x:c>
      <x:c r="J133" s="31" t="n">
        <x:v>0.9924824131000001</x:v>
      </x:c>
      <x:c r="K133" s="31" t="n">
        <x:v>0</x:v>
      </x:c>
      <x:c r="L133" s="31" t="n">
        <x:v>0.9924824131000001</x:v>
      </x:c>
      <x:c r="M133" s="31" t="n">
        <x:v>0</x:v>
      </x:c>
      <x:c r="N133" s="24" t="str">
        <x:v>scomberoides</x:v>
      </x:c>
      <x:c r="O133" s="32" t="n">
        <x:v>4.47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Scomberoides</x:v>
      </x:c>
      <x:c r="T133" s="32" t="n">
        <x:f>IF(O133="","",(1/'Metadata'!$B$5)^(O133-1))</x:f>
        <x:v>2951.209226666384</x:v>
      </x:c>
      <x:c r="U133" s="31" t="n">
        <x:f>IF(T133="","",I133*T133)</x:f>
        <x:v>2929.023254844838</x:v>
      </x:c>
    </x:row>
    <x:row r="134" ht="18" customHeight="1">
      <x:c r="A134" s="24" t="str">
        <x:v>EEZ_938</x:v>
      </x:c>
      <x:c r="B134" s="24" t="str">
        <x:v>Indonesia (Indian Ocean)</x:v>
      </x:c>
      <x:c r="C134" s="24" t="str">
        <x:v>EEZ</x:v>
      </x:c>
      <x:c r="D134" s="30" t="n">
        <x:v>2019</x:v>
      </x:c>
      <x:c r="E134" s="24" t="str">
        <x:v>Plotosus</x:v>
      </x:c>
      <x:c r="F134" s="24" t="str">
        <x:v>Eel catfishes</x:v>
      </x:c>
      <x:c r="G134" s="24" t="str">
        <x:v>Medium reef assoc. fish (30 - 89 cm)</x:v>
      </x:c>
      <x:c r="H134" s="24" t="str">
        <x:v>Other fishes &amp; inverts</x:v>
      </x:c>
      <x:c r="I134" s="31" t="n">
        <x:v>0.9595129589</x:v>
      </x:c>
      <x:c r="J134" s="31" t="n">
        <x:v>0.9595129589</x:v>
      </x:c>
      <x:c r="K134" s="31" t="n">
        <x:v>0</x:v>
      </x:c>
      <x:c r="L134" s="31" t="n">
        <x:v>0.9595129589</x:v>
      </x:c>
      <x:c r="M134" s="31" t="n">
        <x:v>0</x:v>
      </x:c>
      <x:c r="N134" s="24" t="str">
        <x:v>plotosus</x:v>
      </x:c>
      <x:c r="O134" s="32" t="n">
        <x:v>3.49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Plotosus</x:v>
      </x:c>
      <x:c r="T134" s="32" t="n">
        <x:f>IF(O134="","",(1/'Metadata'!$B$5)^(O134-1))</x:f>
        <x:v>309.0295432513592</x:v>
      </x:c>
      <x:c r="U134" s="31" t="n">
        <x:f>IF(T134="","",I134*T134)</x:f>
        <x:v>296.5178514326272</x:v>
      </x:c>
    </x:row>
    <x:row r="135" ht="18" customHeight="1">
      <x:c r="A135" s="24" t="str">
        <x:v>EEZ_938</x:v>
      </x:c>
      <x:c r="B135" s="24" t="str">
        <x:v>Indonesia (Indian Ocean)</x:v>
      </x:c>
      <x:c r="C135" s="24" t="str">
        <x:v>EEZ</x:v>
      </x:c>
      <x:c r="D135" s="30" t="n">
        <x:v>2019</x:v>
      </x:c>
      <x:c r="E135" s="24" t="str">
        <x:v>Isurus</x:v>
      </x:c>
      <x:c r="F135" s="24" t="str">
        <x:v>Mako sharks</x:v>
      </x:c>
      <x:c r="G135" s="24" t="str">
        <x:v>Large sharks (&gt;=90 cm)</x:v>
      </x:c>
      <x:c r="H135" s="24" t="str">
        <x:v>Sharks &amp; rays</x:v>
      </x:c>
      <x:c r="I135" s="31" t="n">
        <x:v>0.9311920447</x:v>
      </x:c>
      <x:c r="J135" s="31" t="n">
        <x:v>0.9311920447</x:v>
      </x:c>
      <x:c r="K135" s="31" t="n">
        <x:v>0</x:v>
      </x:c>
      <x:c r="L135" s="31" t="n">
        <x:v>0.9311920447</x:v>
      </x:c>
      <x:c r="M135" s="31" t="n">
        <x:v>0</x:v>
      </x:c>
      <x:c r="N135" s="24" t="str">
        <x:v>isurus</x:v>
      </x:c>
      <x:c r="O135" s="32" t="n">
        <x:v>4.5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Isurus</x:v>
      </x:c>
      <x:c r="T135" s="32" t="n">
        <x:f>IF(O135="","",(1/'Metadata'!$B$5)^(O135-1))</x:f>
        <x:v>3162.2776601683795</x:v>
      </x:c>
      <x:c r="U135" s="31" t="n">
        <x:f>IF(T135="","",I135*T135)</x:f>
        <x:v>2944.687800281325</x:v>
      </x:c>
    </x:row>
    <x:row r="136" ht="18" customHeight="1">
      <x:c r="A136" s="24" t="str">
        <x:v>EEZ_938</x:v>
      </x:c>
      <x:c r="B136" s="24" t="str">
        <x:v>Indonesia (Indian Ocean)</x:v>
      </x:c>
      <x:c r="C136" s="24" t="str">
        <x:v>EEZ</x:v>
      </x:c>
      <x:c r="D136" s="30" t="n">
        <x:v>2019</x:v>
      </x:c>
      <x:c r="E136" s="24" t="str">
        <x:v>Muraenesox</x:v>
      </x:c>
      <x:c r="F136" s="24" t="str">
        <x:v>Congers</x:v>
      </x:c>
      <x:c r="G136" s="24" t="str">
        <x:v>Large demersals (&gt;=90 cm)</x:v>
      </x:c>
      <x:c r="H136" s="24" t="str">
        <x:v>Other fishes &amp; inverts</x:v>
      </x:c>
      <x:c r="I136" s="31" t="n">
        <x:v>0.6626405341</x:v>
      </x:c>
      <x:c r="J136" s="31" t="n">
        <x:v>0.6626405341</x:v>
      </x:c>
      <x:c r="K136" s="31" t="n">
        <x:v>0</x:v>
      </x:c>
      <x:c r="L136" s="31" t="n">
        <x:v>0.6626405341</x:v>
      </x:c>
      <x:c r="M136" s="31" t="n">
        <x:v>0</x:v>
      </x:c>
      <x:c r="N136" s="24" t="str">
        <x:v>muraenesox</x:v>
      </x:c>
      <x:c r="O136" s="32" t="n">
        <x:v>3.99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Muraenesox</x:v>
      </x:c>
      <x:c r="T136" s="32" t="n">
        <x:f>IF(O136="","",(1/'Metadata'!$B$5)^(O136-1))</x:f>
        <x:v>977.2372209558112</x:v>
      </x:c>
      <x:c r="U136" s="31" t="n">
        <x:f>IF(T136="","",I136*T136)</x:f>
        <x:v>647.5569940365584</x:v>
      </x:c>
    </x:row>
    <x:row r="137" ht="18" customHeight="1">
      <x:c r="A137" s="24" t="str">
        <x:v>EEZ_938</x:v>
      </x:c>
      <x:c r="B137" s="24" t="str">
        <x:v>Indonesia (Indian Ocean)</x:v>
      </x:c>
      <x:c r="C137" s="24" t="str">
        <x:v>EEZ</x:v>
      </x:c>
      <x:c r="D137" s="30" t="n">
        <x:v>2019</x:v>
      </x:c>
      <x:c r="E137" s="24" t="str">
        <x:v>Hilsa kelee</x:v>
      </x:c>
      <x:c r="F137" s="24" t="str">
        <x:v>Kelee shad</x:v>
      </x:c>
      <x:c r="G137" s="24" t="str">
        <x:v>Small pelagics (&lt;30 cm)</x:v>
      </x:c>
      <x:c r="H137" s="24" t="str">
        <x:v>Herring-likes</x:v>
      </x:c>
      <x:c r="I137" s="31" t="n">
        <x:v>0.6199413532999999</x:v>
      </x:c>
      <x:c r="J137" s="31" t="n">
        <x:v>0.6199413532999999</x:v>
      </x:c>
      <x:c r="K137" s="31" t="n">
        <x:v>0</x:v>
      </x:c>
      <x:c r="L137" s="31" t="n">
        <x:v>0.6199413532999999</x:v>
      </x:c>
      <x:c r="M137" s="31" t="n">
        <x:v>0</x:v>
      </x:c>
      <x:c r="N137" s="24" t="str">
        <x:v>hilsa kelee</x:v>
      </x:c>
      <x:c r="O137" s="32" t="n">
        <x:v>3.25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Hilsa kelee</x:v>
      </x:c>
      <x:c r="T137" s="32" t="n">
        <x:f>IF(O137="","",(1/'Metadata'!$B$5)^(O137-1))</x:f>
        <x:v>177.82794100389228</x:v>
      </x:c>
      <x:c r="U137" s="31" t="n">
        <x:f>IF(T137="","",I137*T137)</x:f>
        <x:v>110.24289440050552</x:v>
      </x:c>
    </x:row>
    <x:row r="138" ht="18" customHeight="1">
      <x:c r="A138" s="24" t="str">
        <x:v>EEZ_938</x:v>
      </x:c>
      <x:c r="B138" s="24" t="str">
        <x:v>Indonesia (Indian Ocean)</x:v>
      </x:c>
      <x:c r="C138" s="24" t="str">
        <x:v>EEZ</x:v>
      </x:c>
      <x:c r="D138" s="30" t="n">
        <x:v>2019</x:v>
      </x:c>
      <x:c r="E138" s="24" t="str">
        <x:v>Sergestidae</x:v>
      </x:c>
      <x:c r="F138" s="24" t="str">
        <x:v>Sergestid shrimp</x:v>
      </x:c>
      <x:c r="G138" s="24" t="str">
        <x:v>Shrimps</x:v>
      </x:c>
      <x:c r="H138" s="24" t="str">
        <x:v>Crustaceans</x:v>
      </x:c>
      <x:c r="I138" s="31" t="n">
        <x:v>0.5238546908</x:v>
      </x:c>
      <x:c r="J138" s="31" t="n">
        <x:v>0.5238546908</x:v>
      </x:c>
      <x:c r="K138" s="31" t="n">
        <x:v>0</x:v>
      </x:c>
      <x:c r="L138" s="31" t="n">
        <x:v>0.5238546908</x:v>
      </x:c>
      <x:c r="M138" s="31" t="n">
        <x:v>0</x:v>
      </x:c>
      <x:c r="N138" s="24" t="str">
        <x:v>sergestidae</x:v>
      </x:c>
      <x:c r="O138" s="32" t="n">
        <x:v>2.93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Sergestidae</x:v>
      </x:c>
      <x:c r="T138" s="32" t="n">
        <x:f>IF(O138="","",(1/'Metadata'!$B$5)^(O138-1))</x:f>
        <x:v>85.11380382023768</x:v>
      </x:c>
      <x:c r="U138" s="31" t="n">
        <x:f>IF(T138="","",I138*T138)</x:f>
        <x:v>44.58726538306247</x:v>
      </x:c>
    </x:row>
    <x:row r="139" ht="18" customHeight="1">
      <x:c r="A139" s="24" t="str">
        <x:v>EEZ_938</x:v>
      </x:c>
      <x:c r="B139" s="24" t="str">
        <x:v>Indonesia (Indian Ocean)</x:v>
      </x:c>
      <x:c r="C139" s="24" t="str">
        <x:v>EEZ</x:v>
      </x:c>
      <x:c r="D139" s="30" t="n">
        <x:v>2019</x:v>
      </x:c>
      <x:c r="E139" s="24" t="str">
        <x:v>Lethrinus</x:v>
      </x:c>
      <x:c r="F139" s="24" t="str">
        <x:v>Emperors</x:v>
      </x:c>
      <x:c r="G139" s="24" t="str">
        <x:v>Medium reef assoc. fish (30 - 89 cm)</x:v>
      </x:c>
      <x:c r="H139" s="24" t="str">
        <x:v>Perch-likes</x:v>
      </x:c>
      <x:c r="I139" s="31" t="n">
        <x:v>0.40663689249999996</x:v>
      </x:c>
      <x:c r="J139" s="31" t="n">
        <x:v>0.40663689249999996</x:v>
      </x:c>
      <x:c r="K139" s="31" t="n">
        <x:v>0</x:v>
      </x:c>
      <x:c r="L139" s="31" t="n">
        <x:v>0.40663689249999996</x:v>
      </x:c>
      <x:c r="M139" s="31" t="n">
        <x:v>0</x:v>
      </x:c>
      <x:c r="N139" s="24" t="str">
        <x:v>lethrinus</x:v>
      </x:c>
      <x:c r="O139" s="32" t="n">
        <x:v>3.75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Lethrinus</x:v>
      </x:c>
      <x:c r="T139" s="32" t="n">
        <x:f>IF(O139="","",(1/'Metadata'!$B$5)^(O139-1))</x:f>
        <x:v>562.341325190349</x:v>
      </x:c>
      <x:c r="U139" s="31" t="n">
        <x:f>IF(T139="","",I139*T139)</x:f>
        <x:v>228.6687289997355</x:v>
      </x:c>
    </x:row>
    <x:row r="140" ht="18" customHeight="1">
      <x:c r="A140" s="24" t="str">
        <x:v>EEZ_938</x:v>
      </x:c>
      <x:c r="B140" s="24" t="str">
        <x:v>Indonesia (Indian Ocean)</x:v>
      </x:c>
      <x:c r="C140" s="24" t="str">
        <x:v>EEZ</x:v>
      </x:c>
      <x:c r="D140" s="30" t="n">
        <x:v>2019</x:v>
      </x:c>
      <x:c r="E140" s="24" t="str">
        <x:v>Paralichthyidae</x:v>
      </x:c>
      <x:c r="F140" s="24" t="str">
        <x:v>Largetooth flounders</x:v>
      </x:c>
      <x:c r="G140" s="24" t="str">
        <x:v>Small to medium flatfishes (&lt;90 cm)</x:v>
      </x:c>
      <x:c r="H140" s="24" t="str">
        <x:v>Flatfishes</x:v>
      </x:c>
      <x:c r="I140" s="31" t="n">
        <x:v>0.2912658736</x:v>
      </x:c>
      <x:c r="J140" s="31" t="n">
        <x:v>0.2912658736</x:v>
      </x:c>
      <x:c r="K140" s="31" t="n">
        <x:v>0</x:v>
      </x:c>
      <x:c r="L140" s="31" t="n">
        <x:v>0.2912658736</x:v>
      </x:c>
      <x:c r="M140" s="31" t="n">
        <x:v>0</x:v>
      </x:c>
      <x:c r="N140" s="24" t="str">
        <x:v>paralichthyidae</x:v>
      </x:c>
      <x:c r="O140" s="32" t="n">
        <x:v>4.06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Paralichthyidae</x:v>
      </x:c>
      <x:c r="T140" s="32" t="n">
        <x:f>IF(O140="","",(1/'Metadata'!$B$5)^(O140-1))</x:f>
        <x:v>1148.1536214968817</x:v>
      </x:c>
      <x:c r="U140" s="31" t="n">
        <x:f>IF(T140="","",I140*T140)</x:f>
        <x:v>334.417967592293</x:v>
      </x:c>
    </x:row>
    <x:row r="141" ht="18" customHeight="1">
      <x:c r="A141" s="24" t="str">
        <x:v>EEZ_938</x:v>
      </x:c>
      <x:c r="B141" s="24" t="str">
        <x:v>Indonesia (Indian Ocean)</x:v>
      </x:c>
      <x:c r="C141" s="24" t="str">
        <x:v>EEZ</x:v>
      </x:c>
      <x:c r="D141" s="30" t="n">
        <x:v>2019</x:v>
      </x:c>
      <x:c r="E141" s="24" t="str">
        <x:v>Istiophoridae</x:v>
      </x:c>
      <x:c r="F141" s="24" t="str">
        <x:v>Billfishes</x:v>
      </x:c>
      <x:c r="G141" s="24" t="str">
        <x:v>Large pelagics (&gt;=90 cm)</x:v>
      </x:c>
      <x:c r="H141" s="24" t="str">
        <x:v>Tuna &amp; billfishes</x:v>
      </x:c>
      <x:c r="I141" s="31" t="n">
        <x:v>0.209090571</x:v>
      </x:c>
      <x:c r="J141" s="31" t="n">
        <x:v>0.209090571</x:v>
      </x:c>
      <x:c r="K141" s="31" t="n">
        <x:v>0</x:v>
      </x:c>
      <x:c r="L141" s="31" t="n">
        <x:v>0.209090571</x:v>
      </x:c>
      <x:c r="M141" s="31" t="n">
        <x:v>0</x:v>
      </x:c>
      <x:c r="N141" s="24" t="str">
        <x:v>istiophoridae</x:v>
      </x:c>
      <x:c r="O141" s="32" t="n">
        <x:v>4.48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Istiophoridae</x:v>
      </x:c>
      <x:c r="T141" s="32" t="n">
        <x:f>IF(O141="","",(1/'Metadata'!$B$5)^(O141-1))</x:f>
        <x:v>3019.951720402019</x:v>
      </x:c>
      <x:c r="U141" s="31" t="n">
        <x:f>IF(T141="","",I141*T141)</x:f>
        <x:v>631.4434296112905</x:v>
      </x:c>
    </x:row>
    <x:row r="142" ht="18" customHeight="1">
      <x:c r="A142" s="24" t="str">
        <x:v>EEZ_938</x:v>
      </x:c>
      <x:c r="B142" s="24" t="str">
        <x:v>Indonesia (Indian Ocean)</x:v>
      </x:c>
      <x:c r="C142" s="24" t="str">
        <x:v>EEZ</x:v>
      </x:c>
      <x:c r="D142" s="30" t="n">
        <x:v>2019</x:v>
      </x:c>
      <x:c r="E142" s="24" t="str">
        <x:v>Clupeiformes</x:v>
      </x:c>
      <x:c r="F142" s="24" t="str">
        <x:v>Herrings, shads, anchovies</x:v>
      </x:c>
      <x:c r="G142" s="24" t="str">
        <x:v>Small pelagics (&lt;30 cm)</x:v>
      </x:c>
      <x:c r="H142" s="24" t="str">
        <x:v>Other fishes &amp; inverts</x:v>
      </x:c>
      <x:c r="I142" s="31" t="n">
        <x:v>0.1933888373</x:v>
      </x:c>
      <x:c r="J142" s="31" t="n">
        <x:v>0.1933888373</x:v>
      </x:c>
      <x:c r="K142" s="31" t="n">
        <x:v>0</x:v>
      </x:c>
      <x:c r="L142" s="31" t="n">
        <x:v>0.1933888373</x:v>
      </x:c>
      <x:c r="M142" s="31" t="n">
        <x:v>0</x:v>
      </x:c>
      <x:c r="N142" s="24" t="str">
        <x:v>clupeiformes</x:v>
      </x:c>
      <x:c r="O142" s="32" t="n">
        <x:v>3.24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Clupeiformes</x:v>
      </x:c>
      <x:c r="T142" s="32" t="n">
        <x:f>IF(O142="","",(1/'Metadata'!$B$5)^(O142-1))</x:f>
        <x:v>173.78008287493762</x:v>
      </x:c>
      <x:c r="U142" s="31" t="n">
        <x:f>IF(T142="","",I142*T142)</x:f>
        <x:v>33.607128173081826</x:v>
      </x:c>
    </x:row>
    <x:row r="143" ht="18" customHeight="1">
      <x:c r="A143" s="24" t="str">
        <x:v>EEZ_938</x:v>
      </x:c>
      <x:c r="B143" s="24" t="str">
        <x:v>Indonesia (Indian Ocean)</x:v>
      </x:c>
      <x:c r="C143" s="24" t="str">
        <x:v>EEZ</x:v>
      </x:c>
      <x:c r="D143" s="30" t="n">
        <x:v>2019</x:v>
      </x:c>
      <x:c r="E143" s="24" t="str">
        <x:v>Balistidae</x:v>
      </x:c>
      <x:c r="F143" s="24" t="str">
        <x:v>Triggerfishes</x:v>
      </x:c>
      <x:c r="G143" s="24" t="str">
        <x:v>Medium reef assoc. fish (30 - 89 cm)</x:v>
      </x:c>
      <x:c r="H143" s="24" t="str">
        <x:v>Other fishes &amp; inverts</x:v>
      </x:c>
      <x:c r="I143" s="31" t="n">
        <x:v>0.18536404</x:v>
      </x:c>
      <x:c r="J143" s="31" t="n">
        <x:v>0.18536404</x:v>
      </x:c>
      <x:c r="K143" s="31" t="n">
        <x:v>0</x:v>
      </x:c>
      <x:c r="L143" s="31" t="n">
        <x:v>0.18536404</x:v>
      </x:c>
      <x:c r="M143" s="31" t="n">
        <x:v>0</x:v>
      </x:c>
      <x:c r="N143" s="24" t="str">
        <x:v>balistidae</x:v>
      </x:c>
      <x:c r="O143" s="32" t="n">
        <x:v>3.25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Balistidae</x:v>
      </x:c>
      <x:c r="T143" s="32" t="n">
        <x:f>IF(O143="","",(1/'Metadata'!$B$5)^(O143-1))</x:f>
        <x:v>177.82794100389228</x:v>
      </x:c>
      <x:c r="U143" s="31" t="n">
        <x:f>IF(T143="","",I143*T143)</x:f>
        <x:v>32.96290556936313</x:v>
      </x:c>
    </x:row>
    <x:row r="144" ht="18" customHeight="1">
      <x:c r="A144" s="24" t="str">
        <x:v>EEZ_938</x:v>
      </x:c>
      <x:c r="B144" s="24" t="str">
        <x:v>Indonesia (Indian Ocean)</x:v>
      </x:c>
      <x:c r="C144" s="24" t="str">
        <x:v>EEZ</x:v>
      </x:c>
      <x:c r="D144" s="30" t="n">
        <x:v>2019</x:v>
      </x:c>
      <x:c r="E144" s="24" t="str">
        <x:v>Panulirus longipes</x:v>
      </x:c>
      <x:c r="F144" s="24" t="str">
        <x:v>Longlegged spiny lobster</x:v>
      </x:c>
      <x:c r="G144" s="24" t="str">
        <x:v>Lobsters, crabs</x:v>
      </x:c>
      <x:c r="H144" s="24" t="str">
        <x:v>Crustaceans</x:v>
      </x:c>
      <x:c r="I144" s="31" t="n">
        <x:v>0.1828747789</x:v>
      </x:c>
      <x:c r="J144" s="31" t="n">
        <x:v>0.1828747789</x:v>
      </x:c>
      <x:c r="K144" s="31" t="n">
        <x:v>0</x:v>
      </x:c>
      <x:c r="L144" s="31" t="n">
        <x:v>0.1828747789</x:v>
      </x:c>
      <x:c r="M144" s="31" t="n">
        <x:v>0</x:v>
      </x:c>
      <x:c r="N144" s="24" t="str">
        <x:v>panulirus longipes</x:v>
      </x:c>
      <x:c r="O144" s="32" t="n">
        <x:v>2.6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Panulirus longipes</x:v>
      </x:c>
      <x:c r="T144" s="32" t="n">
        <x:f>IF(O144="","",(1/'Metadata'!$B$5)^(O144-1))</x:f>
        <x:v>39.810717055349734</x:v>
      </x:c>
      <x:c r="U144" s="31" t="n">
        <x:f>IF(T144="","",I144*T144)</x:f>
        <x:v>7.280376079347542</x:v>
      </x:c>
    </x:row>
    <x:row r="145" ht="18" customHeight="1">
      <x:c r="A145" s="24" t="str">
        <x:v>EEZ_938</x:v>
      </x:c>
      <x:c r="B145" s="24" t="str">
        <x:v>Indonesia (Indian Ocean)</x:v>
      </x:c>
      <x:c r="C145" s="24" t="str">
        <x:v>EEZ</x:v>
      </x:c>
      <x:c r="D145" s="30" t="n">
        <x:v>2019</x:v>
      </x:c>
      <x:c r="E145" s="24" t="str">
        <x:v>Rachycentron canadum</x:v>
      </x:c>
      <x:c r="F145" s="24" t="str">
        <x:v>Cobia</x:v>
      </x:c>
      <x:c r="G145" s="24" t="str">
        <x:v>Large pelagics (&gt;=90 cm)</x:v>
      </x:c>
      <x:c r="H145" s="24" t="str">
        <x:v>Perch-likes</x:v>
      </x:c>
      <x:c r="I145" s="31" t="n">
        <x:v>0.0349926129</x:v>
      </x:c>
      <x:c r="J145" s="31" t="n">
        <x:v>0.0349926129</x:v>
      </x:c>
      <x:c r="K145" s="31" t="n">
        <x:v>0</x:v>
      </x:c>
      <x:c r="L145" s="31" t="n">
        <x:v>0.0349926129</x:v>
      </x:c>
      <x:c r="M145" s="31" t="n">
        <x:v>0</x:v>
      </x:c>
      <x:c r="N145" s="24" t="str">
        <x:v>rachycentron canadum</x:v>
      </x:c>
      <x:c r="O145" s="32" t="n">
        <x:v>3.96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Rachycentron canadum</x:v>
      </x:c>
      <x:c r="T145" s="32" t="n">
        <x:f>IF(O145="","",(1/'Metadata'!$B$5)^(O145-1))</x:f>
        <x:v>912.0108393559096</x:v>
      </x:c>
      <x:c r="U145" s="31" t="n">
        <x:f>IF(T145="","",I145*T145)</x:f>
        <x:v>31.91364226218543</x:v>
      </x:c>
    </x:row>
    <x:row r="146" ht="18" customHeight="1">
      <x:c r="A146" s="24" t="str">
        <x:v>EEZ_938</x:v>
      </x:c>
      <x:c r="B146" s="24" t="str">
        <x:v>Indonesia (Indian Ocean)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0.0072588697</x:v>
      </x:c>
      <x:c r="J146" s="31" t="n">
        <x:v>0.0072588697</x:v>
      </x:c>
      <x:c r="K146" s="31" t="n">
        <x:v>0</x:v>
      </x:c>
      <x:c r="L146" s="31" t="n">
        <x:v>0.0072588697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11.504533172492248</x:v>
      </x:c>
    </x:row>
    <x:row r="147" ht="18" customHeight="1">
      <x:c r="A147" s="24" t="str">
        <x:v>EEZ_938</x:v>
      </x:c>
      <x:c r="B147" s="24" t="str">
        <x:v>Indonesia (Indian Ocean)</x:v>
      </x:c>
      <x:c r="C147" s="24" t="str">
        <x:v>EEZ</x:v>
      </x:c>
      <x:c r="D147" s="30" t="n">
        <x:v>2019</x:v>
      </x:c>
      <x:c r="E147" s="24" t="str">
        <x:v>Pampus</x:v>
      </x:c>
      <x:c r="F147" s="24" t="str">
        <x:v>Silver pomfrets</x:v>
      </x:c>
      <x:c r="G147" s="24" t="str">
        <x:v>Medium benthopelagics (30 - 89 cm)</x:v>
      </x:c>
      <x:c r="H147" s="24" t="str">
        <x:v>Perch-likes</x:v>
      </x:c>
      <x:c r="I147" s="31" t="n">
        <x:v>0.0018648103</x:v>
      </x:c>
      <x:c r="J147" s="31" t="n">
        <x:v>0.0018648103</x:v>
      </x:c>
      <x:c r="K147" s="31" t="n">
        <x:v>0</x:v>
      </x:c>
      <x:c r="L147" s="31" t="n">
        <x:v>0.0018648103</x:v>
      </x:c>
      <x:c r="M147" s="31" t="n">
        <x:v>0</x:v>
      </x:c>
      <x:c r="N147" s="24" t="str">
        <x:v>pampus</x:v>
      </x:c>
      <x:c r="O147" s="32" t="n">
        <x:v>3.41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Pampus</x:v>
      </x:c>
      <x:c r="T147" s="32" t="n">
        <x:f>IF(O147="","",(1/'Metadata'!$B$5)^(O147-1))</x:f>
        <x:v>257.03957827688646</x:v>
      </x:c>
      <x:c r="U147" s="31" t="n">
        <x:f>IF(T147="","",I147*T147)</x:f>
        <x:v>0.47933005307839416</x:v>
      </x:c>
    </x:row>
    <x:row r="148" ht="18" customHeight="1">
      <x:c r="A148" s="24" t="str">
        <x:v>EEZ_938</x:v>
      </x:c>
      <x:c r="B148" s="24" t="str">
        <x:v>Indonesia (Indian Ocean)</x:v>
      </x:c>
      <x:c r="C148" s="24" t="str">
        <x:v>EEZ</x:v>
      </x:c>
      <x:c r="D148" s="30" t="n">
        <x:v>2019</x:v>
      </x:c>
      <x:c r="E148" s="24" t="str">
        <x:v>Thunnus maccoyii</x:v>
      </x:c>
      <x:c r="F148" s="24" t="str">
        <x:v>Southern bluefin tuna</x:v>
      </x:c>
      <x:c r="G148" s="24" t="str">
        <x:v>Large pelagics (&gt;=90 cm)</x:v>
      </x:c>
      <x:c r="H148" s="24" t="str">
        <x:v>Tuna &amp; billfishes</x:v>
      </x:c>
      <x:c r="I148" s="31" t="n">
        <x:v>0.0012039239</x:v>
      </x:c>
      <x:c r="J148" s="31" t="n">
        <x:v>0.0012039239</x:v>
      </x:c>
      <x:c r="K148" s="31" t="n">
        <x:v>0</x:v>
      </x:c>
      <x:c r="L148" s="31" t="n">
        <x:v>0.0012039239</x:v>
      </x:c>
      <x:c r="M148" s="31" t="n">
        <x:v>0</x:v>
      </x:c>
      <x:c r="N148" s="24" t="str">
        <x:v>thunnus maccoyii</x:v>
      </x:c>
      <x:c r="O148" s="32" t="n">
        <x:v>3.93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Thunnus maccoyii</x:v>
      </x:c>
      <x:c r="T148" s="32" t="n">
        <x:f>IF(O148="","",(1/'Metadata'!$B$5)^(O148-1))</x:f>
        <x:v>851.1380382023768</x:v>
      </x:c>
      <x:c r="U148" s="31" t="n">
        <x:f>IF(T148="","",I148*T148)</x:f>
        <x:v>1.0247054263909545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aad8b9712f14c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104223.7830808987</x:v>
      </x:c>
      <x:c r="C2" s="32" t="n">
        <x:v>3.434908096205375</x:v>
      </x:c>
      <x:c r="D2" s="32" t="n">
        <x:f>IF(C2="","",(1/'Metadata'!$B$5)^(C2-1))</x:f>
        <x:v>272.21252010396614</x:v>
      </x:c>
      <x:c r="E2" s="31" t="n">
        <x:f>IF(B2=0,"",B2*D2)</x:f>
        <x:v>28371018.647220545</x:v>
      </x:c>
    </x:row>
    <x:row r="3" ht="18" customHeight="1">
      <x:c r="A3" s="24" t="str">
        <x:v>Crustaceans</x:v>
      </x:c>
      <x:c r="B3" s="31" t="n">
        <x:v>161439.37040962788</x:v>
      </x:c>
      <x:c r="C3" s="32" t="n">
        <x:v>3.012354216349444</x:v>
      </x:c>
      <x:c r="D3" s="32" t="n">
        <x:f>IF(C3="","",(1/'Metadata'!$B$5)^(C3-1))</x:f>
        <x:v>102.88551039014398</x:v>
      </x:c>
      <x:c r="E3" s="31" t="n">
        <x:f>IF(B3=0,"",B3*D3)</x:f>
        <x:v>16609772.021658072</x:v>
      </x:c>
    </x:row>
    <x:row r="4" ht="18" customHeight="1">
      <x:c r="A4" s="24" t="str">
        <x:v>Flatfishes</x:v>
      </x:c>
      <x:c r="B4" s="31" t="n">
        <x:v>10823.8837436874</x:v>
      </x:c>
      <x:c r="C4" s="32" t="n">
        <x:v>3.8282868629043634</x:v>
      </x:c>
      <x:c r="D4" s="32" t="n">
        <x:f>IF(C4="","",(1/'Metadata'!$B$5)^(C4-1))</x:f>
        <x:v>673.4213218701054</x:v>
      </x:c>
      <x:c r="E4" s="31" t="n">
        <x:f>IF(B4=0,"",B4*D4)</x:f>
        <x:v>7289034.098442314</x:v>
      </x:c>
    </x:row>
    <x:row r="5" ht="18" customHeight="1">
      <x:c r="A5" s="24" t="str">
        <x:v>Herring-likes</x:v>
      </x:c>
      <x:c r="B5" s="31" t="n">
        <x:v>147055.0080622018</x:v>
      </x:c>
      <x:c r="C5" s="32" t="n">
        <x:v>2.7917344110961304</x:v>
      </x:c>
      <x:c r="D5" s="32" t="n">
        <x:f>IF(C5="","",(1/'Metadata'!$B$5)^(C5-1))</x:f>
        <x:v>61.90623772371888</x:v>
      </x:c>
      <x:c r="E5" s="31" t="n">
        <x:f>IF(B5=0,"",B5*D5)</x:f>
        <x:v>9103622.287562063</x:v>
      </x:c>
    </x:row>
    <x:row r="6" ht="18" customHeight="1">
      <x:c r="A6" s="24" t="str">
        <x:v>Molluscs</x:v>
      </x:c>
      <x:c r="B6" s="31" t="n">
        <x:v>58545.934609172495</x:v>
      </x:c>
      <x:c r="C6" s="32" t="n">
        <x:v>2.0156213928486992</x:v>
      </x:c>
      <x:c r="D6" s="32" t="n">
        <x:f>IF(C6="","",(1/'Metadata'!$B$5)^(C6-1))</x:f>
        <x:v>10.3662431843586</x:v>
      </x:c>
      <x:c r="E6" s="31" t="n">
        <x:f>IF(B6=0,"",B6*D6)</x:f>
        <x:v>606901.3956142387</x:v>
      </x:c>
    </x:row>
    <x:row r="7" ht="18" customHeight="1">
      <x:c r="A7" s="24" t="str">
        <x:v>Other fishes &amp; inverts</x:v>
      </x:c>
      <x:c r="B7" s="31" t="n">
        <x:v>581112.6346794202</x:v>
      </x:c>
      <x:c r="C7" s="32" t="n">
        <x:v>3.3203126409146733</x:v>
      </x:c>
      <x:c r="D7" s="32" t="n">
        <x:f>IF(C7="","",(1/'Metadata'!$B$5)^(C7-1))</x:f>
        <x:v>209.08007196765905</x:v>
      </x:c>
      <x:c r="E7" s="31" t="n">
        <x:f>IF(B7=0,"",B7*D7)</x:f>
        <x:v>121499071.48008913</x:v>
      </x:c>
    </x:row>
    <x:row r="8" ht="18" customHeight="1">
      <x:c r="A8" s="24" t="str">
        <x:v>Perch-likes</x:v>
      </x:c>
      <x:c r="B8" s="31" t="n">
        <x:v>784201.2109761894</x:v>
      </x:c>
      <x:c r="C8" s="32" t="n">
        <x:v>3.6450194043121575</x:v>
      </x:c>
      <x:c r="D8" s="32" t="n">
        <x:f>IF(C8="","",(1/'Metadata'!$B$5)^(C8-1))</x:f>
        <x:v>441.59017719695004</x:v>
      </x:c>
      <x:c r="E8" s="31" t="n">
        <x:f>IF(B8=0,"",B8*D8)</x:f>
        <x:v>346295551.71303827</x:v>
      </x:c>
    </x:row>
    <x:row r="9" ht="18" customHeight="1">
      <x:c r="A9" s="24" t="str">
        <x:v>Scorpionfishes</x:v>
      </x:c>
      <x:c r="B9" s="31" t="n">
        <x:v>887.9142537995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705295.3618070843</x:v>
      </x:c>
    </x:row>
    <x:row r="10" ht="18" customHeight="1">
      <x:c r="A10" s="24" t="str">
        <x:v>Sharks &amp; rays</x:v>
      </x:c>
      <x:c r="B10" s="31" t="n">
        <x:v>68795.0982269668</x:v>
      </x:c>
      <x:c r="C10" s="32" t="n">
        <x:v>4.293927078851093</x:v>
      </x:c>
      <x:c r="D10" s="32" t="n">
        <x:f>IF(C10="","",(1/'Metadata'!$B$5)^(C10-1))</x:f>
        <x:v>1967.5558952661256</x:v>
      </x:c>
      <x:c r="E10" s="31" t="n">
        <x:f>IF(B10=0,"",B10*D10)</x:f>
        <x:v>135358201.08188072</x:v>
      </x:c>
    </x:row>
    <x:row r="11" ht="18" customHeight="1">
      <x:c r="A11" s="24" t="str">
        <x:v>Tuna &amp; billfishes</x:v>
      </x:c>
      <x:c r="B11" s="31" t="n">
        <x:v>195622.7344825464</x:v>
      </x:c>
      <x:c r="C11" s="32" t="n">
        <x:v>4.413894471405276</x:v>
      </x:c>
      <x:c r="D11" s="32" t="n">
        <x:f>IF(C11="","",(1/'Metadata'!$B$5)^(C11-1))</x:f>
        <x:v>2593.5490827660724</x:v>
      </x:c>
      <x:c r="E11" s="31" t="n">
        <x:f>IF(B11=0,"",B11*D11)</x:f>
        <x:v>507357163.58539915</x:v>
      </x:c>
    </x:row>
  </x:sheetData>
  <x:pageMargins left="0.7" right="0.7" top="0.75" bottom="0.75" header="0.3" footer="0.3"/>
  <x:tableParts count="1">
    <x:tablePart xmlns:r="http://schemas.openxmlformats.org/officeDocument/2006/relationships" r:id="R55b8fc14d7034c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22629.126029438103</x:v>
      </x:c>
      <x:c r="C2" s="32" t="n">
        <x:v>3.7055341258111136</x:v>
      </x:c>
      <x:c r="D2" s="32" t="n">
        <x:f>IF(C2="","",(1/'Metadata'!$B$5)^(C2-1))</x:f>
        <x:v>507.61462459260696</x:v>
      </x:c>
      <x:c r="E2" s="31" t="n">
        <x:f>IF(B2=0,"",B2*D2)</x:f>
        <x:v>11486875.314292014</x:v>
      </x:c>
    </x:row>
    <x:row r="3" ht="18" customHeight="1">
      <x:c r="A3" s="24" t="str">
        <x:v>Jellyfish</x:v>
      </x:c>
      <x:c r="B3" s="31" t="n">
        <x:v>10338.3368432905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2981608.914598427</x:v>
      </x:c>
    </x:row>
    <x:row r="4" ht="18" customHeight="1">
      <x:c r="A4" s="24" t="str">
        <x:v>Large benthopelagics (&gt;=90 cm)</x:v>
      </x:c>
      <x:c r="B4" s="31" t="n">
        <x:v>42284.86686963379</x:v>
      </x:c>
      <x:c r="C4" s="32" t="n">
        <x:v>4.359126687370862</x:v>
      </x:c>
      <x:c r="D4" s="32" t="n">
        <x:f>IF(C4="","",(1/'Metadata'!$B$5)^(C4-1))</x:f>
        <x:v>2286.265629118007</x:v>
      </x:c>
      <x:c r="E4" s="31" t="n">
        <x:f>IF(B4=0,"",B4*D4)</x:f>
        <x:v>96674437.75587447</x:v>
      </x:c>
    </x:row>
    <x:row r="5" ht="18" customHeight="1">
      <x:c r="A5" s="24" t="str">
        <x:v>Large demersals (&gt;=90 cm)</x:v>
      </x:c>
      <x:c r="B5" s="31" t="n">
        <x:v>62411.5974254076</x:v>
      </x:c>
      <x:c r="C5" s="32" t="n">
        <x:v>3.787456945088495</x:v>
      </x:c>
      <x:c r="D5" s="32" t="n">
        <x:f>IF(C5="","",(1/'Metadata'!$B$5)^(C5-1))</x:f>
        <x:v>612.9950182840453</x:v>
      </x:c>
      <x:c r="E5" s="31" t="n">
        <x:f>IF(B5=0,"",B5*D5)</x:f>
        <x:v>38257998.304924205</x:v>
      </x:c>
    </x:row>
    <x:row r="6" ht="18" customHeight="1">
      <x:c r="A6" s="24" t="str">
        <x:v>Large pelagics (&gt;=90 cm)</x:v>
      </x:c>
      <x:c r="B6" s="31" t="n">
        <x:v>189252.1260156153</x:v>
      </x:c>
      <x:c r="C6" s="32" t="n">
        <x:v>4.454417049680887</x:v>
      </x:c>
      <x:c r="D6" s="32" t="n">
        <x:f>IF(C6="","",(1/'Metadata'!$B$5)^(C6-1))</x:f>
        <x:v>2847.1939337157323</x:v>
      </x:c>
      <x:c r="E6" s="31" t="n">
        <x:f>IF(B6=0,"",B6*D6)</x:f>
        <x:v>538837505.1344652</x:v>
      </x:c>
    </x:row>
    <x:row r="7" ht="18" customHeight="1">
      <x:c r="A7" s="24" t="str">
        <x:v>Large rays (&gt;=90 cm)</x:v>
      </x:c>
      <x:c r="B7" s="31" t="n">
        <x:v>207.992458146</x:v>
      </x:c>
      <x:c r="C7" s="32" t="n">
        <x:v>3.427624125179274</x:v>
      </x:c>
      <x:c r="D7" s="32" t="n">
        <x:f>IF(C7="","",(1/'Metadata'!$B$5)^(C7-1))</x:f>
        <x:v>267.6850551288531</x:v>
      </x:c>
      <x:c r="E7" s="31" t="n">
        <x:f>IF(B7=0,"",B7*D7)</x:f>
        <x:v>55676.472625197675</x:v>
      </x:c>
    </x:row>
    <x:row r="8" ht="18" customHeight="1">
      <x:c r="A8" s="24" t="str">
        <x:v>Large sharks (&gt;=90 cm)</x:v>
      </x:c>
      <x:c r="B8" s="31" t="n">
        <x:v>68587.1057688208</x:v>
      </x:c>
      <x:c r="C8" s="32" t="n">
        <x:v>4.296554168576101</x:v>
      </x:c>
      <x:c r="D8" s="32" t="n">
        <x:f>IF(C8="","",(1/'Metadata'!$B$5)^(C8-1))</x:f>
        <x:v>1979.4939036730154</x:v>
      </x:c>
      <x:c r="E8" s="31" t="n">
        <x:f>IF(B8=0,"",B8*D8)</x:f>
        <x:v>135767757.73995706</x:v>
      </x:c>
    </x:row>
    <x:row r="9" ht="18" customHeight="1">
      <x:c r="A9" s="24" t="str">
        <x:v>Lobsters, crabs</x:v>
      </x:c>
      <x:c r="B9" s="31" t="n">
        <x:v>36144.884041380305</x:v>
      </x:c>
      <x:c r="C9" s="32" t="n">
        <x:v>3.40967899059542</x:v>
      </x:c>
      <x:c r="D9" s="32" t="n">
        <x:f>IF(C9="","",(1/'Metadata'!$B$5)^(C9-1))</x:f>
        <x:v>256.8496572936665</x:v>
      </x:c>
      <x:c r="E9" s="31" t="n">
        <x:f>IF(B9=0,"",B9*D9)</x:f>
        <x:v>9283801.078947846</x:v>
      </x:c>
    </x:row>
    <x:row r="10" ht="18" customHeight="1">
      <x:c r="A10" s="24" t="str">
        <x:v>Medium benthopelagics (30 - 89 cm)</x:v>
      </x:c>
      <x:c r="B10" s="31" t="n">
        <x:v>44409.4801169266</x:v>
      </x:c>
      <x:c r="C10" s="32" t="n">
        <x:v>3.1192153483787224</x:v>
      </x:c>
      <x:c r="D10" s="32" t="n">
        <x:f>IF(C10="","",(1/'Metadata'!$B$5)^(C10-1))</x:f>
        <x:v>131.58771586204745</x:v>
      </x:c>
      <x:c r="E10" s="31" t="n">
        <x:f>IF(B10=0,"",B10*D10)</x:f>
        <x:v>5843742.051207383</x:v>
      </x:c>
    </x:row>
    <x:row r="11" ht="18" customHeight="1">
      <x:c r="A11" s="24" t="str">
        <x:v>Medium demersals (30 - 89 cm)</x:v>
      </x:c>
      <x:c r="B11" s="31" t="n">
        <x:v>500252.07487577276</x:v>
      </x:c>
      <x:c r="C11" s="32" t="n">
        <x:v>3.2871239107362813</x:v>
      </x:c>
      <x:c r="D11" s="32" t="n">
        <x:f>IF(C11="","",(1/'Metadata'!$B$5)^(C11-1))</x:f>
        <x:v>193.69745330311724</x:v>
      </x:c>
      <x:c r="E11" s="31" t="n">
        <x:f>IF(B11=0,"",B11*D11)</x:f>
        <x:v>96897552.91303751</x:v>
      </x:c>
    </x:row>
    <x:row r="12" ht="18" customHeight="1">
      <x:c r="A12" s="24" t="str">
        <x:v>Medium pelagics (30 - 89 cm)</x:v>
      </x:c>
      <x:c r="B12" s="31" t="n">
        <x:v>365714.2282545721</x:v>
      </x:c>
      <x:c r="C12" s="32" t="n">
        <x:v>3.5856869153662694</x:v>
      </x:c>
      <x:c r="D12" s="32" t="n">
        <x:f>IF(C12="","",(1/'Metadata'!$B$5)^(C12-1))</x:f>
        <x:v>385.2005649147647</x:v>
      </x:c>
      <x:c r="E12" s="31" t="n">
        <x:f>IF(B12=0,"",B12*D12)</x:f>
        <x:v>140873327.32102835</x:v>
      </x:c>
    </x:row>
    <x:row r="13" ht="18" customHeight="1">
      <x:c r="A13" s="24" t="str">
        <x:v>Medium reef assoc. fish (30 - 89 cm)</x:v>
      </x:c>
      <x:c r="B13" s="31" t="n">
        <x:v>98499.52598226978</x:v>
      </x:c>
      <x:c r="C13" s="32" t="n">
        <x:v>3.6396568650455166</x:v>
      </x:c>
      <x:c r="D13" s="32" t="n">
        <x:f>IF(C13="","",(1/'Metadata'!$B$5)^(C13-1))</x:f>
        <x:v>436.1710784149781</x:v>
      </x:c>
      <x:c r="E13" s="31" t="n">
        <x:f>IF(B13=0,"",B13*D13)</x:f>
        <x:v>42962644.47105077</x:v>
      </x:c>
    </x:row>
    <x:row r="14" ht="18" customHeight="1">
      <x:c r="A14" s="24" t="str">
        <x:v>Other demersal invertebrates</x:v>
      </x:c>
      <x:c r="B14" s="31" t="n">
        <x:v>59724.69629048479</x:v>
      </x:c>
      <x:c r="C14" s="32" t="n">
        <x:v>2.0213192541839646</x:v>
      </x:c>
      <x:c r="D14" s="32" t="n">
        <x:f>IF(C14="","",(1/'Metadata'!$B$5)^(C14-1))</x:f>
        <x:v>10.50314241357033</x:v>
      </x:c>
      <x:c r="E14" s="31" t="n">
        <x:f>IF(B14=0,"",B14*D14)</x:f>
        <x:v>627296.9907461974</x:v>
      </x:c>
    </x:row>
    <x:row r="15" ht="18" customHeight="1">
      <x:c r="A15" s="24" t="str">
        <x:v>Shrimps</x:v>
      </x:c>
      <x:c r="B15" s="31" t="n">
        <x:v>125294.48636824758</x:v>
      </x:c>
      <x:c r="C15" s="32" t="n">
        <x:v>2.8977341855072263</x:v>
      </x:c>
      <x:c r="D15" s="32" t="n">
        <x:f>IF(C15="","",(1/'Metadata'!$B$5)^(C15-1))</x:f>
        <x:v>79.01948329235042</x:v>
      </x:c>
      <x:c r="E15" s="31" t="n">
        <x:f>IF(B15=0,"",B15*D15)</x:f>
        <x:v>9900705.572199367</x:v>
      </x:c>
    </x:row>
    <x:row r="16" ht="18" customHeight="1">
      <x:c r="A16" s="24" t="str">
        <x:v>Small benthopelagics (&lt;30 cm)</x:v>
      </x:c>
      <x:c r="B16" s="31" t="n">
        <x:v>68278.04071842258</x:v>
      </x:c>
      <x:c r="C16" s="32" t="n">
        <x:v>3.2233247575652215</x:v>
      </x:c>
      <x:c r="D16" s="32" t="n">
        <x:f>IF(C16="","",(1/'Metadata'!$B$5)^(C16-1))</x:f>
        <x:v>167.234069300788</x:v>
      </x:c>
      <x:c r="E16" s="31" t="n">
        <x:f>IF(B16=0,"",B16*D16)</x:f>
        <x:v>11418414.593226707</x:v>
      </x:c>
    </x:row>
    <x:row r="17" ht="18" customHeight="1">
      <x:c r="A17" s="24" t="str">
        <x:v>Small demersals (&lt;30 cm)</x:v>
      </x:c>
      <x:c r="B17" s="31" t="n">
        <x:v>25402.7041698791</x:v>
      </x:c>
      <x:c r="C17" s="32" t="n">
        <x:v>3.810373712494351</x:v>
      </x:c>
      <x:c r="D17" s="32" t="n">
        <x:f>IF(C17="","",(1/'Metadata'!$B$5)^(C17-1))</x:f>
        <x:v>646.2100567217659</x:v>
      </x:c>
      <x:c r="E17" s="31" t="n">
        <x:f>IF(B17=0,"",B17*D17)</x:f>
        <x:v>16415482.902503813</x:v>
      </x:c>
    </x:row>
    <x:row r="18" ht="18" customHeight="1">
      <x:c r="A18" s="24" t="str">
        <x:v>Small pelagics (&lt;30 cm)</x:v>
      </x:c>
      <x:c r="B18" s="31" t="n">
        <x:v>341298.8358254742</x:v>
      </x:c>
      <x:c r="C18" s="32" t="n">
        <x:v>3.2526345944484767</x:v>
      </x:c>
      <x:c r="D18" s="32" t="n">
        <x:f>IF(C18="","",(1/'Metadata'!$B$5)^(C18-1))</x:f>
        <x:v>178.90999124021212</x:v>
      </x:c>
      <x:c r="E18" s="31" t="n">
        <x:f>IF(B18=0,"",B18*D18)</x:f>
        <x:v>61061771.72783018</x:v>
      </x:c>
    </x:row>
    <x:row r="19" ht="18" customHeight="1">
      <x:c r="A19" s="24" t="str">
        <x:v>Small reef assoc. fish (&lt;30 cm)</x:v>
      </x:c>
      <x:c r="B19" s="31" t="n">
        <x:v>41153.5807270413</x:v>
      </x:c>
      <x:c r="C19" s="32" t="n">
        <x:v>3.8285314382309243</x:v>
      </x:c>
      <x:c r="D19" s="32" t="n">
        <x:f>IF(C19="","",(1/'Metadata'!$B$5)^(C19-1))</x:f>
        <x:v>673.8006695978975</x:v>
      </x:c>
      <x:c r="E19" s="31" t="n">
        <x:f>IF(B19=0,"",B19*D19)</x:f>
        <x:v>27729310.250231557</x:v>
      </x:c>
    </x:row>
    <x:row r="20" ht="18" customHeight="1">
      <x:c r="A20" s="24" t="str">
        <x:v>Small to medium flatfishes (&lt;90 cm)</x:v>
      </x:c>
      <x:c r="B20" s="31" t="n">
        <x:v>10823.8837436874</x:v>
      </x:c>
      <x:c r="C20" s="32" t="n">
        <x:v>3.8282868629043634</x:v>
      </x:c>
      <x:c r="D20" s="32" t="n">
        <x:f>IF(C20="","",(1/'Metadata'!$B$5)^(C20-1))</x:f>
        <x:v>673.4213218701054</x:v>
      </x:c>
      <x:c r="E20" s="31" t="n">
        <x:f>IF(B20=0,"",B20*D20)</x:f>
        <x:v>7289034.098442314</x:v>
      </x:c>
    </x:row>
  </x:sheetData>
  <x:pageMargins left="0.7" right="0.7" top="0.75" bottom="0.75" header="0.3" footer="0.3"/>
  <x:tableParts count="1">
    <x:tablePart xmlns:r="http://schemas.openxmlformats.org/officeDocument/2006/relationships" r:id="R879f50055bde44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EEZ_938</x:v>
      </x:c>
      <x:c r="B2" s="24" t="str">
        <x:v>raw_filtered_tonnes</x:v>
      </x:c>
      <x:c r="C2" s="24" t="n">
        <x:v>2112707.5725245103</x:v>
      </x:c>
      <x:c r="D2" s="24" t="str">
        <x:v>tonnes</x:v>
      </x:c>
    </x:row>
    <x:row r="3" ht="18" customHeight="1">
      <x:c r="A3" s="24" t="str">
        <x:v>EEZ_938</x:v>
      </x:c>
      <x:c r="B3" s="24" t="str">
        <x:v>species_catch_tonnes</x:v>
      </x:c>
      <x:c r="C3" s="24" t="n">
        <x:v>2112707.572524511</x:v>
      </x:c>
      <x:c r="D3" s="24" t="str">
        <x:v>tonnes</x:v>
      </x:c>
    </x:row>
    <x:row r="4" ht="18" customHeight="1">
      <x:c r="A4" s="24" t="str">
        <x:v>EEZ_938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EEZ_938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EEZ_938</x:v>
      </x:c>
      <x:c r="B6" s="24" t="str">
        <x:v>matched_catch_tonnes</x:v>
      </x:c>
      <x:c r="C6" s="24" t="n">
        <x:v>2112707.572524511</x:v>
      </x:c>
      <x:c r="D6" s="24" t="str">
        <x:v>tonnes</x:v>
      </x:c>
    </x:row>
    <x:row r="7" ht="18" customHeight="1">
      <x:c r="A7" s="24" t="str">
        <x:v>EEZ_938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EEZ_938</x:v>
      </x:c>
      <x:c r="B8" s="24" t="str">
        <x:v>taxa_count</x:v>
      </x:c>
      <x:c r="C8" s="24" t="n">
        <x:v>147</x:v>
      </x:c>
      <x:c r="D8" s="24" t="str">
        <x:v>count</x:v>
      </x:c>
    </x:row>
    <x:row r="9" ht="18" customHeight="1">
      <x:c r="A9" s="24" t="str">
        <x:v>EEZ_938</x:v>
      </x:c>
      <x:c r="B9" s="24" t="str">
        <x:v>matched_taxa_count</x:v>
      </x:c>
      <x:c r="C9" s="24" t="n">
        <x:v>147</x:v>
      </x:c>
      <x:c r="D9" s="24" t="str">
        <x:v>count</x:v>
      </x:c>
    </x:row>
    <x:row r="10" ht="18" customHeight="1">
      <x:c r="A10" s="24" t="str">
        <x:v>EEZ_938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EEZ_938</x:v>
      </x:c>
      <x:c r="B11" s="24" t="str">
        <x:v>species_ppr</x:v>
      </x:c>
      <x:c r="C11" s="24" t="n">
        <x:v>1549538383.7711182</x:v>
      </x:c>
      <x:c r="D11" s="24" t="str">
        <x:v>tonnes_primary_production_equivalent</x:v>
      </x:c>
    </x:row>
    <x:row r="12" ht="18" customHeight="1">
      <x:c r="A12" s="24" t="str">
        <x:v>EEZ_938</x:v>
      </x:c>
      <x:c r="B12" s="24" t="str">
        <x:v>commercial_ppr</x:v>
      </x:c>
      <x:c r="C12" s="24" t="n">
        <x:v>1173195631.6727116</x:v>
      </x:c>
      <x:c r="D12" s="24" t="str">
        <x:v>tonnes_primary_production_equivalent</x:v>
      </x:c>
    </x:row>
    <x:row r="13" ht="18" customHeight="1">
      <x:c r="A13" s="24" t="str">
        <x:v>EEZ_938</x:v>
      </x:c>
      <x:c r="B13" s="24" t="str">
        <x:v>functional_ppr</x:v>
      </x:c>
      <x:c r="C13" s="24" t="n">
        <x:v>1254364943.6071885</x:v>
      </x:c>
      <x:c r="D13" s="24" t="str">
        <x:v>tonnes_primary_production_equivalent</x:v>
      </x:c>
    </x:row>
    <x:row r="14" ht="18" customHeight="1">
      <x:c r="A14" s="24" t="str">
        <x:v>EEZ_938</x:v>
      </x:c>
      <x:c r="B14" s="24" t="str">
        <x:v>commercial_ppr_difference</x:v>
      </x:c>
      <x:c r="C14" s="24" t="n">
        <x:v>-376342752.09840655</x:v>
      </x:c>
      <x:c r="D14" s="24" t="str">
        <x:v>tonnes_primary_production_equivalent</x:v>
      </x:c>
    </x:row>
    <x:row r="15" ht="18" customHeight="1">
      <x:c r="A15" s="24" t="str">
        <x:v>EEZ_938</x:v>
      </x:c>
      <x:c r="B15" s="24" t="str">
        <x:v>functional_ppr_difference</x:v>
      </x:c>
      <x:c r="C15" s="24" t="n">
        <x:v>-295173440.1639297</x:v>
      </x:c>
      <x:c r="D15" s="24" t="str">
        <x:v>tonnes_primary_production_equivalent</x:v>
      </x:c>
    </x:row>
    <x:row r="16" ht="18" customHeight="1">
      <x:c r="A16" s="24" t="str">
        <x:v>EEZ_938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34ebc2bc5f349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EEZ_938 - Indonesia (Indian Ocean)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