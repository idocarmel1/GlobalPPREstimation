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1fd28641c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6c5f3a803144ef8"/>
    <x:sheet xmlns:r="http://schemas.openxmlformats.org/officeDocument/2006/relationships" name="Commercial" sheetId="2" r:id="R08462d3016bb4d98"/>
    <x:sheet xmlns:r="http://schemas.openxmlformats.org/officeDocument/2006/relationships" name="Functional" sheetId="3" r:id="R79ed9c2958c54031"/>
    <x:sheet xmlns:r="http://schemas.openxmlformats.org/officeDocument/2006/relationships" name="Missing TL" sheetId="4" r:id="R41a3b563577b4b8f"/>
    <x:sheet xmlns:r="http://schemas.openxmlformats.org/officeDocument/2006/relationships" name="Validation" sheetId="5" r:id="R717de651c15941db"/>
    <x:sheet xmlns:r="http://schemas.openxmlformats.org/officeDocument/2006/relationships" name="Metadata" sheetId="6" r:id="Ra7fe0e0b034541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928ca4df44655" /><Relationship Type="http://schemas.openxmlformats.org/officeDocument/2006/relationships/theme" Target="/xl/theme/theme1.xml" Id="Rc0eaa1c37a9e4604" /><Relationship Type="http://schemas.microsoft.com/office/2022/11/relationships/FeaturePropertyBag" Target="/xl/featurePropertyBag/featurePropertyBag.xml" Id="R01e529819d764371" /><Relationship Type="http://schemas.openxmlformats.org/officeDocument/2006/relationships/sharedStrings" Target="/xl/sharedStrings.xml" Id="R1bae7554c7e247e9" /><Relationship Type="http://schemas.openxmlformats.org/officeDocument/2006/relationships/worksheet" Target="/xl/worksheets/sheet1.xml" Id="R46c5f3a803144ef8" /><Relationship Type="http://schemas.openxmlformats.org/officeDocument/2006/relationships/worksheet" Target="/xl/worksheets/sheet2.xml" Id="R08462d3016bb4d98" /><Relationship Type="http://schemas.openxmlformats.org/officeDocument/2006/relationships/worksheet" Target="/xl/worksheets/sheet3.xml" Id="R79ed9c2958c54031" /><Relationship Type="http://schemas.openxmlformats.org/officeDocument/2006/relationships/worksheet" Target="/xl/worksheets/sheet4.xml" Id="R41a3b563577b4b8f" /><Relationship Type="http://schemas.openxmlformats.org/officeDocument/2006/relationships/worksheet" Target="/xl/worksheets/sheet5.xml" Id="R717de651c15941db" /><Relationship Type="http://schemas.openxmlformats.org/officeDocument/2006/relationships/worksheet" Target="/xl/worksheets/sheet6.xml" Id="Ra7fe0e0b034541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65SpeciesTable" displayName="LME065SpeciesTable" ref="A1:U69" headerRowCount="1" totalsRowCount="0" totalsRowShown="0">
  <x:autoFilter ref="A1:U6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5CommercialTable" displayName="LME065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5FunctionalTable" displayName="LME065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5ValidationTable" displayName="LME06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54f7c4c3194f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b001bb04d347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1b8078573f40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702e1fff7c409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LME_065</x:v>
      </x:c>
      <x:c r="B2" s="24" t="str">
        <x:v>Aleutian Islands</x:v>
      </x:c>
      <x:c r="C2" s="24" t="str">
        <x:v>LME</x:v>
      </x:c>
      <x:c r="D2" s="30" t="n">
        <x:v>2019</x:v>
      </x:c>
      <x:c r="E2" s="24" t="str">
        <x:v>Gadus chalcogrammus</x:v>
      </x:c>
      <x:c r="F2" s="24" t="str">
        <x:v>Alaska pollock</x:v>
      </x:c>
      <x:c r="G2" s="24" t="str">
        <x:v>Medium benthopelagics (30 - 89 cm)</x:v>
      </x:c>
      <x:c r="H2" s="24" t="str">
        <x:v>Cod-likes</x:v>
      </x:c>
      <x:c r="I2" s="31" t="n">
        <x:v>86041.6643582491</x:v>
      </x:c>
      <x:c r="J2" s="31" t="n">
        <x:v>83089.38790347369</x:v>
      </x:c>
      <x:c r="K2" s="31" t="n">
        <x:v>2952.2764547754005</x:v>
      </x:c>
      <x:c r="L2" s="31" t="n">
        <x:v>83089.3796524477</x:v>
      </x:c>
      <x:c r="M2" s="31" t="n">
        <x:v>2952.2847058014004</x:v>
      </x:c>
      <x:c r="N2" s="24" t="str">
        <x:v>gadus chalcogrammus</x:v>
      </x:c>
      <x:c r="O2" s="32" t="n">
        <x:v>3.57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Gadus chalcogrammus</x:v>
      </x:c>
      <x:c r="T2" s="32" t="n">
        <x:f>IF(O2="","",(1/'Metadata'!$B$5)^(O2-1))</x:f>
        <x:v>371.5352290971724</x:v>
      </x:c>
      <x:c r="U2" s="31" t="n">
        <x:f>IF(T2="","",I2*T2)</x:f>
        <x:v>31967509.47924409</x:v>
      </x:c>
    </x:row>
    <x:row r="3" ht="18" customHeight="1">
      <x:c r="A3" s="24" t="str">
        <x:v>LME_065</x:v>
      </x:c>
      <x:c r="B3" s="24" t="str">
        <x:v>Aleutian Islands</x:v>
      </x:c>
      <x:c r="C3" s="24" t="str">
        <x:v>LME</x:v>
      </x:c>
      <x:c r="D3" s="30" t="n">
        <x:v>2019</x:v>
      </x:c>
      <x:c r="E3" s="24" t="str">
        <x:v>Gadus macrocephalus</x:v>
      </x:c>
      <x:c r="F3" s="24" t="str">
        <x:v>Pacific cod</x:v>
      </x:c>
      <x:c r="G3" s="24" t="str">
        <x:v>Large demersals (&gt;=90 cm)</x:v>
      </x:c>
      <x:c r="H3" s="24" t="str">
        <x:v>Cod-likes</x:v>
      </x:c>
      <x:c r="I3" s="31" t="n">
        <x:v>14648.1259484195</x:v>
      </x:c>
      <x:c r="J3" s="31" t="n">
        <x:v>13128.783672077501</x:v>
      </x:c>
      <x:c r="K3" s="31" t="n">
        <x:v>1519.3422763419999</x:v>
      </x:c>
      <x:c r="L3" s="31" t="n">
        <x:v>13126.3398815563</x:v>
      </x:c>
      <x:c r="M3" s="31" t="n">
        <x:v>1521.7860668632</x:v>
      </x:c>
      <x:c r="N3" s="24" t="str">
        <x:v>gadus macrocephalus</x:v>
      </x:c>
      <x:c r="O3" s="32" t="n">
        <x:v>4.16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Gadus macrocephalus</x:v>
      </x:c>
      <x:c r="T3" s="32" t="n">
        <x:f>IF(O3="","",(1/'Metadata'!$B$5)^(O3-1))</x:f>
        <x:v>1445.439770745928</x:v>
      </x:c>
      <x:c r="U3" s="31" t="n">
        <x:f>IF(T3="","",I3*T3)</x:f>
        <x:v>21172983.81274096</x:v>
      </x:c>
    </x:row>
    <x:row r="4" ht="18" customHeight="1">
      <x:c r="A4" s="24" t="str">
        <x:v>LME_065</x:v>
      </x:c>
      <x:c r="B4" s="24" t="str">
        <x:v>Aleutian Islands</x:v>
      </x:c>
      <x:c r="C4" s="24" t="str">
        <x:v>LME</x:v>
      </x:c>
      <x:c r="D4" s="30" t="n">
        <x:v>2019</x:v>
      </x:c>
      <x:c r="E4" s="24" t="str">
        <x:v>Limanda aspera</x:v>
      </x:c>
      <x:c r="F4" s="24" t="str">
        <x:v>Yellowfin sole</x:v>
      </x:c>
      <x:c r="G4" s="24" t="str">
        <x:v>Small to medium flatfishes (&lt;90 cm)</x:v>
      </x:c>
      <x:c r="H4" s="24" t="str">
        <x:v>Flatfishes</x:v>
      </x:c>
      <x:c r="I4" s="31" t="n">
        <x:v>11133.3411091532</x:v>
      </x:c>
      <x:c r="J4" s="31" t="n">
        <x:v>9395.4351432619</x:v>
      </x:c>
      <x:c r="K4" s="31" t="n">
        <x:v>1737.9059658913</x:v>
      </x:c>
      <x:c r="L4" s="31" t="n">
        <x:v>9395.4351432619</x:v>
      </x:c>
      <x:c r="M4" s="31" t="n">
        <x:v>1737.9059658913</x:v>
      </x:c>
      <x:c r="N4" s="24" t="str">
        <x:v>limanda aspera</x:v>
      </x:c>
      <x:c r="O4" s="32" t="n">
        <x:v>3.49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Limanda aspera</x:v>
      </x:c>
      <x:c r="T4" s="32" t="n">
        <x:f>IF(O4="","",(1/'Metadata'!$B$5)^(O4-1))</x:f>
        <x:v>309.0295432513592</x:v>
      </x:c>
      <x:c r="U4" s="31" t="n">
        <x:f>IF(T4="","",I4*T4)</x:f>
        <x:v>3440531.317823194</x:v>
      </x:c>
    </x:row>
    <x:row r="5" ht="18" customHeight="1">
      <x:c r="A5" s="24" t="str">
        <x:v>LME_065</x:v>
      </x:c>
      <x:c r="B5" s="24" t="str">
        <x:v>Aleutian Islands</x:v>
      </x:c>
      <x:c r="C5" s="24" t="str">
        <x:v>LME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6450.6532988615</x:v>
      </x:c>
      <x:c r="J5" s="31" t="n">
        <x:v>1776.4269413497998</x:v>
      </x:c>
      <x:c r="K5" s="31" t="n">
        <x:v>4674.2263575117</x:v>
      </x:c>
      <x:c r="L5" s="31" t="n">
        <x:v>1556.3940147417</x:v>
      </x:c>
      <x:c r="M5" s="31" t="n">
        <x:v>4894.2592841198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1229146.6466180617</x:v>
      </x:c>
    </x:row>
    <x:row r="6" ht="18" customHeight="1">
      <x:c r="A6" s="24" t="str">
        <x:v>LME_065</x:v>
      </x:c>
      <x:c r="B6" s="24" t="str">
        <x:v>Aleutian Islands</x:v>
      </x:c>
      <x:c r="C6" s="24" t="str">
        <x:v>LME</x:v>
      </x:c>
      <x:c r="D6" s="30" t="n">
        <x:v>2019</x:v>
      </x:c>
      <x:c r="E6" s="24" t="str">
        <x:v>Pleurogrammus monopterygius</x:v>
      </x:c>
      <x:c r="F6" s="24" t="str">
        <x:v>Atka mackerel</x:v>
      </x:c>
      <x:c r="G6" s="24" t="str">
        <x:v>Medium demersals (30 - 89 cm)</x:v>
      </x:c>
      <x:c r="H6" s="24" t="str">
        <x:v>Scorpionfishes</x:v>
      </x:c>
      <x:c r="I6" s="31" t="n">
        <x:v>5861.136425063601</x:v>
      </x:c>
      <x:c r="J6" s="31" t="n">
        <x:v>5632.639728928701</x:v>
      </x:c>
      <x:c r="K6" s="31" t="n">
        <x:v>228.49669613490002</x:v>
      </x:c>
      <x:c r="L6" s="31" t="n">
        <x:v>5632.639728928701</x:v>
      </x:c>
      <x:c r="M6" s="31" t="n">
        <x:v>228.49669613490002</x:v>
      </x:c>
      <x:c r="N6" s="24" t="str">
        <x:v>pleurogrammus monopterygius</x:v>
      </x:c>
      <x:c r="O6" s="32" t="n">
        <x:v>3.38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Pleurogrammus monopterygius</x:v>
      </x:c>
      <x:c r="T6" s="32" t="n">
        <x:f>IF(O6="","",(1/'Metadata'!$B$5)^(O6-1))</x:f>
        <x:v>239.88329190194898</x:v>
      </x:c>
      <x:c r="U6" s="31" t="n">
        <x:f>IF(T6="","",I6*T6)</x:f>
        <x:v>1405988.6999306774</x:v>
      </x:c>
    </x:row>
    <x:row r="7" ht="18" customHeight="1">
      <x:c r="A7" s="24" t="str">
        <x:v>LME_065</x:v>
      </x:c>
      <x:c r="B7" s="24" t="str">
        <x:v>Aleutian Islands</x:v>
      </x:c>
      <x:c r="C7" s="24" t="str">
        <x:v>LME</x:v>
      </x:c>
      <x:c r="D7" s="30" t="n">
        <x:v>2019</x:v>
      </x:c>
      <x:c r="E7" s="24" t="str">
        <x:v>Sebastes alutus</x:v>
      </x:c>
      <x:c r="F7" s="24" t="str">
        <x:v>Pacific ocean perch</x:v>
      </x:c>
      <x:c r="G7" s="24" t="str">
        <x:v>Medium demersals (30 - 89 cm)</x:v>
      </x:c>
      <x:c r="H7" s="24" t="str">
        <x:v>Scorpionfishes</x:v>
      </x:c>
      <x:c r="I7" s="31" t="n">
        <x:v>5517.8297153384</x:v>
      </x:c>
      <x:c r="J7" s="31" t="n">
        <x:v>4206.5762301215</x:v>
      </x:c>
      <x:c r="K7" s="31" t="n">
        <x:v>1311.2534852169001</x:v>
      </x:c>
      <x:c r="L7" s="31" t="n">
        <x:v>4206.5762301215</x:v>
      </x:c>
      <x:c r="M7" s="31" t="n">
        <x:v>1311.2534852169001</x:v>
      </x:c>
      <x:c r="N7" s="24" t="str">
        <x:v>sebastes alutus</x:v>
      </x:c>
      <x:c r="O7" s="32" t="n">
        <x:v>3.48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Sebastes alutus</x:v>
      </x:c>
      <x:c r="T7" s="32" t="n">
        <x:f>IF(O7="","",(1/'Metadata'!$B$5)^(O7-1))</x:f>
        <x:v>301.9951720402016</x:v>
      </x:c>
      <x:c r="U7" s="31" t="n">
        <x:f>IF(T7="","",I7*T7)</x:f>
        <x:v>1666357.934172157</x:v>
      </x:c>
    </x:row>
    <x:row r="8" ht="18" customHeight="1">
      <x:c r="A8" s="24" t="str">
        <x:v>LME_065</x:v>
      </x:c>
      <x:c r="B8" s="24" t="str">
        <x:v>Aleutian Islands</x:v>
      </x:c>
      <x:c r="C8" s="24" t="str">
        <x:v>LME</x:v>
      </x:c>
      <x:c r="D8" s="30" t="n">
        <x:v>2019</x:v>
      </x:c>
      <x:c r="E8" s="24" t="str">
        <x:v>Oncorhynchus gorbuscha</x:v>
      </x:c>
      <x:c r="F8" s="24" t="str">
        <x:v>Pink salmon</x:v>
      </x:c>
      <x:c r="G8" s="24" t="str">
        <x:v>Medium demersals (30 - 89 cm)</x:v>
      </x:c>
      <x:c r="H8" s="24" t="str">
        <x:v>Salmon, smelts, etc</x:v>
      </x:c>
      <x:c r="I8" s="31" t="n">
        <x:v>4319.471655354099</x:v>
      </x:c>
      <x:c r="J8" s="31" t="n">
        <x:v>4286.4730785538995</x:v>
      </x:c>
      <x:c r="K8" s="31" t="n">
        <x:v>32.9985768002</x:v>
      </x:c>
      <x:c r="L8" s="31" t="n">
        <x:v>4280.9544082811</x:v>
      </x:c>
      <x:c r="M8" s="31" t="n">
        <x:v>38.517247073</x:v>
      </x:c>
      <x:c r="N8" s="24" t="str">
        <x:v>oncorhynchus gorbuscha</x:v>
      </x:c>
      <x:c r="O8" s="32" t="n">
        <x:v>4.49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Oncorhynchus gorbuscha</x:v>
      </x:c>
      <x:c r="T8" s="32" t="n">
        <x:f>IF(O8="","",(1/'Metadata'!$B$5)^(O8-1))</x:f>
        <x:v>3090.295432513592</x:v>
      </x:c>
      <x:c r="U8" s="31" t="n">
        <x:f>IF(T8="","",I8*T8)</x:f>
        <x:v>13348443.527412698</x:v>
      </x:c>
    </x:row>
    <x:row r="9" ht="18" customHeight="1">
      <x:c r="A9" s="24" t="str">
        <x:v>LME_065</x:v>
      </x:c>
      <x:c r="B9" s="24" t="str">
        <x:v>Aleutian Islands</x:v>
      </x:c>
      <x:c r="C9" s="24" t="str">
        <x:v>LME</x:v>
      </x:c>
      <x:c r="D9" s="30" t="n">
        <x:v>2019</x:v>
      </x:c>
      <x:c r="E9" s="24" t="str">
        <x:v>Oncorhynchus nerka</x:v>
      </x:c>
      <x:c r="F9" s="24" t="str">
        <x:v>Sockeye salmon</x:v>
      </x:c>
      <x:c r="G9" s="24" t="str">
        <x:v>Medium pelagics (30 - 89 cm)</x:v>
      </x:c>
      <x:c r="H9" s="24" t="str">
        <x:v>Salmon, smelts, etc</x:v>
      </x:c>
      <x:c r="I9" s="31" t="n">
        <x:v>2656.3482379735</x:v>
      </x:c>
      <x:c r="J9" s="31" t="n">
        <x:v>2654.939684843</x:v>
      </x:c>
      <x:c r="K9" s="31" t="n">
        <x:v>1.4085531305</x:v>
      </x:c>
      <x:c r="L9" s="31" t="n">
        <x:v>2644.5936310026</x:v>
      </x:c>
      <x:c r="M9" s="31" t="n">
        <x:v>11.7546069709</x:v>
      </x:c>
      <x:c r="N9" s="24" t="str">
        <x:v>oncorhynchus nerka</x:v>
      </x:c>
      <x:c r="O9" s="32" t="n">
        <x:v>3.54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Oncorhynchus nerka</x:v>
      </x:c>
      <x:c r="T9" s="32" t="n">
        <x:f>IF(O9="","",(1/'Metadata'!$B$5)^(O9-1))</x:f>
        <x:v>346.73685045253166</x:v>
      </x:c>
      <x:c r="U9" s="31" t="n">
        <x:f>IF(T9="","",I9*T9)</x:f>
        <x:v>921053.8217400635</x:v>
      </x:c>
    </x:row>
    <x:row r="10" ht="18" customHeight="1">
      <x:c r="A10" s="24" t="str">
        <x:v>LME_065</x:v>
      </x:c>
      <x:c r="B10" s="24" t="str">
        <x:v>Aleutian Islands</x:v>
      </x:c>
      <x:c r="C10" s="24" t="str">
        <x:v>LME</x:v>
      </x:c>
      <x:c r="D10" s="30" t="n">
        <x:v>2019</x:v>
      </x:c>
      <x:c r="E10" s="24" t="str">
        <x:v>Cottidae</x:v>
      </x:c>
      <x:c r="F10" s="24" t="str">
        <x:v>Sculpins</x:v>
      </x:c>
      <x:c r="G10" s="24" t="str">
        <x:v>Large reef assoc. fish (&gt;=90 cm)</x:v>
      </x:c>
      <x:c r="H10" s="24" t="str">
        <x:v>Scorpionfishes</x:v>
      </x:c>
      <x:c r="I10" s="31" t="n">
        <x:v>2655.655677477</x:v>
      </x:c>
      <x:c r="J10" s="31" t="n">
        <x:v>0.9451562982</x:v>
      </x:c>
      <x:c r="K10" s="31" t="n">
        <x:v>2654.7105211788</x:v>
      </x:c>
      <x:c r="L10" s="31" t="n">
        <x:v>0.9234481587</x:v>
      </x:c>
      <x:c r="M10" s="31" t="n">
        <x:v>2654.7322293183</x:v>
      </x:c>
      <x:c r="N10" s="24" t="str">
        <x:v>cottidae</x:v>
      </x:c>
      <x:c r="O10" s="32" t="n">
        <x:v>3.81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Cottidae</x:v>
      </x:c>
      <x:c r="T10" s="32" t="n">
        <x:f>IF(O10="","",(1/'Metadata'!$B$5)^(O10-1))</x:f>
        <x:v>645.6542290346556</x:v>
      </x:c>
      <x:c r="U10" s="31" t="n">
        <x:f>IF(T10="","",I10*T10)</x:f>
        <x:v>1714635.3190229186</x:v>
      </x:c>
    </x:row>
    <x:row r="11" ht="18" customHeight="1">
      <x:c r="A11" s="24" t="str">
        <x:v>LME_065</x:v>
      </x:c>
      <x:c r="B11" s="24" t="str">
        <x:v>Aleutian Islands</x:v>
      </x:c>
      <x:c r="C11" s="24" t="str">
        <x:v>LME</x:v>
      </x:c>
      <x:c r="D11" s="30" t="n">
        <x:v>2019</x:v>
      </x:c>
      <x:c r="E11" s="24" t="str">
        <x:v>Oncorhynchus keta</x:v>
      </x:c>
      <x:c r="F11" s="24" t="str">
        <x:v>Chum salmon</x:v>
      </x:c>
      <x:c r="G11" s="24" t="str">
        <x:v>Large benthopelagics (&gt;=90 cm)</x:v>
      </x:c>
      <x:c r="H11" s="24" t="str">
        <x:v>Salmon, smelts, etc</x:v>
      </x:c>
      <x:c r="I11" s="31" t="n">
        <x:v>1620.9435948097998</x:v>
      </x:c>
      <x:c r="J11" s="31" t="n">
        <x:v>1618.740910608</x:v>
      </x:c>
      <x:c r="K11" s="31" t="n">
        <x:v>2.2026842018</x:v>
      </x:c>
      <x:c r="L11" s="31" t="n">
        <x:v>1587.5783138119</x:v>
      </x:c>
      <x:c r="M11" s="31" t="n">
        <x:v>33.3652809979</x:v>
      </x:c>
      <x:c r="N11" s="24" t="str">
        <x:v>oncorhynchus keta</x:v>
      </x:c>
      <x:c r="O11" s="32" t="n">
        <x:v>3.74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Oncorhynchus keta</x:v>
      </x:c>
      <x:c r="T11" s="32" t="n">
        <x:f>IF(O11="","",(1/'Metadata'!$B$5)^(O11-1))</x:f>
        <x:v>549.5408738576248</x:v>
      </x:c>
      <x:c r="U11" s="31" t="n">
        <x:f>IF(T11="","",I11*T11)</x:f>
        <x:v>890774.759565697</x:v>
      </x:c>
    </x:row>
    <x:row r="12" ht="18" customHeight="1">
      <x:c r="A12" s="24" t="str">
        <x:v>LME_065</x:v>
      </x:c>
      <x:c r="B12" s="24" t="str">
        <x:v>Aleutian Islands</x:v>
      </x:c>
      <x:c r="C12" s="24" t="str">
        <x:v>LME</x:v>
      </x:c>
      <x:c r="D12" s="30" t="n">
        <x:v>2019</x:v>
      </x:c>
      <x:c r="E12" s="24" t="str">
        <x:v>Hippoglossoides elassodon</x:v>
      </x:c>
      <x:c r="F12" s="24" t="str">
        <x:v>Flathead sole</x:v>
      </x:c>
      <x:c r="G12" s="24" t="str">
        <x:v>Small to medium flatfishes (&lt;90 cm)</x:v>
      </x:c>
      <x:c r="H12" s="24" t="str">
        <x:v>Flatfishes</x:v>
      </x:c>
      <x:c r="I12" s="31" t="n">
        <x:v>1523.5399757917999</x:v>
      </x:c>
      <x:c r="J12" s="31" t="n">
        <x:v>1023.4879875353</x:v>
      </x:c>
      <x:c r="K12" s="31" t="n">
        <x:v>500.0519882565</x:v>
      </x:c>
      <x:c r="L12" s="31" t="n">
        <x:v>1023.4879875353</x:v>
      </x:c>
      <x:c r="M12" s="31" t="n">
        <x:v>500.0519882565</x:v>
      </x:c>
      <x:c r="N12" s="24" t="str">
        <x:v>hippoglossoides elassodon</x:v>
      </x:c>
      <x:c r="O12" s="32" t="n">
        <x:v>3.67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Hippoglossoides elassodon</x:v>
      </x:c>
      <x:c r="T12" s="32" t="n">
        <x:f>IF(O12="","",(1/'Metadata'!$B$5)^(O12-1))</x:f>
        <x:v>467.73514128719813</x:v>
      </x:c>
      <x:c r="U12" s="31" t="n">
        <x:f>IF(T12="","",I12*T12)</x:f>
        <x:v>712613.185833672</x:v>
      </x:c>
    </x:row>
    <x:row r="13" ht="18" customHeight="1">
      <x:c r="A13" s="24" t="str">
        <x:v>LME_065</x:v>
      </x:c>
      <x:c r="B13" s="24" t="str">
        <x:v>Aleutian Islands</x:v>
      </x:c>
      <x:c r="C13" s="24" t="str">
        <x:v>LME</x:v>
      </x:c>
      <x:c r="D13" s="30" t="n">
        <x:v>2019</x:v>
      </x:c>
      <x:c r="E13" s="24" t="str">
        <x:v>Atheresthes stomias</x:v>
      </x:c>
      <x:c r="F13" s="24" t="str">
        <x:v>Arrowtooth flounder</x:v>
      </x:c>
      <x:c r="G13" s="24" t="str">
        <x:v>Small to medium flatfishes (&lt;90 cm)</x:v>
      </x:c>
      <x:c r="H13" s="24" t="str">
        <x:v>Flatfishes</x:v>
      </x:c>
      <x:c r="I13" s="31" t="n">
        <x:v>1409.228061824</x:v>
      </x:c>
      <x:c r="J13" s="31" t="n">
        <x:v>954.0229739647</x:v>
      </x:c>
      <x:c r="K13" s="31" t="n">
        <x:v>455.2050878593</x:v>
      </x:c>
      <x:c r="L13" s="31" t="n">
        <x:v>954.0229739647</x:v>
      </x:c>
      <x:c r="M13" s="31" t="n">
        <x:v>455.2050878593</x:v>
      </x:c>
      <x:c r="N13" s="24" t="str">
        <x:v>atheresthes stomias</x:v>
      </x:c>
      <x:c r="O13" s="32" t="n">
        <x:v>4.17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Atheresthes stomias</x:v>
      </x:c>
      <x:c r="T13" s="32" t="n">
        <x:f>IF(O13="","",(1/'Metadata'!$B$5)^(O13-1))</x:f>
        <x:v>1479.1083881682073</x:v>
      </x:c>
      <x:c r="U13" s="31" t="n">
        <x:f>IF(T13="","",I13*T13)</x:f>
        <x:v>2084401.0470859034</x:v>
      </x:c>
    </x:row>
    <x:row r="14" ht="18" customHeight="1">
      <x:c r="A14" s="24" t="str">
        <x:v>LME_065</x:v>
      </x:c>
      <x:c r="B14" s="24" t="str">
        <x:v>Aleutian Islands</x:v>
      </x:c>
      <x:c r="C14" s="24" t="str">
        <x:v>LME</x:v>
      </x:c>
      <x:c r="D14" s="30" t="n">
        <x:v>2019</x:v>
      </x:c>
      <x:c r="E14" s="24" t="str">
        <x:v>Pleuronectiformes</x:v>
      </x:c>
      <x:c r="F14" s="24" t="str">
        <x:v>Flatfishes</x:v>
      </x:c>
      <x:c r="G14" s="24" t="str">
        <x:v>Small to medium flatfishes (&lt;90 cm)</x:v>
      </x:c>
      <x:c r="H14" s="24" t="str">
        <x:v>Flatfishes</x:v>
      </x:c>
      <x:c r="I14" s="31" t="n">
        <x:v>1400.7329657033</x:v>
      </x:c>
      <x:c r="J14" s="31" t="n">
        <x:v>829.5456258682999</x:v>
      </x:c>
      <x:c r="K14" s="31" t="n">
        <x:v>571.187339835</x:v>
      </x:c>
      <x:c r="L14" s="31" t="n">
        <x:v>829.4161848237</x:v>
      </x:c>
      <x:c r="M14" s="31" t="n">
        <x:v>571.3167808796</x:v>
      </x:c>
      <x:c r="N14" s="24" t="str">
        <x:v>pleuronectiformes</x:v>
      </x:c>
      <x:c r="O14" s="32" t="n">
        <x:v>3.57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Pleuronectiformes</x:v>
      </x:c>
      <x:c r="T14" s="32" t="n">
        <x:f>IF(O14="","",(1/'Metadata'!$B$5)^(O14-1))</x:f>
        <x:v>371.5352290971724</x:v>
      </x:c>
      <x:c r="U14" s="31" t="n">
        <x:f>IF(T14="","",I14*T14)</x:f>
        <x:v>520421.64331653726</x:v>
      </x:c>
    </x:row>
    <x:row r="15" ht="18" customHeight="1">
      <x:c r="A15" s="24" t="str">
        <x:v>LME_065</x:v>
      </x:c>
      <x:c r="B15" s="24" t="str">
        <x:v>Aleutian Islands</x:v>
      </x:c>
      <x:c r="C15" s="24" t="str">
        <x:v>LME</x:v>
      </x:c>
      <x:c r="D15" s="30" t="n">
        <x:v>2019</x:v>
      </x:c>
      <x:c r="E15" s="24" t="str">
        <x:v>Pleuronectes quadrituberculatus</x:v>
      </x:c>
      <x:c r="F15" s="24" t="str">
        <x:v>Alaska plaice</x:v>
      </x:c>
      <x:c r="G15" s="24" t="str">
        <x:v>Small to medium flatfishes (&lt;90 cm)</x:v>
      </x:c>
      <x:c r="H15" s="24" t="str">
        <x:v>Flatfishes</x:v>
      </x:c>
      <x:c r="I15" s="31" t="n">
        <x:v>899.5978219051999</x:v>
      </x:c>
      <x:c r="J15" s="31" t="n">
        <x:v>0</x:v>
      </x:c>
      <x:c r="K15" s="31" t="n">
        <x:v>899.5978219051999</x:v>
      </x:c>
      <x:c r="L15" s="31" t="n">
        <x:v>0</x:v>
      </x:c>
      <x:c r="M15" s="31" t="n">
        <x:v>899.5978219051999</x:v>
      </x:c>
      <x:c r="N15" s="24" t="str">
        <x:v>pleuronectes quadrituberculatus</x:v>
      </x:c>
      <x:c r="O15" s="32" t="n">
        <x:v>3.59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Pleuronectes quadrituberculatus</x:v>
      </x:c>
      <x:c r="T15" s="32" t="n">
        <x:f>IF(O15="","",(1/'Metadata'!$B$5)^(O15-1))</x:f>
        <x:v>389.04514499428046</x:v>
      </x:c>
      <x:c r="U15" s="31" t="n">
        <x:f>IF(T15="","",I15*T15)</x:f>
        <x:v>349984.1650596474</x:v>
      </x:c>
    </x:row>
    <x:row r="16" ht="18" customHeight="1">
      <x:c r="A16" s="24" t="str">
        <x:v>LME_065</x:v>
      </x:c>
      <x:c r="B16" s="24" t="str">
        <x:v>Aleutian Islands</x:v>
      </x:c>
      <x:c r="C16" s="24" t="str">
        <x:v>LME</x:v>
      </x:c>
      <x:c r="D16" s="30" t="n">
        <x:v>2019</x:v>
      </x:c>
      <x:c r="E16" s="24" t="str">
        <x:v>Anoplopoma fimbria</x:v>
      </x:c>
      <x:c r="F16" s="24" t="str">
        <x:v>Sablefish</x:v>
      </x:c>
      <x:c r="G16" s="24" t="str">
        <x:v>Large bathydemersals (&gt;=90 cm)</x:v>
      </x:c>
      <x:c r="H16" s="24" t="str">
        <x:v>Scorpionfishes</x:v>
      </x:c>
      <x:c r="I16" s="31" t="n">
        <x:v>864.0181941010001</x:v>
      </x:c>
      <x:c r="J16" s="31" t="n">
        <x:v>650.4145902501</x:v>
      </x:c>
      <x:c r="K16" s="31" t="n">
        <x:v>213.60360385090002</x:v>
      </x:c>
      <x:c r="L16" s="31" t="n">
        <x:v>649.6563675264</x:v>
      </x:c>
      <x:c r="M16" s="31" t="n">
        <x:v>214.3618265746</x:v>
      </x:c>
      <x:c r="N16" s="24" t="str">
        <x:v>anoplopoma fimbria</x:v>
      </x:c>
      <x:c r="O16" s="32" t="n">
        <x:v>3.84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Anoplopoma fimbria</x:v>
      </x:c>
      <x:c r="T16" s="32" t="n">
        <x:f>IF(O16="","",(1/'Metadata'!$B$5)^(O16-1))</x:f>
        <x:v>691.8309709189363</x:v>
      </x:c>
      <x:c r="U16" s="31" t="n">
        <x:f>IF(T16="","",I16*T16)</x:f>
        <x:v>597754.5461165208</x:v>
      </x:c>
    </x:row>
    <x:row r="17" ht="18" customHeight="1">
      <x:c r="A17" s="24" t="str">
        <x:v>LME_065</x:v>
      </x:c>
      <x:c r="B17" s="24" t="str">
        <x:v>Aleutian Islands</x:v>
      </x:c>
      <x:c r="C17" s="24" t="str">
        <x:v>LME</x:v>
      </x:c>
      <x:c r="D17" s="30" t="n">
        <x:v>2019</x:v>
      </x:c>
      <x:c r="E17" s="24" t="str">
        <x:v>Sebastes</x:v>
      </x:c>
      <x:c r="F17" s="24" t="str">
        <x:v>Redfishes</x:v>
      </x:c>
      <x:c r="G17" s="24" t="str">
        <x:v>Large reef assoc. fish (&gt;=90 cm)</x:v>
      </x:c>
      <x:c r="H17" s="24" t="str">
        <x:v>Scorpionfishes</x:v>
      </x:c>
      <x:c r="I17" s="31" t="n">
        <x:v>834.0503287993001</x:v>
      </x:c>
      <x:c r="J17" s="31" t="n">
        <x:v>758.1964034222001</x:v>
      </x:c>
      <x:c r="K17" s="31" t="n">
        <x:v>75.8539253771</x:v>
      </x:c>
      <x:c r="L17" s="31" t="n">
        <x:v>757.7821897633</x:v>
      </x:c>
      <x:c r="M17" s="31" t="n">
        <x:v>76.268139036</x:v>
      </x:c>
      <x:c r="N17" s="24" t="str">
        <x:v>sebastes</x:v>
      </x:c>
      <x:c r="O17" s="32" t="n">
        <x:v>3.79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Sebastes</x:v>
      </x:c>
      <x:c r="T17" s="32" t="n">
        <x:f>IF(O17="","",(1/'Metadata'!$B$5)^(O17-1))</x:f>
        <x:v>616.5950018614822</x:v>
      </x:c>
      <x:c r="U17" s="31" t="n">
        <x:f>IF(T17="","",I17*T17)</x:f>
        <x:v>514271.2640385743</x:v>
      </x:c>
    </x:row>
    <x:row r="18" ht="18" customHeight="1">
      <x:c r="A18" s="24" t="str">
        <x:v>LME_065</x:v>
      </x:c>
      <x:c r="B18" s="24" t="str">
        <x:v>Aleutian Islands</x:v>
      </x:c>
      <x:c r="C18" s="24" t="str">
        <x:v>LME</x:v>
      </x:c>
      <x:c r="D18" s="30" t="n">
        <x:v>2019</x:v>
      </x:c>
      <x:c r="E18" s="24" t="str">
        <x:v>Lepidopsetta bilineata</x:v>
      </x:c>
      <x:c r="F18" s="24" t="str">
        <x:v>Rock sole</x:v>
      </x:c>
      <x:c r="G18" s="24" t="str">
        <x:v>Small to medium flatfishes (&lt;90 cm)</x:v>
      </x:c>
      <x:c r="H18" s="24" t="str">
        <x:v>Flatfishes</x:v>
      </x:c>
      <x:c r="I18" s="31" t="n">
        <x:v>620.5015265237</x:v>
      </x:c>
      <x:c r="J18" s="31" t="n">
        <x:v>0</x:v>
      </x:c>
      <x:c r="K18" s="31" t="n">
        <x:v>620.5015265237</x:v>
      </x:c>
      <x:c r="L18" s="31" t="n">
        <x:v>0</x:v>
      </x:c>
      <x:c r="M18" s="31" t="n">
        <x:v>620.5015265237</x:v>
      </x:c>
      <x:c r="N18" s="24" t="str">
        <x:v>lepidopsetta bilineata</x:v>
      </x:c>
      <x:c r="O18" s="32" t="n">
        <x:v>3.18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Lepidopsetta bilineata</x:v>
      </x:c>
      <x:c r="T18" s="32" t="n">
        <x:f>IF(O18="","",(1/'Metadata'!$B$5)^(O18-1))</x:f>
        <x:v>151.35612484362088</x:v>
      </x:c>
      <x:c r="U18" s="31" t="n">
        <x:f>IF(T18="","",I18*T18)</x:f>
        <x:v>93916.70651417847</x:v>
      </x:c>
    </x:row>
    <x:row r="19" ht="18" customHeight="1">
      <x:c r="A19" s="24" t="str">
        <x:v>LME_065</x:v>
      </x:c>
      <x:c r="B19" s="24" t="str">
        <x:v>Aleutian Islands</x:v>
      </x:c>
      <x:c r="C19" s="24" t="str">
        <x:v>LME</x:v>
      </x:c>
      <x:c r="D19" s="30" t="n">
        <x:v>2019</x:v>
      </x:c>
      <x:c r="E19" s="24" t="str">
        <x:v>Rajidae</x:v>
      </x:c>
      <x:c r="F19" s="24" t="str">
        <x:v>Stingrays</x:v>
      </x:c>
      <x:c r="G19" s="24" t="str">
        <x:v>Large rays (&gt;=90 cm)</x:v>
      </x:c>
      <x:c r="H19" s="24" t="str">
        <x:v>Sharks &amp; rays</x:v>
      </x:c>
      <x:c r="I19" s="31" t="n">
        <x:v>482.2877997074</x:v>
      </x:c>
      <x:c r="J19" s="31" t="n">
        <x:v>85.42942862529999</x:v>
      </x:c>
      <x:c r="K19" s="31" t="n">
        <x:v>396.8583710821</x:v>
      </x:c>
      <x:c r="L19" s="31" t="n">
        <x:v>85.4199888438</x:v>
      </x:c>
      <x:c r="M19" s="31" t="n">
        <x:v>396.8678108636</x:v>
      </x:c>
      <x:c r="N19" s="24" t="str">
        <x:v>rajidae</x:v>
      </x:c>
      <x:c r="O19" s="32" t="n">
        <x:v>3.82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Rajidae</x:v>
      </x:c>
      <x:c r="T19" s="32" t="n">
        <x:f>IF(O19="","",(1/'Metadata'!$B$5)^(O19-1))</x:f>
        <x:v>660.6934480075957</x:v>
      </x:c>
      <x:c r="U19" s="31" t="n">
        <x:f>IF(T19="","",I19*T19)</x:f>
        <x:v>318644.38932067883</x:v>
      </x:c>
    </x:row>
    <x:row r="20" ht="18" customHeight="1">
      <x:c r="A20" s="24" t="str">
        <x:v>LME_065</x:v>
      </x:c>
      <x:c r="B20" s="24" t="str">
        <x:v>Aleutian Islands</x:v>
      </x:c>
      <x:c r="C20" s="24" t="str">
        <x:v>LME</x:v>
      </x:c>
      <x:c r="D20" s="30" t="n">
        <x:v>2019</x:v>
      </x:c>
      <x:c r="E20" s="24" t="str">
        <x:v>Oncorhynchus kisutch</x:v>
      </x:c>
      <x:c r="F20" s="24" t="str">
        <x:v>Coho salmon</x:v>
      </x:c>
      <x:c r="G20" s="24" t="str">
        <x:v>Large demersals (&gt;=90 cm)</x:v>
      </x:c>
      <x:c r="H20" s="24" t="str">
        <x:v>Salmon, smelts, etc</x:v>
      </x:c>
      <x:c r="I20" s="31" t="n">
        <x:v>434.876027502</x:v>
      </x:c>
      <x:c r="J20" s="31" t="n">
        <x:v>434.7536407415</x:v>
      </x:c>
      <x:c r="K20" s="31" t="n">
        <x:v>0.1223867605</x:v>
      </x:c>
      <x:c r="L20" s="31" t="n">
        <x:v>385.9199217536</x:v>
      </x:c>
      <x:c r="M20" s="31" t="n">
        <x:v>48.956105748400006</x:v>
      </x:c>
      <x:c r="N20" s="24" t="str">
        <x:v>oncorhynchus kisutch</x:v>
      </x:c>
      <x:c r="O20" s="32" t="n">
        <x:v>4.22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Oncorhynchus kisutch</x:v>
      </x:c>
      <x:c r="T20" s="32" t="n">
        <x:f>IF(O20="","",(1/'Metadata'!$B$5)^(O20-1))</x:f>
        <x:v>1659.5869074375596</x:v>
      </x:c>
      <x:c r="U20" s="31" t="n">
        <x:f>IF(T20="","",I20*T20)</x:f>
        <x:v>721714.5616007753</x:v>
      </x:c>
    </x:row>
    <x:row r="21" ht="18" customHeight="1">
      <x:c r="A21" s="24" t="str">
        <x:v>LME_065</x:v>
      </x:c>
      <x:c r="B21" s="24" t="str">
        <x:v>Aleutian Islands</x:v>
      </x:c>
      <x:c r="C21" s="24" t="str">
        <x:v>LME</x:v>
      </x:c>
      <x:c r="D21" s="30" t="n">
        <x:v>2019</x:v>
      </x:c>
      <x:c r="E21" s="24" t="str">
        <x:v>Hippoglossus stenolepis</x:v>
      </x:c>
      <x:c r="F21" s="24" t="str">
        <x:v>Pacific halibut</x:v>
      </x:c>
      <x:c r="G21" s="24" t="str">
        <x:v>Large flatfishes (&gt;=90 cm)</x:v>
      </x:c>
      <x:c r="H21" s="24" t="str">
        <x:v>Flatfishes</x:v>
      </x:c>
      <x:c r="I21" s="31" t="n">
        <x:v>338.6488155505</x:v>
      </x:c>
      <x:c r="J21" s="31" t="n">
        <x:v>338.6488155505</x:v>
      </x:c>
      <x:c r="K21" s="31" t="n">
        <x:v>0</x:v>
      </x:c>
      <x:c r="L21" s="31" t="n">
        <x:v>242.2154736747</x:v>
      </x:c>
      <x:c r="M21" s="31" t="n">
        <x:v>96.4333418758</x:v>
      </x:c>
      <x:c r="N21" s="24" t="str">
        <x:v>hippoglossus stenolepis</x:v>
      </x:c>
      <x:c r="O21" s="32" t="n">
        <x:v>4.14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Hippoglossus stenolepis</x:v>
      </x:c>
      <x:c r="T21" s="32" t="n">
        <x:f>IF(O21="","",(1/'Metadata'!$B$5)^(O21-1))</x:f>
        <x:v>1380.3842646028838</x:v>
      </x:c>
      <x:c r="U21" s="31" t="n">
        <x:f>IF(T21="","",I21*T21)</x:f>
        <x:v>467465.4962123146</x:v>
      </x:c>
    </x:row>
    <x:row r="22" ht="18" customHeight="1">
      <x:c r="A22" s="24" t="str">
        <x:v>LME_065</x:v>
      </x:c>
      <x:c r="B22" s="24" t="str">
        <x:v>Aleutian Islands</x:v>
      </x:c>
      <x:c r="C22" s="24" t="str">
        <x:v>LME</x:v>
      </x:c>
      <x:c r="D22" s="30" t="n">
        <x:v>2019</x:v>
      </x:c>
      <x:c r="E22" s="24" t="str">
        <x:v>Sebastidae</x:v>
      </x:c>
      <x:c r="F22" s="24" t="str">
        <x:v>Rockfishes, rockcods, thornyheads</x:v>
      </x:c>
      <x:c r="G22" s="24" t="str">
        <x:v>Medium demersals (30 - 89 cm)</x:v>
      </x:c>
      <x:c r="H22" s="24" t="str">
        <x:v>Scorpionfishes</x:v>
      </x:c>
      <x:c r="I22" s="31" t="n">
        <x:v>261.4353380494</x:v>
      </x:c>
      <x:c r="J22" s="31" t="n">
        <x:v>0</x:v>
      </x:c>
      <x:c r="K22" s="31" t="n">
        <x:v>261.4353380494</x:v>
      </x:c>
      <x:c r="L22" s="31" t="n">
        <x:v>0</x:v>
      </x:c>
      <x:c r="M22" s="31" t="n">
        <x:v>261.4353380494</x:v>
      </x:c>
      <x:c r="N22" s="24" t="str">
        <x:v>sebastidae</x:v>
      </x:c>
      <x:c r="O22" s="32" t="n">
        <x:v>3.74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Sebastidae</x:v>
      </x:c>
      <x:c r="T22" s="32" t="n">
        <x:f>IF(O22="","",(1/'Metadata'!$B$5)^(O22-1))</x:f>
        <x:v>549.5408738576248</x:v>
      </x:c>
      <x:c r="U22" s="31" t="n">
        <x:f>IF(T22="","",I22*T22)</x:f>
        <x:v>143669.40412893082</x:v>
      </x:c>
    </x:row>
    <x:row r="23" ht="18" customHeight="1">
      <x:c r="A23" s="24" t="str">
        <x:v>LME_065</x:v>
      </x:c>
      <x:c r="B23" s="24" t="str">
        <x:v>Aleutian Islands</x:v>
      </x:c>
      <x:c r="C23" s="24" t="str">
        <x:v>LME</x:v>
      </x:c>
      <x:c r="D23" s="30" t="n">
        <x:v>2019</x:v>
      </x:c>
      <x:c r="E23" s="24" t="str">
        <x:v>Clupea pallasii</x:v>
      </x:c>
      <x:c r="F23" s="24" t="str">
        <x:v>Pacific herring</x:v>
      </x:c>
      <x:c r="G23" s="24" t="str">
        <x:v>Medium pelagics (30 - 89 cm)</x:v>
      </x:c>
      <x:c r="H23" s="24" t="str">
        <x:v>Herring-likes</x:v>
      </x:c>
      <x:c r="I23" s="31" t="n">
        <x:v>239.8291587181</x:v>
      </x:c>
      <x:c r="J23" s="31" t="n">
        <x:v>239.8291587181</x:v>
      </x:c>
      <x:c r="K23" s="31" t="n">
        <x:v>0</x:v>
      </x:c>
      <x:c r="L23" s="31" t="n">
        <x:v>235.08178606479999</x:v>
      </x:c>
      <x:c r="M23" s="31" t="n">
        <x:v>4.7473726533</x:v>
      </x:c>
      <x:c r="N23" s="24" t="str">
        <x:v>clupea pallasii</x:v>
      </x:c>
      <x:c r="O23" s="32" t="n">
        <x:v>3.16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Clupea pallasii</x:v>
      </x:c>
      <x:c r="T23" s="32" t="n">
        <x:f>IF(O23="","",(1/'Metadata'!$B$5)^(O23-1))</x:f>
        <x:v>144.5439770745928</x:v>
      </x:c>
      <x:c r="U23" s="31" t="n">
        <x:f>IF(T23="","",I23*T23)</x:f>
        <x:v>34665.86041956792</x:v>
      </x:c>
    </x:row>
    <x:row r="24" ht="18" customHeight="1">
      <x:c r="A24" s="24" t="str">
        <x:v>LME_065</x:v>
      </x:c>
      <x:c r="B24" s="24" t="str">
        <x:v>Aleutian Islands</x:v>
      </x:c>
      <x:c r="C24" s="24" t="str">
        <x:v>LME</x:v>
      </x:c>
      <x:c r="D24" s="30" t="n">
        <x:v>2019</x:v>
      </x:c>
      <x:c r="E24" s="24" t="str">
        <x:v>Raja</x:v>
      </x:c>
      <x:c r="F24" s="24" t="str">
        <x:v>Stingrays, skates</x:v>
      </x:c>
      <x:c r="G24" s="24" t="str">
        <x:v>Small to medium rays (&lt;90 cm)</x:v>
      </x:c>
      <x:c r="H24" s="24" t="str">
        <x:v>Sharks &amp; rays</x:v>
      </x:c>
      <x:c r="I24" s="31" t="n">
        <x:v>167.6845087398</x:v>
      </x:c>
      <x:c r="J24" s="31" t="n">
        <x:v>0</x:v>
      </x:c>
      <x:c r="K24" s="31" t="n">
        <x:v>167.6845087398</x:v>
      </x:c>
      <x:c r="L24" s="31" t="n">
        <x:v>0</x:v>
      </x:c>
      <x:c r="M24" s="31" t="n">
        <x:v>167.6845087398</x:v>
      </x:c>
      <x:c r="N24" s="24" t="str">
        <x:v>raja</x:v>
      </x:c>
      <x:c r="O24" s="32" t="n">
        <x:v>3.8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Raja</x:v>
      </x:c>
      <x:c r="T24" s="32" t="n">
        <x:f>IF(O24="","",(1/'Metadata'!$B$5)^(O24-1))</x:f>
        <x:v>630.957344480193</x:v>
      </x:c>
      <x:c r="U24" s="31" t="n">
        <x:f>IF(T24="","",I24*T24)</x:f>
        <x:v>105801.77234492992</x:v>
      </x:c>
    </x:row>
    <x:row r="25" ht="18" customHeight="1">
      <x:c r="A25" s="24" t="str">
        <x:v>LME_065</x:v>
      </x:c>
      <x:c r="B25" s="24" t="str">
        <x:v>Aleutian Islands</x:v>
      </x:c>
      <x:c r="C25" s="24" t="str">
        <x:v>LME</x:v>
      </x:c>
      <x:c r="D25" s="30" t="n">
        <x:v>2019</x:v>
      </x:c>
      <x:c r="E25" s="24" t="str">
        <x:v>Glyptocephalus zachirus</x:v>
      </x:c>
      <x:c r="F25" s="24" t="str">
        <x:v>Rex sole</x:v>
      </x:c>
      <x:c r="G25" s="24" t="str">
        <x:v>Small to medium flatfishes (&lt;90 cm)</x:v>
      </x:c>
      <x:c r="H25" s="24" t="str">
        <x:v>Flatfishes</x:v>
      </x:c>
      <x:c r="I25" s="31" t="n">
        <x:v>156.33854396630002</x:v>
      </x:c>
      <x:c r="J25" s="31" t="n">
        <x:v>153.20090038900003</x:v>
      </x:c>
      <x:c r="K25" s="31" t="n">
        <x:v>3.1376435773</x:v>
      </x:c>
      <x:c r="L25" s="31" t="n">
        <x:v>153.20090038900003</x:v>
      </x:c>
      <x:c r="M25" s="31" t="n">
        <x:v>3.1376435773</x:v>
      </x:c>
      <x:c r="N25" s="24" t="str">
        <x:v>glyptocephalus zachirus</x:v>
      </x:c>
      <x:c r="O25" s="32" t="n">
        <x:v>3.25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Glyptocephalus zachirus</x:v>
      </x:c>
      <x:c r="T25" s="32" t="n">
        <x:f>IF(O25="","",(1/'Metadata'!$B$5)^(O25-1))</x:f>
        <x:v>177.82794100389228</x:v>
      </x:c>
      <x:c r="U25" s="31" t="n">
        <x:f>IF(T25="","",I25*T25)</x:f>
        <x:v>27801.361373073618</x:v>
      </x:c>
    </x:row>
    <x:row r="26" ht="18" customHeight="1">
      <x:c r="A26" s="24" t="str">
        <x:v>LME_065</x:v>
      </x:c>
      <x:c r="B26" s="24" t="str">
        <x:v>Aleutian Islands</x:v>
      </x:c>
      <x:c r="C26" s="24" t="str">
        <x:v>LME</x:v>
      </x:c>
      <x:c r="D26" s="30" t="n">
        <x:v>2019</x:v>
      </x:c>
      <x:c r="E26" s="24" t="str">
        <x:v>Teuthida</x:v>
      </x:c>
      <x:c r="F26" s="24" t="str">
        <x:v>Squids</x:v>
      </x:c>
      <x:c r="G26" s="24" t="str">
        <x:v>Cephalopods</x:v>
      </x:c>
      <x:c r="H26" s="24" t="str">
        <x:v>Other fishes &amp; inverts</x:v>
      </x:c>
      <x:c r="I26" s="31" t="n">
        <x:v>131.5258191901</x:v>
      </x:c>
      <x:c r="J26" s="31" t="n">
        <x:v>0</x:v>
      </x:c>
      <x:c r="K26" s="31" t="n">
        <x:v>131.5258191901</x:v>
      </x:c>
      <x:c r="L26" s="31" t="n">
        <x:v>0</x:v>
      </x:c>
      <x:c r="M26" s="31" t="n">
        <x:v>131.5258191901</x:v>
      </x:c>
      <x:c r="N26" s="24" t="str">
        <x:v>teuthida</x:v>
      </x:c>
      <x:c r="O26" s="32" t="n">
        <x:v>4.13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Teuthida</x:v>
      </x:c>
      <x:c r="T26" s="32" t="n">
        <x:f>IF(O26="","",(1/'Metadata'!$B$5)^(O26-1))</x:f>
        <x:v>1348.9628825916532</x:v>
      </x:c>
      <x:c r="U26" s="31" t="n">
        <x:f>IF(T26="","",I26*T26)</x:f>
        <x:v>177423.44818990587</x:v>
      </x:c>
    </x:row>
    <x:row r="27" ht="18" customHeight="1">
      <x:c r="A27" s="24" t="str">
        <x:v>LME_065</x:v>
      </x:c>
      <x:c r="B27" s="24" t="str">
        <x:v>Aleutian Islands</x:v>
      </x:c>
      <x:c r="C27" s="24" t="str">
        <x:v>LME</x:v>
      </x:c>
      <x:c r="D27" s="30" t="n">
        <x:v>2019</x:v>
      </x:c>
      <x:c r="E27" s="24" t="str">
        <x:v>Paralithodes</x:v>
      </x:c>
      <x:c r="F27" s="24" t="str">
        <x:v>North Pacific king crabs</x:v>
      </x:c>
      <x:c r="G27" s="24" t="str">
        <x:v>Lobsters, crabs</x:v>
      </x:c>
      <x:c r="H27" s="24" t="str">
        <x:v>Crustaceans</x:v>
      </x:c>
      <x:c r="I27" s="31" t="n">
        <x:v>124.707066604</x:v>
      </x:c>
      <x:c r="J27" s="31" t="n">
        <x:v>124.707066604</x:v>
      </x:c>
      <x:c r="K27" s="31" t="n">
        <x:v>0</x:v>
      </x:c>
      <x:c r="L27" s="31" t="n">
        <x:v>124.707066604</x:v>
      </x:c>
      <x:c r="M27" s="31" t="n">
        <x:v>0</x:v>
      </x:c>
      <x:c r="N27" s="24" t="str">
        <x:v>paralithodes</x:v>
      </x:c>
      <x:c r="O27" s="32" t="n">
        <x:v>2.82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Paralithodes</x:v>
      </x:c>
      <x:c r="T27" s="32" t="n">
        <x:f>IF(O27="","",(1/'Metadata'!$B$5)^(O27-1))</x:f>
        <x:v>66.06934480075958</x:v>
      </x:c>
      <x:c r="U27" s="31" t="n">
        <x:f>IF(T27="","",I27*T27)</x:f>
        <x:v>8239.314182550967</x:v>
      </x:c>
    </x:row>
    <x:row r="28" ht="18" customHeight="1">
      <x:c r="A28" s="24" t="str">
        <x:v>LME_065</x:v>
      </x:c>
      <x:c r="B28" s="24" t="str">
        <x:v>Aleutian Islands</x:v>
      </x:c>
      <x:c r="C28" s="24" t="str">
        <x:v>LME</x:v>
      </x:c>
      <x:c r="D28" s="30" t="n">
        <x:v>2019</x:v>
      </x:c>
      <x:c r="E28" s="24" t="str">
        <x:v>Reinhardtius hippoglossoides</x:v>
      </x:c>
      <x:c r="F28" s="24" t="str">
        <x:v>Greenland halibut</x:v>
      </x:c>
      <x:c r="G28" s="24" t="str">
        <x:v>Small to medium flatfishes (&lt;90 cm)</x:v>
      </x:c>
      <x:c r="H28" s="24" t="str">
        <x:v>Flatfishes</x:v>
      </x:c>
      <x:c r="I28" s="31" t="n">
        <x:v>119.5478113603</x:v>
      </x:c>
      <x:c r="J28" s="31" t="n">
        <x:v>71.1321618939</x:v>
      </x:c>
      <x:c r="K28" s="31" t="n">
        <x:v>48.4156494664</x:v>
      </x:c>
      <x:c r="L28" s="31" t="n">
        <x:v>71.1321618939</x:v>
      </x:c>
      <x:c r="M28" s="31" t="n">
        <x:v>48.4156494664</x:v>
      </x:c>
      <x:c r="N28" s="24" t="str">
        <x:v>reinhardtius hippoglossoides</x:v>
      </x:c>
      <x:c r="O28" s="32" t="n">
        <x:v>4.38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Reinhardtius hippoglossoides</x:v>
      </x:c>
      <x:c r="T28" s="32" t="n">
        <x:f>IF(O28="","",(1/'Metadata'!$B$5)^(O28-1))</x:f>
        <x:v>2398.83291901949</x:v>
      </x:c>
      <x:c r="U28" s="31" t="n">
        <x:f>IF(T28="","",I28*T28)</x:f>
        <x:v>286775.2252878198</x:v>
      </x:c>
    </x:row>
    <x:row r="29" ht="18" customHeight="1">
      <x:c r="A29" s="24" t="str">
        <x:v>LME_065</x:v>
      </x:c>
      <x:c r="B29" s="24" t="str">
        <x:v>Aleutian Islands</x:v>
      </x:c>
      <x:c r="C29" s="24" t="str">
        <x:v>LME</x:v>
      </x:c>
      <x:c r="D29" s="30" t="n">
        <x:v>2019</x:v>
      </x:c>
      <x:c r="E29" s="24" t="str">
        <x:v>Chionoecetes opilio</x:v>
      </x:c>
      <x:c r="F29" s="24" t="str">
        <x:v>Snow crab</x:v>
      </x:c>
      <x:c r="G29" s="24" t="str">
        <x:v>Lobsters, crabs</x:v>
      </x:c>
      <x:c r="H29" s="24" t="str">
        <x:v>Crustaceans</x:v>
      </x:c>
      <x:c r="I29" s="31" t="n">
        <x:v>117.87524184809999</x:v>
      </x:c>
      <x:c r="J29" s="31" t="n">
        <x:v>117.87524184809999</x:v>
      </x:c>
      <x:c r="K29" s="31" t="n">
        <x:v>0</x:v>
      </x:c>
      <x:c r="L29" s="31" t="n">
        <x:v>117.87524184809999</x:v>
      </x:c>
      <x:c r="M29" s="31" t="n">
        <x:v>0</x:v>
      </x:c>
      <x:c r="N29" s="24" t="str">
        <x:v>chionoecetes opilio</x:v>
      </x:c>
      <x:c r="O29" s="32" t="n">
        <x:v>3.54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Chionoecetes opilio</x:v>
      </x:c>
      <x:c r="T29" s="32" t="n">
        <x:f>IF(O29="","",(1/'Metadata'!$B$5)^(O29-1))</x:f>
        <x:v>346.73685045253166</x:v>
      </x:c>
      <x:c r="U29" s="31" t="n">
        <x:f>IF(T29="","",I29*T29)</x:f>
        <x:v>40871.69010474065</x:v>
      </x:c>
    </x:row>
    <x:row r="30" ht="18" customHeight="1">
      <x:c r="A30" s="24" t="str">
        <x:v>LME_065</x:v>
      </x:c>
      <x:c r="B30" s="24" t="str">
        <x:v>Aleutian Islands</x:v>
      </x:c>
      <x:c r="C30" s="24" t="str">
        <x:v>LME</x:v>
      </x:c>
      <x:c r="D30" s="30" t="n">
        <x:v>2019</x:v>
      </x:c>
      <x:c r="E30" s="24" t="str">
        <x:v>Octopodidae</x:v>
      </x:c>
      <x:c r="F30" s="24" t="str">
        <x:v>Octopuses</x:v>
      </x:c>
      <x:c r="G30" s="24" t="str">
        <x:v>Cephalopods</x:v>
      </x:c>
      <x:c r="H30" s="24" t="str">
        <x:v>Other fishes &amp; inverts</x:v>
      </x:c>
      <x:c r="I30" s="31" t="n">
        <x:v>101.8226520076</x:v>
      </x:c>
      <x:c r="J30" s="31" t="n">
        <x:v>7.0954572128</x:v>
      </x:c>
      <x:c r="K30" s="31" t="n">
        <x:v>94.7271947948</x:v>
      </x:c>
      <x:c r="L30" s="31" t="n">
        <x:v>7.0954572128</x:v>
      </x:c>
      <x:c r="M30" s="31" t="n">
        <x:v>94.7271947948</x:v>
      </x:c>
      <x:c r="N30" s="24" t="str">
        <x:v>octopodidae</x:v>
      </x:c>
      <x:c r="O30" s="32" t="n">
        <x:v>3.59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Octopodidae</x:v>
      </x:c>
      <x:c r="T30" s="32" t="n">
        <x:f>IF(O30="","",(1/'Metadata'!$B$5)^(O30-1))</x:f>
        <x:v>389.04514499428046</x:v>
      </x:c>
      <x:c r="U30" s="31" t="n">
        <x:f>IF(T30="","",I30*T30)</x:f>
        <x:v>39613.6084139989</x:v>
      </x:c>
    </x:row>
    <x:row r="31" ht="18" customHeight="1">
      <x:c r="A31" s="24" t="str">
        <x:v>LME_065</x:v>
      </x:c>
      <x:c r="B31" s="24" t="str">
        <x:v>Aleutian Islands</x:v>
      </x:c>
      <x:c r="C31" s="24" t="str">
        <x:v>LME</x:v>
      </x:c>
      <x:c r="D31" s="30" t="n">
        <x:v>2019</x:v>
      </x:c>
      <x:c r="E31" s="24" t="str">
        <x:v>Atheresthes evermanni</x:v>
      </x:c>
      <x:c r="F31" s="24" t="str">
        <x:v>Kamchatka flounder</x:v>
      </x:c>
      <x:c r="G31" s="24" t="str">
        <x:v>Large flatfishes (&gt;=90 cm)</x:v>
      </x:c>
      <x:c r="H31" s="24" t="str">
        <x:v>Flatfishes</x:v>
      </x:c>
      <x:c r="I31" s="31" t="n">
        <x:v>100.0455649683</x:v>
      </x:c>
      <x:c r="J31" s="31" t="n">
        <x:v>0</x:v>
      </x:c>
      <x:c r="K31" s="31" t="n">
        <x:v>100.0455649683</x:v>
      </x:c>
      <x:c r="L31" s="31" t="n">
        <x:v>0</x:v>
      </x:c>
      <x:c r="M31" s="31" t="n">
        <x:v>100.0455649683</x:v>
      </x:c>
      <x:c r="N31" s="24" t="str">
        <x:v>atheresthes evermanni</x:v>
      </x:c>
      <x:c r="O31" s="32" t="n">
        <x:v>4.3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Atheresthes evermanni</x:v>
      </x:c>
      <x:c r="T31" s="32" t="n">
        <x:f>IF(O31="","",(1/'Metadata'!$B$5)^(O31-1))</x:f>
        <x:v>1995.2623149688789</x:v>
      </x:c>
      <x:c r="U31" s="31" t="n">
        <x:f>IF(T31="","",I31*T31)</x:f>
        <x:v>199617.14556101963</x:v>
      </x:c>
    </x:row>
    <x:row r="32" ht="18" customHeight="1">
      <x:c r="A32" s="24" t="str">
        <x:v>LME_065</x:v>
      </x:c>
      <x:c r="B32" s="24" t="str">
        <x:v>Aleutian Islands</x:v>
      </x:c>
      <x:c r="C32" s="24" t="str">
        <x:v>LME</x:v>
      </x:c>
      <x:c r="D32" s="30" t="n">
        <x:v>2019</x:v>
      </x:c>
      <x:c r="E32" s="24" t="str">
        <x:v>Oncorhynchus tshawytscha</x:v>
      </x:c>
      <x:c r="F32" s="24" t="str">
        <x:v>Chinook salmon</x:v>
      </x:c>
      <x:c r="G32" s="24" t="str">
        <x:v>Large benthopelagics (&gt;=90 cm)</x:v>
      </x:c>
      <x:c r="H32" s="24" t="str">
        <x:v>Salmon, smelts, etc</x:v>
      </x:c>
      <x:c r="I32" s="31" t="n">
        <x:v>93.1219016487</x:v>
      </x:c>
      <x:c r="J32" s="31" t="n">
        <x:v>92.62164883470001</x:v>
      </x:c>
      <x:c r="K32" s="31" t="n">
        <x:v>0.500252814</x:v>
      </x:c>
      <x:c r="L32" s="31" t="n">
        <x:v>45.5316662147</x:v>
      </x:c>
      <x:c r="M32" s="31" t="n">
        <x:v>47.590235434</x:v>
      </x:c>
      <x:c r="N32" s="24" t="str">
        <x:v>oncorhynchus tshawytscha</x:v>
      </x:c>
      <x:c r="O32" s="32" t="n">
        <x:v>4.4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Oncorhynchus tshawytscha</x:v>
      </x:c>
      <x:c r="T32" s="32" t="n">
        <x:f>IF(O32="","",(1/'Metadata'!$B$5)^(O32-1))</x:f>
        <x:v>2511.886431509582</x:v>
      </x:c>
      <x:c r="U32" s="31" t="n">
        <x:f>IF(T32="","",I32*T32)</x:f>
        <x:v>233911.6412277393</x:v>
      </x:c>
    </x:row>
    <x:row r="33" ht="18" customHeight="1">
      <x:c r="A33" s="24" t="str">
        <x:v>LME_065</x:v>
      </x:c>
      <x:c r="B33" s="24" t="str">
        <x:v>Aleutian Islands</x:v>
      </x:c>
      <x:c r="C33" s="24" t="str">
        <x:v>LME</x:v>
      </x:c>
      <x:c r="D33" s="30" t="n">
        <x:v>2019</x:v>
      </x:c>
      <x:c r="E33" s="24" t="str">
        <x:v>Mollusca</x:v>
      </x:c>
      <x:c r="F33" s="24" t="str">
        <x:v>Clams, seasnails, squids, octopuses</x:v>
      </x:c>
      <x:c r="G33" s="24" t="str">
        <x:v>Other demersal invertebrates</x:v>
      </x:c>
      <x:c r="H33" s="24" t="str">
        <x:v>Molluscs</x:v>
      </x:c>
      <x:c r="I33" s="31" t="n">
        <x:v>64.61308763929999</x:v>
      </x:c>
      <x:c r="J33" s="31" t="n">
        <x:v>64.61308763929999</x:v>
      </x:c>
      <x:c r="K33" s="31" t="n">
        <x:v>0</x:v>
      </x:c>
      <x:c r="L33" s="31" t="n">
        <x:v>0</x:v>
      </x:c>
      <x:c r="M33" s="31" t="n">
        <x:v>64.61308763929999</x:v>
      </x:c>
      <x:c r="N33" s="24" t="str">
        <x:v>mollusca</x:v>
      </x:c>
      <x:c r="O33" s="32" t="n">
        <x:v>2.1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Mollusca</x:v>
      </x:c>
      <x:c r="T33" s="32" t="n">
        <x:f>IF(O33="","",(1/'Metadata'!$B$5)^(O33-1))</x:f>
        <x:v>12.589254117941675</x:v>
      </x:c>
      <x:c r="U33" s="31" t="n">
        <x:f>IF(T33="","",I33*T33)</x:f>
        <x:v>813.4305796359837</x:v>
      </x:c>
    </x:row>
    <x:row r="34" ht="18" customHeight="1">
      <x:c r="A34" s="24" t="str">
        <x:v>LME_065</x:v>
      </x:c>
      <x:c r="B34" s="24" t="str">
        <x:v>Aleutian Islands</x:v>
      </x:c>
      <x:c r="C34" s="24" t="str">
        <x:v>LME</x:v>
      </x:c>
      <x:c r="D34" s="30" t="n">
        <x:v>2019</x:v>
      </x:c>
      <x:c r="E34" s="24" t="str">
        <x:v>Chionoecetes bairdi</x:v>
      </x:c>
      <x:c r="F34" s="24" t="str">
        <x:v>Tanner crab</x:v>
      </x:c>
      <x:c r="G34" s="24" t="str">
        <x:v>Lobsters, crabs</x:v>
      </x:c>
      <x:c r="H34" s="24" t="str">
        <x:v>Crustaceans</x:v>
      </x:c>
      <x:c r="I34" s="31" t="n">
        <x:v>36.2709654822</x:v>
      </x:c>
      <x:c r="J34" s="31" t="n">
        <x:v>36.2709654822</x:v>
      </x:c>
      <x:c r="K34" s="31" t="n">
        <x:v>0</x:v>
      </x:c>
      <x:c r="L34" s="31" t="n">
        <x:v>36.2709654822</x:v>
      </x:c>
      <x:c r="M34" s="31" t="n">
        <x:v>0</x:v>
      </x:c>
      <x:c r="N34" s="24" t="str">
        <x:v>chionoecetes bairdi</x:v>
      </x:c>
      <x:c r="O34" s="32" t="n">
        <x:v>3.08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Chionoecetes bairdi</x:v>
      </x:c>
      <x:c r="T34" s="32" t="n">
        <x:f>IF(O34="","",(1/'Metadata'!$B$5)^(O34-1))</x:f>
        <x:v>120.22644346174131</x:v>
      </x:c>
      <x:c r="U34" s="31" t="n">
        <x:f>IF(T34="","",I34*T34)</x:f>
        <x:v>4360.729180848489</x:v>
      </x:c>
    </x:row>
    <x:row r="35" ht="18" customHeight="1">
      <x:c r="A35" s="24" t="str">
        <x:v>LME_065</x:v>
      </x:c>
      <x:c r="B35" s="24" t="str">
        <x:v>Aleutian Islands</x:v>
      </x:c>
      <x:c r="C35" s="24" t="str">
        <x:v>LME</x:v>
      </x:c>
      <x:c r="D35" s="30" t="n">
        <x:v>2019</x:v>
      </x:c>
      <x:c r="E35" s="24" t="str">
        <x:v>Elasmobranchii</x:v>
      </x:c>
      <x:c r="F35" s="24" t="str">
        <x:v>Sharks, rays, skates</x:v>
      </x:c>
      <x:c r="G35" s="24" t="str">
        <x:v>Large sharks (&gt;=90 cm)</x:v>
      </x:c>
      <x:c r="H35" s="24" t="str">
        <x:v>Sharks &amp; rays</x:v>
      </x:c>
      <x:c r="I35" s="31" t="n">
        <x:v>32.7444936877</x:v>
      </x:c>
      <x:c r="J35" s="31" t="n">
        <x:v>0.1518321749</x:v>
      </x:c>
      <x:c r="K35" s="31" t="n">
        <x:v>32.5926615128</x:v>
      </x:c>
      <x:c r="L35" s="31" t="n">
        <x:v>0</x:v>
      </x:c>
      <x:c r="M35" s="31" t="n">
        <x:v>32.7444936877</x:v>
      </x:c>
      <x:c r="N35" s="24" t="str">
        <x:v>elasmobranchii</x:v>
      </x:c>
      <x:c r="O35" s="32" t="n">
        <x:v>4.05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Elasmobranchii</x:v>
      </x:c>
      <x:c r="T35" s="32" t="n">
        <x:f>IF(O35="","",(1/'Metadata'!$B$5)^(O35-1))</x:f>
        <x:v>1122.018454301963</x:v>
      </x:c>
      <x:c r="U35" s="31" t="n">
        <x:f>IF(T35="","",I35*T35)</x:f>
        <x:v>36739.92619437354</x:v>
      </x:c>
    </x:row>
    <x:row r="36" ht="18" customHeight="1">
      <x:c r="A36" s="24" t="str">
        <x:v>LME_065</x:v>
      </x:c>
      <x:c r="B36" s="24" t="str">
        <x:v>Aleutian Islands</x:v>
      </x:c>
      <x:c r="C36" s="24" t="str">
        <x:v>LME</x:v>
      </x:c>
      <x:c r="D36" s="30" t="n">
        <x:v>2019</x:v>
      </x:c>
      <x:c r="E36" s="24" t="str">
        <x:v>Ophiodon elongatus</x:v>
      </x:c>
      <x:c r="F36" s="24" t="str">
        <x:v>Lingcod</x:v>
      </x:c>
      <x:c r="G36" s="24" t="str">
        <x:v>Large demersals (&gt;=90 cm)</x:v>
      </x:c>
      <x:c r="H36" s="24" t="str">
        <x:v>Scorpionfishes</x:v>
      </x:c>
      <x:c r="I36" s="31" t="n">
        <x:v>15.750757249</x:v>
      </x:c>
      <x:c r="J36" s="31" t="n">
        <x:v>15.750757249</x:v>
      </x:c>
      <x:c r="K36" s="31" t="n">
        <x:v>0</x:v>
      </x:c>
      <x:c r="L36" s="31" t="n">
        <x:v>11.2405400205</x:v>
      </x:c>
      <x:c r="M36" s="31" t="n">
        <x:v>4.5102172285</x:v>
      </x:c>
      <x:c r="N36" s="24" t="str">
        <x:v>ophiodon elongatus</x:v>
      </x:c>
      <x:c r="O36" s="32" t="n">
        <x:v>4.32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Ophiodon elongatus</x:v>
      </x:c>
      <x:c r="T36" s="32" t="n">
        <x:f>IF(O36="","",(1/'Metadata'!$B$5)^(O36-1))</x:f>
        <x:v>2089.2961308540407</x:v>
      </x:c>
      <x:c r="U36" s="31" t="n">
        <x:f>IF(T36="","",I36*T36)</x:f>
        <x:v>32907.99617835693</x:v>
      </x:c>
    </x:row>
    <x:row r="37" ht="18" customHeight="1">
      <x:c r="A37" s="24" t="str">
        <x:v>LME_065</x:v>
      </x:c>
      <x:c r="B37" s="24" t="str">
        <x:v>Aleutian Islands</x:v>
      </x:c>
      <x:c r="C37" s="24" t="str">
        <x:v>LME</x:v>
      </x:c>
      <x:c r="D37" s="30" t="n">
        <x:v>2019</x:v>
      </x:c>
      <x:c r="E37" s="24" t="str">
        <x:v>Pleuronectidae</x:v>
      </x:c>
      <x:c r="F37" s="24" t="str">
        <x:v>Righteye flounders</x:v>
      </x:c>
      <x:c r="G37" s="24" t="str">
        <x:v>Small to medium flatfishes (&lt;90 cm)</x:v>
      </x:c>
      <x:c r="H37" s="24" t="str">
        <x:v>Flatfishes</x:v>
      </x:c>
      <x:c r="I37" s="31" t="n">
        <x:v>12.793663647499999</x:v>
      </x:c>
      <x:c r="J37" s="31" t="n">
        <x:v>12.793663647499999</x:v>
      </x:c>
      <x:c r="K37" s="31" t="n">
        <x:v>0</x:v>
      </x:c>
      <x:c r="L37" s="31" t="n">
        <x:v>12.793663647499999</x:v>
      </x:c>
      <x:c r="M37" s="31" t="n">
        <x:v>0</x:v>
      </x:c>
      <x:c r="N37" s="24" t="str">
        <x:v>pleuronectidae</x:v>
      </x:c>
      <x:c r="O37" s="32" t="n">
        <x:v>3.49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Pleuronectidae</x:v>
      </x:c>
      <x:c r="T37" s="32" t="n">
        <x:f>IF(O37="","",(1/'Metadata'!$B$5)^(O37-1))</x:f>
        <x:v>309.0295432513592</x:v>
      </x:c>
      <x:c r="U37" s="31" t="n">
        <x:f>IF(T37="","",I37*T37)</x:f>
        <x:v>3953.620033498443</x:v>
      </x:c>
    </x:row>
    <x:row r="38" ht="18" customHeight="1">
      <x:c r="A38" s="24" t="str">
        <x:v>LME_065</x:v>
      </x:c>
      <x:c r="B38" s="24" t="str">
        <x:v>Aleutian Islands</x:v>
      </x:c>
      <x:c r="C38" s="24" t="str">
        <x:v>LME</x:v>
      </x:c>
      <x:c r="D38" s="30" t="n">
        <x:v>2019</x:v>
      </x:c>
      <x:c r="E38" s="24" t="str">
        <x:v>Miscellaneous marine crustaceans</x:v>
      </x:c>
      <x:c r="F38" s="24" t="str">
        <x:v>Marine crabs, shrimps, lobsters nei</x:v>
      </x:c>
      <x:c r="G38" s="24" t="str">
        <x:v>Shrimps</x:v>
      </x:c>
      <x:c r="H38" s="24" t="str">
        <x:v>Crustaceans</x:v>
      </x:c>
      <x:c r="I38" s="31" t="n">
        <x:v>3.2447322607</x:v>
      </x:c>
      <x:c r="J38" s="31" t="n">
        <x:v>3.2447322607</x:v>
      </x:c>
      <x:c r="K38" s="31" t="n">
        <x:v>0</x:v>
      </x:c>
      <x:c r="L38" s="31" t="n">
        <x:v>3.2447322607</x:v>
      </x:c>
      <x:c r="M38" s="31" t="n">
        <x:v>0</x:v>
      </x:c>
      <x:c r="N38" s="24" t="str">
        <x:v>miscellaneous marine crustaceans</x:v>
      </x:c>
      <x:c r="O38" s="32" t="n">
        <x:v>2.7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Miscellaneous marine crustaceans</x:v>
      </x:c>
      <x:c r="T38" s="32" t="n">
        <x:f>IF(O38="","",(1/'Metadata'!$B$5)^(O38-1))</x:f>
        <x:v>50.11872336272725</x:v>
      </x:c>
      <x:c r="U38" s="31" t="n">
        <x:f>IF(T38="","",I38*T38)</x:f>
        <x:v>162.6218385601399</x:v>
      </x:c>
    </x:row>
    <x:row r="39" ht="18" customHeight="1">
      <x:c r="A39" s="24" t="str">
        <x:v>LME_065</x:v>
      </x:c>
      <x:c r="B39" s="24" t="str">
        <x:v>Aleutian Islands</x:v>
      </x:c>
      <x:c r="C39" s="24" t="str">
        <x:v>LME</x:v>
      </x:c>
      <x:c r="D39" s="30" t="n">
        <x:v>2019</x:v>
      </x:c>
      <x:c r="E39" s="24" t="str">
        <x:v>Sebastes melanops</x:v>
      </x:c>
      <x:c r="F39" s="24" t="str">
        <x:v>Black rockfish</x:v>
      </x:c>
      <x:c r="G39" s="24" t="str">
        <x:v>Medium reef assoc. fish (30 - 89 cm)</x:v>
      </x:c>
      <x:c r="H39" s="24" t="str">
        <x:v>Scorpionfishes</x:v>
      </x:c>
      <x:c r="I39" s="31" t="n">
        <x:v>2.9814762331</x:v>
      </x:c>
      <x:c r="J39" s="31" t="n">
        <x:v>2.9814762331</x:v>
      </x:c>
      <x:c r="K39" s="31" t="n">
        <x:v>0</x:v>
      </x:c>
      <x:c r="L39" s="31" t="n">
        <x:v>0</x:v>
      </x:c>
      <x:c r="M39" s="31" t="n">
        <x:v>2.9814762331</x:v>
      </x:c>
      <x:c r="N39" s="24" t="str">
        <x:v>sebastes melanops</x:v>
      </x:c>
      <x:c r="O39" s="32" t="n">
        <x:v>4.38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Sebastes melanops</x:v>
      </x:c>
      <x:c r="T39" s="32" t="n">
        <x:f>IF(O39="","",(1/'Metadata'!$B$5)^(O39-1))</x:f>
        <x:v>2398.83291901949</x:v>
      </x:c>
      <x:c r="U39" s="31" t="n">
        <x:f>IF(T39="","",I39*T39)</x:f>
        <x:v>7152.063335234507</x:v>
      </x:c>
    </x:row>
    <x:row r="40" ht="18" customHeight="1">
      <x:c r="A40" s="24" t="str">
        <x:v>LME_065</x:v>
      </x:c>
      <x:c r="B40" s="24" t="str">
        <x:v>Aleutian Islands</x:v>
      </x:c>
      <x:c r="C40" s="24" t="str">
        <x:v>LME</x:v>
      </x:c>
      <x:c r="D40" s="30" t="n">
        <x:v>2019</x:v>
      </x:c>
      <x:c r="E40" s="24" t="str">
        <x:v>Sebastes entomelas</x:v>
      </x:c>
      <x:c r="F40" s="24" t="str">
        <x:v>Widow rockfish</x:v>
      </x:c>
      <x:c r="G40" s="24" t="str">
        <x:v>Medium pelagics (30 - 89 cm)</x:v>
      </x:c>
      <x:c r="H40" s="24" t="str">
        <x:v>Scorpionfishes</x:v>
      </x:c>
      <x:c r="I40" s="31" t="n">
        <x:v>1.9350150252</x:v>
      </x:c>
      <x:c r="J40" s="31" t="n">
        <x:v>1.9350150252</x:v>
      </x:c>
      <x:c r="K40" s="31" t="n">
        <x:v>0</x:v>
      </x:c>
      <x:c r="L40" s="31" t="n">
        <x:v>1.9350150252</x:v>
      </x:c>
      <x:c r="M40" s="31" t="n">
        <x:v>0</x:v>
      </x:c>
      <x:c r="N40" s="24" t="str">
        <x:v>sebastes entomelas</x:v>
      </x:c>
      <x:c r="O40" s="32" t="n">
        <x:v>3.7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Sebastes entomelas</x:v>
      </x:c>
      <x:c r="T40" s="32" t="n">
        <x:f>IF(O40="","",(1/'Metadata'!$B$5)^(O40-1))</x:f>
        <x:v>501.18723362727246</x:v>
      </x:c>
      <x:c r="U40" s="31" t="n">
        <x:f>IF(T40="","",I40*T40)</x:f>
        <x:v>969.8048275071949</x:v>
      </x:c>
    </x:row>
    <x:row r="41" ht="18" customHeight="1">
      <x:c r="A41" s="24" t="str">
        <x:v>LME_065</x:v>
      </x:c>
      <x:c r="B41" s="24" t="str">
        <x:v>Aleutian Islands</x:v>
      </x:c>
      <x:c r="C41" s="24" t="str">
        <x:v>LME</x:v>
      </x:c>
      <x:c r="D41" s="30" t="n">
        <x:v>2019</x:v>
      </x:c>
      <x:c r="E41" s="24" t="str">
        <x:v>Strongylocentrotus</x:v>
      </x:c>
      <x:c r="F41" s="24" t="str">
        <x:v>Sickle-arched sea urchins</x:v>
      </x:c>
      <x:c r="G41" s="24" t="str">
        <x:v>Other demersal invertebrates</x:v>
      </x:c>
      <x:c r="H41" s="24" t="str">
        <x:v>Other fishes &amp; inverts</x:v>
      </x:c>
      <x:c r="I41" s="31" t="n">
        <x:v>1.8522826782</x:v>
      </x:c>
      <x:c r="J41" s="31" t="n">
        <x:v>1.8522826782</x:v>
      </x:c>
      <x:c r="K41" s="31" t="n">
        <x:v>0</x:v>
      </x:c>
      <x:c r="L41" s="31" t="n">
        <x:v>1.7673953541999998</x:v>
      </x:c>
      <x:c r="M41" s="31" t="n">
        <x:v>0.084887324</x:v>
      </x:c>
      <x:c r="N41" s="24" t="str">
        <x:v>strongylocentrotus</x:v>
      </x:c>
      <x:c r="O41" s="32" t="n">
        <x:v>2.1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Strongylocentrotus</x:v>
      </x:c>
      <x:c r="T41" s="32" t="n">
        <x:f>IF(O41="","",(1/'Metadata'!$B$5)^(O41-1))</x:f>
        <x:v>12.589254117941675</x:v>
      </x:c>
      <x:c r="U41" s="31" t="n">
        <x:f>IF(T41="","",I41*T41)</x:f>
        <x:v>23.318857334121383</x:v>
      </x:c>
    </x:row>
    <x:row r="42" ht="18" customHeight="1">
      <x:c r="A42" s="24" t="str">
        <x:v>LME_065</x:v>
      </x:c>
      <x:c r="B42" s="24" t="str">
        <x:v>Aleutian Islands</x:v>
      </x:c>
      <x:c r="C42" s="24" t="str">
        <x:v>LME</x:v>
      </x:c>
      <x:c r="D42" s="30" t="n">
        <x:v>2019</x:v>
      </x:c>
      <x:c r="E42" s="24" t="str">
        <x:v>Microstomus pacificus</x:v>
      </x:c>
      <x:c r="F42" s="24" t="str">
        <x:v>Dover sole</x:v>
      </x:c>
      <x:c r="G42" s="24" t="str">
        <x:v>Small to medium flatfishes (&lt;90 cm)</x:v>
      </x:c>
      <x:c r="H42" s="24" t="str">
        <x:v>Flatfishes</x:v>
      </x:c>
      <x:c r="I42" s="31" t="n">
        <x:v>1.5327444249</x:v>
      </x:c>
      <x:c r="J42" s="31" t="n">
        <x:v>1.5327444249</x:v>
      </x:c>
      <x:c r="K42" s="31" t="n">
        <x:v>0</x:v>
      </x:c>
      <x:c r="L42" s="31" t="n">
        <x:v>1.5327444249</x:v>
      </x:c>
      <x:c r="M42" s="31" t="n">
        <x:v>0</x:v>
      </x:c>
      <x:c r="N42" s="24" t="str">
        <x:v>microstomus pacificus</x:v>
      </x:c>
      <x:c r="O42" s="32" t="n">
        <x:v>3.22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Microstomus pacificus</x:v>
      </x:c>
      <x:c r="T42" s="32" t="n">
        <x:f>IF(O42="","",(1/'Metadata'!$B$5)^(O42-1))</x:f>
        <x:v>165.95869074375614</x:v>
      </x:c>
      <x:c r="U42" s="31" t="n">
        <x:f>IF(T42="","",I42*T42)</x:f>
        <x:v>254.37225800119543</x:v>
      </x:c>
    </x:row>
    <x:row r="43" ht="18" customHeight="1">
      <x:c r="A43" s="24" t="str">
        <x:v>LME_065</x:v>
      </x:c>
      <x:c r="B43" s="24" t="str">
        <x:v>Aleutian Islands</x:v>
      </x:c>
      <x:c r="C43" s="24" t="str">
        <x:v>LME</x:v>
      </x:c>
      <x:c r="D43" s="30" t="n">
        <x:v>2019</x:v>
      </x:c>
      <x:c r="E43" s="24" t="str">
        <x:v>Pandalidae</x:v>
      </x:c>
      <x:c r="F43" s="24" t="str">
        <x:v>Northern shrimps</x:v>
      </x:c>
      <x:c r="G43" s="24" t="str">
        <x:v>Shrimps</x:v>
      </x:c>
      <x:c r="H43" s="24" t="str">
        <x:v>Crustaceans</x:v>
      </x:c>
      <x:c r="I43" s="31" t="n">
        <x:v>1.2148070935</x:v>
      </x:c>
      <x:c r="J43" s="31" t="n">
        <x:v>1.2148070935</x:v>
      </x:c>
      <x:c r="K43" s="31" t="n">
        <x:v>0</x:v>
      </x:c>
      <x:c r="L43" s="31" t="n">
        <x:v>0</x:v>
      </x:c>
      <x:c r="M43" s="31" t="n">
        <x:v>1.2148070935</x:v>
      </x:c>
      <x:c r="N43" s="24" t="str">
        <x:v>pandalidae</x:v>
      </x:c>
      <x:c r="O43" s="32" t="n">
        <x:v>2.7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Pandalidae</x:v>
      </x:c>
      <x:c r="T43" s="32" t="n">
        <x:f>IF(O43="","",(1/'Metadata'!$B$5)^(O43-1))</x:f>
        <x:v>50.11872336272725</x:v>
      </x:c>
      <x:c r="U43" s="31" t="n">
        <x:f>IF(T43="","",I43*T43)</x:f>
        <x:v>60.88458065820524</x:v>
      </x:c>
    </x:row>
    <x:row r="44" ht="18" customHeight="1">
      <x:c r="A44" s="24" t="str">
        <x:v>LME_065</x:v>
      </x:c>
      <x:c r="B44" s="24" t="str">
        <x:v>Aleutian Islands</x:v>
      </x:c>
      <x:c r="C44" s="24" t="str">
        <x:v>LME</x:v>
      </x:c>
      <x:c r="D44" s="30" t="n">
        <x:v>2019</x:v>
      </x:c>
      <x:c r="E44" s="24" t="str">
        <x:v>Veneridae</x:v>
      </x:c>
      <x:c r="F44" s="24" t="str">
        <x:v>Venus clams</x:v>
      </x:c>
      <x:c r="G44" s="24" t="str">
        <x:v>Other demersal invertebrates</x:v>
      </x:c>
      <x:c r="H44" s="24" t="str">
        <x:v>Molluscs</x:v>
      </x:c>
      <x:c r="I44" s="31" t="n">
        <x:v>0.8608720031</x:v>
      </x:c>
      <x:c r="J44" s="31" t="n">
        <x:v>0.8608720031</x:v>
      </x:c>
      <x:c r="K44" s="31" t="n">
        <x:v>0</x:v>
      </x:c>
      <x:c r="L44" s="31" t="n">
        <x:v>0</x:v>
      </x:c>
      <x:c r="M44" s="31" t="n">
        <x:v>0.8608720031</x:v>
      </x:c>
      <x:c r="N44" s="24" t="str">
        <x:v>veneridae</x:v>
      </x:c>
      <x:c r="O44" s="32" t="n">
        <x:v>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Veneridae</x:v>
      </x:c>
      <x:c r="T44" s="32" t="n">
        <x:f>IF(O44="","",(1/'Metadata'!$B$5)^(O44-1))</x:f>
        <x:v>10</x:v>
      </x:c>
      <x:c r="U44" s="31" t="n">
        <x:f>IF(T44="","",I44*T44)</x:f>
        <x:v>8.608720031</x:v>
      </x:c>
    </x:row>
    <x:row r="45" ht="18" customHeight="1">
      <x:c r="A45" s="24" t="str">
        <x:v>LME_065</x:v>
      </x:c>
      <x:c r="B45" s="24" t="str">
        <x:v>Aleutian Islands</x:v>
      </x:c>
      <x:c r="C45" s="24" t="str">
        <x:v>LME</x:v>
      </x:c>
      <x:c r="D45" s="30" t="n">
        <x:v>2019</x:v>
      </x:c>
      <x:c r="E45" s="24" t="str">
        <x:v>Decapoda</x:v>
      </x:c>
      <x:c r="F45" s="24" t="str">
        <x:v>Crabs, lobsters, shrimps</x:v>
      </x:c>
      <x:c r="G45" s="24" t="str">
        <x:v>Lobsters, crabs</x:v>
      </x:c>
      <x:c r="H45" s="24" t="str">
        <x:v>Crustaceans</x:v>
      </x:c>
      <x:c r="I45" s="31" t="n">
        <x:v>0.8443071016</x:v>
      </x:c>
      <x:c r="J45" s="31" t="n">
        <x:v>0.8443071016</x:v>
      </x:c>
      <x:c r="K45" s="31" t="n">
        <x:v>0</x:v>
      </x:c>
      <x:c r="L45" s="31" t="n">
        <x:v>0</x:v>
      </x:c>
      <x:c r="M45" s="31" t="n">
        <x:v>0.8443071016</x:v>
      </x:c>
      <x:c r="N45" s="24" t="str">
        <x:v>decapoda</x:v>
      </x:c>
      <x:c r="O45" s="32" t="n">
        <x:v>3.43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Decapoda</x:v>
      </x:c>
      <x:c r="T45" s="32" t="n">
        <x:f>IF(O45="","",(1/'Metadata'!$B$5)^(O45-1))</x:f>
        <x:v>269.1534803926917</x:v>
      </x:c>
      <x:c r="U45" s="31" t="n">
        <x:f>IF(T45="","",I45*T45)</x:f>
        <x:v>227.24819491590594</x:v>
      </x:c>
    </x:row>
    <x:row r="46" ht="18" customHeight="1">
      <x:c r="A46" s="24" t="str">
        <x:v>LME_065</x:v>
      </x:c>
      <x:c r="B46" s="24" t="str">
        <x:v>Aleutian Islands</x:v>
      </x:c>
      <x:c r="C46" s="24" t="str">
        <x:v>LME</x:v>
      </x:c>
      <x:c r="D46" s="30" t="n">
        <x:v>2019</x:v>
      </x:c>
      <x:c r="E46" s="24" t="str">
        <x:v>Siliqua patula</x:v>
      </x:c>
      <x:c r="F46" s="24" t="str">
        <x:v>Pacific razor clam</x:v>
      </x:c>
      <x:c r="G46" s="24" t="str">
        <x:v>Other demersal invertebrates</x:v>
      </x:c>
      <x:c r="H46" s="24" t="str">
        <x:v>Molluscs</x:v>
      </x:c>
      <x:c r="I46" s="31" t="n">
        <x:v>0.8435955978</x:v>
      </x:c>
      <x:c r="J46" s="31" t="n">
        <x:v>0.8435955978</x:v>
      </x:c>
      <x:c r="K46" s="31" t="n">
        <x:v>0</x:v>
      </x:c>
      <x:c r="L46" s="31" t="n">
        <x:v>0</x:v>
      </x:c>
      <x:c r="M46" s="31" t="n">
        <x:v>0.8435955978</x:v>
      </x:c>
      <x:c r="N46" s="24" t="str">
        <x:v>siliqua patula</x:v>
      </x:c>
      <x:c r="O46" s="32" t="n">
        <x:v>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Siliqua patula</x:v>
      </x:c>
      <x:c r="T46" s="32" t="n">
        <x:f>IF(O46="","",(1/'Metadata'!$B$5)^(O46-1))</x:f>
        <x:v>10</x:v>
      </x:c>
      <x:c r="U46" s="31" t="n">
        <x:f>IF(T46="","",I46*T46)</x:f>
        <x:v>8.435955978</x:v>
      </x:c>
    </x:row>
    <x:row r="47" ht="18" customHeight="1">
      <x:c r="A47" s="24" t="str">
        <x:v>LME_065</x:v>
      </x:c>
      <x:c r="B47" s="24" t="str">
        <x:v>Aleutian Islands</x:v>
      </x:c>
      <x:c r="C47" s="24" t="str">
        <x:v>LME</x:v>
      </x:c>
      <x:c r="D47" s="30" t="n">
        <x:v>2019</x:v>
      </x:c>
      <x:c r="E47" s="24" t="str">
        <x:v>Lithodidae</x:v>
      </x:c>
      <x:c r="F47" s="24" t="str">
        <x:v>Stone/king crabs</x:v>
      </x:c>
      <x:c r="G47" s="24" t="str">
        <x:v>Lobsters, crabs</x:v>
      </x:c>
      <x:c r="H47" s="24" t="str">
        <x:v>Crustaceans</x:v>
      </x:c>
      <x:c r="I47" s="31" t="n">
        <x:v>0.7862117706</x:v>
      </x:c>
      <x:c r="J47" s="31" t="n">
        <x:v>0.7862117706</x:v>
      </x:c>
      <x:c r="K47" s="31" t="n">
        <x:v>0</x:v>
      </x:c>
      <x:c r="L47" s="31" t="n">
        <x:v>0</x:v>
      </x:c>
      <x:c r="M47" s="31" t="n">
        <x:v>0.7862117706</x:v>
      </x:c>
      <x:c r="N47" s="24" t="str">
        <x:v>lithodidae</x:v>
      </x:c>
      <x:c r="O47" s="32" t="n">
        <x:v>2.82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Lithodidae</x:v>
      </x:c>
      <x:c r="T47" s="32" t="n">
        <x:f>IF(O47="","",(1/'Metadata'!$B$5)^(O47-1))</x:f>
        <x:v>66.06934480075958</x:v>
      </x:c>
      <x:c r="U47" s="31" t="n">
        <x:f>IF(T47="","",I47*T47)</x:f>
        <x:v>51.9444965581871</x:v>
      </x:c>
    </x:row>
    <x:row r="48" ht="18" customHeight="1">
      <x:c r="A48" s="24" t="str">
        <x:v>LME_065</x:v>
      </x:c>
      <x:c r="B48" s="24" t="str">
        <x:v>Aleutian Islands</x:v>
      </x:c>
      <x:c r="C48" s="24" t="str">
        <x:v>LME</x:v>
      </x:c>
      <x:c r="D48" s="30" t="n">
        <x:v>2019</x:v>
      </x:c>
      <x:c r="E48" s="24" t="str">
        <x:v>Enteroctopus dofleini</x:v>
      </x:c>
      <x:c r="F48" s="24" t="str">
        <x:v>North Pacific giant octopus</x:v>
      </x:c>
      <x:c r="G48" s="24" t="str">
        <x:v>Cephalopods</x:v>
      </x:c>
      <x:c r="H48" s="24" t="str">
        <x:v>Other fishes &amp; inverts</x:v>
      </x:c>
      <x:c r="I48" s="31" t="n">
        <x:v>0.7209256486</x:v>
      </x:c>
      <x:c r="J48" s="31" t="n">
        <x:v>0.7209256486</x:v>
      </x:c>
      <x:c r="K48" s="31" t="n">
        <x:v>0</x:v>
      </x:c>
      <x:c r="L48" s="31" t="n">
        <x:v>0</x:v>
      </x:c>
      <x:c r="M48" s="31" t="n">
        <x:v>0.7209256486</x:v>
      </x:c>
      <x:c r="N48" s="24" t="str">
        <x:v>enteroctopus dofleini</x:v>
      </x:c>
      <x:c r="O48" s="32" t="n">
        <x:v>3.33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Enteroctopus dofleini</x:v>
      </x:c>
      <x:c r="T48" s="32" t="n">
        <x:f>IF(O48="","",(1/'Metadata'!$B$5)^(O48-1))</x:f>
        <x:v>213.79620895022325</x:v>
      </x:c>
      <x:c r="U48" s="31" t="n">
        <x:f>IF(T48="","",I48*T48)</x:f>
        <x:v>154.1311706056608</x:v>
      </x:c>
    </x:row>
    <x:row r="49" ht="18" customHeight="1">
      <x:c r="A49" s="24" t="str">
        <x:v>LME_065</x:v>
      </x:c>
      <x:c r="B49" s="24" t="str">
        <x:v>Aleutian Islands</x:v>
      </x:c>
      <x:c r="C49" s="24" t="str">
        <x:v>LME</x:v>
      </x:c>
      <x:c r="D49" s="30" t="n">
        <x:v>2019</x:v>
      </x:c>
      <x:c r="E49" s="24" t="str">
        <x:v>Osmeridae</x:v>
      </x:c>
      <x:c r="F49" s="24" t="str">
        <x:v>Smelts</x:v>
      </x:c>
      <x:c r="G49" s="24" t="str">
        <x:v>Small pelagics (&lt;30 cm)</x:v>
      </x:c>
      <x:c r="H49" s="24" t="str">
        <x:v>Salmon, smelts, etc</x:v>
      </x:c>
      <x:c r="I49" s="31" t="n">
        <x:v>0.4631058733</x:v>
      </x:c>
      <x:c r="J49" s="31" t="n">
        <x:v>0.4631058733</x:v>
      </x:c>
      <x:c r="K49" s="31" t="n">
        <x:v>0</x:v>
      </x:c>
      <x:c r="L49" s="31" t="n">
        <x:v>0</x:v>
      </x:c>
      <x:c r="M49" s="31" t="n">
        <x:v>0.4631058733</x:v>
      </x:c>
      <x:c r="N49" s="24" t="str">
        <x:v>osmeridae</x:v>
      </x:c>
      <x:c r="O49" s="32" t="n">
        <x:v>3.46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Osmeridae</x:v>
      </x:c>
      <x:c r="T49" s="32" t="n">
        <x:f>IF(O49="","",(1/'Metadata'!$B$5)^(O49-1))</x:f>
        <x:v>288.40315031266056</x:v>
      </x:c>
      <x:c r="U49" s="31" t="n">
        <x:f>IF(T49="","",I49*T49)</x:f>
        <x:v>133.56119278801583</x:v>
      </x:c>
    </x:row>
    <x:row r="50" ht="18" customHeight="1">
      <x:c r="A50" s="24" t="str">
        <x:v>LME_065</x:v>
      </x:c>
      <x:c r="B50" s="24" t="str">
        <x:v>Aleutian Islands</x:v>
      </x:c>
      <x:c r="C50" s="24" t="str">
        <x:v>LME</x:v>
      </x:c>
      <x:c r="D50" s="30" t="n">
        <x:v>2019</x:v>
      </x:c>
      <x:c r="E50" s="24" t="str">
        <x:v>Salvelinus malma</x:v>
      </x:c>
      <x:c r="F50" s="24" t="str">
        <x:v>Dolly varden</x:v>
      </x:c>
      <x:c r="G50" s="24" t="str">
        <x:v>Large benthopelagics (&gt;=90 cm)</x:v>
      </x:c>
      <x:c r="H50" s="24" t="str">
        <x:v>Salmon, smelts, etc</x:v>
      </x:c>
      <x:c r="I50" s="31" t="n">
        <x:v>0.3926473976</x:v>
      </x:c>
      <x:c r="J50" s="31" t="n">
        <x:v>0.3926473976</x:v>
      </x:c>
      <x:c r="K50" s="31" t="n">
        <x:v>0</x:v>
      </x:c>
      <x:c r="L50" s="31" t="n">
        <x:v>0</x:v>
      </x:c>
      <x:c r="M50" s="31" t="n">
        <x:v>0.3926473976</x:v>
      </x:c>
      <x:c r="N50" s="24" t="str">
        <x:v>salvelinus malma</x:v>
      </x:c>
      <x:c r="O50" s="32" t="n">
        <x:v>4.4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Salvelinus malma</x:v>
      </x:c>
      <x:c r="T50" s="32" t="n">
        <x:f>IF(O50="","",(1/'Metadata'!$B$5)^(O50-1))</x:f>
        <x:v>2511.886431509582</x:v>
      </x:c>
      <x:c r="U50" s="31" t="n">
        <x:f>IF(T50="","",I50*T50)</x:f>
        <x:v>986.285670398988</x:v>
      </x:c>
    </x:row>
    <x:row r="51" ht="18" customHeight="1">
      <x:c r="A51" s="24" t="str">
        <x:v>LME_065</x:v>
      </x:c>
      <x:c r="B51" s="24" t="str">
        <x:v>Aleutian Islands</x:v>
      </x:c>
      <x:c r="C51" s="24" t="str">
        <x:v>LME</x:v>
      </x:c>
      <x:c r="D51" s="30" t="n">
        <x:v>2019</x:v>
      </x:c>
      <x:c r="E51" s="24" t="str">
        <x:v>Chionoecetes</x:v>
      </x:c>
      <x:c r="F51" s="24" t="str">
        <x:v>Tanner, snow crabs</x:v>
      </x:c>
      <x:c r="G51" s="24" t="str">
        <x:v>Lobsters, crabs</x:v>
      </x:c>
      <x:c r="H51" s="24" t="str">
        <x:v>Crustaceans</x:v>
      </x:c>
      <x:c r="I51" s="31" t="n">
        <x:v>0.3297004448</x:v>
      </x:c>
      <x:c r="J51" s="31" t="n">
        <x:v>0.3297004448</x:v>
      </x:c>
      <x:c r="K51" s="31" t="n">
        <x:v>0</x:v>
      </x:c>
      <x:c r="L51" s="31" t="n">
        <x:v>0</x:v>
      </x:c>
      <x:c r="M51" s="31" t="n">
        <x:v>0.3297004448</x:v>
      </x:c>
      <x:c r="N51" s="24" t="str">
        <x:v>chionoecetes</x:v>
      </x:c>
      <x:c r="O51" s="32" t="n">
        <x:v>2.3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Chionoecetes</x:v>
      </x:c>
      <x:c r="T51" s="32" t="n">
        <x:f>IF(O51="","",(1/'Metadata'!$B$5)^(O51-1))</x:f>
        <x:v>19.952623149688787</x:v>
      </x:c>
      <x:c r="U51" s="31" t="n">
        <x:f>IF(T51="","",I51*T51)</x:f>
        <x:v>6.57838872737917</x:v>
      </x:c>
    </x:row>
    <x:row r="52" ht="18" customHeight="1">
      <x:c r="A52" s="24" t="str">
        <x:v>LME_065</x:v>
      </x:c>
      <x:c r="B52" s="24" t="str">
        <x:v>Aleutian Islands</x:v>
      </x:c>
      <x:c r="C52" s="24" t="str">
        <x:v>LME</x:v>
      </x:c>
      <x:c r="D52" s="30" t="n">
        <x:v>2019</x:v>
      </x:c>
      <x:c r="E52" s="24" t="str">
        <x:v>Leukoma staminea</x:v>
      </x:c>
      <x:c r="F52" s="24" t="str">
        <x:v>Pacific littleneck clam</x:v>
      </x:c>
      <x:c r="G52" s="24" t="str">
        <x:v>Other demersal invertebrates</x:v>
      </x:c>
      <x:c r="H52" s="24" t="str">
        <x:v>Molluscs</x:v>
      </x:c>
      <x:c r="I52" s="31" t="n">
        <x:v>0.2165246989</x:v>
      </x:c>
      <x:c r="J52" s="31" t="n">
        <x:v>0.2165246989</x:v>
      </x:c>
      <x:c r="K52" s="31" t="n">
        <x:v>0</x:v>
      </x:c>
      <x:c r="L52" s="31" t="n">
        <x:v>0</x:v>
      </x:c>
      <x:c r="M52" s="31" t="n">
        <x:v>0.2165246989</x:v>
      </x:c>
      <x:c r="N52" s="24" t="str">
        <x:v>leukoma staminea</x:v>
      </x:c>
      <x:c r="O52" s="32" t="n">
        <x:v>2.1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Leukoma staminea</x:v>
      </x:c>
      <x:c r="T52" s="32" t="n">
        <x:f>IF(O52="","",(1/'Metadata'!$B$5)^(O52-1))</x:f>
        <x:v>12.589254117941675</x:v>
      </x:c>
      <x:c r="U52" s="31" t="n">
        <x:f>IF(T52="","",I52*T52)</x:f>
        <x:v>2.7258844572629064</x:v>
      </x:c>
    </x:row>
    <x:row r="53" ht="18" customHeight="1">
      <x:c r="A53" s="24" t="str">
        <x:v>LME_065</x:v>
      </x:c>
      <x:c r="B53" s="24" t="str">
        <x:v>Aleutian Islands</x:v>
      </x:c>
      <x:c r="C53" s="24" t="str">
        <x:v>LME</x:v>
      </x:c>
      <x:c r="D53" s="30" t="n">
        <x:v>2019</x:v>
      </x:c>
      <x:c r="E53" s="24" t="str">
        <x:v>Oncorhynchus mykiss</x:v>
      </x:c>
      <x:c r="F53" s="24" t="str">
        <x:v>Rainbow trout</x:v>
      </x:c>
      <x:c r="G53" s="24" t="str">
        <x:v>Large benthopelagics (&gt;=90 cm)</x:v>
      </x:c>
      <x:c r="H53" s="24" t="str">
        <x:v>Salmon, smelts, etc</x:v>
      </x:c>
      <x:c r="I53" s="31" t="n">
        <x:v>0.1506547082</x:v>
      </x:c>
      <x:c r="J53" s="31" t="n">
        <x:v>0.1506547082</x:v>
      </x:c>
      <x:c r="K53" s="31" t="n">
        <x:v>0</x:v>
      </x:c>
      <x:c r="L53" s="31" t="n">
        <x:v>0</x:v>
      </x:c>
      <x:c r="M53" s="31" t="n">
        <x:v>0.1506547082</x:v>
      </x:c>
      <x:c r="N53" s="24" t="str">
        <x:v>oncorhynchus mykiss</x:v>
      </x:c>
      <x:c r="O53" s="32" t="n">
        <x:v>4.08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Oncorhynchus mykiss</x:v>
      </x:c>
      <x:c r="T53" s="32" t="n">
        <x:f>IF(O53="","",(1/'Metadata'!$B$5)^(O53-1))</x:f>
        <x:v>1202.2644346174131</x:v>
      </x:c>
      <x:c r="U53" s="31" t="n">
        <x:f>IF(T53="","",I53*T53)</x:f>
        <x:v>181.12679757652435</x:v>
      </x:c>
    </x:row>
    <x:row r="54" ht="18" customHeight="1">
      <x:c r="A54" s="24" t="str">
        <x:v>LME_065</x:v>
      </x:c>
      <x:c r="B54" s="24" t="str">
        <x:v>Aleutian Islands</x:v>
      </x:c>
      <x:c r="C54" s="24" t="str">
        <x:v>LME</x:v>
      </x:c>
      <x:c r="D54" s="30" t="n">
        <x:v>2019</x:v>
      </x:c>
      <x:c r="E54" s="24" t="str">
        <x:v>Bivalvia</x:v>
      </x:c>
      <x:c r="F54" s="24" t="str">
        <x:v>Clams</x:v>
      </x:c>
      <x:c r="G54" s="24" t="str">
        <x:v>Other demersal invertebrates</x:v>
      </x:c>
      <x:c r="H54" s="24" t="str">
        <x:v>Molluscs</x:v>
      </x:c>
      <x:c r="I54" s="31" t="n">
        <x:v>0.1158236676</x:v>
      </x:c>
      <x:c r="J54" s="31" t="n">
        <x:v>0.1158236676</x:v>
      </x:c>
      <x:c r="K54" s="31" t="n">
        <x:v>0</x:v>
      </x:c>
      <x:c r="L54" s="31" t="n">
        <x:v>0</x:v>
      </x:c>
      <x:c r="M54" s="31" t="n">
        <x:v>0.1158236676</x:v>
      </x:c>
      <x:c r="N54" s="24" t="str">
        <x:v>bivalvia</x:v>
      </x:c>
      <x:c r="O54" s="32" t="n">
        <x:v>2.23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Bivalvia</x:v>
      </x:c>
      <x:c r="T54" s="32" t="n">
        <x:f>IF(O54="","",(1/'Metadata'!$B$5)^(O54-1))</x:f>
        <x:v>16.982436524617444</x:v>
      </x:c>
      <x:c r="U54" s="31" t="n">
        <x:f>IF(T54="","",I54*T54)</x:f>
        <x:v>1.9669680830653902</x:v>
      </x:c>
    </x:row>
    <x:row r="55" ht="18" customHeight="1">
      <x:c r="A55" s="24" t="str">
        <x:v>LME_065</x:v>
      </x:c>
      <x:c r="B55" s="24" t="str">
        <x:v>Aleutian Islands</x:v>
      </x:c>
      <x:c r="C55" s="24" t="str">
        <x:v>LME</x:v>
      </x:c>
      <x:c r="D55" s="30" t="n">
        <x:v>2019</x:v>
      </x:c>
      <x:c r="E55" s="24" t="str">
        <x:v>Salmonidae</x:v>
      </x:c>
      <x:c r="F55" s="24" t="str">
        <x:v>Salmonids</x:v>
      </x:c>
      <x:c r="G55" s="24" t="str">
        <x:v>Large benthopelagics (&gt;=90 cm)</x:v>
      </x:c>
      <x:c r="H55" s="24" t="str">
        <x:v>Salmon, smelts, etc</x:v>
      </x:c>
      <x:c r="I55" s="31" t="n">
        <x:v>0.0802047262</x:v>
      </x:c>
      <x:c r="J55" s="31" t="n">
        <x:v>0.0802047262</x:v>
      </x:c>
      <x:c r="K55" s="31" t="n">
        <x:v>0</x:v>
      </x:c>
      <x:c r="L55" s="31" t="n">
        <x:v>0</x:v>
      </x:c>
      <x:c r="M55" s="31" t="n">
        <x:v>0.0802047262</x:v>
      </x:c>
      <x:c r="N55" s="24" t="str">
        <x:v>salmonidae</x:v>
      </x:c>
      <x:c r="O55" s="32" t="n">
        <x:v>3.3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Salmonidae</x:v>
      </x:c>
      <x:c r="T55" s="32" t="n">
        <x:f>IF(O55="","",(1/'Metadata'!$B$5)^(O55-1))</x:f>
        <x:v>199.52623149688787</x:v>
      </x:c>
      <x:c r="U55" s="31" t="n">
        <x:f>IF(T55="","",I55*T55)</x:f>
        <x:v>16.00294676692571</x:v>
      </x:c>
    </x:row>
    <x:row r="56" ht="18" customHeight="1">
      <x:c r="A56" s="24" t="str">
        <x:v>LME_065</x:v>
      </x:c>
      <x:c r="B56" s="24" t="str">
        <x:v>Aleutian Islands</x:v>
      </x:c>
      <x:c r="C56" s="24" t="str">
        <x:v>LME</x:v>
      </x:c>
      <x:c r="D56" s="30" t="n">
        <x:v>2019</x:v>
      </x:c>
      <x:c r="E56" s="24" t="str">
        <x:v>Gadidae</x:v>
      </x:c>
      <x:c r="F56" s="24" t="str">
        <x:v>Cods, haddocks</x:v>
      </x:c>
      <x:c r="G56" s="24" t="str">
        <x:v>Medium demersals (30 - 89 cm)</x:v>
      </x:c>
      <x:c r="H56" s="24" t="str">
        <x:v>Cod-likes</x:v>
      </x:c>
      <x:c r="I56" s="31" t="n">
        <x:v>0.0554461939</x:v>
      </x:c>
      <x:c r="J56" s="31" t="n">
        <x:v>0.0554461939</x:v>
      </x:c>
      <x:c r="K56" s="31" t="n">
        <x:v>0</x:v>
      </x:c>
      <x:c r="L56" s="31" t="n">
        <x:v>0</x:v>
      </x:c>
      <x:c r="M56" s="31" t="n">
        <x:v>0.0554461939</x:v>
      </x:c>
      <x:c r="N56" s="24" t="str">
        <x:v>gadidae</x:v>
      </x:c>
      <x:c r="O56" s="32" t="n">
        <x:v>3.84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Gadidae</x:v>
      </x:c>
      <x:c r="T56" s="32" t="n">
        <x:f>IF(O56="","",(1/'Metadata'!$B$5)^(O56-1))</x:f>
        <x:v>691.8309709189363</x:v>
      </x:c>
      <x:c r="U56" s="31" t="n">
        <x:f>IF(T56="","",I56*T56)</x:f>
        <x:v>38.359394159596604</x:v>
      </x:c>
    </x:row>
    <x:row r="57" ht="18" customHeight="1">
      <x:c r="A57" s="24" t="str">
        <x:v>LME_065</x:v>
      </x:c>
      <x:c r="B57" s="24" t="str">
        <x:v>Aleutian Islands</x:v>
      </x:c>
      <x:c r="C57" s="24" t="str">
        <x:v>LME</x:v>
      </x:c>
      <x:c r="D57" s="30" t="n">
        <x:v>2019</x:v>
      </x:c>
      <x:c r="E57" s="24" t="str">
        <x:v>Oncorhynchus</x:v>
      </x:c>
      <x:c r="F57" s="24" t="str">
        <x:v>Salmons, trouts</x:v>
      </x:c>
      <x:c r="G57" s="24" t="str">
        <x:v>Large benthopelagics (&gt;=90 cm)</x:v>
      </x:c>
      <x:c r="H57" s="24" t="str">
        <x:v>Salmon, smelts, etc</x:v>
      </x:c>
      <x:c r="I57" s="31" t="n">
        <x:v>0.0544570328</x:v>
      </x:c>
      <x:c r="J57" s="31" t="n">
        <x:v>0.0544570328</x:v>
      </x:c>
      <x:c r="K57" s="31" t="n">
        <x:v>0</x:v>
      </x:c>
      <x:c r="L57" s="31" t="n">
        <x:v>0</x:v>
      </x:c>
      <x:c r="M57" s="31" t="n">
        <x:v>0.0544570328</x:v>
      </x:c>
      <x:c r="N57" s="24" t="str">
        <x:v>oncorhynchus</x:v>
      </x:c>
      <x:c r="O57" s="32" t="n">
        <x:v>3.95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Oncorhynchus</x:v>
      </x:c>
      <x:c r="T57" s="32" t="n">
        <x:f>IF(O57="","",(1/'Metadata'!$B$5)^(O57-1))</x:f>
        <x:v>891.2509381337459</x:v>
      </x:c>
      <x:c r="U57" s="31" t="n">
        <x:f>IF(T57="","",I57*T57)</x:f>
        <x:v>48.53488157098017</x:v>
      </x:c>
    </x:row>
    <x:row r="58" ht="18" customHeight="1">
      <x:c r="A58" s="24" t="str">
        <x:v>LME_065</x:v>
      </x:c>
      <x:c r="B58" s="24" t="str">
        <x:v>Aleutian Islands</x:v>
      </x:c>
      <x:c r="C58" s="24" t="str">
        <x:v>LME</x:v>
      </x:c>
      <x:c r="D58" s="30" t="n">
        <x:v>2019</x:v>
      </x:c>
      <x:c r="E58" s="24" t="str">
        <x:v>Platichthys stellatus</x:v>
      </x:c>
      <x:c r="F58" s="24" t="str">
        <x:v>Starry flounder</x:v>
      </x:c>
      <x:c r="G58" s="24" t="str">
        <x:v>Small to medium flatfishes (&lt;90 cm)</x:v>
      </x:c>
      <x:c r="H58" s="24" t="str">
        <x:v>Flatfishes</x:v>
      </x:c>
      <x:c r="I58" s="31" t="n">
        <x:v>0.0465006001</x:v>
      </x:c>
      <x:c r="J58" s="31" t="n">
        <x:v>0.0465006001</x:v>
      </x:c>
      <x:c r="K58" s="31" t="n">
        <x:v>0</x:v>
      </x:c>
      <x:c r="L58" s="31" t="n">
        <x:v>0</x:v>
      </x:c>
      <x:c r="M58" s="31" t="n">
        <x:v>0.0465006001</x:v>
      </x:c>
      <x:c r="N58" s="24" t="str">
        <x:v>platichthys stellatus</x:v>
      </x:c>
      <x:c r="O58" s="32" t="n">
        <x:v>3.58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Platichthys stellatus</x:v>
      </x:c>
      <x:c r="T58" s="32" t="n">
        <x:f>IF(O58="","",(1/'Metadata'!$B$5)^(O58-1))</x:f>
        <x:v>380.1893963205613</x:v>
      </x:c>
      <x:c r="U58" s="31" t="n">
        <x:f>IF(T58="","",I58*T58)</x:f>
        <x:v>17.67903508056283</x:v>
      </x:c>
    </x:row>
    <x:row r="59" ht="18" customHeight="1">
      <x:c r="A59" s="24" t="str">
        <x:v>LME_065</x:v>
      </x:c>
      <x:c r="B59" s="24" t="str">
        <x:v>Aleutian Islands</x:v>
      </x:c>
      <x:c r="C59" s="24" t="str">
        <x:v>LME</x:v>
      </x:c>
      <x:c r="D59" s="30" t="n">
        <x:v>2019</x:v>
      </x:c>
      <x:c r="E59" s="24" t="str">
        <x:v>Gastropoda</x:v>
      </x:c>
      <x:c r="F59" s="24" t="str">
        <x:v>Sea snails</x:v>
      </x:c>
      <x:c r="G59" s="24" t="str">
        <x:v>Other demersal invertebrates</x:v>
      </x:c>
      <x:c r="H59" s="24" t="str">
        <x:v>Molluscs</x:v>
      </x:c>
      <x:c r="I59" s="31" t="n">
        <x:v>0.0339236376</x:v>
      </x:c>
      <x:c r="J59" s="31" t="n">
        <x:v>0.0339236376</x:v>
      </x:c>
      <x:c r="K59" s="31" t="n">
        <x:v>0</x:v>
      </x:c>
      <x:c r="L59" s="31" t="n">
        <x:v>0</x:v>
      </x:c>
      <x:c r="M59" s="31" t="n">
        <x:v>0.0339236376</x:v>
      </x:c>
      <x:c r="N59" s="24" t="str">
        <x:v>gastropoda</x:v>
      </x:c>
      <x:c r="O59" s="32" t="n">
        <x:v>3.06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Gastropoda</x:v>
      </x:c>
      <x:c r="T59" s="32" t="n">
        <x:f>IF(O59="","",(1/'Metadata'!$B$5)^(O59-1))</x:f>
        <x:v>114.81536214968828</x:v>
      </x:c>
      <x:c r="U59" s="31" t="n">
        <x:f>IF(T59="","",I59*T59)</x:f>
        <x:v>3.894954736478782</x:v>
      </x:c>
    </x:row>
    <x:row r="60" ht="18" customHeight="1">
      <x:c r="A60" s="24" t="str">
        <x:v>LME_065</x:v>
      </x:c>
      <x:c r="B60" s="24" t="str">
        <x:v>Aleutian Islands</x:v>
      </x:c>
      <x:c r="C60" s="24" t="str">
        <x:v>LME</x:v>
      </x:c>
      <x:c r="D60" s="30" t="n">
        <x:v>2019</x:v>
      </x:c>
      <x:c r="E60" s="24" t="str">
        <x:v>Chondrichthyes</x:v>
      </x:c>
      <x:c r="F60" s="24" t="str">
        <x:v>Sharks, rays, chimaeras</x:v>
      </x:c>
      <x:c r="G60" s="24" t="str">
        <x:v>Large sharks (&gt;=90 cm)</x:v>
      </x:c>
      <x:c r="H60" s="24" t="str">
        <x:v>Sharks &amp; rays</x:v>
      </x:c>
      <x:c r="I60" s="31" t="n">
        <x:v>0.0313214505</x:v>
      </x:c>
      <x:c r="J60" s="31" t="n">
        <x:v>0.0313214505</x:v>
      </x:c>
      <x:c r="K60" s="31" t="n">
        <x:v>0</x:v>
      </x:c>
      <x:c r="L60" s="31" t="n">
        <x:v>0</x:v>
      </x:c>
      <x:c r="M60" s="31" t="n">
        <x:v>0.0313214505</x:v>
      </x:c>
      <x:c r="N60" s="24" t="str">
        <x:v>chondrichthyes</x:v>
      </x:c>
      <x:c r="O60" s="32" t="n">
        <x:v>4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Chondrichthyes</x:v>
      </x:c>
      <x:c r="T60" s="32" t="n">
        <x:f>IF(O60="","",(1/'Metadata'!$B$5)^(O60-1))</x:f>
        <x:v>1000</x:v>
      </x:c>
      <x:c r="U60" s="31" t="n">
        <x:f>IF(T60="","",I60*T60)</x:f>
        <x:v>31.3214505</x:v>
      </x:c>
    </x:row>
    <x:row r="61" ht="18" customHeight="1">
      <x:c r="A61" s="24" t="str">
        <x:v>LME_065</x:v>
      </x:c>
      <x:c r="B61" s="24" t="str">
        <x:v>Aleutian Islands</x:v>
      </x:c>
      <x:c r="C61" s="24" t="str">
        <x:v>LME</x:v>
      </x:c>
      <x:c r="D61" s="30" t="n">
        <x:v>2019</x:v>
      </x:c>
      <x:c r="E61" s="24" t="str">
        <x:v>Petromyzontidae</x:v>
      </x:c>
      <x:c r="F61" s="24" t="str">
        <x:v>Lampreys</x:v>
      </x:c>
      <x:c r="G61" s="24" t="str">
        <x:v>Large demersals (&gt;=90 cm)</x:v>
      </x:c>
      <x:c r="H61" s="24" t="str">
        <x:v>Other fishes &amp; inverts</x:v>
      </x:c>
      <x:c r="I61" s="31" t="n">
        <x:v>0.0299558437</x:v>
      </x:c>
      <x:c r="J61" s="31" t="n">
        <x:v>0.0299558437</x:v>
      </x:c>
      <x:c r="K61" s="31" t="n">
        <x:v>0</x:v>
      </x:c>
      <x:c r="L61" s="31" t="n">
        <x:v>0</x:v>
      </x:c>
      <x:c r="M61" s="31" t="n">
        <x:v>0.0299558437</x:v>
      </x:c>
      <x:c r="N61" s="24" t="str">
        <x:v>petromyzontidae</x:v>
      </x:c>
      <x:c r="O61" s="32" t="n">
        <x:v>4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Petromyzontidae</x:v>
      </x:c>
      <x:c r="T61" s="32" t="n">
        <x:f>IF(O61="","",(1/'Metadata'!$B$5)^(O61-1))</x:f>
        <x:v>1000</x:v>
      </x:c>
      <x:c r="U61" s="31" t="n">
        <x:f>IF(T61="","",I61*T61)</x:f>
        <x:v>29.9558437</x:v>
      </x:c>
    </x:row>
    <x:row r="62" ht="18" customHeight="1">
      <x:c r="A62" s="24" t="str">
        <x:v>LME_065</x:v>
      </x:c>
      <x:c r="B62" s="24" t="str">
        <x:v>Aleutian Islands</x:v>
      </x:c>
      <x:c r="C62" s="24" t="str">
        <x:v>LME</x:v>
      </x:c>
      <x:c r="D62" s="30" t="n">
        <x:v>2019</x:v>
      </x:c>
      <x:c r="E62" s="24" t="str">
        <x:v>Hexagrammidae</x:v>
      </x:c>
      <x:c r="F62" s="24" t="str">
        <x:v>Greenlings</x:v>
      </x:c>
      <x:c r="G62" s="24" t="str">
        <x:v>Medium demersals (30 - 89 cm)</x:v>
      </x:c>
      <x:c r="H62" s="24" t="str">
        <x:v>Scorpionfishes</x:v>
      </x:c>
      <x:c r="I62" s="31" t="n">
        <x:v>0.0271784708</x:v>
      </x:c>
      <x:c r="J62" s="31" t="n">
        <x:v>0.0271784708</x:v>
      </x:c>
      <x:c r="K62" s="31" t="n">
        <x:v>0</x:v>
      </x:c>
      <x:c r="L62" s="31" t="n">
        <x:v>0</x:v>
      </x:c>
      <x:c r="M62" s="31" t="n">
        <x:v>0.0271784708</x:v>
      </x:c>
      <x:c r="N62" s="24" t="str">
        <x:v>hexagrammidae</x:v>
      </x:c>
      <x:c r="O62" s="32" t="n">
        <x:v>3.72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Hexagrammidae</x:v>
      </x:c>
      <x:c r="T62" s="32" t="n">
        <x:f>IF(O62="","",(1/'Metadata'!$B$5)^(O62-1))</x:f>
        <x:v>524.8074602497728</x:v>
      </x:c>
      <x:c r="U62" s="31" t="n">
        <x:f>IF(T62="","",I62*T62)</x:f>
        <x:v>14.263464234020612</x:v>
      </x:c>
    </x:row>
    <x:row r="63" ht="18" customHeight="1">
      <x:c r="A63" s="24" t="str">
        <x:v>LME_065</x:v>
      </x:c>
      <x:c r="B63" s="24" t="str">
        <x:v>Aleutian Islands</x:v>
      </x:c>
      <x:c r="C63" s="24" t="str">
        <x:v>LME</x:v>
      </x:c>
      <x:c r="D63" s="30" t="n">
        <x:v>2019</x:v>
      </x:c>
      <x:c r="E63" s="24" t="str">
        <x:v>Mallotus villosus</x:v>
      </x:c>
      <x:c r="F63" s="24" t="str">
        <x:v>Capelin</x:v>
      </x:c>
      <x:c r="G63" s="24" t="str">
        <x:v>Small pelagics (&lt;30 cm)</x:v>
      </x:c>
      <x:c r="H63" s="24" t="str">
        <x:v>Salmon, smelts, etc</x:v>
      </x:c>
      <x:c r="I63" s="31" t="n">
        <x:v>0.0266345183</x:v>
      </x:c>
      <x:c r="J63" s="31" t="n">
        <x:v>0.0266345183</x:v>
      </x:c>
      <x:c r="K63" s="31" t="n">
        <x:v>0</x:v>
      </x:c>
      <x:c r="L63" s="31" t="n">
        <x:v>0</x:v>
      </x:c>
      <x:c r="M63" s="31" t="n">
        <x:v>0.0266345183</x:v>
      </x:c>
      <x:c r="N63" s="24" t="str">
        <x:v>mallotus villosus</x:v>
      </x:c>
      <x:c r="O63" s="32" t="n">
        <x:v>3.15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Mallotus villosus</x:v>
      </x:c>
      <x:c r="T63" s="32" t="n">
        <x:f>IF(O63="","",(1/'Metadata'!$B$5)^(O63-1))</x:f>
        <x:v>141.2537544622754</x:v>
      </x:c>
      <x:c r="U63" s="31" t="n">
        <x:f>IF(T63="","",I63*T63)</x:f>
        <x:v>3.7622257081691806</x:v>
      </x:c>
    </x:row>
    <x:row r="64" ht="18" customHeight="1">
      <x:c r="A64" s="24" t="str">
        <x:v>LME_065</x:v>
      </x:c>
      <x:c r="B64" s="24" t="str">
        <x:v>Aleutian Islands</x:v>
      </x:c>
      <x:c r="C64" s="24" t="str">
        <x:v>LME</x:v>
      </x:c>
      <x:c r="D64" s="30" t="n">
        <x:v>2019</x:v>
      </x:c>
      <x:c r="E64" s="24" t="str">
        <x:v>Squalus suckleyi</x:v>
      </x:c>
      <x:c r="F64" s="24" t="str">
        <x:v>Pacific spiny dogfish</x:v>
      </x:c>
      <x:c r="G64" s="24" t="str">
        <x:v>Large sharks (&gt;=90 cm)</x:v>
      </x:c>
      <x:c r="H64" s="24" t="str">
        <x:v>Sharks &amp; rays</x:v>
      </x:c>
      <x:c r="I64" s="31" t="n">
        <x:v>0.017999993</x:v>
      </x:c>
      <x:c r="J64" s="31" t="n">
        <x:v>0.017999993</x:v>
      </x:c>
      <x:c r="K64" s="31" t="n">
        <x:v>0</x:v>
      </x:c>
      <x:c r="L64" s="31" t="n">
        <x:v>0</x:v>
      </x:c>
      <x:c r="M64" s="31" t="n">
        <x:v>0.017999993</x:v>
      </x:c>
      <x:c r="N64" s="24" t="str">
        <x:v>squalus suckleyi</x:v>
      </x:c>
      <x:c r="O64" s="32" t="n">
        <x:v>3.82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Squalus suckleyi</x:v>
      </x:c>
      <x:c r="T64" s="32" t="n">
        <x:f>IF(O64="","",(1/'Metadata'!$B$5)^(O64-1))</x:f>
        <x:v>660.6934480075957</x:v>
      </x:c>
      <x:c r="U64" s="31" t="n">
        <x:f>IF(T64="","",I64*T64)</x:f>
        <x:v>11.892477439282587</x:v>
      </x:c>
    </x:row>
    <x:row r="65" ht="18" customHeight="1">
      <x:c r="A65" s="24" t="str">
        <x:v>LME_065</x:v>
      </x:c>
      <x:c r="B65" s="24" t="str">
        <x:v>Aleutian Islands</x:v>
      </x:c>
      <x:c r="C65" s="24" t="str">
        <x:v>LME</x:v>
      </x:c>
      <x:c r="D65" s="30" t="n">
        <x:v>2019</x:v>
      </x:c>
      <x:c r="E65" s="24" t="str">
        <x:v>Crassostrea</x:v>
      </x:c>
      <x:c r="F65" s="24" t="str">
        <x:v>Cupped oysters</x:v>
      </x:c>
      <x:c r="G65" s="24" t="str">
        <x:v>Other demersal invertebrates</x:v>
      </x:c>
      <x:c r="H65" s="24" t="str">
        <x:v>Molluscs</x:v>
      </x:c>
      <x:c r="I65" s="31" t="n">
        <x:v>0.0106594267</x:v>
      </x:c>
      <x:c r="J65" s="31" t="n">
        <x:v>0.0106594267</x:v>
      </x:c>
      <x:c r="K65" s="31" t="n">
        <x:v>0</x:v>
      </x:c>
      <x:c r="L65" s="31" t="n">
        <x:v>0</x:v>
      </x:c>
      <x:c r="M65" s="31" t="n">
        <x:v>0.0106594267</x:v>
      </x:c>
      <x:c r="N65" s="24" t="str">
        <x:v>crassostrea</x:v>
      </x:c>
      <x:c r="O65" s="32" t="n">
        <x:v>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Crassostrea</x:v>
      </x:c>
      <x:c r="T65" s="32" t="n">
        <x:f>IF(O65="","",(1/'Metadata'!$B$5)^(O65-1))</x:f>
        <x:v>10</x:v>
      </x:c>
      <x:c r="U65" s="31" t="n">
        <x:f>IF(T65="","",I65*T65)</x:f>
        <x:v>0.106594267</x:v>
      </x:c>
    </x:row>
    <x:row r="66" ht="18" customHeight="1">
      <x:c r="A66" s="24" t="str">
        <x:v>LME_065</x:v>
      </x:c>
      <x:c r="B66" s="24" t="str">
        <x:v>Aleutian Islands</x:v>
      </x:c>
      <x:c r="C66" s="24" t="str">
        <x:v>LME</x:v>
      </x:c>
      <x:c r="D66" s="30" t="n">
        <x:v>2019</x:v>
      </x:c>
      <x:c r="E66" s="24" t="str">
        <x:v>Erimacrus isenbeckii</x:v>
      </x:c>
      <x:c r="F66" s="24" t="str">
        <x:v>Hair Crab</x:v>
      </x:c>
      <x:c r="G66" s="24" t="str">
        <x:v>Lobsters, crabs</x:v>
      </x:c>
      <x:c r="H66" s="24" t="str">
        <x:v>Crustaceans</x:v>
      </x:c>
      <x:c r="I66" s="31" t="n">
        <x:v>0.0071029711</x:v>
      </x:c>
      <x:c r="J66" s="31" t="n">
        <x:v>0.0071029711</x:v>
      </x:c>
      <x:c r="K66" s="31" t="n">
        <x:v>0</x:v>
      </x:c>
      <x:c r="L66" s="31" t="n">
        <x:v>0</x:v>
      </x:c>
      <x:c r="M66" s="31" t="n">
        <x:v>0.0071029711</x:v>
      </x:c>
      <x:c r="N66" s="24" t="str">
        <x:v>erimacrus isenbeckii</x:v>
      </x:c>
      <x:c r="O66" s="32" t="n">
        <x:v>2.6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Erimacrus isenbeckii</x:v>
      </x:c>
      <x:c r="T66" s="32" t="n">
        <x:f>IF(O66="","",(1/'Metadata'!$B$5)^(O66-1))</x:f>
        <x:v>39.810717055349734</x:v>
      </x:c>
      <x:c r="U66" s="31" t="n">
        <x:f>IF(T66="","",I66*T66)</x:f>
        <x:v>0.28277437271442624</x:v>
      </x:c>
    </x:row>
    <x:row r="67" ht="18" customHeight="1">
      <x:c r="A67" s="24" t="str">
        <x:v>LME_065</x:v>
      </x:c>
      <x:c r="B67" s="24" t="str">
        <x:v>Aleutian Islands</x:v>
      </x:c>
      <x:c r="C67" s="24" t="str">
        <x:v>LME</x:v>
      </x:c>
      <x:c r="D67" s="30" t="n">
        <x:v>2019</x:v>
      </x:c>
      <x:c r="E67" s="24" t="str">
        <x:v>Coregonus</x:v>
      </x:c>
      <x:c r="F67" s="24" t="str">
        <x:v>Whitefishes</x:v>
      </x:c>
      <x:c r="G67" s="24" t="str">
        <x:v>Medium pelagics (30 - 89 cm)</x:v>
      </x:c>
      <x:c r="H67" s="24" t="str">
        <x:v>Salmon, smelts, etc</x:v>
      </x:c>
      <x:c r="I67" s="31" t="n">
        <x:v>0.0054620712</x:v>
      </x:c>
      <x:c r="J67" s="31" t="n">
        <x:v>0.0054620712</x:v>
      </x:c>
      <x:c r="K67" s="31" t="n">
        <x:v>0</x:v>
      </x:c>
      <x:c r="L67" s="31" t="n">
        <x:v>0</x:v>
      </x:c>
      <x:c r="M67" s="31" t="n">
        <x:v>0.0054620712</x:v>
      </x:c>
      <x:c r="N67" s="24" t="str">
        <x:v>coregonus</x:v>
      </x:c>
      <x:c r="O67" s="32" t="n">
        <x:v>3.3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Coregonus</x:v>
      </x:c>
      <x:c r="T67" s="32" t="n">
        <x:f>IF(O67="","",(1/'Metadata'!$B$5)^(O67-1))</x:f>
        <x:v>199.52623149688787</x:v>
      </x:c>
      <x:c r="U67" s="31" t="n">
        <x:f>IF(T67="","",I67*T67)</x:f>
        <x:v>1.089826482703684</x:v>
      </x:c>
    </x:row>
    <x:row r="68" ht="18" customHeight="1">
      <x:c r="A68" s="24" t="str">
        <x:v>LME_065</x:v>
      </x:c>
      <x:c r="B68" s="24" t="str">
        <x:v>Aleutian Islands</x:v>
      </x:c>
      <x:c r="C68" s="24" t="str">
        <x:v>LME</x:v>
      </x:c>
      <x:c r="D68" s="30" t="n">
        <x:v>2019</x:v>
      </x:c>
      <x:c r="E68" s="24" t="str">
        <x:v>Miscellaneous aquatic invertebrates</x:v>
      </x:c>
      <x:c r="F68" s="24" t="str">
        <x:v>Aquatic invertebrates</x:v>
      </x:c>
      <x:c r="G68" s="24" t="str">
        <x:v>Other demersal invertebrates</x:v>
      </x:c>
      <x:c r="H68" s="24" t="str">
        <x:v>Other fishes &amp; inverts</x:v>
      </x:c>
      <x:c r="I68" s="31" t="n">
        <x:v>0.0013797385</x:v>
      </x:c>
      <x:c r="J68" s="31" t="n">
        <x:v>0.0013797385</x:v>
      </x:c>
      <x:c r="K68" s="31" t="n">
        <x:v>0</x:v>
      </x:c>
      <x:c r="L68" s="31" t="n">
        <x:v>0</x:v>
      </x:c>
      <x:c r="M68" s="31" t="n">
        <x:v>0.0013797385</x:v>
      </x:c>
      <x:c r="N68" s="24" t="str">
        <x:v>miscellaneous aquatic invertebrates</x:v>
      </x:c>
      <x:c r="O68" s="32" t="n">
        <x:v>2.43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Miscellaneous aquatic invertebrates</x:v>
      </x:c>
      <x:c r="T68" s="32" t="n">
        <x:f>IF(O68="","",(1/'Metadata'!$B$5)^(O68-1))</x:f>
        <x:v>26.915348039269166</x:v>
      </x:c>
      <x:c r="U68" s="31" t="n">
        <x:f>IF(T68="","",I68*T68)</x:f>
        <x:v>0.037136141930679184</x:v>
      </x:c>
    </x:row>
    <x:row r="69" ht="18" customHeight="1">
      <x:c r="A69" s="24" t="str">
        <x:v>LME_065</x:v>
      </x:c>
      <x:c r="B69" s="24" t="str">
        <x:v>Aleutian Islands</x:v>
      </x:c>
      <x:c r="C69" s="24" t="str">
        <x:v>LME</x:v>
      </x:c>
      <x:c r="D69" s="30" t="n">
        <x:v>2019</x:v>
      </x:c>
      <x:c r="E69" s="24" t="str">
        <x:v>Scombridae</x:v>
      </x:c>
      <x:c r="F69" s="24" t="str">
        <x:v>Mackerels, tunas, bonitos</x:v>
      </x:c>
      <x:c r="G69" s="24" t="str">
        <x:v>Medium pelagics (30 - 89 cm)</x:v>
      </x:c>
      <x:c r="H69" s="24" t="str">
        <x:v>Perch-likes</x:v>
      </x:c>
      <x:c r="I69" s="31" t="n">
        <x:v>0.0000247632</x:v>
      </x:c>
      <x:c r="J69" s="31" t="n">
        <x:v>0.0000247632</x:v>
      </x:c>
      <x:c r="K69" s="31" t="n">
        <x:v>0</x:v>
      </x:c>
      <x:c r="L69" s="31" t="n">
        <x:v>0</x:v>
      </x:c>
      <x:c r="M69" s="31" t="n">
        <x:v>0.0000247632</x:v>
      </x:c>
      <x:c r="N69" s="24" t="str">
        <x:v>scombridae</x:v>
      </x:c>
      <x:c r="O69" s="32" t="n">
        <x:v>4.26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Scombridae</x:v>
      </x:c>
      <x:c r="T69" s="32" t="n">
        <x:f>IF(O69="","",(1/'Metadata'!$B$5)^(O69-1))</x:f>
        <x:v>1819.7008586099826</x:v>
      </x:c>
      <x:c r="U69" s="31" t="n">
        <x:f>IF(T69="","",I69*T69)</x:f>
        <x:v>0.04506161630193072</x:v>
      </x:c>
    </x:row>
  </x:sheetData>
  <x:conditionalFormatting sqref="R2:R6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a54f7c4c3194ff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100689.8457528625</x:v>
      </x:c>
      <x:c r="C2" s="32" t="n">
        <x:v>3.6558319845007223</x:v>
      </x:c>
      <x:c r="D2" s="32" t="n">
        <x:f>IF(C2="","",(1/'Metadata'!$B$5)^(C2-1))</x:f>
        <x:v>452.72240131197117</x:v>
      </x:c>
      <x:c r="E2" s="31" t="n">
        <x:f>IF(B2=0,"",B2*D2)</x:f>
        <x:v>45584548.756967895</x:v>
      </x:c>
    </x:row>
    <x:row r="3" ht="18" customHeight="1">
      <x:c r="A3" s="24" t="str">
        <x:v>Crustaceans</x:v>
      </x:c>
      <x:c r="B3" s="31" t="n">
        <x:v>285.28013557659995</x:v>
      </x:c>
      <x:c r="C3" s="32" t="n">
        <x:v>3.1498775103647882</x:v>
      </x:c>
      <x:c r="D3" s="32" t="n">
        <x:f>IF(C3="","",(1/'Metadata'!$B$5)^(C3-1))</x:f>
        <x:v>141.2139204744233</x:v>
      </x:c>
      <x:c r="E3" s="31" t="n">
        <x:f>IF(B3=0,"",B3*D3)</x:f>
        <x:v>40285.52637824669</x:v>
      </x:c>
    </x:row>
    <x:row r="4" ht="18" customHeight="1">
      <x:c r="A4" s="24" t="str">
        <x:v>Flatfishes</x:v>
      </x:c>
      <x:c r="B4" s="31" t="n">
        <x:v>17715.895105419095</x:v>
      </x:c>
      <x:c r="C4" s="32" t="n">
        <x:v>3.580980472489051</x:v>
      </x:c>
      <x:c r="D4" s="32" t="n">
        <x:f>IF(C4="","",(1/'Metadata'!$B$5)^(C4-1))</x:f>
        <x:v>381.0486896284189</x:v>
      </x:c>
      <x:c r="E4" s="31" t="n">
        <x:f>IF(B4=0,"",B4*D4)</x:f>
        <x:v>6750618.615514467</x:v>
      </x:c>
    </x:row>
    <x:row r="5" ht="18" customHeight="1">
      <x:c r="A5" s="24" t="str">
        <x:v>Herring-likes</x:v>
      </x:c>
      <x:c r="B5" s="31" t="n">
        <x:v>239.8291587181</x:v>
      </x:c>
      <x:c r="C5" s="32" t="n">
        <x:v>3.16</x:v>
      </x:c>
      <x:c r="D5" s="32" t="n">
        <x:f>IF(C5="","",(1/'Metadata'!$B$5)^(C5-1))</x:f>
        <x:v>144.5439770745928</x:v>
      </x:c>
      <x:c r="E5" s="31" t="n">
        <x:f>IF(B5=0,"",B5*D5)</x:f>
        <x:v>34665.86041956792</x:v>
      </x:c>
    </x:row>
    <x:row r="6" ht="18" customHeight="1">
      <x:c r="A6" s="24" t="str">
        <x:v>Molluscs</x:v>
      </x:c>
      <x:c r="B6" s="31" t="n">
        <x:v>66.69448667099999</x:v>
      </x:c>
      <x:c r="C6" s="32" t="n">
        <x:v>2.098142441151288</x:v>
      </x:c>
      <x:c r="D6" s="32" t="n">
        <x:f>IF(C6="","",(1/'Metadata'!$B$5)^(C6-1))</x:f>
        <x:v>12.53552251191774</x:v>
      </x:c>
      <x:c r="E6" s="31" t="n">
        <x:f>IF(B6=0,"",B6*D6)</x:f>
        <x:v>836.050239085118</x:v>
      </x:c>
    </x:row>
    <x:row r="7" ht="18" customHeight="1">
      <x:c r="A7" s="24" t="str">
        <x:v>Other fishes &amp; inverts</x:v>
      </x:c>
      <x:c r="B7" s="31" t="n">
        <x:v>6686.6063139682</x:v>
      </x:c>
      <x:c r="C7" s="32" t="n">
        <x:v>3.301121733500416</x:v>
      </x:c>
      <x:c r="D7" s="32" t="n">
        <x:f>IF(C7="","",(1/'Metadata'!$B$5)^(C7-1))</x:f>
        <x:v>200.04225129722957</x:v>
      </x:c>
      <x:c r="E7" s="31" t="n">
        <x:f>IF(B7=0,"",B7*D7)</x:f>
        <x:v>1337603.7805844685</x:v>
      </x:c>
    </x:row>
    <x:row r="8" ht="18" customHeight="1">
      <x:c r="A8" s="24" t="str">
        <x:v>Perch-likes</x:v>
      </x:c>
      <x:c r="B8" s="31" t="n">
        <x:v>0.0000247632</x:v>
      </x:c>
      <x:c r="C8" s="32" t="n">
        <x:v>4.26</x:v>
      </x:c>
      <x:c r="D8" s="32" t="n">
        <x:f>IF(C8="","",(1/'Metadata'!$B$5)^(C8-1))</x:f>
        <x:v>1819.7008586099826</x:v>
      </x:c>
      <x:c r="E8" s="31" t="n">
        <x:f>IF(B8=0,"",B8*D8)</x:f>
        <x:v>0.04506161630193072</x:v>
      </x:c>
    </x:row>
    <x:row r="9" ht="18" customHeight="1">
      <x:c r="A9" s="24" t="str">
        <x:v>Salmon, smelts, etc</x:v>
      </x:c>
      <x:c r="B9" s="31" t="n">
        <x:v>9125.9345836157</x:v>
      </x:c>
      <x:c r="C9" s="32" t="n">
        <x:v>4.0663965726882</x:v>
      </x:c>
      <x:c r="D9" s="32" t="n">
        <x:f>IF(C9="","",(1/'Metadata'!$B$5)^(C9-1))</x:f>
        <x:v>1165.1895276892515</x:v>
      </x:c>
      <x:c r="E9" s="31" t="n">
        <x:f>IF(B9=0,"",B9*D9)</x:f>
        <x:v>10633443.407206183</x:v>
      </x:c>
    </x:row>
    <x:row r="10" ht="18" customHeight="1">
      <x:c r="A10" s="24" t="str">
        <x:v>Scorpionfishes</x:v>
      </x:c>
      <x:c r="B10" s="31" t="n">
        <x:v>16014.8201058068</x:v>
      </x:c>
      <x:c r="C10" s="32" t="n">
        <x:v>3.5389562827029932</x:v>
      </x:c>
      <x:c r="D10" s="32" t="n">
        <x:f>IF(C10="","",(1/'Metadata'!$B$5)^(C10-1))</x:f>
        <x:v>345.90455635361</x:v>
      </x:c>
      <x:c r="E10" s="31" t="n">
        <x:f>IF(B10=0,"",B10*D10)</x:f>
        <x:v>5539599.2437819755</x:v>
      </x:c>
    </x:row>
    <x:row r="11" ht="18" customHeight="1">
      <x:c r="A11" s="24" t="str">
        <x:v>Sharks &amp; rays</x:v>
      </x:c>
      <x:c r="B11" s="31" t="n">
        <x:v>682.7661235784</x:v>
      </x:c>
      <x:c r="C11" s="32" t="n">
        <x:v>3.826126814277985</x:v>
      </x:c>
      <x:c r="D11" s="32" t="n">
        <x:f>IF(C11="","",(1/'Metadata'!$B$5)^(C11-1))</x:f>
        <x:v>670.0802447300949</x:v>
      </x:c>
      <x:c r="E11" s="31" t="n">
        <x:f>IF(B11=0,"",B11*D11)</x:f>
        <x:v>457508.0911808325</x:v>
      </x:c>
    </x:row>
  </x:sheetData>
  <x:pageMargins left="0.7" right="0.7" top="0.75" bottom="0.75" header="0.3" footer="0.3"/>
  <x:tableParts count="1">
    <x:tablePart xmlns:r="http://schemas.openxmlformats.org/officeDocument/2006/relationships" r:id="Ra6b001bb04d3475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234.0693968463</x:v>
      </x:c>
      <x:c r="C2" s="32" t="n">
        <x:v>3.892630342319087</x:v>
      </x:c>
      <x:c r="D2" s="32" t="n">
        <x:f>IF(C2="","",(1/'Metadata'!$B$5)^(C2-1))</x:f>
        <x:v>780.9627908650064</x:v>
      </x:c>
      <x:c r="E2" s="31" t="n">
        <x:f>IF(B2=0,"",B2*D2)</x:f>
        <x:v>182799.48941717518</x:v>
      </x:c>
    </x:row>
    <x:row r="3" ht="18" customHeight="1">
      <x:c r="A3" s="24" t="str">
        <x:v>Large bathydemersals (&gt;=90 cm)</x:v>
      </x:c>
      <x:c r="B3" s="31" t="n">
        <x:v>864.0181941010001</x:v>
      </x:c>
      <x:c r="C3" s="32" t="n">
        <x:v>3.84</x:v>
      </x:c>
      <x:c r="D3" s="32" t="n">
        <x:f>IF(C3="","",(1/'Metadata'!$B$5)^(C3-1))</x:f>
        <x:v>691.8309709189363</x:v>
      </x:c>
      <x:c r="E3" s="31" t="n">
        <x:f>IF(B3=0,"",B3*D3)</x:f>
        <x:v>597754.5461165208</x:v>
      </x:c>
    </x:row>
    <x:row r="4" ht="18" customHeight="1">
      <x:c r="A4" s="24" t="str">
        <x:v>Large benthopelagics (&gt;=90 cm)</x:v>
      </x:c>
      <x:c r="B4" s="31" t="n">
        <x:v>1714.7434603232998</x:v>
      </x:c>
      <x:c r="C4" s="32" t="n">
        <x:v>3.776009451149657</x:v>
      </x:c>
      <x:c r="D4" s="32" t="n">
        <x:f>IF(C4="","",(1/'Metadata'!$B$5)^(C4-1))</x:f>
        <x:v>597.0482794526797</x:v>
      </x:c>
      <x:c r="E4" s="31" t="n">
        <x:f>IF(B4=0,"",B4*D4)</x:f>
        <x:v>1023784.6326887605</x:v>
      </x:c>
    </x:row>
    <x:row r="5" ht="18" customHeight="1">
      <x:c r="A5" s="24" t="str">
        <x:v>Large demersals (&gt;=90 cm)</x:v>
      </x:c>
      <x:c r="B5" s="31" t="n">
        <x:v>15098.782689014199</x:v>
      </x:c>
      <x:c r="C5" s="32" t="n">
        <x:v>4.161894714988897</x:v>
      </x:c>
      <x:c r="D5" s="32" t="n">
        <x:f>IF(C5="","",(1/'Metadata'!$B$5)^(C5-1))</x:f>
        <x:v>1451.759628180099</x:v>
      </x:c>
      <x:c r="E5" s="31" t="n">
        <x:f>IF(B5=0,"",B5*D5)</x:f>
        <x:v>21919803.14257537</x:v>
      </x:c>
    </x:row>
    <x:row r="6" ht="18" customHeight="1">
      <x:c r="A6" s="24" t="str">
        <x:v>Large flatfishes (&gt;=90 cm)</x:v>
      </x:c>
      <x:c r="B6" s="31" t="n">
        <x:v>438.6943805188</x:v>
      </x:c>
      <x:c r="C6" s="32" t="n">
        <x:v>4.1764884783251555</x:v>
      </x:c>
      <x:c r="D6" s="32" t="n">
        <x:f>IF(C6="","",(1/'Metadata'!$B$5)^(C6-1))</x:f>
        <x:v>1501.3725743567702</x:v>
      </x:c>
      <x:c r="E6" s="31" t="n">
        <x:f>IF(B6=0,"",B6*D6)</x:f>
        <x:v>658643.7114353593</x:v>
      </x:c>
    </x:row>
    <x:row r="7" ht="18" customHeight="1">
      <x:c r="A7" s="24" t="str">
        <x:v>Large rays (&gt;=90 cm)</x:v>
      </x:c>
      <x:c r="B7" s="31" t="n">
        <x:v>482.2877997074</x:v>
      </x:c>
      <x:c r="C7" s="32" t="n">
        <x:v>3.82</x:v>
      </x:c>
      <x:c r="D7" s="32" t="n">
        <x:f>IF(C7="","",(1/'Metadata'!$B$5)^(C7-1))</x:f>
        <x:v>660.6934480075957</x:v>
      </x:c>
      <x:c r="E7" s="31" t="n">
        <x:f>IF(B7=0,"",B7*D7)</x:f>
        <x:v>318644.38932067883</x:v>
      </x:c>
    </x:row>
    <x:row r="8" ht="18" customHeight="1">
      <x:c r="A8" s="24" t="str">
        <x:v>Large reef assoc. fish (&gt;=90 cm)</x:v>
      </x:c>
      <x:c r="B8" s="31" t="n">
        <x:v>3489.7060062763003</x:v>
      </x:c>
      <x:c r="C8" s="32" t="n">
        <x:v>3.8052199392882993</x:v>
      </x:c>
      <x:c r="D8" s="32" t="n">
        <x:f>IF(C8="","",(1/'Metadata'!$B$5)^(C8-1))</x:f>
        <x:v>638.586803144368</x:v>
      </x:c>
      <x:c r="E8" s="31" t="n">
        <x:f>IF(B8=0,"",B8*D8)</x:f>
        <x:v>2228480.2024616823</x:v>
      </x:c>
    </x:row>
    <x:row r="9" ht="18" customHeight="1">
      <x:c r="A9" s="24" t="str">
        <x:v>Large sharks (&gt;=90 cm)</x:v>
      </x:c>
      <x:c r="B9" s="31" t="n">
        <x:v>32.7938151312</x:v>
      </x:c>
      <x:c r="C9" s="32" t="n">
        <x:v>4.049826001613653</x:v>
      </x:c>
      <x:c r="D9" s="32" t="n">
        <x:f>IF(C9="","",(1/'Metadata'!$B$5)^(C9-1))</x:f>
        <x:v>1121.5690120343127</x:v>
      </x:c>
      <x:c r="E9" s="31" t="n">
        <x:f>IF(B9=0,"",B9*D9)</x:f>
        <x:v>36780.52683753588</x:v>
      </x:c>
    </x:row>
    <x:row r="10" ht="18" customHeight="1">
      <x:c r="A10" s="24" t="str">
        <x:v>Lobsters, crabs</x:v>
      </x:c>
      <x:c r="B10" s="31" t="n">
        <x:v>280.82059622239996</x:v>
      </x:c>
      <x:c r="C10" s="32" t="n">
        <x:v>3.1570217387049793</x:v>
      </x:c>
      <x:c r="D10" s="32" t="n">
        <x:f>IF(C10="","",(1/'Metadata'!$B$5)^(C10-1))</x:f>
        <x:v>143.55612888885742</x:v>
      </x:c>
      <x:c r="E10" s="31" t="n">
        <x:f>IF(B10=0,"",B10*D10)</x:f>
        <x:v>40313.51770594863</x:v>
      </x:c>
    </x:row>
    <x:row r="11" ht="18" customHeight="1">
      <x:c r="A11" s="24" t="str">
        <x:v>Medium benthopelagics (30 - 89 cm)</x:v>
      </x:c>
      <x:c r="B11" s="31" t="n">
        <x:v>86041.6643582491</x:v>
      </x:c>
      <x:c r="C11" s="32" t="n">
        <x:v>3.57</x:v>
      </x:c>
      <x:c r="D11" s="32" t="n">
        <x:f>IF(C11="","",(1/'Metadata'!$B$5)^(C11-1))</x:f>
        <x:v>371.5352290971724</x:v>
      </x:c>
      <x:c r="E11" s="31" t="n">
        <x:f>IF(B11=0,"",B11*D11)</x:f>
        <x:v>31967509.47924409</x:v>
      </x:c>
    </x:row>
    <x:row r="12" ht="18" customHeight="1">
      <x:c r="A12" s="24" t="str">
        <x:v>Medium demersals (30 - 89 cm)</x:v>
      </x:c>
      <x:c r="B12" s="31" t="n">
        <x:v>22410.609057331698</x:v>
      </x:c>
      <x:c r="C12" s="32" t="n">
        <x:v>3.5939827005348137</x:v>
      </x:c>
      <x:c r="D12" s="32" t="n">
        <x:f>IF(C12="","",(1/'Metadata'!$B$5)^(C12-1))</x:f>
        <x:v>392.6292952927371</x:v>
      </x:c>
      <x:c r="E12" s="31" t="n">
        <x:f>IF(B12=0,"",B12*D12)</x:f>
        <x:v>8799061.641261175</x:v>
      </x:c>
    </x:row>
    <x:row r="13" ht="18" customHeight="1">
      <x:c r="A13" s="24" t="str">
        <x:v>Medium pelagics (30 - 89 cm)</x:v>
      </x:c>
      <x:c r="B13" s="31" t="n">
        <x:v>2898.1178985512</x:v>
      </x:c>
      <x:c r="C13" s="32" t="n">
        <x:v>3.508660084180207</x:v>
      </x:c>
      <x:c r="D13" s="32" t="n">
        <x:f>IF(C13="","",(1/'Metadata'!$B$5)^(C13-1))</x:f>
        <x:v>322.596821609295</x:v>
      </x:c>
      <x:c r="E13" s="31" t="n">
        <x:f>IF(B13=0,"",B13*D13)</x:f>
        <x:v>934923.6227216263</x:v>
      </x:c>
    </x:row>
    <x:row r="14" ht="18" customHeight="1">
      <x:c r="A14" s="24" t="str">
        <x:v>Medium reef assoc. fish (30 - 89 cm)</x:v>
      </x:c>
      <x:c r="B14" s="31" t="n">
        <x:v>2.9814762331</x:v>
      </x:c>
      <x:c r="C14" s="32" t="n">
        <x:v>4.38</x:v>
      </x:c>
      <x:c r="D14" s="32" t="n">
        <x:f>IF(C14="","",(1/'Metadata'!$B$5)^(C14-1))</x:f>
        <x:v>2398.83291901949</x:v>
      </x:c>
      <x:c r="E14" s="31" t="n">
        <x:f>IF(B14=0,"",B14*D14)</x:f>
        <x:v>7152.063335234507</x:v>
      </x:c>
    </x:row>
    <x:row r="15" ht="18" customHeight="1">
      <x:c r="A15" s="24" t="str">
        <x:v>Other demersal invertebrates</x:v>
      </x:c>
      <x:c r="B15" s="31" t="n">
        <x:v>68.5481490877</x:v>
      </x:c>
      <x:c r="C15" s="32" t="n">
        <x:v>2.098199315053524</x:v>
      </x:c>
      <x:c r="D15" s="32" t="n">
        <x:f>IF(C15="","",(1/'Metadata'!$B$5)^(C15-1))</x:f>
        <x:v>12.537164233827811</x:v>
      </x:c>
      <x:c r="E15" s="31" t="n">
        <x:f>IF(B15=0,"",B15*D15)</x:f>
        <x:v>859.3994030374089</x:v>
      </x:c>
    </x:row>
    <x:row r="16" ht="18" customHeight="1">
      <x:c r="A16" s="24" t="str">
        <x:v>Shrimps</x:v>
      </x:c>
      <x:c r="B16" s="31" t="n">
        <x:v>4.4595393542</x:v>
      </x:c>
      <x:c r="C16" s="32" t="n">
        <x:v>2.7</x:v>
      </x:c>
      <x:c r="D16" s="32" t="n">
        <x:f>IF(C16="","",(1/'Metadata'!$B$5)^(C16-1))</x:f>
        <x:v>50.11872336272725</x:v>
      </x:c>
      <x:c r="E16" s="31" t="n">
        <x:f>IF(B16=0,"",B16*D16)</x:f>
        <x:v>223.50641921834517</x:v>
      </x:c>
    </x:row>
    <x:row r="17" ht="18" customHeight="1">
      <x:c r="A17" s="24" t="str">
        <x:v>Small pelagics (&lt;30 cm)</x:v>
      </x:c>
      <x:c r="B17" s="31" t="n">
        <x:v>0.48974039160000005</x:v>
      </x:c>
      <x:c r="C17" s="32" t="n">
        <x:v>3.4431406581637565</x:v>
      </x:c>
      <x:c r="D17" s="32" t="n">
        <x:f>IF(C17="","",(1/'Metadata'!$B$5)^(C17-1))</x:f>
        <x:v>277.42184658035274</x:v>
      </x:c>
      <x:c r="E17" s="31" t="n">
        <x:f>IF(B17=0,"",B17*D17)</x:f>
        <x:v>135.8646837826571</x:v>
      </x:c>
    </x:row>
    <x:row r="18" ht="18" customHeight="1">
      <x:c r="A18" s="24" t="str">
        <x:v>Small to medium flatfishes (&lt;90 cm)</x:v>
      </x:c>
      <x:c r="B18" s="31" t="n">
        <x:v>17277.2007249003</x:v>
      </x:c>
      <x:c r="C18" s="32" t="n">
        <x:v>3.565859619297957</x:v>
      </x:c>
      <x:c r="D18" s="32" t="n">
        <x:f>IF(C18="","",(1/'Metadata'!$B$5)^(C18-1))</x:f>
        <x:v>368.00999941047843</x:v>
      </x:c>
      <x:c r="E18" s="31" t="n">
        <x:f>IF(B18=0,"",B18*D18)</x:f>
        <x:v>6358182.628585277</x:v>
      </x:c>
    </x:row>
    <x:row r="19" ht="18" customHeight="1">
      <x:c r="A19" s="24" t="str">
        <x:v>Small to medium rays (&lt;90 cm)</x:v>
      </x:c>
      <x:c r="B19" s="31" t="n">
        <x:v>167.6845087398</x:v>
      </x:c>
      <x:c r="C19" s="32" t="n">
        <x:v>3.7999999999999994</x:v>
      </x:c>
      <x:c r="D19" s="32" t="n">
        <x:f>IF(C19="","",(1/'Metadata'!$B$5)^(C19-1))</x:f>
        <x:v>630.9573444801923</x:v>
      </x:c>
      <x:c r="E19" s="31" t="n">
        <x:f>IF(B19=0,"",B19*D19)</x:f>
        <x:v>105801.77234492982</x:v>
      </x:c>
    </x:row>
  </x:sheetData>
  <x:pageMargins left="0.7" right="0.7" top="0.75" bottom="0.75" header="0.3" footer="0.3"/>
  <x:tableParts count="1">
    <x:tablePart xmlns:r="http://schemas.openxmlformats.org/officeDocument/2006/relationships" r:id="R341b8078573f406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LME_065</x:v>
      </x:c>
      <x:c r="B2" s="24" t="str">
        <x:v>raw_filtered_tonnes</x:v>
      </x:c>
      <x:c r="C2" s="24" t="n">
        <x:v>151507.6717909796</x:v>
      </x:c>
      <x:c r="D2" s="24" t="str">
        <x:v>tonnes</x:v>
      </x:c>
    </x:row>
    <x:row r="3" ht="18" customHeight="1">
      <x:c r="A3" s="24" t="str">
        <x:v>LME_065</x:v>
      </x:c>
      <x:c r="B3" s="24" t="str">
        <x:v>species_catch_tonnes</x:v>
      </x:c>
      <x:c r="C3" s="24" t="n">
        <x:v>151507.6717909796</x:v>
      </x:c>
      <x:c r="D3" s="24" t="str">
        <x:v>tonnes</x:v>
      </x:c>
    </x:row>
    <x:row r="4" ht="18" customHeight="1">
      <x:c r="A4" s="24" t="str">
        <x:v>LME_065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LME_065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LME_065</x:v>
      </x:c>
      <x:c r="B6" s="24" t="str">
        <x:v>matched_catch_tonnes</x:v>
      </x:c>
      <x:c r="C6" s="24" t="n">
        <x:v>151507.6717909796</x:v>
      </x:c>
      <x:c r="D6" s="24" t="str">
        <x:v>tonnes</x:v>
      </x:c>
    </x:row>
    <x:row r="7" ht="18" customHeight="1">
      <x:c r="A7" s="24" t="str">
        <x:v>LME_065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LME_065</x:v>
      </x:c>
      <x:c r="B8" s="24" t="str">
        <x:v>taxa_count</x:v>
      </x:c>
      <x:c r="C8" s="24" t="n">
        <x:v>68</x:v>
      </x:c>
      <x:c r="D8" s="24" t="str">
        <x:v>count</x:v>
      </x:c>
    </x:row>
    <x:row r="9" ht="18" customHeight="1">
      <x:c r="A9" s="24" t="str">
        <x:v>LME_065</x:v>
      </x:c>
      <x:c r="B9" s="24" t="str">
        <x:v>matched_taxa_count</x:v>
      </x:c>
      <x:c r="C9" s="24" t="n">
        <x:v>68</x:v>
      </x:c>
      <x:c r="D9" s="24" t="str">
        <x:v>count</x:v>
      </x:c>
    </x:row>
    <x:row r="10" ht="18" customHeight="1">
      <x:c r="A10" s="24" t="str">
        <x:v>LME_065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LME_065</x:v>
      </x:c>
      <x:c r="B11" s="24" t="str">
        <x:v>species_ppr</x:v>
      </x:c>
      <x:c r="C11" s="24" t="n">
        <x:v>85526381.4039745</x:v>
      </x:c>
      <x:c r="D11" s="24" t="str">
        <x:v>tonnes_primary_production_equivalent</x:v>
      </x:c>
    </x:row>
    <x:row r="12" ht="18" customHeight="1">
      <x:c r="A12" s="24" t="str">
        <x:v>LME_065</x:v>
      </x:c>
      <x:c r="B12" s="24" t="str">
        <x:v>commercial_ppr</x:v>
      </x:c>
      <x:c r="C12" s="24" t="n">
        <x:v>70379109.37733433</x:v>
      </x:c>
      <x:c r="D12" s="24" t="str">
        <x:v>tonnes_primary_production_equivalent</x:v>
      </x:c>
    </x:row>
    <x:row r="13" ht="18" customHeight="1">
      <x:c r="A13" s="24" t="str">
        <x:v>LME_065</x:v>
      </x:c>
      <x:c r="B13" s="24" t="str">
        <x:v>functional_ppr</x:v>
      </x:c>
      <x:c r="C13" s="24" t="n">
        <x:v>75180854.1365574</x:v>
      </x:c>
      <x:c r="D13" s="24" t="str">
        <x:v>tonnes_primary_production_equivalent</x:v>
      </x:c>
    </x:row>
    <x:row r="14" ht="18" customHeight="1">
      <x:c r="A14" s="24" t="str">
        <x:v>LME_065</x:v>
      </x:c>
      <x:c r="B14" s="24" t="str">
        <x:v>commercial_ppr_difference</x:v>
      </x:c>
      <x:c r="C14" s="24" t="n">
        <x:v>-15147272.026640177</x:v>
      </x:c>
      <x:c r="D14" s="24" t="str">
        <x:v>tonnes_primary_production_equivalent</x:v>
      </x:c>
    </x:row>
    <x:row r="15" ht="18" customHeight="1">
      <x:c r="A15" s="24" t="str">
        <x:v>LME_065</x:v>
      </x:c>
      <x:c r="B15" s="24" t="str">
        <x:v>functional_ppr_difference</x:v>
      </x:c>
      <x:c r="C15" s="24" t="n">
        <x:v>-10345527.267417103</x:v>
      </x:c>
      <x:c r="D15" s="24" t="str">
        <x:v>tonnes_primary_production_equivalent</x:v>
      </x:c>
    </x:row>
    <x:row r="16" ht="18" customHeight="1">
      <x:c r="A16" s="24" t="str">
        <x:v>LME_065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LME_065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5702e1fff7c40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LME_065 - Aleutian Islands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LME_065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raw_data/SAU_downloads/LME_065-catch.zip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